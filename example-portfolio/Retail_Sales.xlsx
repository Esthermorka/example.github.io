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ADMIN\Documents\esther\"/>
    </mc:Choice>
  </mc:AlternateContent>
  <xr:revisionPtr revIDLastSave="0" documentId="13_ncr:1_{4463D061-AA1C-4C8D-ABAA-B10CBE3BDAC9}" xr6:coauthVersionLast="47" xr6:coauthVersionMax="47" xr10:uidLastSave="{00000000-0000-0000-0000-000000000000}"/>
  <bookViews>
    <workbookView xWindow="-120" yWindow="-120" windowWidth="20730" windowHeight="11760" tabRatio="467" firstSheet="4" activeTab="4" xr2:uid="{3BF76A0B-CEA9-42F1-BFCD-4426C70ECECE}"/>
  </bookViews>
  <sheets>
    <sheet name="Raw Data (3)" sheetId="8" state="hidden" r:id="rId1"/>
    <sheet name="Raw Data (2)" sheetId="4" state="hidden" r:id="rId2"/>
    <sheet name="Raw Data (4)" sheetId="11" state="hidden" r:id="rId3"/>
    <sheet name="Raw Data" sheetId="1" r:id="rId4"/>
    <sheet name="Sheet2" sheetId="19" r:id="rId5"/>
    <sheet name="Pivot Tables_Dash" sheetId="17" r:id="rId6"/>
    <sheet name="Pivot Tables" sheetId="16" r:id="rId7"/>
    <sheet name="LOOKUP FUNCTIONS" sheetId="13" r:id="rId8"/>
    <sheet name="hlookup data" sheetId="14" r:id="rId9"/>
    <sheet name="FUNCTIONS" sheetId="12" r:id="rId10"/>
    <sheet name="formula" sheetId="10" r:id="rId11"/>
    <sheet name="Sheet1" sheetId="9" state="hidden" r:id="rId12"/>
    <sheet name="Sheet7" sheetId="7" state="hidden" r:id="rId13"/>
    <sheet name="Data Dictionary" sheetId="2" r:id="rId14"/>
  </sheets>
  <definedNames>
    <definedName name="_xlnm._FilterDatabase" localSheetId="3" hidden="1">'Raw Data'!$A$1:$T$1010</definedName>
    <definedName name="_xlnm._FilterDatabase" localSheetId="0" hidden="1">'Raw Data (3)'!$A$1:$T$1021</definedName>
    <definedName name="_xlnm._FilterDatabase" localSheetId="2" hidden="1">'Raw Data (4)'!$A$1:$U$1021</definedName>
    <definedName name="ggg" localSheetId="1">'Raw Data (2)'!$A$1:$A$4</definedName>
    <definedName name="ggg" localSheetId="0">'Raw Data (3)'!$A$1:$A$4</definedName>
    <definedName name="ggg" localSheetId="2">'Raw Data (4)'!$A$1:$A$4</definedName>
    <definedName name="ggg">'Raw Data'!$A$1:$A$4</definedName>
    <definedName name="NativeTimeline_Order_Date1">#N/A</definedName>
    <definedName name="Slicer_Region1">#N/A</definedName>
  </definedNames>
  <calcPr calcId="191029"/>
  <pivotCaches>
    <pivotCache cacheId="14" r:id="rId15"/>
  </pivotCaches>
  <extLs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0" i="13" l="1"/>
  <c r="B33" i="13"/>
  <c r="E25" i="13"/>
  <c r="E26" i="13"/>
  <c r="E27" i="13"/>
  <c r="E28" i="13"/>
  <c r="E24" i="13"/>
  <c r="D25" i="13"/>
  <c r="D26" i="13"/>
  <c r="D27" i="13"/>
  <c r="D28" i="13"/>
  <c r="D24" i="13"/>
  <c r="C17" i="13"/>
  <c r="H3" i="13"/>
  <c r="H4" i="13"/>
  <c r="H5" i="13"/>
  <c r="H6" i="13"/>
  <c r="H7" i="13"/>
  <c r="C5" i="13"/>
  <c r="C41" i="13"/>
  <c r="C42" i="13"/>
  <c r="C43" i="13"/>
  <c r="C44" i="13"/>
  <c r="C40" i="13"/>
  <c r="B42" i="13"/>
  <c r="B41" i="13"/>
  <c r="B43" i="13"/>
  <c r="B44" i="13"/>
  <c r="E34" i="13"/>
  <c r="E33" i="13"/>
  <c r="A34" i="13"/>
  <c r="A33" i="13"/>
  <c r="B34" i="13"/>
  <c r="C25" i="13"/>
  <c r="C26" i="13"/>
  <c r="C27" i="13"/>
  <c r="C28" i="13"/>
  <c r="C24" i="13"/>
  <c r="B25" i="13"/>
  <c r="B26" i="13"/>
  <c r="B27" i="13"/>
  <c r="B28" i="13"/>
  <c r="B24" i="13"/>
  <c r="B18" i="13"/>
  <c r="B17" i="13"/>
  <c r="G3" i="13"/>
  <c r="G4" i="13"/>
  <c r="G5" i="13"/>
  <c r="G6" i="13"/>
  <c r="G7" i="13"/>
  <c r="B9" i="13"/>
  <c r="B8" i="13"/>
  <c r="B7" i="13"/>
  <c r="B6" i="13"/>
  <c r="F4" i="13"/>
  <c r="F5" i="13"/>
  <c r="F6" i="13"/>
  <c r="F7" i="13"/>
  <c r="F3" i="13"/>
  <c r="B5" i="13"/>
  <c r="V2" i="12" a="1"/>
  <c r="V2" i="12" s="1"/>
  <c r="E16" i="12"/>
  <c r="E15" i="12"/>
  <c r="D16" i="12"/>
  <c r="D15" i="12"/>
  <c r="C16" i="12"/>
  <c r="C15" i="12"/>
  <c r="B16" i="12"/>
  <c r="B15" i="12"/>
  <c r="R12" i="12"/>
  <c r="S12" i="12" s="1"/>
  <c r="R13" i="12"/>
  <c r="S13" i="12" s="1"/>
  <c r="R15" i="12"/>
  <c r="S15" i="12" s="1"/>
  <c r="R16" i="12"/>
  <c r="S16" i="12" s="1"/>
  <c r="R17" i="12"/>
  <c r="S17" i="12" s="1"/>
  <c r="R18" i="12"/>
  <c r="S18" i="12" s="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1" i="1"/>
  <c r="Y952" i="1"/>
  <c r="Y953" i="1"/>
  <c r="Y954" i="1"/>
  <c r="Y955" i="1"/>
  <c r="Y956" i="1"/>
  <c r="Y957" i="1"/>
  <c r="Y958" i="1"/>
  <c r="Y959" i="1"/>
  <c r="Y960" i="1"/>
  <c r="Y961" i="1"/>
  <c r="Y962" i="1"/>
  <c r="Y963" i="1"/>
  <c r="Y964" i="1"/>
  <c r="Y965" i="1"/>
  <c r="Y966" i="1"/>
  <c r="Y967" i="1"/>
  <c r="Y968" i="1"/>
  <c r="Y969" i="1"/>
  <c r="Y970"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R4" i="12"/>
  <c r="R5" i="12"/>
  <c r="R6" i="12"/>
  <c r="R7" i="12"/>
  <c r="R8" i="12"/>
  <c r="R3" i="12"/>
  <c r="T4" i="12"/>
  <c r="T5" i="12"/>
  <c r="T6" i="12"/>
  <c r="T7" i="12"/>
  <c r="T8" i="12"/>
  <c r="T3" i="12"/>
  <c r="S4" i="12"/>
  <c r="S5" i="12"/>
  <c r="S6" i="12"/>
  <c r="S7" i="12"/>
  <c r="S8" i="12"/>
  <c r="S3" i="12"/>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1" i="1"/>
  <c r="X952" i="1"/>
  <c r="X953" i="1"/>
  <c r="X954" i="1"/>
  <c r="X955" i="1"/>
  <c r="X956" i="1"/>
  <c r="X957" i="1"/>
  <c r="X958" i="1"/>
  <c r="X959" i="1"/>
  <c r="X960" i="1"/>
  <c r="X961" i="1"/>
  <c r="X962" i="1"/>
  <c r="X963" i="1"/>
  <c r="X964" i="1"/>
  <c r="X965" i="1"/>
  <c r="X966" i="1"/>
  <c r="X967" i="1"/>
  <c r="X968" i="1"/>
  <c r="X969" i="1"/>
  <c r="X970"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1" i="1"/>
  <c r="W952" i="1"/>
  <c r="W953" i="1"/>
  <c r="W954" i="1"/>
  <c r="W955" i="1"/>
  <c r="W956" i="1"/>
  <c r="W957" i="1"/>
  <c r="W958" i="1"/>
  <c r="W959" i="1"/>
  <c r="W960" i="1"/>
  <c r="W961" i="1"/>
  <c r="W962" i="1"/>
  <c r="W963" i="1"/>
  <c r="W964" i="1"/>
  <c r="W965" i="1"/>
  <c r="W966" i="1"/>
  <c r="W967" i="1"/>
  <c r="W968" i="1"/>
  <c r="W969" i="1"/>
  <c r="W970"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H3" i="12"/>
  <c r="H4" i="12" s="1"/>
  <c r="B27" i="10"/>
  <c r="B26" i="10"/>
  <c r="B25" i="10"/>
  <c r="B24" i="10"/>
  <c r="B23" i="10"/>
  <c r="D23" i="10"/>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9" i="1"/>
  <c r="V100" i="1"/>
  <c r="V101" i="1"/>
  <c r="V102" i="1"/>
  <c r="V103" i="1"/>
  <c r="V104" i="1"/>
  <c r="V105" i="1"/>
  <c r="V106" i="1"/>
  <c r="V107" i="1"/>
  <c r="V108" i="1"/>
  <c r="V109" i="1"/>
  <c r="V110" i="1"/>
  <c r="V111"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60" i="1"/>
  <c r="V561" i="1"/>
  <c r="V562" i="1"/>
  <c r="V564" i="1"/>
  <c r="V565" i="1"/>
  <c r="V566" i="1"/>
  <c r="V567" i="1"/>
  <c r="V569" i="1"/>
  <c r="V570" i="1"/>
  <c r="V571" i="1"/>
  <c r="V572" i="1"/>
  <c r="V573" i="1"/>
  <c r="V574" i="1"/>
  <c r="V575" i="1"/>
  <c r="V576" i="1"/>
  <c r="V577" i="1"/>
  <c r="V579" i="1"/>
  <c r="V580" i="1"/>
  <c r="V581"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2" i="1"/>
  <c r="V923" i="1"/>
  <c r="V924" i="1"/>
  <c r="V925" i="1"/>
  <c r="V926" i="1"/>
  <c r="V927" i="1"/>
  <c r="V928" i="1"/>
  <c r="V929" i="1"/>
  <c r="V930" i="1"/>
  <c r="V931" i="1"/>
  <c r="V932" i="1"/>
  <c r="V933" i="1"/>
  <c r="V934" i="1"/>
  <c r="V935" i="1"/>
  <c r="V936" i="1"/>
  <c r="V937" i="1"/>
  <c r="V938" i="1"/>
  <c r="V939" i="1"/>
  <c r="V941" i="1"/>
  <c r="V942" i="1"/>
  <c r="V943" i="1"/>
  <c r="V944" i="1"/>
  <c r="V945" i="1"/>
  <c r="V946" i="1"/>
  <c r="V947" i="1"/>
  <c r="V948" i="1"/>
  <c r="V949" i="1"/>
  <c r="V950" i="1"/>
  <c r="V951" i="1"/>
  <c r="V952" i="1"/>
  <c r="V953" i="1"/>
  <c r="V954" i="1"/>
  <c r="V955" i="1"/>
  <c r="V956" i="1"/>
  <c r="V957"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2" i="1"/>
  <c r="Q17" i="10"/>
  <c r="Q18" i="10"/>
  <c r="P18" i="10"/>
  <c r="P17" i="10"/>
  <c r="O18" i="10"/>
  <c r="O17" i="10"/>
  <c r="N18" i="10"/>
  <c r="N17" i="10"/>
  <c r="M2" i="11"/>
  <c r="M3" i="11"/>
  <c r="M4" i="11"/>
  <c r="M5" i="11"/>
  <c r="M6" i="11"/>
  <c r="M7"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1" i="11"/>
  <c r="M52" i="11"/>
  <c r="M53" i="11"/>
  <c r="M54" i="11"/>
  <c r="M55" i="11"/>
  <c r="M56" i="11"/>
  <c r="M57" i="11"/>
  <c r="M58" i="11"/>
  <c r="M59" i="11"/>
  <c r="M60" i="11"/>
  <c r="M61" i="11"/>
  <c r="M62" i="11"/>
  <c r="M63" i="11"/>
  <c r="M64" i="11"/>
  <c r="M65" i="11"/>
  <c r="M66" i="11"/>
  <c r="M67" i="11"/>
  <c r="M68" i="11"/>
  <c r="M69" i="11"/>
  <c r="M70" i="11"/>
  <c r="M71" i="11"/>
  <c r="M72" i="11"/>
  <c r="M73" i="11"/>
  <c r="M74" i="11"/>
  <c r="M75" i="11"/>
  <c r="M76" i="11"/>
  <c r="M77" i="11"/>
  <c r="M78" i="11"/>
  <c r="M79" i="11"/>
  <c r="M80" i="11"/>
  <c r="M81" i="11"/>
  <c r="M82" i="11"/>
  <c r="M83" i="11"/>
  <c r="M84" i="11"/>
  <c r="M85" i="11"/>
  <c r="M86" i="11"/>
  <c r="M87" i="11"/>
  <c r="M88" i="11"/>
  <c r="M89" i="11"/>
  <c r="M90" i="11"/>
  <c r="M91" i="11"/>
  <c r="M92" i="11"/>
  <c r="M93" i="11"/>
  <c r="M94" i="11"/>
  <c r="M95" i="11"/>
  <c r="M96" i="11"/>
  <c r="M97" i="11"/>
  <c r="M98" i="11"/>
  <c r="M99" i="11"/>
  <c r="M100" i="11"/>
  <c r="M101" i="11"/>
  <c r="M102" i="11"/>
  <c r="M103" i="11"/>
  <c r="M104" i="11"/>
  <c r="M105" i="11"/>
  <c r="M106" i="11"/>
  <c r="M107" i="11"/>
  <c r="M108" i="11"/>
  <c r="M109" i="11"/>
  <c r="M110" i="11"/>
  <c r="M111" i="11"/>
  <c r="M112" i="11"/>
  <c r="M113" i="11"/>
  <c r="M114" i="11"/>
  <c r="M115" i="11"/>
  <c r="M116" i="11"/>
  <c r="M117" i="11"/>
  <c r="M118" i="11"/>
  <c r="M119" i="11"/>
  <c r="M120" i="11"/>
  <c r="M121" i="11"/>
  <c r="M122" i="11"/>
  <c r="M123" i="11"/>
  <c r="M124" i="11"/>
  <c r="M125" i="11"/>
  <c r="M126" i="11"/>
  <c r="M127" i="11"/>
  <c r="M128" i="11"/>
  <c r="M129" i="11"/>
  <c r="M130" i="11"/>
  <c r="M131" i="11"/>
  <c r="M132" i="11"/>
  <c r="M133" i="11"/>
  <c r="M134" i="11"/>
  <c r="M135" i="11"/>
  <c r="M136" i="11"/>
  <c r="M137" i="11"/>
  <c r="M138" i="11"/>
  <c r="M139" i="11"/>
  <c r="M140" i="11"/>
  <c r="M141" i="11"/>
  <c r="M142" i="11"/>
  <c r="M143" i="11"/>
  <c r="M144" i="11"/>
  <c r="M145" i="11"/>
  <c r="M146" i="11"/>
  <c r="M147" i="11"/>
  <c r="M148" i="11"/>
  <c r="M149" i="11"/>
  <c r="M150" i="11"/>
  <c r="M151" i="11"/>
  <c r="M152" i="11"/>
  <c r="M153" i="11"/>
  <c r="M154" i="11"/>
  <c r="M155" i="11"/>
  <c r="M157" i="11"/>
  <c r="M158" i="11"/>
  <c r="M159" i="11"/>
  <c r="M160" i="11"/>
  <c r="M161" i="11"/>
  <c r="M162" i="11"/>
  <c r="M163" i="11"/>
  <c r="M164" i="11"/>
  <c r="M165" i="11"/>
  <c r="M166" i="11"/>
  <c r="M167" i="11"/>
  <c r="M168" i="11"/>
  <c r="M169" i="11"/>
  <c r="M170" i="11"/>
  <c r="M171" i="11"/>
  <c r="M172" i="11"/>
  <c r="M173" i="11"/>
  <c r="M174" i="11"/>
  <c r="M175" i="11"/>
  <c r="M176" i="11"/>
  <c r="M177" i="11"/>
  <c r="M178" i="11"/>
  <c r="M179" i="11"/>
  <c r="M180" i="11"/>
  <c r="M181" i="11"/>
  <c r="M182" i="11"/>
  <c r="M183" i="11"/>
  <c r="M184" i="11"/>
  <c r="M185" i="11"/>
  <c r="M186" i="11"/>
  <c r="M187" i="11"/>
  <c r="M188" i="11"/>
  <c r="M189" i="11"/>
  <c r="M190" i="11"/>
  <c r="M191" i="11"/>
  <c r="M192" i="11"/>
  <c r="M193" i="11"/>
  <c r="M194" i="11"/>
  <c r="M195" i="11"/>
  <c r="M196" i="11"/>
  <c r="M197" i="11"/>
  <c r="M198" i="11"/>
  <c r="M199" i="11"/>
  <c r="M200" i="11"/>
  <c r="M201" i="11"/>
  <c r="M203" i="11"/>
  <c r="M204" i="11"/>
  <c r="M205" i="11"/>
  <c r="M206" i="11"/>
  <c r="M207" i="11"/>
  <c r="M208" i="11"/>
  <c r="M209" i="11"/>
  <c r="M210" i="11"/>
  <c r="M211" i="11"/>
  <c r="M212" i="11"/>
  <c r="M213" i="11"/>
  <c r="M214" i="11"/>
  <c r="M215" i="11"/>
  <c r="M216" i="11"/>
  <c r="M217" i="11"/>
  <c r="M218" i="11"/>
  <c r="M219" i="11"/>
  <c r="M220" i="11"/>
  <c r="M221" i="11"/>
  <c r="M222" i="11"/>
  <c r="M223" i="11"/>
  <c r="M224" i="11"/>
  <c r="M225" i="11"/>
  <c r="M226" i="11"/>
  <c r="M227" i="11"/>
  <c r="M228" i="11"/>
  <c r="M229" i="11"/>
  <c r="M230" i="11"/>
  <c r="M231" i="11"/>
  <c r="M232" i="11"/>
  <c r="M233" i="11"/>
  <c r="M234" i="11"/>
  <c r="M235" i="11"/>
  <c r="M236" i="11"/>
  <c r="M237" i="11"/>
  <c r="M238" i="11"/>
  <c r="M239" i="11"/>
  <c r="M240" i="11"/>
  <c r="M241" i="11"/>
  <c r="M242" i="11"/>
  <c r="M243" i="11"/>
  <c r="M244" i="11"/>
  <c r="M245" i="11"/>
  <c r="M246" i="11"/>
  <c r="M247" i="11"/>
  <c r="M248" i="11"/>
  <c r="M249" i="11"/>
  <c r="M250" i="11"/>
  <c r="M251" i="11"/>
  <c r="M252" i="11"/>
  <c r="M253" i="11"/>
  <c r="M254" i="11"/>
  <c r="M255" i="11"/>
  <c r="M256" i="11"/>
  <c r="M257" i="11"/>
  <c r="M258" i="11"/>
  <c r="M259" i="11"/>
  <c r="M260" i="11"/>
  <c r="M261" i="11"/>
  <c r="M262" i="11"/>
  <c r="M263" i="11"/>
  <c r="M264" i="11"/>
  <c r="M265" i="11"/>
  <c r="M266" i="11"/>
  <c r="M267" i="11"/>
  <c r="M268" i="11"/>
  <c r="M269" i="11"/>
  <c r="M270" i="11"/>
  <c r="M271" i="11"/>
  <c r="M272" i="11"/>
  <c r="M273" i="11"/>
  <c r="M274" i="11"/>
  <c r="M275" i="11"/>
  <c r="M276" i="11"/>
  <c r="M277" i="11"/>
  <c r="M278" i="11"/>
  <c r="M279" i="11"/>
  <c r="M280" i="11"/>
  <c r="M281" i="11"/>
  <c r="M282" i="11"/>
  <c r="M283" i="11"/>
  <c r="M284" i="11"/>
  <c r="M285" i="11"/>
  <c r="M286" i="11"/>
  <c r="M287" i="11"/>
  <c r="M288" i="11"/>
  <c r="M289" i="11"/>
  <c r="M290" i="11"/>
  <c r="M291" i="11"/>
  <c r="M292" i="11"/>
  <c r="M293" i="11"/>
  <c r="M294" i="11"/>
  <c r="M295" i="11"/>
  <c r="M296" i="11"/>
  <c r="M297" i="11"/>
  <c r="M298" i="11"/>
  <c r="M299" i="11"/>
  <c r="M300" i="11"/>
  <c r="M301" i="11"/>
  <c r="M302" i="11"/>
  <c r="M303" i="11"/>
  <c r="M304" i="11"/>
  <c r="M305" i="11"/>
  <c r="M306" i="11"/>
  <c r="M307" i="11"/>
  <c r="M308" i="11"/>
  <c r="M309" i="11"/>
  <c r="M310" i="11"/>
  <c r="M311" i="11"/>
  <c r="M312" i="11"/>
  <c r="M313" i="11"/>
  <c r="M314" i="11"/>
  <c r="M315" i="11"/>
  <c r="M316" i="11"/>
  <c r="M317" i="11"/>
  <c r="M318" i="11"/>
  <c r="M319" i="11"/>
  <c r="M320" i="11"/>
  <c r="M321" i="11"/>
  <c r="M322" i="11"/>
  <c r="M323" i="11"/>
  <c r="M324" i="11"/>
  <c r="M325" i="11"/>
  <c r="M326" i="11"/>
  <c r="M327" i="11"/>
  <c r="M328" i="11"/>
  <c r="M329" i="11"/>
  <c r="M330" i="11"/>
  <c r="M331" i="11"/>
  <c r="M332" i="11"/>
  <c r="M333" i="11"/>
  <c r="M334" i="11"/>
  <c r="M335" i="11"/>
  <c r="M336" i="11"/>
  <c r="M337" i="11"/>
  <c r="M338" i="11"/>
  <c r="M339" i="11"/>
  <c r="M340" i="11"/>
  <c r="M341" i="11"/>
  <c r="M342" i="11"/>
  <c r="M343" i="11"/>
  <c r="M344" i="11"/>
  <c r="M345" i="11"/>
  <c r="M346" i="11"/>
  <c r="M347" i="11"/>
  <c r="M348" i="11"/>
  <c r="M349" i="11"/>
  <c r="M350" i="11"/>
  <c r="M351" i="11"/>
  <c r="M352" i="11"/>
  <c r="M353" i="11"/>
  <c r="M354" i="11"/>
  <c r="M355" i="11"/>
  <c r="M356" i="11"/>
  <c r="M357" i="11"/>
  <c r="M358" i="11"/>
  <c r="M359" i="11"/>
  <c r="M360" i="11"/>
  <c r="M361" i="11"/>
  <c r="M362" i="11"/>
  <c r="M363" i="11"/>
  <c r="M364" i="11"/>
  <c r="M365" i="11"/>
  <c r="M366" i="11"/>
  <c r="M367" i="11"/>
  <c r="M368" i="11"/>
  <c r="M369" i="11"/>
  <c r="M370" i="11"/>
  <c r="M371" i="11"/>
  <c r="M372" i="11"/>
  <c r="M373" i="11"/>
  <c r="M374" i="11"/>
  <c r="M375" i="11"/>
  <c r="M376" i="11"/>
  <c r="M377" i="11"/>
  <c r="M378" i="11"/>
  <c r="M379" i="11"/>
  <c r="M380" i="11"/>
  <c r="M381" i="11"/>
  <c r="M382" i="11"/>
  <c r="M383" i="11"/>
  <c r="M384" i="11"/>
  <c r="M385" i="11"/>
  <c r="M386" i="11"/>
  <c r="M387" i="11"/>
  <c r="M388" i="11"/>
  <c r="M389" i="11"/>
  <c r="M390" i="11"/>
  <c r="M391" i="11"/>
  <c r="M392" i="11"/>
  <c r="M393" i="11"/>
  <c r="M394" i="11"/>
  <c r="M395" i="11"/>
  <c r="M396" i="11"/>
  <c r="M397" i="11"/>
  <c r="M398" i="11"/>
  <c r="M399" i="11"/>
  <c r="M400" i="11"/>
  <c r="M401" i="11"/>
  <c r="M402" i="11"/>
  <c r="M403" i="11"/>
  <c r="M404" i="11"/>
  <c r="M405" i="11"/>
  <c r="M406" i="11"/>
  <c r="M407" i="11"/>
  <c r="M408" i="11"/>
  <c r="M409" i="11"/>
  <c r="M410" i="11"/>
  <c r="M411" i="11"/>
  <c r="M412" i="11"/>
  <c r="M413" i="11"/>
  <c r="M414" i="11"/>
  <c r="M415" i="11"/>
  <c r="M416" i="11"/>
  <c r="M417" i="11"/>
  <c r="M418" i="11"/>
  <c r="M419" i="11"/>
  <c r="M420" i="11"/>
  <c r="M421" i="11"/>
  <c r="M422" i="11"/>
  <c r="M423" i="11"/>
  <c r="M424" i="11"/>
  <c r="M425" i="11"/>
  <c r="M426" i="11"/>
  <c r="M427" i="11"/>
  <c r="M428" i="11"/>
  <c r="M429" i="11"/>
  <c r="M430" i="11"/>
  <c r="M431" i="11"/>
  <c r="M432" i="11"/>
  <c r="M433" i="11"/>
  <c r="M434" i="11"/>
  <c r="M435" i="11"/>
  <c r="M436" i="11"/>
  <c r="M437" i="11"/>
  <c r="M438" i="11"/>
  <c r="M439" i="11"/>
  <c r="M440" i="11"/>
  <c r="M441" i="11"/>
  <c r="M442" i="11"/>
  <c r="M443" i="11"/>
  <c r="M444" i="11"/>
  <c r="M445" i="11"/>
  <c r="M446" i="11"/>
  <c r="M447" i="11"/>
  <c r="M448" i="11"/>
  <c r="M449" i="11"/>
  <c r="M450" i="11"/>
  <c r="M451" i="11"/>
  <c r="M452" i="11"/>
  <c r="M453" i="11"/>
  <c r="M454" i="11"/>
  <c r="M455" i="11"/>
  <c r="M456" i="11"/>
  <c r="M457" i="11"/>
  <c r="M458" i="11"/>
  <c r="M459" i="11"/>
  <c r="M460" i="11"/>
  <c r="M461" i="11"/>
  <c r="M462" i="11"/>
  <c r="M463" i="11"/>
  <c r="M464" i="11"/>
  <c r="M465" i="11"/>
  <c r="M466" i="11"/>
  <c r="M467" i="11"/>
  <c r="M468" i="11"/>
  <c r="M469" i="11"/>
  <c r="M470" i="11"/>
  <c r="M471" i="11"/>
  <c r="M472" i="11"/>
  <c r="M473" i="11"/>
  <c r="M474" i="11"/>
  <c r="M475" i="11"/>
  <c r="M476" i="11"/>
  <c r="M477" i="11"/>
  <c r="M478" i="11"/>
  <c r="M479" i="11"/>
  <c r="M480" i="11"/>
  <c r="M481" i="11"/>
  <c r="M482" i="11"/>
  <c r="M483" i="11"/>
  <c r="M484" i="11"/>
  <c r="M485" i="11"/>
  <c r="M486" i="11"/>
  <c r="M487" i="11"/>
  <c r="M488" i="11"/>
  <c r="M489" i="11"/>
  <c r="M490" i="11"/>
  <c r="M491" i="11"/>
  <c r="M492" i="11"/>
  <c r="M493" i="11"/>
  <c r="M494" i="11"/>
  <c r="M495" i="11"/>
  <c r="M496" i="11"/>
  <c r="M497" i="11"/>
  <c r="M498" i="11"/>
  <c r="M499" i="11"/>
  <c r="M500" i="11"/>
  <c r="M501" i="11"/>
  <c r="M502" i="11"/>
  <c r="M503" i="11"/>
  <c r="M504" i="11"/>
  <c r="M505" i="11"/>
  <c r="M506" i="11"/>
  <c r="M507" i="11"/>
  <c r="M508" i="11"/>
  <c r="M509" i="11"/>
  <c r="M510" i="11"/>
  <c r="M511" i="11"/>
  <c r="M512" i="11"/>
  <c r="M513" i="11"/>
  <c r="M514" i="11"/>
  <c r="M515" i="11"/>
  <c r="M516" i="11"/>
  <c r="M517" i="11"/>
  <c r="M518" i="11"/>
  <c r="M519" i="11"/>
  <c r="M520" i="11"/>
  <c r="M521" i="11"/>
  <c r="M522" i="11"/>
  <c r="M523" i="11"/>
  <c r="M524" i="11"/>
  <c r="M525" i="11"/>
  <c r="M526" i="11"/>
  <c r="M527" i="11"/>
  <c r="M528" i="11"/>
  <c r="M529" i="11"/>
  <c r="M530" i="11"/>
  <c r="M531" i="11"/>
  <c r="M532" i="11"/>
  <c r="M533" i="11"/>
  <c r="M534" i="11"/>
  <c r="M535" i="11"/>
  <c r="M536" i="11"/>
  <c r="M537" i="11"/>
  <c r="M538" i="11"/>
  <c r="M539" i="11"/>
  <c r="M540" i="11"/>
  <c r="M541" i="11"/>
  <c r="M542" i="11"/>
  <c r="M543" i="11"/>
  <c r="M544" i="11"/>
  <c r="M545" i="11"/>
  <c r="M546" i="11"/>
  <c r="M547" i="11"/>
  <c r="M548" i="11"/>
  <c r="M549" i="11"/>
  <c r="M550" i="11"/>
  <c r="M551" i="11"/>
  <c r="M552" i="11"/>
  <c r="M553" i="11"/>
  <c r="M554" i="11"/>
  <c r="M555" i="11"/>
  <c r="M556" i="11"/>
  <c r="M557" i="11"/>
  <c r="M558" i="11"/>
  <c r="M559" i="11"/>
  <c r="M560" i="11"/>
  <c r="M561" i="11"/>
  <c r="M562" i="11"/>
  <c r="M563" i="11"/>
  <c r="M564" i="11"/>
  <c r="M565" i="11"/>
  <c r="M566" i="11"/>
  <c r="M567" i="11"/>
  <c r="M568" i="11"/>
  <c r="M569" i="11"/>
  <c r="M570" i="11"/>
  <c r="M571" i="11"/>
  <c r="M572" i="11"/>
  <c r="M573" i="11"/>
  <c r="M574" i="11"/>
  <c r="M575" i="11"/>
  <c r="M576" i="11"/>
  <c r="M577" i="11"/>
  <c r="M578" i="11"/>
  <c r="M579" i="11"/>
  <c r="M580" i="11"/>
  <c r="M581" i="11"/>
  <c r="M582" i="11"/>
  <c r="M583" i="11"/>
  <c r="M584" i="11"/>
  <c r="M585" i="11"/>
  <c r="M586" i="11"/>
  <c r="M587" i="11"/>
  <c r="M588" i="11"/>
  <c r="M589" i="11"/>
  <c r="M590" i="11"/>
  <c r="M591" i="11"/>
  <c r="M592" i="11"/>
  <c r="M593" i="11"/>
  <c r="M594" i="11"/>
  <c r="M595" i="11"/>
  <c r="M596" i="11"/>
  <c r="M597" i="11"/>
  <c r="M598" i="11"/>
  <c r="M599" i="11"/>
  <c r="M600" i="11"/>
  <c r="M601" i="11"/>
  <c r="M602" i="11"/>
  <c r="M603" i="11"/>
  <c r="M604" i="11"/>
  <c r="M605" i="11"/>
  <c r="M606" i="11"/>
  <c r="M607" i="11"/>
  <c r="M608" i="11"/>
  <c r="M609" i="11"/>
  <c r="M610" i="11"/>
  <c r="M611" i="11"/>
  <c r="M612" i="11"/>
  <c r="M613" i="11"/>
  <c r="M614" i="11"/>
  <c r="M615" i="11"/>
  <c r="M616" i="11"/>
  <c r="M617" i="11"/>
  <c r="M618" i="11"/>
  <c r="M619" i="11"/>
  <c r="M620" i="11"/>
  <c r="M621" i="11"/>
  <c r="M622" i="11"/>
  <c r="M623" i="11"/>
  <c r="M624" i="11"/>
  <c r="M625" i="11"/>
  <c r="M626" i="11"/>
  <c r="M627" i="11"/>
  <c r="M628" i="11"/>
  <c r="M629" i="11"/>
  <c r="M630" i="11"/>
  <c r="M631" i="11"/>
  <c r="M632" i="11"/>
  <c r="M633" i="11"/>
  <c r="M634" i="11"/>
  <c r="M635" i="11"/>
  <c r="M636" i="11"/>
  <c r="M637" i="11"/>
  <c r="M638" i="11"/>
  <c r="M639" i="11"/>
  <c r="M640" i="11"/>
  <c r="M641" i="11"/>
  <c r="M642" i="11"/>
  <c r="M643" i="11"/>
  <c r="M644" i="11"/>
  <c r="M645" i="11"/>
  <c r="M646" i="11"/>
  <c r="M647" i="11"/>
  <c r="M648" i="11"/>
  <c r="M649" i="11"/>
  <c r="M650" i="11"/>
  <c r="M651" i="11"/>
  <c r="M652" i="11"/>
  <c r="M653" i="11"/>
  <c r="M654" i="11"/>
  <c r="M655" i="11"/>
  <c r="M656" i="11"/>
  <c r="M657" i="11"/>
  <c r="M658" i="11"/>
  <c r="M659" i="11"/>
  <c r="M660" i="11"/>
  <c r="M661" i="11"/>
  <c r="M662" i="11"/>
  <c r="M663" i="11"/>
  <c r="M664" i="11"/>
  <c r="M665" i="11"/>
  <c r="M666" i="11"/>
  <c r="M667" i="11"/>
  <c r="M668" i="11"/>
  <c r="M669" i="11"/>
  <c r="M670" i="11"/>
  <c r="M671" i="11"/>
  <c r="M672" i="11"/>
  <c r="M673" i="11"/>
  <c r="M674" i="11"/>
  <c r="M675" i="11"/>
  <c r="M676" i="11"/>
  <c r="M677" i="11"/>
  <c r="M678" i="11"/>
  <c r="M679" i="11"/>
  <c r="M680" i="11"/>
  <c r="M681" i="11"/>
  <c r="M682" i="11"/>
  <c r="M683" i="11"/>
  <c r="M684" i="11"/>
  <c r="M685" i="11"/>
  <c r="M686" i="11"/>
  <c r="M687" i="11"/>
  <c r="M688" i="11"/>
  <c r="M689" i="11"/>
  <c r="M690" i="11"/>
  <c r="M691" i="11"/>
  <c r="M692" i="11"/>
  <c r="M693" i="11"/>
  <c r="M694" i="11"/>
  <c r="M695" i="11"/>
  <c r="M696" i="11"/>
  <c r="M697" i="11"/>
  <c r="M698" i="11"/>
  <c r="M699" i="11"/>
  <c r="M700" i="11"/>
  <c r="M702" i="11"/>
  <c r="M703" i="11"/>
  <c r="M704" i="11"/>
  <c r="M705" i="11"/>
  <c r="M706" i="11"/>
  <c r="M707" i="11"/>
  <c r="M708" i="11"/>
  <c r="M709" i="11"/>
  <c r="M710" i="11"/>
  <c r="M711" i="11"/>
  <c r="M712" i="11"/>
  <c r="M713" i="11"/>
  <c r="M714" i="11"/>
  <c r="M715" i="11"/>
  <c r="M716" i="11"/>
  <c r="M717" i="11"/>
  <c r="M718" i="11"/>
  <c r="M719" i="11"/>
  <c r="M720" i="11"/>
  <c r="M721" i="11"/>
  <c r="M722" i="11"/>
  <c r="M723" i="11"/>
  <c r="M724" i="11"/>
  <c r="M725" i="11"/>
  <c r="M726" i="11"/>
  <c r="M727" i="11"/>
  <c r="M728" i="11"/>
  <c r="M729" i="11"/>
  <c r="M730" i="11"/>
  <c r="M731" i="11"/>
  <c r="M732" i="11"/>
  <c r="M733" i="11"/>
  <c r="M734" i="11"/>
  <c r="M735" i="11"/>
  <c r="M736" i="11"/>
  <c r="M737" i="11"/>
  <c r="M738" i="11"/>
  <c r="M739" i="11"/>
  <c r="M740" i="11"/>
  <c r="M741" i="11"/>
  <c r="M742" i="11"/>
  <c r="M743" i="11"/>
  <c r="M744" i="11"/>
  <c r="M745" i="11"/>
  <c r="M746" i="11"/>
  <c r="M747" i="11"/>
  <c r="M748" i="11"/>
  <c r="M749" i="11"/>
  <c r="M750" i="11"/>
  <c r="M751" i="11"/>
  <c r="M752" i="11"/>
  <c r="M753" i="11"/>
  <c r="M754" i="11"/>
  <c r="M755" i="11"/>
  <c r="M756" i="11"/>
  <c r="M757" i="11"/>
  <c r="M758" i="11"/>
  <c r="M759" i="11"/>
  <c r="M760" i="11"/>
  <c r="M761" i="11"/>
  <c r="M762" i="11"/>
  <c r="M763" i="11"/>
  <c r="M764" i="11"/>
  <c r="M765" i="11"/>
  <c r="M766" i="11"/>
  <c r="M767" i="11"/>
  <c r="M768" i="11"/>
  <c r="M769" i="11"/>
  <c r="M770" i="11"/>
  <c r="M771" i="11"/>
  <c r="M772" i="11"/>
  <c r="M773" i="11"/>
  <c r="M774" i="11"/>
  <c r="M775" i="11"/>
  <c r="M776" i="11"/>
  <c r="M777" i="11"/>
  <c r="M778" i="11"/>
  <c r="M779" i="11"/>
  <c r="M780" i="11"/>
  <c r="M781" i="11"/>
  <c r="M782" i="11"/>
  <c r="M783" i="11"/>
  <c r="M784" i="11"/>
  <c r="M785" i="11"/>
  <c r="M786" i="11"/>
  <c r="M787" i="11"/>
  <c r="M788" i="11"/>
  <c r="M789" i="11"/>
  <c r="M790" i="11"/>
  <c r="M791" i="11"/>
  <c r="M792" i="11"/>
  <c r="M793" i="11"/>
  <c r="M794" i="11"/>
  <c r="M795" i="11"/>
  <c r="M796" i="11"/>
  <c r="M797" i="11"/>
  <c r="M798" i="11"/>
  <c r="M799" i="11"/>
  <c r="M800" i="11"/>
  <c r="M801" i="11"/>
  <c r="M802" i="11"/>
  <c r="M803" i="11"/>
  <c r="M804" i="11"/>
  <c r="M805" i="11"/>
  <c r="M806" i="11"/>
  <c r="M807" i="11"/>
  <c r="M808" i="11"/>
  <c r="M809" i="11"/>
  <c r="M810" i="11"/>
  <c r="M811" i="11"/>
  <c r="M812" i="11"/>
  <c r="M813" i="11"/>
  <c r="M814" i="11"/>
  <c r="M815" i="11"/>
  <c r="M816" i="11"/>
  <c r="M817" i="11"/>
  <c r="M818" i="11"/>
  <c r="M819" i="11"/>
  <c r="M820" i="11"/>
  <c r="M821" i="11"/>
  <c r="M822" i="11"/>
  <c r="M823" i="11"/>
  <c r="M824" i="11"/>
  <c r="M825" i="11"/>
  <c r="M826" i="11"/>
  <c r="M827" i="11"/>
  <c r="M828" i="11"/>
  <c r="M829" i="11"/>
  <c r="M830" i="11"/>
  <c r="M831" i="11"/>
  <c r="M832" i="11"/>
  <c r="M833" i="11"/>
  <c r="M835" i="11"/>
  <c r="M836" i="11"/>
  <c r="M837" i="11"/>
  <c r="M838" i="11"/>
  <c r="M839" i="11"/>
  <c r="M840" i="11"/>
  <c r="M841" i="11"/>
  <c r="M842" i="11"/>
  <c r="M843" i="11"/>
  <c r="M844" i="11"/>
  <c r="M845" i="11"/>
  <c r="M846" i="11"/>
  <c r="M847" i="11"/>
  <c r="M848" i="11"/>
  <c r="M849" i="11"/>
  <c r="M850" i="11"/>
  <c r="M851" i="11"/>
  <c r="M852" i="11"/>
  <c r="M853" i="11"/>
  <c r="M854" i="11"/>
  <c r="M855" i="11"/>
  <c r="M856" i="11"/>
  <c r="M857" i="11"/>
  <c r="M858" i="11"/>
  <c r="M859" i="11"/>
  <c r="M860" i="11"/>
  <c r="M862" i="11"/>
  <c r="M863" i="11"/>
  <c r="M864" i="11"/>
  <c r="M865" i="11"/>
  <c r="M866" i="11"/>
  <c r="M867" i="11"/>
  <c r="M868" i="11"/>
  <c r="M869" i="11"/>
  <c r="M870" i="11"/>
  <c r="M871" i="11"/>
  <c r="M872" i="11"/>
  <c r="M873" i="11"/>
  <c r="M874" i="11"/>
  <c r="M875" i="11"/>
  <c r="M876" i="11"/>
  <c r="M877" i="11"/>
  <c r="M878" i="11"/>
  <c r="M879" i="11"/>
  <c r="M880" i="11"/>
  <c r="M881" i="11"/>
  <c r="M882" i="11"/>
  <c r="M883" i="11"/>
  <c r="M884" i="11"/>
  <c r="M885" i="11"/>
  <c r="M886" i="11"/>
  <c r="M887" i="11"/>
  <c r="M888" i="11"/>
  <c r="M889" i="11"/>
  <c r="M890" i="11"/>
  <c r="M891" i="11"/>
  <c r="M892" i="11"/>
  <c r="M893" i="11"/>
  <c r="M895" i="11"/>
  <c r="M896" i="11"/>
  <c r="M897" i="11"/>
  <c r="M898" i="11"/>
  <c r="M899" i="11"/>
  <c r="M900" i="11"/>
  <c r="M901" i="11"/>
  <c r="M902" i="11"/>
  <c r="M903" i="11"/>
  <c r="M904" i="11"/>
  <c r="M905" i="11"/>
  <c r="M906" i="11"/>
  <c r="M907" i="11"/>
  <c r="M908" i="11"/>
  <c r="M909" i="11"/>
  <c r="M910" i="11"/>
  <c r="M911" i="11"/>
  <c r="M912" i="11"/>
  <c r="M913" i="11"/>
  <c r="M914" i="11"/>
  <c r="M915" i="11"/>
  <c r="M916" i="11"/>
  <c r="M917" i="11"/>
  <c r="M918" i="11"/>
  <c r="M919" i="11"/>
  <c r="M920" i="11"/>
  <c r="M921" i="11"/>
  <c r="M922" i="11"/>
  <c r="M923" i="11"/>
  <c r="M924" i="11"/>
  <c r="M925" i="11"/>
  <c r="M926" i="11"/>
  <c r="M927" i="11"/>
  <c r="M928" i="11"/>
  <c r="M929" i="11"/>
  <c r="M930" i="11"/>
  <c r="M931" i="11"/>
  <c r="M932" i="11"/>
  <c r="M933" i="11"/>
  <c r="M934" i="11"/>
  <c r="M935" i="11"/>
  <c r="M936" i="11"/>
  <c r="M937" i="11"/>
  <c r="M938" i="11"/>
  <c r="M939" i="11"/>
  <c r="M940" i="11"/>
  <c r="M941" i="11"/>
  <c r="M942" i="11"/>
  <c r="M943" i="11"/>
  <c r="M944" i="11"/>
  <c r="M945" i="11"/>
  <c r="M946" i="11"/>
  <c r="M947" i="11"/>
  <c r="M948" i="11"/>
  <c r="M949" i="11"/>
  <c r="M950" i="11"/>
  <c r="M951" i="11"/>
  <c r="M952" i="11"/>
  <c r="M953" i="11"/>
  <c r="M954" i="11"/>
  <c r="M955" i="11"/>
  <c r="M956" i="11"/>
  <c r="M957" i="11"/>
  <c r="M958" i="11"/>
  <c r="M959" i="11"/>
  <c r="M960" i="11"/>
  <c r="M961" i="11"/>
  <c r="M962" i="11"/>
  <c r="M963" i="11"/>
  <c r="M964" i="11"/>
  <c r="M965" i="11"/>
  <c r="M966" i="11"/>
  <c r="M967" i="11"/>
  <c r="M968" i="11"/>
  <c r="M969" i="11"/>
  <c r="M970" i="11"/>
  <c r="M971" i="11"/>
  <c r="M972" i="11"/>
  <c r="M973" i="11"/>
  <c r="M974" i="11"/>
  <c r="M975" i="11"/>
  <c r="M976" i="11"/>
  <c r="M977" i="11"/>
  <c r="M978" i="11"/>
  <c r="M979" i="11"/>
  <c r="M980" i="11"/>
  <c r="M981" i="11"/>
  <c r="M982" i="11"/>
  <c r="M983" i="11"/>
  <c r="M984" i="11"/>
  <c r="M985" i="11"/>
  <c r="M986" i="11"/>
  <c r="M987" i="11"/>
  <c r="M988" i="11"/>
  <c r="M989" i="11"/>
  <c r="M990" i="11"/>
  <c r="M991" i="11"/>
  <c r="M992" i="11"/>
  <c r="M993" i="11"/>
  <c r="M994" i="11"/>
  <c r="M995" i="11"/>
  <c r="M996" i="11"/>
  <c r="M997" i="11"/>
  <c r="M998" i="11"/>
  <c r="M999" i="11"/>
  <c r="M1000" i="11"/>
  <c r="M1001" i="11"/>
  <c r="M1002" i="11"/>
  <c r="M1003" i="11"/>
  <c r="M1004" i="11"/>
  <c r="M1005" i="11"/>
  <c r="M1006" i="11"/>
  <c r="M1007" i="11"/>
  <c r="M1008" i="11"/>
  <c r="M1009" i="11"/>
  <c r="M1010" i="11"/>
  <c r="M1011" i="11"/>
  <c r="M1012" i="11"/>
  <c r="M1013" i="11"/>
  <c r="U1012" i="11"/>
  <c r="U1013" i="11" s="1"/>
  <c r="U1014" i="11" s="1"/>
  <c r="U1015" i="11" s="1"/>
  <c r="U1016" i="11" s="1"/>
  <c r="U1017" i="11" s="1"/>
  <c r="U1018" i="11" s="1"/>
  <c r="U1019" i="11" s="1"/>
  <c r="U1020" i="11" s="1"/>
  <c r="U1021" i="11" s="1"/>
  <c r="T1012" i="11"/>
  <c r="T1013" i="11" s="1"/>
  <c r="T1014" i="11" s="1"/>
  <c r="T1015" i="11" s="1"/>
  <c r="T1016" i="11" s="1"/>
  <c r="T1017" i="11" s="1"/>
  <c r="T1018" i="11" s="1"/>
  <c r="T1019" i="11" s="1"/>
  <c r="T1020" i="11" s="1"/>
  <c r="T1021" i="11" s="1"/>
  <c r="S1012" i="11"/>
  <c r="S1013" i="11" s="1"/>
  <c r="S1014" i="11" s="1"/>
  <c r="S1015" i="11" s="1"/>
  <c r="S1016" i="11" s="1"/>
  <c r="S1017" i="11" s="1"/>
  <c r="S1018" i="11" s="1"/>
  <c r="S1019" i="11" s="1"/>
  <c r="S1020" i="11" s="1"/>
  <c r="S1021" i="11" s="1"/>
  <c r="R1012" i="11"/>
  <c r="R1013" i="11" s="1"/>
  <c r="R1014" i="11" s="1"/>
  <c r="R1015" i="11" s="1"/>
  <c r="R1016" i="11" s="1"/>
  <c r="R1017" i="11" s="1"/>
  <c r="R1018" i="11" s="1"/>
  <c r="R1019" i="11" s="1"/>
  <c r="R1020" i="11" s="1"/>
  <c r="R1021" i="11" s="1"/>
  <c r="Q1012" i="11"/>
  <c r="Q1013" i="11" s="1"/>
  <c r="Q1014" i="11" s="1"/>
  <c r="Q1015" i="11" s="1"/>
  <c r="Q1016" i="11" s="1"/>
  <c r="Q1017" i="11" s="1"/>
  <c r="Q1018" i="11" s="1"/>
  <c r="Q1019" i="11" s="1"/>
  <c r="Q1020" i="11" s="1"/>
  <c r="Q1021" i="11" s="1"/>
  <c r="P1012" i="11"/>
  <c r="P1013" i="11" s="1"/>
  <c r="P1014" i="11" s="1"/>
  <c r="P1015" i="11" s="1"/>
  <c r="P1016" i="11" s="1"/>
  <c r="P1017" i="11" s="1"/>
  <c r="P1018" i="11" s="1"/>
  <c r="P1019" i="11" s="1"/>
  <c r="P1020" i="11" s="1"/>
  <c r="P1021" i="11" s="1"/>
  <c r="O1012" i="11"/>
  <c r="O1013" i="11" s="1"/>
  <c r="O1014" i="11" s="1"/>
  <c r="O1015" i="11" s="1"/>
  <c r="O1016" i="11" s="1"/>
  <c r="O1017" i="11" s="1"/>
  <c r="O1018" i="11" s="1"/>
  <c r="O1019" i="11" s="1"/>
  <c r="O1020" i="11" s="1"/>
  <c r="O1021" i="11" s="1"/>
  <c r="N1012" i="11"/>
  <c r="N1013" i="11" s="1"/>
  <c r="N1014" i="11" s="1"/>
  <c r="N1015" i="11" s="1"/>
  <c r="N1016" i="11" s="1"/>
  <c r="N1017" i="11" s="1"/>
  <c r="N1018" i="11" s="1"/>
  <c r="N1019" i="11" s="1"/>
  <c r="N1020" i="11" s="1"/>
  <c r="N1021" i="11" s="1"/>
  <c r="L1012" i="11"/>
  <c r="L1013" i="11" s="1"/>
  <c r="L1014" i="11" s="1"/>
  <c r="M1014" i="11" s="1"/>
  <c r="K1012" i="11"/>
  <c r="K1013" i="11" s="1"/>
  <c r="K1014" i="11" s="1"/>
  <c r="K1015" i="11" s="1"/>
  <c r="K1016" i="11" s="1"/>
  <c r="K1017" i="11" s="1"/>
  <c r="K1018" i="11" s="1"/>
  <c r="K1019" i="11" s="1"/>
  <c r="K1020" i="11" s="1"/>
  <c r="K1021" i="11" s="1"/>
  <c r="J1012" i="11"/>
  <c r="J1013" i="11" s="1"/>
  <c r="J1014" i="11" s="1"/>
  <c r="J1015" i="11" s="1"/>
  <c r="J1016" i="11" s="1"/>
  <c r="J1017" i="11" s="1"/>
  <c r="J1018" i="11" s="1"/>
  <c r="J1019" i="11" s="1"/>
  <c r="J1020" i="11" s="1"/>
  <c r="J1021" i="11" s="1"/>
  <c r="I1012" i="11"/>
  <c r="I1013" i="11" s="1"/>
  <c r="I1014" i="11" s="1"/>
  <c r="I1015" i="11" s="1"/>
  <c r="I1016" i="11" s="1"/>
  <c r="I1017" i="11" s="1"/>
  <c r="I1018" i="11" s="1"/>
  <c r="I1019" i="11" s="1"/>
  <c r="I1020" i="11" s="1"/>
  <c r="I1021" i="11" s="1"/>
  <c r="H1012" i="11"/>
  <c r="H1013" i="11" s="1"/>
  <c r="H1014" i="11" s="1"/>
  <c r="H1015" i="11" s="1"/>
  <c r="H1016" i="11" s="1"/>
  <c r="H1017" i="11" s="1"/>
  <c r="H1018" i="11" s="1"/>
  <c r="H1019" i="11" s="1"/>
  <c r="H1020" i="11" s="1"/>
  <c r="H1021" i="11" s="1"/>
  <c r="G1012" i="11"/>
  <c r="G1013" i="11" s="1"/>
  <c r="G1014" i="11" s="1"/>
  <c r="G1015" i="11" s="1"/>
  <c r="G1016" i="11" s="1"/>
  <c r="G1017" i="11" s="1"/>
  <c r="G1018" i="11" s="1"/>
  <c r="G1019" i="11" s="1"/>
  <c r="G1020" i="11" s="1"/>
  <c r="G1021" i="11" s="1"/>
  <c r="F1012" i="11"/>
  <c r="F1013" i="11" s="1"/>
  <c r="F1014" i="11" s="1"/>
  <c r="F1015" i="11" s="1"/>
  <c r="F1016" i="11" s="1"/>
  <c r="F1017" i="11" s="1"/>
  <c r="F1018" i="11" s="1"/>
  <c r="F1019" i="11" s="1"/>
  <c r="F1020" i="11" s="1"/>
  <c r="F1021" i="11" s="1"/>
  <c r="E1012" i="11"/>
  <c r="E1013" i="11" s="1"/>
  <c r="E1014" i="11" s="1"/>
  <c r="E1015" i="11" s="1"/>
  <c r="E1016" i="11" s="1"/>
  <c r="E1017" i="11" s="1"/>
  <c r="E1018" i="11" s="1"/>
  <c r="E1019" i="11" s="1"/>
  <c r="E1020" i="11" s="1"/>
  <c r="E1021" i="11" s="1"/>
  <c r="D1012" i="11"/>
  <c r="D1013" i="11" s="1"/>
  <c r="D1014" i="11" s="1"/>
  <c r="D1015" i="11" s="1"/>
  <c r="D1016" i="11" s="1"/>
  <c r="D1017" i="11" s="1"/>
  <c r="D1018" i="11" s="1"/>
  <c r="D1019" i="11" s="1"/>
  <c r="D1020" i="11" s="1"/>
  <c r="D1021" i="11" s="1"/>
  <c r="B1012" i="11"/>
  <c r="B1013" i="11" s="1"/>
  <c r="B1014" i="11" s="1"/>
  <c r="B1015" i="11" s="1"/>
  <c r="B1016" i="11" s="1"/>
  <c r="B1017" i="11" s="1"/>
  <c r="B1018" i="11" s="1"/>
  <c r="B1019" i="11" s="1"/>
  <c r="B1020" i="11" s="1"/>
  <c r="B1021" i="11" s="1"/>
  <c r="A1012" i="11"/>
  <c r="A1013" i="11" s="1"/>
  <c r="A1014" i="11" s="1"/>
  <c r="A1015" i="11" s="1"/>
  <c r="A1016" i="11" s="1"/>
  <c r="A1017" i="11" s="1"/>
  <c r="A1018" i="11" s="1"/>
  <c r="A1019" i="11" s="1"/>
  <c r="A1020" i="11" s="1"/>
  <c r="A1021" i="11" s="1"/>
  <c r="C1011" i="11"/>
  <c r="C1012" i="11" s="1"/>
  <c r="C1013" i="11" s="1"/>
  <c r="C1014" i="11" s="1"/>
  <c r="C1015" i="11" s="1"/>
  <c r="C1016" i="11" s="1"/>
  <c r="C1017" i="11" s="1"/>
  <c r="C1018" i="11" s="1"/>
  <c r="C1019" i="11" s="1"/>
  <c r="C1020" i="11" s="1"/>
  <c r="C1021" i="11" s="1"/>
  <c r="F991" i="11"/>
  <c r="E991" i="11"/>
  <c r="F972" i="11"/>
  <c r="E972" i="11"/>
  <c r="P971" i="11"/>
  <c r="U958" i="11"/>
  <c r="T957" i="11"/>
  <c r="P950" i="11"/>
  <c r="F949" i="11"/>
  <c r="E949" i="11"/>
  <c r="U940" i="11"/>
  <c r="L936" i="11"/>
  <c r="L931" i="11"/>
  <c r="U921" i="11"/>
  <c r="F919" i="11"/>
  <c r="E919" i="11"/>
  <c r="F908" i="11"/>
  <c r="E908" i="11"/>
  <c r="L894" i="11"/>
  <c r="M894" i="11" s="1"/>
  <c r="U872" i="11"/>
  <c r="L869" i="11"/>
  <c r="L861" i="11"/>
  <c r="M861" i="11" s="1"/>
  <c r="T853" i="11"/>
  <c r="L834" i="11"/>
  <c r="M834" i="11" s="1"/>
  <c r="F774" i="11"/>
  <c r="E774" i="11"/>
  <c r="C759" i="11"/>
  <c r="C760" i="11" s="1"/>
  <c r="L751" i="11"/>
  <c r="F748" i="11"/>
  <c r="E748" i="11"/>
  <c r="F732" i="11"/>
  <c r="E732" i="11"/>
  <c r="F725" i="11"/>
  <c r="E725" i="11"/>
  <c r="T715" i="11"/>
  <c r="F705" i="11"/>
  <c r="E705" i="11"/>
  <c r="U704" i="11"/>
  <c r="L701" i="11"/>
  <c r="M701" i="11" s="1"/>
  <c r="F680" i="11"/>
  <c r="E680" i="11"/>
  <c r="U667" i="11"/>
  <c r="F655" i="11"/>
  <c r="E655" i="11"/>
  <c r="E653" i="11"/>
  <c r="T645" i="11"/>
  <c r="P615" i="11"/>
  <c r="T600" i="11"/>
  <c r="U582" i="11"/>
  <c r="U578" i="11"/>
  <c r="U568" i="11"/>
  <c r="U563" i="11"/>
  <c r="U559" i="11"/>
  <c r="P542" i="11"/>
  <c r="T540" i="11"/>
  <c r="E537" i="11"/>
  <c r="U516" i="11"/>
  <c r="F495" i="11"/>
  <c r="E495" i="11"/>
  <c r="C485" i="11"/>
  <c r="C486" i="11" s="1"/>
  <c r="C487" i="11" s="1"/>
  <c r="C488" i="11" s="1"/>
  <c r="F472" i="11"/>
  <c r="E472" i="11"/>
  <c r="F468" i="11"/>
  <c r="E468" i="11"/>
  <c r="F461" i="11"/>
  <c r="E461" i="11"/>
  <c r="F422" i="11"/>
  <c r="F419" i="11"/>
  <c r="E419" i="11"/>
  <c r="F414" i="11"/>
  <c r="E414" i="11"/>
  <c r="T410" i="11"/>
  <c r="P379" i="11"/>
  <c r="T362" i="11"/>
  <c r="T354" i="11"/>
  <c r="P340" i="11"/>
  <c r="F333" i="11"/>
  <c r="E333" i="11"/>
  <c r="F317" i="11"/>
  <c r="E317" i="11"/>
  <c r="E288" i="11"/>
  <c r="E287" i="11" s="1"/>
  <c r="F287" i="11"/>
  <c r="P286" i="11"/>
  <c r="T259" i="11"/>
  <c r="C237" i="11"/>
  <c r="P220" i="11"/>
  <c r="F209" i="11"/>
  <c r="L202" i="11"/>
  <c r="M202" i="11" s="1"/>
  <c r="L197" i="11"/>
  <c r="T194" i="11"/>
  <c r="F193" i="11"/>
  <c r="E193" i="11"/>
  <c r="L156" i="11"/>
  <c r="M156" i="11" s="1"/>
  <c r="T149" i="11"/>
  <c r="F141" i="11"/>
  <c r="E141" i="11"/>
  <c r="P113" i="11"/>
  <c r="U112" i="11"/>
  <c r="U98" i="11"/>
  <c r="F70" i="11"/>
  <c r="P65" i="11"/>
  <c r="L50" i="11"/>
  <c r="M50" i="11" s="1"/>
  <c r="E40" i="11"/>
  <c r="F39" i="11"/>
  <c r="F40" i="11" s="1"/>
  <c r="F14" i="11"/>
  <c r="E14" i="11"/>
  <c r="J18" i="10"/>
  <c r="J19" i="10"/>
  <c r="J17" i="10"/>
  <c r="H8" i="12" l="1"/>
  <c r="H6" i="12"/>
  <c r="H5" i="12"/>
  <c r="L1015" i="11"/>
  <c r="M1015" i="11" s="1"/>
  <c r="R7" i="10"/>
  <c r="Q2" i="10"/>
  <c r="S2" i="10"/>
  <c r="R3" i="10"/>
  <c r="R4" i="10"/>
  <c r="R5" i="10"/>
  <c r="R6" i="10"/>
  <c r="R8" i="10"/>
  <c r="R9" i="10"/>
  <c r="R2" i="10"/>
  <c r="Q3" i="10"/>
  <c r="Q4" i="10"/>
  <c r="Q5" i="10"/>
  <c r="Q6" i="10"/>
  <c r="Q7" i="10"/>
  <c r="Q8" i="10"/>
  <c r="Q9" i="10"/>
  <c r="C3" i="10"/>
  <c r="C4" i="10"/>
  <c r="C5" i="10"/>
  <c r="P3" i="10"/>
  <c r="P4" i="10"/>
  <c r="P5" i="10"/>
  <c r="P6" i="10"/>
  <c r="P7" i="10"/>
  <c r="P8" i="10"/>
  <c r="P9" i="10"/>
  <c r="P2" i="10"/>
  <c r="G3" i="10"/>
  <c r="G4" i="10"/>
  <c r="G5" i="10"/>
  <c r="G6" i="10"/>
  <c r="G7" i="10"/>
  <c r="G8" i="10"/>
  <c r="G9" i="10"/>
  <c r="G10" i="10"/>
  <c r="G11" i="10"/>
  <c r="G12" i="10"/>
  <c r="G13" i="10"/>
  <c r="G14" i="10"/>
  <c r="G15" i="10"/>
  <c r="G16" i="10"/>
  <c r="G17" i="10"/>
  <c r="G18" i="10"/>
  <c r="G19" i="10"/>
  <c r="G2" i="10"/>
  <c r="F3" i="10"/>
  <c r="F4" i="10"/>
  <c r="F5" i="10"/>
  <c r="F6" i="10"/>
  <c r="F7" i="10"/>
  <c r="F8" i="10"/>
  <c r="F9" i="10"/>
  <c r="F10" i="10"/>
  <c r="F11" i="10"/>
  <c r="F12" i="10"/>
  <c r="F13" i="10"/>
  <c r="F14" i="10"/>
  <c r="F15" i="10"/>
  <c r="F16" i="10"/>
  <c r="F17" i="10"/>
  <c r="F18" i="10"/>
  <c r="F19" i="10"/>
  <c r="F2" i="10"/>
  <c r="E3" i="10"/>
  <c r="E4" i="10"/>
  <c r="E5" i="10"/>
  <c r="E6" i="10"/>
  <c r="E7" i="10"/>
  <c r="E8" i="10"/>
  <c r="E9" i="10"/>
  <c r="E10" i="10"/>
  <c r="E11" i="10"/>
  <c r="E12" i="10"/>
  <c r="E13" i="10"/>
  <c r="E14" i="10"/>
  <c r="E15" i="10"/>
  <c r="E16" i="10"/>
  <c r="E17" i="10"/>
  <c r="E18" i="10"/>
  <c r="E19" i="10"/>
  <c r="E2" i="10"/>
  <c r="D3" i="10"/>
  <c r="D4" i="10"/>
  <c r="D5" i="10"/>
  <c r="D6" i="10"/>
  <c r="D7" i="10"/>
  <c r="D8" i="10"/>
  <c r="D9" i="10"/>
  <c r="D10" i="10"/>
  <c r="D11" i="10"/>
  <c r="D12" i="10"/>
  <c r="D13" i="10"/>
  <c r="D14" i="10"/>
  <c r="D15" i="10"/>
  <c r="D16" i="10"/>
  <c r="D17" i="10"/>
  <c r="D18" i="10"/>
  <c r="D19" i="10"/>
  <c r="D2" i="10"/>
  <c r="C6" i="10"/>
  <c r="C7" i="10"/>
  <c r="C8" i="10"/>
  <c r="C9" i="10"/>
  <c r="C10" i="10"/>
  <c r="C11" i="10"/>
  <c r="C12" i="10"/>
  <c r="C13" i="10"/>
  <c r="C14" i="10"/>
  <c r="C15" i="10"/>
  <c r="C16" i="10"/>
  <c r="C17" i="10"/>
  <c r="C18" i="10"/>
  <c r="C19" i="10"/>
  <c r="C2" i="10"/>
  <c r="O65" i="1"/>
  <c r="T98" i="1"/>
  <c r="V98" i="1" s="1"/>
  <c r="T112" i="1"/>
  <c r="V112" i="1" s="1"/>
  <c r="O113" i="1"/>
  <c r="O220" i="1"/>
  <c r="C237" i="1"/>
  <c r="O286" i="1"/>
  <c r="O340" i="1"/>
  <c r="O379" i="1"/>
  <c r="C485" i="1"/>
  <c r="C486" i="1" s="1"/>
  <c r="C487" i="1" s="1"/>
  <c r="C488" i="1" s="1"/>
  <c r="T516" i="1"/>
  <c r="V516" i="1" s="1"/>
  <c r="O542" i="1"/>
  <c r="T559" i="1"/>
  <c r="V559" i="1" s="1"/>
  <c r="T563" i="1"/>
  <c r="V563" i="1" s="1"/>
  <c r="T568" i="1"/>
  <c r="V568" i="1" s="1"/>
  <c r="T578" i="1"/>
  <c r="V578" i="1" s="1"/>
  <c r="T582" i="1"/>
  <c r="V582" i="1" s="1"/>
  <c r="O615" i="1"/>
  <c r="T667" i="1"/>
  <c r="V667" i="1" s="1"/>
  <c r="T704" i="1"/>
  <c r="V704" i="1" s="1"/>
  <c r="C759" i="1"/>
  <c r="C760" i="1" s="1"/>
  <c r="T872" i="1"/>
  <c r="V872" i="1" s="1"/>
  <c r="T921" i="1"/>
  <c r="V921" i="1" s="1"/>
  <c r="T940" i="1"/>
  <c r="V940" i="1" s="1"/>
  <c r="O950" i="1"/>
  <c r="T958" i="1"/>
  <c r="V958" i="1" s="1"/>
  <c r="O971" i="1"/>
  <c r="F991" i="1"/>
  <c r="F972" i="1"/>
  <c r="F949" i="1"/>
  <c r="F919" i="1"/>
  <c r="F908" i="1"/>
  <c r="F774" i="1"/>
  <c r="F748" i="1"/>
  <c r="F732" i="1"/>
  <c r="F725" i="1"/>
  <c r="F705" i="1"/>
  <c r="F680" i="1"/>
  <c r="F655" i="1"/>
  <c r="F495" i="1"/>
  <c r="F472" i="1"/>
  <c r="F468" i="1"/>
  <c r="F461" i="1"/>
  <c r="F422" i="1"/>
  <c r="F419" i="1"/>
  <c r="F414" i="1"/>
  <c r="F333" i="1"/>
  <c r="F317" i="1"/>
  <c r="F287" i="1"/>
  <c r="F209" i="1"/>
  <c r="F193" i="1"/>
  <c r="F141" i="1"/>
  <c r="F70" i="1"/>
  <c r="F39" i="1"/>
  <c r="F40" i="1" s="1"/>
  <c r="F14" i="1"/>
  <c r="E14" i="1"/>
  <c r="E35" i="13" s="1"/>
  <c r="E40" i="1"/>
  <c r="E141" i="1"/>
  <c r="E193" i="1"/>
  <c r="E288" i="1"/>
  <c r="E287" i="1" s="1"/>
  <c r="E317" i="1"/>
  <c r="E333" i="1"/>
  <c r="E414" i="1"/>
  <c r="E419" i="1"/>
  <c r="E461" i="1"/>
  <c r="E468" i="1"/>
  <c r="E472" i="1"/>
  <c r="E495" i="1"/>
  <c r="E537" i="1"/>
  <c r="E653" i="1"/>
  <c r="E655" i="1"/>
  <c r="E680" i="1"/>
  <c r="E705" i="1"/>
  <c r="E725" i="1"/>
  <c r="E732" i="1"/>
  <c r="E748" i="1"/>
  <c r="E774" i="1"/>
  <c r="E908" i="1"/>
  <c r="E919" i="1"/>
  <c r="E949" i="1"/>
  <c r="E972" i="1"/>
  <c r="E991" i="1"/>
  <c r="Y340" i="1" l="1"/>
  <c r="Y950" i="1"/>
  <c r="Y286" i="1"/>
  <c r="Y220" i="1"/>
  <c r="Y379" i="1"/>
  <c r="Y542" i="1"/>
  <c r="Y113" i="1"/>
  <c r="Y971" i="1"/>
  <c r="Y615" i="1"/>
  <c r="A50" i="13" a="1"/>
  <c r="A50" i="13" s="1"/>
  <c r="Y65" i="1"/>
  <c r="H13" i="12"/>
  <c r="W950" i="1"/>
  <c r="X950" i="1"/>
  <c r="W340" i="1"/>
  <c r="X340" i="1"/>
  <c r="W286" i="1"/>
  <c r="X286" i="1"/>
  <c r="W615" i="1"/>
  <c r="X615" i="1"/>
  <c r="W220" i="1"/>
  <c r="X220" i="1"/>
  <c r="W113" i="1"/>
  <c r="X113" i="1"/>
  <c r="W65" i="1"/>
  <c r="X65" i="1"/>
  <c r="W542" i="1"/>
  <c r="X542" i="1"/>
  <c r="W971" i="1"/>
  <c r="X971" i="1"/>
  <c r="W379" i="1"/>
  <c r="X379" i="1"/>
  <c r="L1016" i="11"/>
  <c r="M1016" i="11" s="1"/>
  <c r="U3" i="8"/>
  <c r="U4" i="8"/>
  <c r="U5" i="8"/>
  <c r="U6" i="8"/>
  <c r="U7" i="8"/>
  <c r="U8" i="8"/>
  <c r="U9" i="8"/>
  <c r="U10" i="8"/>
  <c r="U11" i="8"/>
  <c r="U12" i="8"/>
  <c r="U13" i="8"/>
  <c r="U14" i="8"/>
  <c r="U15" i="8"/>
  <c r="U16" i="8"/>
  <c r="U17" i="8"/>
  <c r="U18" i="8"/>
  <c r="U19" i="8"/>
  <c r="U20" i="8"/>
  <c r="U21" i="8"/>
  <c r="U22" i="8"/>
  <c r="U23" i="8"/>
  <c r="U24" i="8"/>
  <c r="U25" i="8"/>
  <c r="U26" i="8"/>
  <c r="U27" i="8"/>
  <c r="U28" i="8"/>
  <c r="U29" i="8"/>
  <c r="U30" i="8"/>
  <c r="U31" i="8"/>
  <c r="U32" i="8"/>
  <c r="U33" i="8"/>
  <c r="U34" i="8"/>
  <c r="U35" i="8"/>
  <c r="U36" i="8"/>
  <c r="U37" i="8"/>
  <c r="U38" i="8"/>
  <c r="U39" i="8"/>
  <c r="U40" i="8"/>
  <c r="U41" i="8"/>
  <c r="U42" i="8"/>
  <c r="U43" i="8"/>
  <c r="U44" i="8"/>
  <c r="U45" i="8"/>
  <c r="U46" i="8"/>
  <c r="U47" i="8"/>
  <c r="U48" i="8"/>
  <c r="U49" i="8"/>
  <c r="U50" i="8"/>
  <c r="U51" i="8"/>
  <c r="U52" i="8"/>
  <c r="U53" i="8"/>
  <c r="U54" i="8"/>
  <c r="U55" i="8"/>
  <c r="U56" i="8"/>
  <c r="U57" i="8"/>
  <c r="U58" i="8"/>
  <c r="U59" i="8"/>
  <c r="U60" i="8"/>
  <c r="U61" i="8"/>
  <c r="U62" i="8"/>
  <c r="U63" i="8"/>
  <c r="U64" i="8"/>
  <c r="U65" i="8"/>
  <c r="U66" i="8"/>
  <c r="U67" i="8"/>
  <c r="U68" i="8"/>
  <c r="U69" i="8"/>
  <c r="U70" i="8"/>
  <c r="U71" i="8"/>
  <c r="U72" i="8"/>
  <c r="U73" i="8"/>
  <c r="U74" i="8"/>
  <c r="U75" i="8"/>
  <c r="U76" i="8"/>
  <c r="U77" i="8"/>
  <c r="U78" i="8"/>
  <c r="U79" i="8"/>
  <c r="U80" i="8"/>
  <c r="U81" i="8"/>
  <c r="U82" i="8"/>
  <c r="U83" i="8"/>
  <c r="U84" i="8"/>
  <c r="U85" i="8"/>
  <c r="U86" i="8"/>
  <c r="U87" i="8"/>
  <c r="U88" i="8"/>
  <c r="U89" i="8"/>
  <c r="U90" i="8"/>
  <c r="U91" i="8"/>
  <c r="U92" i="8"/>
  <c r="U93" i="8"/>
  <c r="U94" i="8"/>
  <c r="U95" i="8"/>
  <c r="U96" i="8"/>
  <c r="U97" i="8"/>
  <c r="U98" i="8"/>
  <c r="U99" i="8"/>
  <c r="U100" i="8"/>
  <c r="U101" i="8"/>
  <c r="U102" i="8"/>
  <c r="U103" i="8"/>
  <c r="U104" i="8"/>
  <c r="U105" i="8"/>
  <c r="U106" i="8"/>
  <c r="U107" i="8"/>
  <c r="U108" i="8"/>
  <c r="U109" i="8"/>
  <c r="U110" i="8"/>
  <c r="U111" i="8"/>
  <c r="U112" i="8"/>
  <c r="U113" i="8"/>
  <c r="U114" i="8"/>
  <c r="U115" i="8"/>
  <c r="U116" i="8"/>
  <c r="U117" i="8"/>
  <c r="U118" i="8"/>
  <c r="U119" i="8"/>
  <c r="U120" i="8"/>
  <c r="U121" i="8"/>
  <c r="U122" i="8"/>
  <c r="U123" i="8"/>
  <c r="U124" i="8"/>
  <c r="U125" i="8"/>
  <c r="U126" i="8"/>
  <c r="U127" i="8"/>
  <c r="U128" i="8"/>
  <c r="U129" i="8"/>
  <c r="U130" i="8"/>
  <c r="U131" i="8"/>
  <c r="U132" i="8"/>
  <c r="U133" i="8"/>
  <c r="U134" i="8"/>
  <c r="U135" i="8"/>
  <c r="U136" i="8"/>
  <c r="U137" i="8"/>
  <c r="U138" i="8"/>
  <c r="U139" i="8"/>
  <c r="U140" i="8"/>
  <c r="U141" i="8"/>
  <c r="U142" i="8"/>
  <c r="U143" i="8"/>
  <c r="U144" i="8"/>
  <c r="U145" i="8"/>
  <c r="U146" i="8"/>
  <c r="U147" i="8"/>
  <c r="U148" i="8"/>
  <c r="U149" i="8"/>
  <c r="U150" i="8"/>
  <c r="U151" i="8"/>
  <c r="U152" i="8"/>
  <c r="U153" i="8"/>
  <c r="U154" i="8"/>
  <c r="U155" i="8"/>
  <c r="U156" i="8"/>
  <c r="U157" i="8"/>
  <c r="U158" i="8"/>
  <c r="U159" i="8"/>
  <c r="U160" i="8"/>
  <c r="U161" i="8"/>
  <c r="U162" i="8"/>
  <c r="U163" i="8"/>
  <c r="U164" i="8"/>
  <c r="U165" i="8"/>
  <c r="U166" i="8"/>
  <c r="U167" i="8"/>
  <c r="U168" i="8"/>
  <c r="U169" i="8"/>
  <c r="U170" i="8"/>
  <c r="U171" i="8"/>
  <c r="U172" i="8"/>
  <c r="U173" i="8"/>
  <c r="U174" i="8"/>
  <c r="U175" i="8"/>
  <c r="U176" i="8"/>
  <c r="U177" i="8"/>
  <c r="U178" i="8"/>
  <c r="U179" i="8"/>
  <c r="U180" i="8"/>
  <c r="U181" i="8"/>
  <c r="U182" i="8"/>
  <c r="U183" i="8"/>
  <c r="U184" i="8"/>
  <c r="U185" i="8"/>
  <c r="U186" i="8"/>
  <c r="U187" i="8"/>
  <c r="U188" i="8"/>
  <c r="U189" i="8"/>
  <c r="U190" i="8"/>
  <c r="U191" i="8"/>
  <c r="U192" i="8"/>
  <c r="U193" i="8"/>
  <c r="U194" i="8"/>
  <c r="U195" i="8"/>
  <c r="U196" i="8"/>
  <c r="U197" i="8"/>
  <c r="U198" i="8"/>
  <c r="U199" i="8"/>
  <c r="U200" i="8"/>
  <c r="U201" i="8"/>
  <c r="U202" i="8"/>
  <c r="U203" i="8"/>
  <c r="U204" i="8"/>
  <c r="U205" i="8"/>
  <c r="U206" i="8"/>
  <c r="U207" i="8"/>
  <c r="U208" i="8"/>
  <c r="U209" i="8"/>
  <c r="U210" i="8"/>
  <c r="U211" i="8"/>
  <c r="U212" i="8"/>
  <c r="U213" i="8"/>
  <c r="U214" i="8"/>
  <c r="U215" i="8"/>
  <c r="U216" i="8"/>
  <c r="U217" i="8"/>
  <c r="U218" i="8"/>
  <c r="U219" i="8"/>
  <c r="U220" i="8"/>
  <c r="U221" i="8"/>
  <c r="U222" i="8"/>
  <c r="U223" i="8"/>
  <c r="U224" i="8"/>
  <c r="U225" i="8"/>
  <c r="U226" i="8"/>
  <c r="U227" i="8"/>
  <c r="U228" i="8"/>
  <c r="U229" i="8"/>
  <c r="U230" i="8"/>
  <c r="U231" i="8"/>
  <c r="U232" i="8"/>
  <c r="U233" i="8"/>
  <c r="U234" i="8"/>
  <c r="U235" i="8"/>
  <c r="U236" i="8"/>
  <c r="U237" i="8"/>
  <c r="U238" i="8"/>
  <c r="U239" i="8"/>
  <c r="U240" i="8"/>
  <c r="U241" i="8"/>
  <c r="U242" i="8"/>
  <c r="U243" i="8"/>
  <c r="U244" i="8"/>
  <c r="U245" i="8"/>
  <c r="U246" i="8"/>
  <c r="U247" i="8"/>
  <c r="U248" i="8"/>
  <c r="U249" i="8"/>
  <c r="U250" i="8"/>
  <c r="U251" i="8"/>
  <c r="U252" i="8"/>
  <c r="U253" i="8"/>
  <c r="U254" i="8"/>
  <c r="U255" i="8"/>
  <c r="U256" i="8"/>
  <c r="U257" i="8"/>
  <c r="U258" i="8"/>
  <c r="U259" i="8"/>
  <c r="U260" i="8"/>
  <c r="U261" i="8"/>
  <c r="U262" i="8"/>
  <c r="U263" i="8"/>
  <c r="U264" i="8"/>
  <c r="U265" i="8"/>
  <c r="U266" i="8"/>
  <c r="U267" i="8"/>
  <c r="U268" i="8"/>
  <c r="U269" i="8"/>
  <c r="U270" i="8"/>
  <c r="U271" i="8"/>
  <c r="U272" i="8"/>
  <c r="U273" i="8"/>
  <c r="U274" i="8"/>
  <c r="U275" i="8"/>
  <c r="U276" i="8"/>
  <c r="U277" i="8"/>
  <c r="U278" i="8"/>
  <c r="U279" i="8"/>
  <c r="U280" i="8"/>
  <c r="U281" i="8"/>
  <c r="U282" i="8"/>
  <c r="U283" i="8"/>
  <c r="U284" i="8"/>
  <c r="U285" i="8"/>
  <c r="U286" i="8"/>
  <c r="U287" i="8"/>
  <c r="U288" i="8"/>
  <c r="U289" i="8"/>
  <c r="U290" i="8"/>
  <c r="U291" i="8"/>
  <c r="U292" i="8"/>
  <c r="U293" i="8"/>
  <c r="U294" i="8"/>
  <c r="U295" i="8"/>
  <c r="U296" i="8"/>
  <c r="U297" i="8"/>
  <c r="U298" i="8"/>
  <c r="U299" i="8"/>
  <c r="U300" i="8"/>
  <c r="U301" i="8"/>
  <c r="U302" i="8"/>
  <c r="U303" i="8"/>
  <c r="U304" i="8"/>
  <c r="U305" i="8"/>
  <c r="U306" i="8"/>
  <c r="U307" i="8"/>
  <c r="U308" i="8"/>
  <c r="U309" i="8"/>
  <c r="U310" i="8"/>
  <c r="U311" i="8"/>
  <c r="U312" i="8"/>
  <c r="U313" i="8"/>
  <c r="U314" i="8"/>
  <c r="U315" i="8"/>
  <c r="U316" i="8"/>
  <c r="U317" i="8"/>
  <c r="U318" i="8"/>
  <c r="U319" i="8"/>
  <c r="U320" i="8"/>
  <c r="U321" i="8"/>
  <c r="U322" i="8"/>
  <c r="U323" i="8"/>
  <c r="U324" i="8"/>
  <c r="U325" i="8"/>
  <c r="U326" i="8"/>
  <c r="U327" i="8"/>
  <c r="U328" i="8"/>
  <c r="U329" i="8"/>
  <c r="U330" i="8"/>
  <c r="U331" i="8"/>
  <c r="U332" i="8"/>
  <c r="U333" i="8"/>
  <c r="U334" i="8"/>
  <c r="U335" i="8"/>
  <c r="U336" i="8"/>
  <c r="U337" i="8"/>
  <c r="U338" i="8"/>
  <c r="U339" i="8"/>
  <c r="U340" i="8"/>
  <c r="U341" i="8"/>
  <c r="U342" i="8"/>
  <c r="U343" i="8"/>
  <c r="U344" i="8"/>
  <c r="U345" i="8"/>
  <c r="U346" i="8"/>
  <c r="U347" i="8"/>
  <c r="U348" i="8"/>
  <c r="U349" i="8"/>
  <c r="U350" i="8"/>
  <c r="U351" i="8"/>
  <c r="U352" i="8"/>
  <c r="U353" i="8"/>
  <c r="U354" i="8"/>
  <c r="U355" i="8"/>
  <c r="U356" i="8"/>
  <c r="U357" i="8"/>
  <c r="U358" i="8"/>
  <c r="U359" i="8"/>
  <c r="U360" i="8"/>
  <c r="U361" i="8"/>
  <c r="U362" i="8"/>
  <c r="U363" i="8"/>
  <c r="U364" i="8"/>
  <c r="U365" i="8"/>
  <c r="U366" i="8"/>
  <c r="U367" i="8"/>
  <c r="U368" i="8"/>
  <c r="U369" i="8"/>
  <c r="U370" i="8"/>
  <c r="U371" i="8"/>
  <c r="U372" i="8"/>
  <c r="U373" i="8"/>
  <c r="U374" i="8"/>
  <c r="U375" i="8"/>
  <c r="U376" i="8"/>
  <c r="U377" i="8"/>
  <c r="U378" i="8"/>
  <c r="U379" i="8"/>
  <c r="U380" i="8"/>
  <c r="U381" i="8"/>
  <c r="U382" i="8"/>
  <c r="U383" i="8"/>
  <c r="U384" i="8"/>
  <c r="U385" i="8"/>
  <c r="U386" i="8"/>
  <c r="U387" i="8"/>
  <c r="U388" i="8"/>
  <c r="U389" i="8"/>
  <c r="U390" i="8"/>
  <c r="U391" i="8"/>
  <c r="U392" i="8"/>
  <c r="U393" i="8"/>
  <c r="U394" i="8"/>
  <c r="U395" i="8"/>
  <c r="U396" i="8"/>
  <c r="U397" i="8"/>
  <c r="U398" i="8"/>
  <c r="U399" i="8"/>
  <c r="U400" i="8"/>
  <c r="U401" i="8"/>
  <c r="U402" i="8"/>
  <c r="U403" i="8"/>
  <c r="U404" i="8"/>
  <c r="U405" i="8"/>
  <c r="U406" i="8"/>
  <c r="U407" i="8"/>
  <c r="U408" i="8"/>
  <c r="U409" i="8"/>
  <c r="U410" i="8"/>
  <c r="U411" i="8"/>
  <c r="U412" i="8"/>
  <c r="U413" i="8"/>
  <c r="U414" i="8"/>
  <c r="U415" i="8"/>
  <c r="U416" i="8"/>
  <c r="U417" i="8"/>
  <c r="U418" i="8"/>
  <c r="U419" i="8"/>
  <c r="U420" i="8"/>
  <c r="U421" i="8"/>
  <c r="U422" i="8"/>
  <c r="U423" i="8"/>
  <c r="U424" i="8"/>
  <c r="U425" i="8"/>
  <c r="U426" i="8"/>
  <c r="U427" i="8"/>
  <c r="U428" i="8"/>
  <c r="U429" i="8"/>
  <c r="U430" i="8"/>
  <c r="U431" i="8"/>
  <c r="U432" i="8"/>
  <c r="U433" i="8"/>
  <c r="U434" i="8"/>
  <c r="U435" i="8"/>
  <c r="U436" i="8"/>
  <c r="U437" i="8"/>
  <c r="U438" i="8"/>
  <c r="U439" i="8"/>
  <c r="U440" i="8"/>
  <c r="U441" i="8"/>
  <c r="U442" i="8"/>
  <c r="U443" i="8"/>
  <c r="U444" i="8"/>
  <c r="U445" i="8"/>
  <c r="U446" i="8"/>
  <c r="U447" i="8"/>
  <c r="U448" i="8"/>
  <c r="U449" i="8"/>
  <c r="U450" i="8"/>
  <c r="U451" i="8"/>
  <c r="U452" i="8"/>
  <c r="U453" i="8"/>
  <c r="U454" i="8"/>
  <c r="U455" i="8"/>
  <c r="U456" i="8"/>
  <c r="U457" i="8"/>
  <c r="U458" i="8"/>
  <c r="U459" i="8"/>
  <c r="U460" i="8"/>
  <c r="U461" i="8"/>
  <c r="U462" i="8"/>
  <c r="U463" i="8"/>
  <c r="U464" i="8"/>
  <c r="U465" i="8"/>
  <c r="U466" i="8"/>
  <c r="U467" i="8"/>
  <c r="U468" i="8"/>
  <c r="U469" i="8"/>
  <c r="U470" i="8"/>
  <c r="U471" i="8"/>
  <c r="U472" i="8"/>
  <c r="U473" i="8"/>
  <c r="U474" i="8"/>
  <c r="U475" i="8"/>
  <c r="U476" i="8"/>
  <c r="U477" i="8"/>
  <c r="U478" i="8"/>
  <c r="U479" i="8"/>
  <c r="U480" i="8"/>
  <c r="U481" i="8"/>
  <c r="U482" i="8"/>
  <c r="U483" i="8"/>
  <c r="U484" i="8"/>
  <c r="U485" i="8"/>
  <c r="U486" i="8"/>
  <c r="U487" i="8"/>
  <c r="U488" i="8"/>
  <c r="U489" i="8"/>
  <c r="U490" i="8"/>
  <c r="U491" i="8"/>
  <c r="U492" i="8"/>
  <c r="U493" i="8"/>
  <c r="U494" i="8"/>
  <c r="U495" i="8"/>
  <c r="U496" i="8"/>
  <c r="U497" i="8"/>
  <c r="U498" i="8"/>
  <c r="U499" i="8"/>
  <c r="U500" i="8"/>
  <c r="U501" i="8"/>
  <c r="U502" i="8"/>
  <c r="U503" i="8"/>
  <c r="U504" i="8"/>
  <c r="U505" i="8"/>
  <c r="U506" i="8"/>
  <c r="U507" i="8"/>
  <c r="U508" i="8"/>
  <c r="U509" i="8"/>
  <c r="U510" i="8"/>
  <c r="U511" i="8"/>
  <c r="U512" i="8"/>
  <c r="U513" i="8"/>
  <c r="U514" i="8"/>
  <c r="U515" i="8"/>
  <c r="U516" i="8"/>
  <c r="U517" i="8"/>
  <c r="U518" i="8"/>
  <c r="U519" i="8"/>
  <c r="U520" i="8"/>
  <c r="U521" i="8"/>
  <c r="U522" i="8"/>
  <c r="U523" i="8"/>
  <c r="U524" i="8"/>
  <c r="U525" i="8"/>
  <c r="U526" i="8"/>
  <c r="U527" i="8"/>
  <c r="U528" i="8"/>
  <c r="U529" i="8"/>
  <c r="U530" i="8"/>
  <c r="U531" i="8"/>
  <c r="U532" i="8"/>
  <c r="U533" i="8"/>
  <c r="U534" i="8"/>
  <c r="U535" i="8"/>
  <c r="U536" i="8"/>
  <c r="U537" i="8"/>
  <c r="U538" i="8"/>
  <c r="U539" i="8"/>
  <c r="U540" i="8"/>
  <c r="U541" i="8"/>
  <c r="U542" i="8"/>
  <c r="U543" i="8"/>
  <c r="U544" i="8"/>
  <c r="U545" i="8"/>
  <c r="U546" i="8"/>
  <c r="U547" i="8"/>
  <c r="U548" i="8"/>
  <c r="U549" i="8"/>
  <c r="U550" i="8"/>
  <c r="U551" i="8"/>
  <c r="U552" i="8"/>
  <c r="U553" i="8"/>
  <c r="U554" i="8"/>
  <c r="U555" i="8"/>
  <c r="U556" i="8"/>
  <c r="U557" i="8"/>
  <c r="U558" i="8"/>
  <c r="U559" i="8"/>
  <c r="U560" i="8"/>
  <c r="U561" i="8"/>
  <c r="U562" i="8"/>
  <c r="U563" i="8"/>
  <c r="U564" i="8"/>
  <c r="U565" i="8"/>
  <c r="U566" i="8"/>
  <c r="U567" i="8"/>
  <c r="U568" i="8"/>
  <c r="U569" i="8"/>
  <c r="U570" i="8"/>
  <c r="U571" i="8"/>
  <c r="U572" i="8"/>
  <c r="U573" i="8"/>
  <c r="U574" i="8"/>
  <c r="U575" i="8"/>
  <c r="U576" i="8"/>
  <c r="U577" i="8"/>
  <c r="U578" i="8"/>
  <c r="U579" i="8"/>
  <c r="U580" i="8"/>
  <c r="U581" i="8"/>
  <c r="U582" i="8"/>
  <c r="U583" i="8"/>
  <c r="U584" i="8"/>
  <c r="U585" i="8"/>
  <c r="U586" i="8"/>
  <c r="U587" i="8"/>
  <c r="U588" i="8"/>
  <c r="U589" i="8"/>
  <c r="U590" i="8"/>
  <c r="U591" i="8"/>
  <c r="U592" i="8"/>
  <c r="U593" i="8"/>
  <c r="U594" i="8"/>
  <c r="U595" i="8"/>
  <c r="U596" i="8"/>
  <c r="U597" i="8"/>
  <c r="U598" i="8"/>
  <c r="U599" i="8"/>
  <c r="U600" i="8"/>
  <c r="U601" i="8"/>
  <c r="U602" i="8"/>
  <c r="U603" i="8"/>
  <c r="U604" i="8"/>
  <c r="U605" i="8"/>
  <c r="U606" i="8"/>
  <c r="U607" i="8"/>
  <c r="U608" i="8"/>
  <c r="U609" i="8"/>
  <c r="U610" i="8"/>
  <c r="U611" i="8"/>
  <c r="U612" i="8"/>
  <c r="U613" i="8"/>
  <c r="U614" i="8"/>
  <c r="U615" i="8"/>
  <c r="U616" i="8"/>
  <c r="U617" i="8"/>
  <c r="U618" i="8"/>
  <c r="U619" i="8"/>
  <c r="U620" i="8"/>
  <c r="U621" i="8"/>
  <c r="U622" i="8"/>
  <c r="U623" i="8"/>
  <c r="U624" i="8"/>
  <c r="U625" i="8"/>
  <c r="U626" i="8"/>
  <c r="U627" i="8"/>
  <c r="U628" i="8"/>
  <c r="U629" i="8"/>
  <c r="U630" i="8"/>
  <c r="U631" i="8"/>
  <c r="U632" i="8"/>
  <c r="U633" i="8"/>
  <c r="U634" i="8"/>
  <c r="U635" i="8"/>
  <c r="U636" i="8"/>
  <c r="U637" i="8"/>
  <c r="U638" i="8"/>
  <c r="U639" i="8"/>
  <c r="U640" i="8"/>
  <c r="U641" i="8"/>
  <c r="U642" i="8"/>
  <c r="U643" i="8"/>
  <c r="U644" i="8"/>
  <c r="U645" i="8"/>
  <c r="U646" i="8"/>
  <c r="U647" i="8"/>
  <c r="U648" i="8"/>
  <c r="U649" i="8"/>
  <c r="U650" i="8"/>
  <c r="U651" i="8"/>
  <c r="U652" i="8"/>
  <c r="U653" i="8"/>
  <c r="U654" i="8"/>
  <c r="U655" i="8"/>
  <c r="U656" i="8"/>
  <c r="U657" i="8"/>
  <c r="U658" i="8"/>
  <c r="U659" i="8"/>
  <c r="U660" i="8"/>
  <c r="U661" i="8"/>
  <c r="U662" i="8"/>
  <c r="U663" i="8"/>
  <c r="U664" i="8"/>
  <c r="U665" i="8"/>
  <c r="U666" i="8"/>
  <c r="U667" i="8"/>
  <c r="U668" i="8"/>
  <c r="U669" i="8"/>
  <c r="U670" i="8"/>
  <c r="U671" i="8"/>
  <c r="U672" i="8"/>
  <c r="U673" i="8"/>
  <c r="U674" i="8"/>
  <c r="U675" i="8"/>
  <c r="U676" i="8"/>
  <c r="U677" i="8"/>
  <c r="U678" i="8"/>
  <c r="U679" i="8"/>
  <c r="U680" i="8"/>
  <c r="U681" i="8"/>
  <c r="U682" i="8"/>
  <c r="U683" i="8"/>
  <c r="U684" i="8"/>
  <c r="U685" i="8"/>
  <c r="U686" i="8"/>
  <c r="U687" i="8"/>
  <c r="U688" i="8"/>
  <c r="U689" i="8"/>
  <c r="U690" i="8"/>
  <c r="U691" i="8"/>
  <c r="U692" i="8"/>
  <c r="U693" i="8"/>
  <c r="U694" i="8"/>
  <c r="U695" i="8"/>
  <c r="U696" i="8"/>
  <c r="U697" i="8"/>
  <c r="U698" i="8"/>
  <c r="U699" i="8"/>
  <c r="U700" i="8"/>
  <c r="U701" i="8"/>
  <c r="U702" i="8"/>
  <c r="U703" i="8"/>
  <c r="U704" i="8"/>
  <c r="U705" i="8"/>
  <c r="U706" i="8"/>
  <c r="U707" i="8"/>
  <c r="U708" i="8"/>
  <c r="U709" i="8"/>
  <c r="U710" i="8"/>
  <c r="U711" i="8"/>
  <c r="U712" i="8"/>
  <c r="U713" i="8"/>
  <c r="U714" i="8"/>
  <c r="U715" i="8"/>
  <c r="U716" i="8"/>
  <c r="U717" i="8"/>
  <c r="U718" i="8"/>
  <c r="U719" i="8"/>
  <c r="U720" i="8"/>
  <c r="U721" i="8"/>
  <c r="U722" i="8"/>
  <c r="U723" i="8"/>
  <c r="U724" i="8"/>
  <c r="U725" i="8"/>
  <c r="U726" i="8"/>
  <c r="U727" i="8"/>
  <c r="U728" i="8"/>
  <c r="U729" i="8"/>
  <c r="U730" i="8"/>
  <c r="U731" i="8"/>
  <c r="U732" i="8"/>
  <c r="U733" i="8"/>
  <c r="U734" i="8"/>
  <c r="U735" i="8"/>
  <c r="U736" i="8"/>
  <c r="U737" i="8"/>
  <c r="U738" i="8"/>
  <c r="U739" i="8"/>
  <c r="U740" i="8"/>
  <c r="U741" i="8"/>
  <c r="U742" i="8"/>
  <c r="U743" i="8"/>
  <c r="U744" i="8"/>
  <c r="U745" i="8"/>
  <c r="U746" i="8"/>
  <c r="U747" i="8"/>
  <c r="U748" i="8"/>
  <c r="U749" i="8"/>
  <c r="U750" i="8"/>
  <c r="U751" i="8"/>
  <c r="U752" i="8"/>
  <c r="U753" i="8"/>
  <c r="U754" i="8"/>
  <c r="U755" i="8"/>
  <c r="U756" i="8"/>
  <c r="U757" i="8"/>
  <c r="U758" i="8"/>
  <c r="U759" i="8"/>
  <c r="U760" i="8"/>
  <c r="U761" i="8"/>
  <c r="U762" i="8"/>
  <c r="U763" i="8"/>
  <c r="U764" i="8"/>
  <c r="U765" i="8"/>
  <c r="U766" i="8"/>
  <c r="U767" i="8"/>
  <c r="U768" i="8"/>
  <c r="U769" i="8"/>
  <c r="U770" i="8"/>
  <c r="U771" i="8"/>
  <c r="U772" i="8"/>
  <c r="U773" i="8"/>
  <c r="U774" i="8"/>
  <c r="U775" i="8"/>
  <c r="U776" i="8"/>
  <c r="U777" i="8"/>
  <c r="U778" i="8"/>
  <c r="U779" i="8"/>
  <c r="U780" i="8"/>
  <c r="U781" i="8"/>
  <c r="U782" i="8"/>
  <c r="U783" i="8"/>
  <c r="U784" i="8"/>
  <c r="U785" i="8"/>
  <c r="U786" i="8"/>
  <c r="U787" i="8"/>
  <c r="U788" i="8"/>
  <c r="U789" i="8"/>
  <c r="U790" i="8"/>
  <c r="U791" i="8"/>
  <c r="U792" i="8"/>
  <c r="U793" i="8"/>
  <c r="U794" i="8"/>
  <c r="U795" i="8"/>
  <c r="U796" i="8"/>
  <c r="U797" i="8"/>
  <c r="U798" i="8"/>
  <c r="U799" i="8"/>
  <c r="U800" i="8"/>
  <c r="U801" i="8"/>
  <c r="U802" i="8"/>
  <c r="U803" i="8"/>
  <c r="U804" i="8"/>
  <c r="U805" i="8"/>
  <c r="U806" i="8"/>
  <c r="U807" i="8"/>
  <c r="U808" i="8"/>
  <c r="U809" i="8"/>
  <c r="U810" i="8"/>
  <c r="U811" i="8"/>
  <c r="U812" i="8"/>
  <c r="U813" i="8"/>
  <c r="U814" i="8"/>
  <c r="U815" i="8"/>
  <c r="U816" i="8"/>
  <c r="U817" i="8"/>
  <c r="U818" i="8"/>
  <c r="U819" i="8"/>
  <c r="U820" i="8"/>
  <c r="U821" i="8"/>
  <c r="U822" i="8"/>
  <c r="U823" i="8"/>
  <c r="U824" i="8"/>
  <c r="U825" i="8"/>
  <c r="U826" i="8"/>
  <c r="U827" i="8"/>
  <c r="U828" i="8"/>
  <c r="U829" i="8"/>
  <c r="U830" i="8"/>
  <c r="U831" i="8"/>
  <c r="U832" i="8"/>
  <c r="U833" i="8"/>
  <c r="U834" i="8"/>
  <c r="U835" i="8"/>
  <c r="U836" i="8"/>
  <c r="U837" i="8"/>
  <c r="U838" i="8"/>
  <c r="U839" i="8"/>
  <c r="U840" i="8"/>
  <c r="U841" i="8"/>
  <c r="U842" i="8"/>
  <c r="U843" i="8"/>
  <c r="U844" i="8"/>
  <c r="U845" i="8"/>
  <c r="U846" i="8"/>
  <c r="U847" i="8"/>
  <c r="U848" i="8"/>
  <c r="U849" i="8"/>
  <c r="U850" i="8"/>
  <c r="U851" i="8"/>
  <c r="U852" i="8"/>
  <c r="U853" i="8"/>
  <c r="U854" i="8"/>
  <c r="U855" i="8"/>
  <c r="U856" i="8"/>
  <c r="U857" i="8"/>
  <c r="U858" i="8"/>
  <c r="U859" i="8"/>
  <c r="U860" i="8"/>
  <c r="U861" i="8"/>
  <c r="U862" i="8"/>
  <c r="U863" i="8"/>
  <c r="U864" i="8"/>
  <c r="U865" i="8"/>
  <c r="U866" i="8"/>
  <c r="U867" i="8"/>
  <c r="U868" i="8"/>
  <c r="U869" i="8"/>
  <c r="U870" i="8"/>
  <c r="U871" i="8"/>
  <c r="U872" i="8"/>
  <c r="U873" i="8"/>
  <c r="U874" i="8"/>
  <c r="U875" i="8"/>
  <c r="U876" i="8"/>
  <c r="U877" i="8"/>
  <c r="U878" i="8"/>
  <c r="U879" i="8"/>
  <c r="U880" i="8"/>
  <c r="U881" i="8"/>
  <c r="U882" i="8"/>
  <c r="U883" i="8"/>
  <c r="U884" i="8"/>
  <c r="U885" i="8"/>
  <c r="U886" i="8"/>
  <c r="U887" i="8"/>
  <c r="U888" i="8"/>
  <c r="U889" i="8"/>
  <c r="U890" i="8"/>
  <c r="U891" i="8"/>
  <c r="U892" i="8"/>
  <c r="U893" i="8"/>
  <c r="U894" i="8"/>
  <c r="U895" i="8"/>
  <c r="U896" i="8"/>
  <c r="U897" i="8"/>
  <c r="U898" i="8"/>
  <c r="U899" i="8"/>
  <c r="U900" i="8"/>
  <c r="U901" i="8"/>
  <c r="U902" i="8"/>
  <c r="U903" i="8"/>
  <c r="U904" i="8"/>
  <c r="U905" i="8"/>
  <c r="U906" i="8"/>
  <c r="U907" i="8"/>
  <c r="U908" i="8"/>
  <c r="U909" i="8"/>
  <c r="U910" i="8"/>
  <c r="U911" i="8"/>
  <c r="U912" i="8"/>
  <c r="U913" i="8"/>
  <c r="U914" i="8"/>
  <c r="U915" i="8"/>
  <c r="U916" i="8"/>
  <c r="U917" i="8"/>
  <c r="U918" i="8"/>
  <c r="U919" i="8"/>
  <c r="U920" i="8"/>
  <c r="U921" i="8"/>
  <c r="U922" i="8"/>
  <c r="U923" i="8"/>
  <c r="U924" i="8"/>
  <c r="U925" i="8"/>
  <c r="U926" i="8"/>
  <c r="U927" i="8"/>
  <c r="U928" i="8"/>
  <c r="U929" i="8"/>
  <c r="U930" i="8"/>
  <c r="U931" i="8"/>
  <c r="U932" i="8"/>
  <c r="U933" i="8"/>
  <c r="U934" i="8"/>
  <c r="U935" i="8"/>
  <c r="U936" i="8"/>
  <c r="U937" i="8"/>
  <c r="U938" i="8"/>
  <c r="U939" i="8"/>
  <c r="U940" i="8"/>
  <c r="U941" i="8"/>
  <c r="U942" i="8"/>
  <c r="U943" i="8"/>
  <c r="U944" i="8"/>
  <c r="U945" i="8"/>
  <c r="U946" i="8"/>
  <c r="U947" i="8"/>
  <c r="U948" i="8"/>
  <c r="U949" i="8"/>
  <c r="U950" i="8"/>
  <c r="U951" i="8"/>
  <c r="U952" i="8"/>
  <c r="U953" i="8"/>
  <c r="U954" i="8"/>
  <c r="U955" i="8"/>
  <c r="U956" i="8"/>
  <c r="U957" i="8"/>
  <c r="U958" i="8"/>
  <c r="U959" i="8"/>
  <c r="U960" i="8"/>
  <c r="U961" i="8"/>
  <c r="U962" i="8"/>
  <c r="U963" i="8"/>
  <c r="U964" i="8"/>
  <c r="U965" i="8"/>
  <c r="U966" i="8"/>
  <c r="U967" i="8"/>
  <c r="U968" i="8"/>
  <c r="U969" i="8"/>
  <c r="U970" i="8"/>
  <c r="U971" i="8"/>
  <c r="U972" i="8"/>
  <c r="U973" i="8"/>
  <c r="U974" i="8"/>
  <c r="U975" i="8"/>
  <c r="U976" i="8"/>
  <c r="U977" i="8"/>
  <c r="U978" i="8"/>
  <c r="U979" i="8"/>
  <c r="U980" i="8"/>
  <c r="U981" i="8"/>
  <c r="U982" i="8"/>
  <c r="U983" i="8"/>
  <c r="U984" i="8"/>
  <c r="U985" i="8"/>
  <c r="U986" i="8"/>
  <c r="U987" i="8"/>
  <c r="U988" i="8"/>
  <c r="U989" i="8"/>
  <c r="U990" i="8"/>
  <c r="U991" i="8"/>
  <c r="U992" i="8"/>
  <c r="U993" i="8"/>
  <c r="U994" i="8"/>
  <c r="U995" i="8"/>
  <c r="U996" i="8"/>
  <c r="U997" i="8"/>
  <c r="U998" i="8"/>
  <c r="U999" i="8"/>
  <c r="U1000" i="8"/>
  <c r="U1001" i="8"/>
  <c r="U1002" i="8"/>
  <c r="U1003" i="8"/>
  <c r="U1004" i="8"/>
  <c r="U1005" i="8"/>
  <c r="U1006" i="8"/>
  <c r="U1007" i="8"/>
  <c r="U1008" i="8"/>
  <c r="U1009" i="8"/>
  <c r="U1010" i="8"/>
  <c r="U1011" i="8"/>
  <c r="U2" i="8"/>
  <c r="L1017" i="11" l="1"/>
  <c r="M1017" i="11" s="1"/>
  <c r="L1018" i="11" l="1"/>
  <c r="M1018" i="11" s="1"/>
  <c r="L1019" i="11" l="1"/>
  <c r="M1019" i="11" s="1"/>
  <c r="L1020" i="11" l="1"/>
  <c r="M1020" i="11" s="1"/>
  <c r="L1021" i="11" l="1"/>
  <c r="M1021" i="1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<sst xmlns="http://schemas.openxmlformats.org/spreadsheetml/2006/main" count="50293" uniqueCount="3255">
  <si>
    <t>Order ID</t>
  </si>
  <si>
    <t>Order Date</t>
  </si>
  <si>
    <t>Ship Date</t>
  </si>
  <si>
    <t>Ship Mode</t>
  </si>
  <si>
    <t>Customer Name</t>
  </si>
  <si>
    <t>Email</t>
  </si>
  <si>
    <t>Phone</t>
  </si>
  <si>
    <t>Segment</t>
  </si>
  <si>
    <t>Region</t>
  </si>
  <si>
    <t>State</t>
  </si>
  <si>
    <t>Category</t>
  </si>
  <si>
    <t>Sub-Category</t>
  </si>
  <si>
    <t>Product Name</t>
  </si>
  <si>
    <t>Quantity</t>
  </si>
  <si>
    <t>Unit Price (₦)</t>
  </si>
  <si>
    <t>Discount (%)</t>
  </si>
  <si>
    <t>Discount Amount (₦)</t>
  </si>
  <si>
    <t>Sales (₦)</t>
  </si>
  <si>
    <t>Profit (₦)</t>
  </si>
  <si>
    <t>ORD-10001</t>
  </si>
  <si>
    <t>First Class</t>
  </si>
  <si>
    <t>Kemi Atiku</t>
  </si>
  <si>
    <t>kemi.atiku@gmail.com</t>
  </si>
  <si>
    <t>080</t>
  </si>
  <si>
    <t>Home Office</t>
  </si>
  <si>
    <t>North</t>
  </si>
  <si>
    <t>Kano</t>
  </si>
  <si>
    <t>Food &amp; Beverages</t>
  </si>
  <si>
    <t>Cooking Oil</t>
  </si>
  <si>
    <t>Vegetable Oil 5L</t>
  </si>
  <si>
    <t>5%</t>
  </si>
  <si>
    <t>ORD-10002</t>
  </si>
  <si>
    <t>Same Day</t>
  </si>
  <si>
    <t>Lanre Chukwu</t>
  </si>
  <si>
    <t>lanre.chukwu@gmail.com</t>
  </si>
  <si>
    <t>Consumer</t>
  </si>
  <si>
    <t>Katsina</t>
  </si>
  <si>
    <t>clothing</t>
  </si>
  <si>
    <t>Shoes</t>
  </si>
  <si>
    <t>Sneakers Unisex</t>
  </si>
  <si>
    <t>ORD-10003</t>
  </si>
  <si>
    <t>Bukola Bello</t>
  </si>
  <si>
    <t>bukola.bello@hotmail.com</t>
  </si>
  <si>
    <t>Corporate</t>
  </si>
  <si>
    <t>Abuja</t>
  </si>
  <si>
    <t>Grains</t>
  </si>
  <si>
    <t>Beans 5kg</t>
  </si>
  <si>
    <t>ORD-10004</t>
  </si>
  <si>
    <t>Standard Class</t>
  </si>
  <si>
    <t>Adebayo Tinubu</t>
  </si>
  <si>
    <t>adebayo.tinubu@outlook.com</t>
  </si>
  <si>
    <t>East</t>
  </si>
  <si>
    <t>Enugu</t>
  </si>
  <si>
    <t>office supplies</t>
  </si>
  <si>
    <t>Binders</t>
  </si>
  <si>
    <t>Clipboard</t>
  </si>
  <si>
    <t>ORD-10005</t>
  </si>
  <si>
    <t>Chisom Gambo</t>
  </si>
  <si>
    <t>chisom.gambo@gmail.com</t>
  </si>
  <si>
    <t>00000000000</t>
  </si>
  <si>
    <t>corporate</t>
  </si>
  <si>
    <t>South</t>
  </si>
  <si>
    <t>Ibadan</t>
  </si>
  <si>
    <t>Office Supplies</t>
  </si>
  <si>
    <t>Envelopes</t>
  </si>
  <si>
    <t>Padded Envelopes</t>
  </si>
  <si>
    <t>ORD-10006</t>
  </si>
  <si>
    <t>Kemi Abubakar</t>
  </si>
  <si>
    <t>kemi.abubakar@outlook.com</t>
  </si>
  <si>
    <t>West</t>
  </si>
  <si>
    <t>Akure</t>
  </si>
  <si>
    <t>Groundnut Oil 3L</t>
  </si>
  <si>
    <t>ORD-10007</t>
  </si>
  <si>
    <t>Second Class</t>
  </si>
  <si>
    <t>Tunde Olawale</t>
  </si>
  <si>
    <t>tunde.olawale@hotmail.com</t>
  </si>
  <si>
    <t>ORD-10008</t>
  </si>
  <si>
    <t>Adebayo Okonkwo</t>
  </si>
  <si>
    <t>adebayo.okonkwo@outlook.com</t>
  </si>
  <si>
    <t>Drinks</t>
  </si>
  <si>
    <t>Water 5L x6</t>
  </si>
  <si>
    <t>ORD-10009</t>
  </si>
  <si>
    <t>Amara Bello</t>
  </si>
  <si>
    <t>amara.bello@outlook.com</t>
  </si>
  <si>
    <t>Port Harcourt</t>
  </si>
  <si>
    <t>Furniture</t>
  </si>
  <si>
    <t>Chairs</t>
  </si>
  <si>
    <t>Mesh Office Chair</t>
  </si>
  <si>
    <t>ORD-10010</t>
  </si>
  <si>
    <t>Aisha Chukwu</t>
  </si>
  <si>
    <t>aisha.chukwu@hotmail.com</t>
  </si>
  <si>
    <t>ORD-10011</t>
  </si>
  <si>
    <t>Chidi Musa</t>
  </si>
  <si>
    <t>chidi.musa@gmail.com</t>
  </si>
  <si>
    <t>+234 803 123 4567</t>
  </si>
  <si>
    <t>Lagos</t>
  </si>
  <si>
    <t>Technology</t>
  </si>
  <si>
    <t>Tablets</t>
  </si>
  <si>
    <t>iPad 10th Gen</t>
  </si>
  <si>
    <t>1718336.95</t>
  </si>
  <si>
    <t>ORD-10012</t>
  </si>
  <si>
    <t>Chibundo Nwosu</t>
  </si>
  <si>
    <t>chibundo.nwosu@gmail.com</t>
  </si>
  <si>
    <t xml:space="preserve">  Port Harcourt</t>
  </si>
  <si>
    <t>Brown Kraft Envelopes</t>
  </si>
  <si>
    <t>ORD-10013</t>
  </si>
  <si>
    <t>Olumide Okafor</t>
  </si>
  <si>
    <t>olumide.okafor@hotmail.com</t>
  </si>
  <si>
    <t>Clothing</t>
  </si>
  <si>
    <t>Trousers</t>
  </si>
  <si>
    <t>Men's Chinos</t>
  </si>
  <si>
    <t>ORD-10014</t>
  </si>
  <si>
    <t>Kunle Nwosu</t>
  </si>
  <si>
    <t>kunle.nwosu@hotmail.com</t>
  </si>
  <si>
    <t>Shirts</t>
  </si>
  <si>
    <t>T-Shirt 3-Pack</t>
  </si>
  <si>
    <t>ORD-10015</t>
  </si>
  <si>
    <t>Lanre Atiku</t>
  </si>
  <si>
    <t>lanre.atiku@gmail.com</t>
  </si>
  <si>
    <t>Ilorin</t>
  </si>
  <si>
    <t>Laptops</t>
  </si>
  <si>
    <t>Acer Aspire 5</t>
  </si>
  <si>
    <t>ORD-10016</t>
  </si>
  <si>
    <t>Bola Danjuma</t>
  </si>
  <si>
    <t>bola.danjuma@yahoo.com</t>
  </si>
  <si>
    <t>CONSUMER</t>
  </si>
  <si>
    <t>Kaduna</t>
  </si>
  <si>
    <t>Fruit Juice 1L</t>
  </si>
  <si>
    <t>ORD-10017</t>
  </si>
  <si>
    <t>Ikenna Okafor</t>
  </si>
  <si>
    <t>ikenna.okafor@outlook.com</t>
  </si>
  <si>
    <t>Onitsha</t>
  </si>
  <si>
    <t>Technolgy</t>
  </si>
  <si>
    <t>Asus VivoBook 14</t>
  </si>
  <si>
    <t>ORD-10018</t>
  </si>
  <si>
    <t>Hauwa Adebayo</t>
  </si>
  <si>
    <t>hauwa.adebayo@outlook.com</t>
  </si>
  <si>
    <t>ORD-10019</t>
  </si>
  <si>
    <t>Taiwo Okafor</t>
  </si>
  <si>
    <t>taiwo.okafor@outlook.com</t>
  </si>
  <si>
    <t>9 units</t>
  </si>
  <si>
    <t>ORD-10020</t>
  </si>
  <si>
    <t>Tobi Adeyemi</t>
  </si>
  <si>
    <t>tobi.adeyemi@hotmail.com</t>
  </si>
  <si>
    <t>Osogbo</t>
  </si>
  <si>
    <t>Coca-Cola 24-Pack</t>
  </si>
  <si>
    <t>ORD-10021</t>
  </si>
  <si>
    <t>Emeka Eze</t>
  </si>
  <si>
    <t>emeka.eze@outlook.com</t>
  </si>
  <si>
    <t xml:space="preserve">Awka   </t>
  </si>
  <si>
    <t>Lever Arch File</t>
  </si>
  <si>
    <t>ORD-10022</t>
  </si>
  <si>
    <t>Fatima Ogundipe</t>
  </si>
  <si>
    <t>fatima.ogundipe@gmail.com</t>
  </si>
  <si>
    <t>WSET</t>
  </si>
  <si>
    <t>Ado-Ekiti</t>
  </si>
  <si>
    <t>cLOTHING</t>
  </si>
  <si>
    <t>Joggers</t>
  </si>
  <si>
    <t>ORD-10023</t>
  </si>
  <si>
    <t>Zainab Abubakar</t>
  </si>
  <si>
    <t>zainab.abubakar@gmail.com</t>
  </si>
  <si>
    <t>10%</t>
  </si>
  <si>
    <t>ORD-10024</t>
  </si>
  <si>
    <t>Fatima Danjuma</t>
  </si>
  <si>
    <t>fatima.danjuma@outlook.com</t>
  </si>
  <si>
    <t>ORD-10025</t>
  </si>
  <si>
    <t>Oluwaseun Okonkwo</t>
  </si>
  <si>
    <t>oluwaseun.okonkwo@yahoo.com</t>
  </si>
  <si>
    <t>Sokoto</t>
  </si>
  <si>
    <t>Amazon Fire HD 10</t>
  </si>
  <si>
    <t>ORD-10026</t>
  </si>
  <si>
    <t>Chibundo Sowore</t>
  </si>
  <si>
    <t>chibundo.sowore@hotmail.com</t>
  </si>
  <si>
    <t>Condiments</t>
  </si>
  <si>
    <t>Soy Sauce 500ml</t>
  </si>
  <si>
    <t>ORD-10027</t>
  </si>
  <si>
    <t>Olumide Sowore</t>
  </si>
  <si>
    <t>olumide.sowore@yahoo.com</t>
  </si>
  <si>
    <t>Visitor Chair</t>
  </si>
  <si>
    <t>ORD-10028</t>
  </si>
  <si>
    <t>Emeka Abubakar</t>
  </si>
  <si>
    <t>emeka.abubakar@hotmail.com</t>
  </si>
  <si>
    <t>Benin City</t>
  </si>
  <si>
    <t>Bags</t>
  </si>
  <si>
    <t>Crossbody Bag</t>
  </si>
  <si>
    <t>13 units</t>
  </si>
  <si>
    <t>ORD-10029</t>
  </si>
  <si>
    <t>Ronke Fashola</t>
  </si>
  <si>
    <t>ronke.fashola@gmail.com</t>
  </si>
  <si>
    <t>Accessories</t>
  </si>
  <si>
    <t>Sunglasses UV400</t>
  </si>
  <si>
    <t>ORD-10030</t>
  </si>
  <si>
    <t>Kunle Fashola</t>
  </si>
  <si>
    <t>kunle.fashola@outlook.com</t>
  </si>
  <si>
    <t>Art Supplies</t>
  </si>
  <si>
    <t>Craft Scissors</t>
  </si>
  <si>
    <t>ORD-10031</t>
  </si>
  <si>
    <t>Kemi Okafor</t>
  </si>
  <si>
    <t>kemi.okafor@yahoo.com</t>
  </si>
  <si>
    <t>Bar Stool</t>
  </si>
  <si>
    <t>1124742.1</t>
  </si>
  <si>
    <t>ORD-10032</t>
  </si>
  <si>
    <t>Chidi Adebayo</t>
  </si>
  <si>
    <t>chidi.adebayo@outlook.com</t>
  </si>
  <si>
    <t>Warri</t>
  </si>
  <si>
    <t>Wallet Genuine Leather</t>
  </si>
  <si>
    <t>ORD-10033</t>
  </si>
  <si>
    <t>Aisha Gambo</t>
  </si>
  <si>
    <t>aisha.gambo@hotmail.com</t>
  </si>
  <si>
    <t>ORD-10034</t>
  </si>
  <si>
    <t>STANDARD CLASS</t>
  </si>
  <si>
    <t>Chisom Nwosu</t>
  </si>
  <si>
    <t>chisom.nwosu@hotmail.com</t>
  </si>
  <si>
    <t>Leather Loafers</t>
  </si>
  <si>
    <t>ORD-10035</t>
  </si>
  <si>
    <t>03/24/2022</t>
  </si>
  <si>
    <t>Hauwa Nwosu</t>
  </si>
  <si>
    <t>hauwa.nwosu@gmail.com</t>
  </si>
  <si>
    <t>Tables</t>
  </si>
  <si>
    <t>Dining Table 6-Seater</t>
  </si>
  <si>
    <t>ORD-10036</t>
  </si>
  <si>
    <t>Yemi Danjuma</t>
  </si>
  <si>
    <t>spaces in@email.com</t>
  </si>
  <si>
    <t>Aba</t>
  </si>
  <si>
    <t>ORD-10037</t>
  </si>
  <si>
    <t>Uchenna Musa</t>
  </si>
  <si>
    <t>uchenna.musa@outlook.com</t>
  </si>
  <si>
    <t>Awka</t>
  </si>
  <si>
    <t>ORD-10038</t>
  </si>
  <si>
    <t>lanre.chukwu@outlook.com</t>
  </si>
  <si>
    <t>Huawei MatePad</t>
  </si>
  <si>
    <t>ORD-10039</t>
  </si>
  <si>
    <t>Tobi Osei</t>
  </si>
  <si>
    <t>tobi.osei@outlook.com</t>
  </si>
  <si>
    <t>Energy Drink 4-Pack</t>
  </si>
  <si>
    <t>ORD-10901</t>
  </si>
  <si>
    <t>Aisha Dangote</t>
  </si>
  <si>
    <t>aisha.dangote@hotmail.com</t>
  </si>
  <si>
    <t>Gaming Chair</t>
  </si>
  <si>
    <t>1790909.1</t>
  </si>
  <si>
    <t>ORD-10040</t>
  </si>
  <si>
    <t>Amara Musa</t>
  </si>
  <si>
    <t>amara.musa@outlook.com</t>
  </si>
  <si>
    <t>Bookcases</t>
  </si>
  <si>
    <t>Metal Bookcase</t>
  </si>
  <si>
    <t>ORD-10041</t>
  </si>
  <si>
    <t>Tobi Abubakar</t>
  </si>
  <si>
    <t>tobi.abubakar@gmail.com</t>
  </si>
  <si>
    <t xml:space="preserve">Office Supplies   </t>
  </si>
  <si>
    <t>Paper</t>
  </si>
  <si>
    <t>Graph Paper Pad</t>
  </si>
  <si>
    <t>ORD-10042</t>
  </si>
  <si>
    <t>Nike Abubakar</t>
  </si>
  <si>
    <t>nike.abubakar@outlook.com</t>
  </si>
  <si>
    <t>Printers</t>
  </si>
  <si>
    <t>Canon PIXMA G3411</t>
  </si>
  <si>
    <t>ORD-10043</t>
  </si>
  <si>
    <t>Coloured Pencils 24</t>
  </si>
  <si>
    <t>ORD-10044</t>
  </si>
  <si>
    <t>Frist Class</t>
  </si>
  <si>
    <t>Bola Otedola</t>
  </si>
  <si>
    <t>bola.otedola@hotmail.com</t>
  </si>
  <si>
    <t>Coconut Oil 1L</t>
  </si>
  <si>
    <t>ORD-10045</t>
  </si>
  <si>
    <t>Tobi Sowore</t>
  </si>
  <si>
    <t>tobi.sowore@gmail.com</t>
  </si>
  <si>
    <t>Sofas</t>
  </si>
  <si>
    <t>3-Seater Sofa</t>
  </si>
  <si>
    <t>ORD-10046</t>
  </si>
  <si>
    <t>Nike Obi</t>
  </si>
  <si>
    <t>nike.obi@hotmail.com</t>
  </si>
  <si>
    <t>Office Supllies</t>
  </si>
  <si>
    <t xml:space="preserve">Craft Scissors   </t>
  </si>
  <si>
    <t>ORD-10047</t>
  </si>
  <si>
    <t>Aisha Sule</t>
  </si>
  <si>
    <t>aisha.sule@outlook.com</t>
  </si>
  <si>
    <t>ORD-10048</t>
  </si>
  <si>
    <t>Deola Chukwu</t>
  </si>
  <si>
    <t>deola.chukwu@gmail.com</t>
  </si>
  <si>
    <t>Tomato Paste 400g</t>
  </si>
  <si>
    <t>ORD-10049</t>
  </si>
  <si>
    <t>Lanre Ogundipe</t>
  </si>
  <si>
    <t>lanre.ogundipe@hotmail.com</t>
  </si>
  <si>
    <t>₦8,365.93</t>
  </si>
  <si>
    <t>ORD-10050</t>
  </si>
  <si>
    <t>Sade Osei</t>
  </si>
  <si>
    <t>sade.osei@outlook.com</t>
  </si>
  <si>
    <t>Belt Leather</t>
  </si>
  <si>
    <t>ORD-10051</t>
  </si>
  <si>
    <t>Ibrahim Chukwu</t>
  </si>
  <si>
    <t>ibrahim.chukwu@yahoo.com</t>
  </si>
  <si>
    <t>Men's Polo Shirt</t>
  </si>
  <si>
    <t>833060.89</t>
  </si>
  <si>
    <t>ORD-10052</t>
  </si>
  <si>
    <t>Bola Fashola</t>
  </si>
  <si>
    <t>bola.fashola@gmail.com</t>
  </si>
  <si>
    <t>Sandals</t>
  </si>
  <si>
    <t>ORD-10053</t>
  </si>
  <si>
    <t>Deola Dangote</t>
  </si>
  <si>
    <t>deola.dangote@yahoo.com</t>
  </si>
  <si>
    <t>ORD-10054</t>
  </si>
  <si>
    <t>Bukola Sanusi</t>
  </si>
  <si>
    <t>bukola.sanusi@outlook.com</t>
  </si>
  <si>
    <t>Women's Heels</t>
  </si>
  <si>
    <t>ORD-10055</t>
  </si>
  <si>
    <t>Seun Sanusi</t>
  </si>
  <si>
    <t>seun.sanusi@gmail.com</t>
  </si>
  <si>
    <t>Abeokuta</t>
  </si>
  <si>
    <t>Rice 25kg Bag</t>
  </si>
  <si>
    <t>ORD-10056</t>
  </si>
  <si>
    <t>Seun Musa</t>
  </si>
  <si>
    <t>seun.musa@hotmail.com</t>
  </si>
  <si>
    <t>Labels</t>
  </si>
  <si>
    <t>File Folder Labels</t>
  </si>
  <si>
    <t>ORD-10057</t>
  </si>
  <si>
    <t>nike.abubakar@gmail.com</t>
  </si>
  <si>
    <t>Owerri</t>
  </si>
  <si>
    <t>1 units</t>
  </si>
  <si>
    <t>ORD-10058</t>
  </si>
  <si>
    <t>Hauwa Dangote</t>
  </si>
  <si>
    <t>hauwa.dangote@hotmail.com</t>
  </si>
  <si>
    <t>Office Desk 120cm</t>
  </si>
  <si>
    <t>ORD-10059</t>
  </si>
  <si>
    <t>Chidi Sule</t>
  </si>
  <si>
    <t>chidi.sule@hotmail.com</t>
  </si>
  <si>
    <t>Wristwatch</t>
  </si>
  <si>
    <t>ORD-10060</t>
  </si>
  <si>
    <t>Hauwa Olawale</t>
  </si>
  <si>
    <t>hauwa.olawale@outlook.com</t>
  </si>
  <si>
    <t>Cardboard A4</t>
  </si>
  <si>
    <t>ORD-10061</t>
  </si>
  <si>
    <t>Ayo Chukwu</t>
  </si>
  <si>
    <t>ayo.chukwu@yahoo.com</t>
  </si>
  <si>
    <t>ORD-10062</t>
  </si>
  <si>
    <t>Kemi Sule</t>
  </si>
  <si>
    <t>kemi.sule@outlook.com</t>
  </si>
  <si>
    <t>Acrylic Paint Kit</t>
  </si>
  <si>
    <t>ORD-10063</t>
  </si>
  <si>
    <t>Ikenna Lawal</t>
  </si>
  <si>
    <t>ikenna.lawal@outlook.com</t>
  </si>
  <si>
    <t>742619.88</t>
  </si>
  <si>
    <t>ORD-10064</t>
  </si>
  <si>
    <t>Ayo Otedola</t>
  </si>
  <si>
    <t>ayo.otedola@outlook.com</t>
  </si>
  <si>
    <t>ORD-10065</t>
  </si>
  <si>
    <t>19 Jul 2022</t>
  </si>
  <si>
    <t>Bukola Okafor</t>
  </si>
  <si>
    <t>Sunflower Oil 3L</t>
  </si>
  <si>
    <t>ORD-10066</t>
  </si>
  <si>
    <t>Ibrahim Fashola</t>
  </si>
  <si>
    <t>ibrahim.fashola@hotmail.com</t>
  </si>
  <si>
    <t>ORD-10067</t>
  </si>
  <si>
    <t>Ngozi Sule</t>
  </si>
  <si>
    <t>ngozi.sule@outlook.com</t>
  </si>
  <si>
    <t>Snacks</t>
  </si>
  <si>
    <t>Digestive Biscuits</t>
  </si>
  <si>
    <t>ORD-10068</t>
  </si>
  <si>
    <t>Kemi Otedola</t>
  </si>
  <si>
    <t>kemi.otedola@outlook.com</t>
  </si>
  <si>
    <t>Lenovo IdeaPad 3</t>
  </si>
  <si>
    <t>ORD-10069</t>
  </si>
  <si>
    <t>Tunde Sanusi</t>
  </si>
  <si>
    <t>tunde.sanusi@hotmail.com</t>
  </si>
  <si>
    <t>Eatst</t>
  </si>
  <si>
    <t>ORD-10070</t>
  </si>
  <si>
    <t>Ikenna Ogundipe</t>
  </si>
  <si>
    <t>ikenna.ogundipe@gmail.com</t>
  </si>
  <si>
    <t>Dell Inspiron 15</t>
  </si>
  <si>
    <t>ORD-10071</t>
  </si>
  <si>
    <t>Yemi Sule</t>
  </si>
  <si>
    <t>@nodomain.com</t>
  </si>
  <si>
    <t>EAST</t>
  </si>
  <si>
    <t>Tote Bag</t>
  </si>
  <si>
    <t>ORD-10072</t>
  </si>
  <si>
    <t>Seun Sowore</t>
  </si>
  <si>
    <t>seun.sowore@hotmail.com</t>
  </si>
  <si>
    <t>0%</t>
  </si>
  <si>
    <t>ORD-10073</t>
  </si>
  <si>
    <t>Nike Alakija</t>
  </si>
  <si>
    <t>nike.alakija@outlook.com</t>
  </si>
  <si>
    <t>Maggi Cubes 100pk</t>
  </si>
  <si>
    <t>ORD-10074</t>
  </si>
  <si>
    <t>Oluwaseun Lawal</t>
  </si>
  <si>
    <t>oluwaseun.lawal@gmail.com</t>
  </si>
  <si>
    <t xml:space="preserve">East   </t>
  </si>
  <si>
    <t>Phones</t>
  </si>
  <si>
    <t>Tecno Spark 10</t>
  </si>
  <si>
    <t>ORD-10075</t>
  </si>
  <si>
    <t>amara.musa@yahoo.com</t>
  </si>
  <si>
    <t>ORD-10076</t>
  </si>
  <si>
    <t>olumide.sowore@hotmail.com</t>
  </si>
  <si>
    <t>home office</t>
  </si>
  <si>
    <t>ORD-10077</t>
  </si>
  <si>
    <t>Ikenna Alakija</t>
  </si>
  <si>
    <t>ikenna.alakija@gmail.com</t>
  </si>
  <si>
    <t>ORD-10078</t>
  </si>
  <si>
    <t>Zainab Dangote</t>
  </si>
  <si>
    <t>zainab.dangote@outlook.com</t>
  </si>
  <si>
    <t>ORD-10079</t>
  </si>
  <si>
    <t>Chisom Adeyemi</t>
  </si>
  <si>
    <t>chisom.adeyemi@hotmail.com</t>
  </si>
  <si>
    <t>ORD-10080</t>
  </si>
  <si>
    <t>Aisha Musa</t>
  </si>
  <si>
    <t>aisha.musa@gmail.com</t>
  </si>
  <si>
    <t>Wall-Mounted Shelf</t>
  </si>
  <si>
    <t>5 units</t>
  </si>
  <si>
    <t>ORD-10081</t>
  </si>
  <si>
    <t>Wale Fashola #</t>
  </si>
  <si>
    <t>wale.fashola@hotmail.com</t>
  </si>
  <si>
    <t>Document Folder</t>
  </si>
  <si>
    <t>ORD-10082</t>
  </si>
  <si>
    <t>2023/09/28</t>
  </si>
  <si>
    <t>Olumide Adeleke</t>
  </si>
  <si>
    <t>olumide.adeleke@gmail.com</t>
  </si>
  <si>
    <t>north</t>
  </si>
  <si>
    <t>ORD-10083</t>
  </si>
  <si>
    <t>second class</t>
  </si>
  <si>
    <t>Kunle Dangote</t>
  </si>
  <si>
    <t>kunle.dangote@yahoo.com</t>
  </si>
  <si>
    <t>ORD-10084</t>
  </si>
  <si>
    <t>Nike Olawale</t>
  </si>
  <si>
    <t>nike.olawale@hotmail.com</t>
  </si>
  <si>
    <t>N/A</t>
  </si>
  <si>
    <t>ORD-10085</t>
  </si>
  <si>
    <t>Lanre Sowore</t>
  </si>
  <si>
    <t>lanre.sowore@yahoo.com</t>
  </si>
  <si>
    <t>Jeans Straight Cut</t>
  </si>
  <si>
    <t>ORD-10086</t>
  </si>
  <si>
    <t>Amara Adebayo</t>
  </si>
  <si>
    <t>amara.adebayo@outlook.com</t>
  </si>
  <si>
    <t>ORD-10087</t>
  </si>
  <si>
    <t>Deola Olawale</t>
  </si>
  <si>
    <t>deola.olawale@yahoo.com</t>
  </si>
  <si>
    <t>Popcorn 6-Pack</t>
  </si>
  <si>
    <t>ORD-10088</t>
  </si>
  <si>
    <t>Musa Adebayo</t>
  </si>
  <si>
    <t>musa.adebayo@hotmail.com</t>
  </si>
  <si>
    <t>ORD-10089</t>
  </si>
  <si>
    <t>ronke.lawal@gmail.com</t>
  </si>
  <si>
    <t>Corner Bookshelf</t>
  </si>
  <si>
    <t>ORD-10090</t>
  </si>
  <si>
    <t>Ikenna Dangote</t>
  </si>
  <si>
    <t>ikenna.dangote@outlook.com</t>
  </si>
  <si>
    <t>Samsung Tab A8</t>
  </si>
  <si>
    <t>ORD-10091</t>
  </si>
  <si>
    <t>Olumide Alakija</t>
  </si>
  <si>
    <t>olumide.alakija@gmail.com</t>
  </si>
  <si>
    <t>ORD-10092</t>
  </si>
  <si>
    <t>chibundo.tinubu@hotmail.com</t>
  </si>
  <si>
    <t>ORD-10093</t>
  </si>
  <si>
    <t>Fatima Sowore</t>
  </si>
  <si>
    <t>fatima.sowore@gmail.com</t>
  </si>
  <si>
    <t>HP LaserJet Pro</t>
  </si>
  <si>
    <t>ORD-10094</t>
  </si>
  <si>
    <t>amara.adebayo@gmail.com</t>
  </si>
  <si>
    <t>Epson EcoTank</t>
  </si>
  <si>
    <t>ORD-10095</t>
  </si>
  <si>
    <t>Tunde Obi</t>
  </si>
  <si>
    <t>tunde.obi@hotmail.com</t>
  </si>
  <si>
    <t>ORD-10096</t>
  </si>
  <si>
    <t>Ngozi Lawal</t>
  </si>
  <si>
    <t>ngozi.lawal@outlook.com</t>
  </si>
  <si>
    <t>ORD-10097</t>
  </si>
  <si>
    <t>Sade Ogundipe</t>
  </si>
  <si>
    <t>sade.ogundipe@yahoo.com</t>
  </si>
  <si>
    <t>A4 Paper 500 Sheets</t>
  </si>
  <si>
    <t>ORD-10098</t>
  </si>
  <si>
    <t>Emeka Atiku</t>
  </si>
  <si>
    <t>emeka.atiku@outlook.com</t>
  </si>
  <si>
    <t>Fasteners</t>
  </si>
  <si>
    <t>Stapler + Staples</t>
  </si>
  <si>
    <t>ORD-10099</t>
  </si>
  <si>
    <t>Tunde Abubakar</t>
  </si>
  <si>
    <t>tunde.abubakar@outlook.com</t>
  </si>
  <si>
    <t>19999.85</t>
  </si>
  <si>
    <t>ORD-10100</t>
  </si>
  <si>
    <t>Femi Abubakar</t>
  </si>
  <si>
    <t>femi.abubakar@gmail.com</t>
  </si>
  <si>
    <t>Silk Scarf</t>
  </si>
  <si>
    <t>ORD-10101</t>
  </si>
  <si>
    <t>Bola Okafor</t>
  </si>
  <si>
    <t>bola.okafor@gmail.com</t>
  </si>
  <si>
    <t>Corporate Shirt</t>
  </si>
  <si>
    <t>ORD-10102</t>
  </si>
  <si>
    <t>Zainab Bello</t>
  </si>
  <si>
    <t>zainab.bello@yahoo.com</t>
  </si>
  <si>
    <t>Storage</t>
  </si>
  <si>
    <t>4-Drawer Cabinet</t>
  </si>
  <si>
    <t>ORD-10103</t>
  </si>
  <si>
    <t>kunle.dangote@hotmail.com</t>
  </si>
  <si>
    <t>Malta Guinness 12-Pack</t>
  </si>
  <si>
    <t>ORD-10104</t>
  </si>
  <si>
    <t>Dayo Lawal</t>
  </si>
  <si>
    <t>dayo.lawal@gmail.com</t>
  </si>
  <si>
    <t>Chin Chin 500g</t>
  </si>
  <si>
    <t>ORD-10105</t>
  </si>
  <si>
    <t>Gbenga Alakija</t>
  </si>
  <si>
    <t>gbenga.alakija@gmail.com</t>
  </si>
  <si>
    <t>ORD-10106</t>
  </si>
  <si>
    <t>Kehinde Ogundipe</t>
  </si>
  <si>
    <t>kehinde.ogundipe@gmail.com</t>
  </si>
  <si>
    <t>Bubble Mailers</t>
  </si>
  <si>
    <t>ORD-10107</t>
  </si>
  <si>
    <t>Ibrahim Osei</t>
  </si>
  <si>
    <t>ibrahim.osei@yahoo.com</t>
  </si>
  <si>
    <t>ORD-10108</t>
  </si>
  <si>
    <t>Seun Bello</t>
  </si>
  <si>
    <t>seun.bello@gmail.com</t>
  </si>
  <si>
    <t>Palm Oil 4L</t>
  </si>
  <si>
    <t>ORD-10109</t>
  </si>
  <si>
    <t>Wale Eze</t>
  </si>
  <si>
    <t>wale.eze@hotmail.com</t>
  </si>
  <si>
    <t>1234567890</t>
  </si>
  <si>
    <t>ORD-10186</t>
  </si>
  <si>
    <t>Tunde Nwosu</t>
  </si>
  <si>
    <t>tunde.nwosu@hotmail.com</t>
  </si>
  <si>
    <t>ORD-10110</t>
  </si>
  <si>
    <t>Yemi Ogundipe</t>
  </si>
  <si>
    <t>yemi.ogundipe@yahoo.com</t>
  </si>
  <si>
    <t>Men's Oxford Shoes</t>
  </si>
  <si>
    <t>ORD-10111</t>
  </si>
  <si>
    <t>Kemi Bello</t>
  </si>
  <si>
    <t>kemi.bello@hotmail.com</t>
  </si>
  <si>
    <t>Semolina 5kg</t>
  </si>
  <si>
    <t>ORD-10112</t>
  </si>
  <si>
    <t>Seun Alakija</t>
  </si>
  <si>
    <t>seun.alakija@yahoo.com</t>
  </si>
  <si>
    <t>Wardrobe 3-Door</t>
  </si>
  <si>
    <t>ORD-10113</t>
  </si>
  <si>
    <t>Adaeze Sowore</t>
  </si>
  <si>
    <t>Brother HL-L2350DW</t>
  </si>
  <si>
    <t>ORD-10114</t>
  </si>
  <si>
    <t>Emeka Danjuma</t>
  </si>
  <si>
    <t>emeka.danjuma@gmail.com</t>
  </si>
  <si>
    <t>CLOTHING</t>
  </si>
  <si>
    <t>ORD-10115</t>
  </si>
  <si>
    <t>November 28, 2024</t>
  </si>
  <si>
    <t>Taiwo Osei</t>
  </si>
  <si>
    <t>taiwo.osei@hotmail.com</t>
  </si>
  <si>
    <t>188488.08</t>
  </si>
  <si>
    <t>ORD-10116</t>
  </si>
  <si>
    <t>Taiwo Eze</t>
  </si>
  <si>
    <t>taiwo.eze@yahoo.com</t>
  </si>
  <si>
    <t>Plastic Drawers</t>
  </si>
  <si>
    <t>ORD-10117</t>
  </si>
  <si>
    <t>nike.obi@gmail.com</t>
  </si>
  <si>
    <t>Rubber Bands 100g</t>
  </si>
  <si>
    <t>ORD-10118</t>
  </si>
  <si>
    <t>2023/05/12</t>
  </si>
  <si>
    <t>Ronke Abubakar</t>
  </si>
  <si>
    <t>ronke.abubakar@yahoo.com</t>
  </si>
  <si>
    <t>ORD-10119</t>
  </si>
  <si>
    <t>Nike Osei</t>
  </si>
  <si>
    <t>nike.osei@outlook.com</t>
  </si>
  <si>
    <t>$495,582.48</t>
  </si>
  <si>
    <t>ORD-10120</t>
  </si>
  <si>
    <t>Emeka Okonkwo</t>
  </si>
  <si>
    <t>emeka.okonkwo@outlook.com</t>
  </si>
  <si>
    <t>Pens &amp; Pencils</t>
  </si>
  <si>
    <t>Whiteboard Markers</t>
  </si>
  <si>
    <t>ORD-10121</t>
  </si>
  <si>
    <t>Adaeze Adeyemi</t>
  </si>
  <si>
    <t>adaeze.adeyemi@hotmail.com</t>
  </si>
  <si>
    <t>ORD-10122</t>
  </si>
  <si>
    <t>Yemi Adeyemi</t>
  </si>
  <si>
    <t>yemi.adeyemi@yahoo.com</t>
  </si>
  <si>
    <t>ORD-10123</t>
  </si>
  <si>
    <t>Hauwa Adeleke</t>
  </si>
  <si>
    <t>hauwa.adeleke@gmail.com</t>
  </si>
  <si>
    <t>ORD-10124</t>
  </si>
  <si>
    <t>Kunle Okafor</t>
  </si>
  <si>
    <t>kunle.okafor@hotmail.com</t>
  </si>
  <si>
    <t>ORD-10125</t>
  </si>
  <si>
    <t>Ngozi  Gambo</t>
  </si>
  <si>
    <t>ngozi.gambo@yahoo.com</t>
  </si>
  <si>
    <t>ORD-10126</t>
  </si>
  <si>
    <t>Adebayo Danjuma</t>
  </si>
  <si>
    <t>adebayo.danjuma@gmail.com</t>
  </si>
  <si>
    <t>ORD-10127</t>
  </si>
  <si>
    <t>Kunle Adeleke</t>
  </si>
  <si>
    <t>kunle.adeleke@outlook.com</t>
  </si>
  <si>
    <t>ORD-10128</t>
  </si>
  <si>
    <t>Fatima Otedola</t>
  </si>
  <si>
    <t>fatima.otedola@hotmail.com</t>
  </si>
  <si>
    <t>Executive Chair</t>
  </si>
  <si>
    <t>ORD-10129</t>
  </si>
  <si>
    <t>Femi Nwosu</t>
  </si>
  <si>
    <t>femi.nwosu@gmail.com</t>
  </si>
  <si>
    <t>west</t>
  </si>
  <si>
    <t>ORD-10130</t>
  </si>
  <si>
    <t>Standard Cls</t>
  </si>
  <si>
    <t>Zainab Otedola</t>
  </si>
  <si>
    <t>double@@gmail.com</t>
  </si>
  <si>
    <t>2-Seater Loveseat</t>
  </si>
  <si>
    <t>ORD-10131</t>
  </si>
  <si>
    <t>Chibundo Eze</t>
  </si>
  <si>
    <t>chibundo.eze@outlook.com</t>
  </si>
  <si>
    <t>ORD-10132</t>
  </si>
  <si>
    <t>Fatima Buhari</t>
  </si>
  <si>
    <t>fatima.buhari@hotmail.com</t>
  </si>
  <si>
    <t>ORD-10133</t>
  </si>
  <si>
    <t>Tobi Nwosu</t>
  </si>
  <si>
    <t>tobi.nwosu@outlook.com</t>
  </si>
  <si>
    <t>ORD-10134</t>
  </si>
  <si>
    <t>Adaeze Eze</t>
  </si>
  <si>
    <t>adaeze.eze@gmail.com</t>
  </si>
  <si>
    <t xml:space="preserve">  Kano</t>
  </si>
  <si>
    <t>ORD-10135</t>
  </si>
  <si>
    <t>Gbenga Chukwu</t>
  </si>
  <si>
    <t>gbenga.chukwu@outlook.com</t>
  </si>
  <si>
    <t>ORD-10136</t>
  </si>
  <si>
    <t>Tobi Otedola</t>
  </si>
  <si>
    <t>tobi.otedola@hotmail.com</t>
  </si>
  <si>
    <t>3-Shelf Display</t>
  </si>
  <si>
    <t>ORD-10137</t>
  </si>
  <si>
    <t>obinna.adeyemi@yahoo.com</t>
  </si>
  <si>
    <t>ORD-10138</t>
  </si>
  <si>
    <t>Seun Okonkwo</t>
  </si>
  <si>
    <t>ORD-10139</t>
  </si>
  <si>
    <t>same day</t>
  </si>
  <si>
    <t>Ronke Atiku</t>
  </si>
  <si>
    <t>ronke.atiku@outlook.com</t>
  </si>
  <si>
    <t>ORD-10140</t>
  </si>
  <si>
    <t>Ikenna Musa</t>
  </si>
  <si>
    <t>ikenna.musa@outlook.com</t>
  </si>
  <si>
    <t>Pringles Multipack</t>
  </si>
  <si>
    <t>ORD-10141</t>
  </si>
  <si>
    <t>aisha.musa@hotmail.com</t>
  </si>
  <si>
    <t>Address Labels A4</t>
  </si>
  <si>
    <t>ORD-10142</t>
  </si>
  <si>
    <t>Fatima Lawal</t>
  </si>
  <si>
    <t>fatima.lawal@outlook.com</t>
  </si>
  <si>
    <t>ORD-10143</t>
  </si>
  <si>
    <t>Dayo Atiku</t>
  </si>
  <si>
    <t>dayo.atiku@outlook.com</t>
  </si>
  <si>
    <t>20 units</t>
  </si>
  <si>
    <t>₦16,645.49</t>
  </si>
  <si>
    <t>ORD-10144</t>
  </si>
  <si>
    <t>Zainab Adebayo</t>
  </si>
  <si>
    <t>zainab.adebayo@hotmail.com</t>
  </si>
  <si>
    <t>10 units</t>
  </si>
  <si>
    <t>ORD-10145</t>
  </si>
  <si>
    <t>Chisom Adebayo</t>
  </si>
  <si>
    <t>ORD-10146</t>
  </si>
  <si>
    <t>Sade Adebayo</t>
  </si>
  <si>
    <t>sade.adebayo@gmail.com</t>
  </si>
  <si>
    <t>ORD-10147</t>
  </si>
  <si>
    <t>Kemi Chukwu</t>
  </si>
  <si>
    <t>kemi.chukwu@outlook.com</t>
  </si>
  <si>
    <t>0803-123-4567</t>
  </si>
  <si>
    <t>ORD-10148</t>
  </si>
  <si>
    <t>Ayo Nwosu</t>
  </si>
  <si>
    <t>ayo.nwosu@hotmail.com</t>
  </si>
  <si>
    <t>ORD-10149</t>
  </si>
  <si>
    <t>Chisom Alakija</t>
  </si>
  <si>
    <t>chisom.alakija@yahoo.com</t>
  </si>
  <si>
    <t>ORD-10150</t>
  </si>
  <si>
    <t>Taiwo Okonkwo</t>
  </si>
  <si>
    <t>taiwo.okonkwo@hotmail.com</t>
  </si>
  <si>
    <t>ORD-10151</t>
  </si>
  <si>
    <t>Tunde Fashola</t>
  </si>
  <si>
    <t>tunde.fashola@hotmail.com</t>
  </si>
  <si>
    <t>Pepper Mix 200g</t>
  </si>
  <si>
    <t>ORD-10152</t>
  </si>
  <si>
    <t>FIRST CLASS</t>
  </si>
  <si>
    <t>Kehinde Tinubu</t>
  </si>
  <si>
    <t>kehinde.tinubu@hotmail.com</t>
  </si>
  <si>
    <t>ORD-10153</t>
  </si>
  <si>
    <t>Obinna Okonkwo</t>
  </si>
  <si>
    <t xml:space="preserve">Clothing   </t>
  </si>
  <si>
    <t>ORD-10154</t>
  </si>
  <si>
    <t>Yemi Fashola</t>
  </si>
  <si>
    <t>yemi.fashola@hotmail.com</t>
  </si>
  <si>
    <t>ORD-10155</t>
  </si>
  <si>
    <t>Taiwo Ogundipe</t>
  </si>
  <si>
    <t>taiwo.ogundipe@hotmail.com</t>
  </si>
  <si>
    <t>Soouth</t>
  </si>
  <si>
    <t>ORD-10156</t>
  </si>
  <si>
    <t>Tunde Danjuma</t>
  </si>
  <si>
    <t>tunde.danjuma@gmail.com</t>
  </si>
  <si>
    <t>Staedtler HB Pencils</t>
  </si>
  <si>
    <t>₦11,709.99</t>
  </si>
  <si>
    <t>20%</t>
  </si>
  <si>
    <t>ORD-10157</t>
  </si>
  <si>
    <t>Obinna Lawal</t>
  </si>
  <si>
    <t>obinna.lawal@hotmail.com</t>
  </si>
  <si>
    <t>Colour Coding Dots</t>
  </si>
  <si>
    <t>ORD-10158</t>
  </si>
  <si>
    <t>Chibundo Alakija</t>
  </si>
  <si>
    <t>chibundo.alakija@yahoo.com</t>
  </si>
  <si>
    <t>Formal Trousers</t>
  </si>
  <si>
    <t>ORD-10159</t>
  </si>
  <si>
    <t>obinna.okonkwo@hotmail.com</t>
  </si>
  <si>
    <t>ORD-10160</t>
  </si>
  <si>
    <t>Nike Adeleke</t>
  </si>
  <si>
    <t>nike.adeleke@outlook.com</t>
  </si>
  <si>
    <t>ORD-10161</t>
  </si>
  <si>
    <t>Bukola Nwosu</t>
  </si>
  <si>
    <t>bukola.nwosu@hotmail.com</t>
  </si>
  <si>
    <t xml:space="preserve">  North</t>
  </si>
  <si>
    <t>Watercolour Set</t>
  </si>
  <si>
    <t>ORD-10162</t>
  </si>
  <si>
    <t>Ayo Okafor</t>
  </si>
  <si>
    <t>ayo.okafor@yahoo.com</t>
  </si>
  <si>
    <t>3698132.25</t>
  </si>
  <si>
    <t>ORD-10163</t>
  </si>
  <si>
    <t>Kemi Buhari</t>
  </si>
  <si>
    <t>kemi.buhari@hotmail.com</t>
  </si>
  <si>
    <t>Conference Table</t>
  </si>
  <si>
    <t>ORD-10164</t>
  </si>
  <si>
    <t>Olumide Musa</t>
  </si>
  <si>
    <t>olumide.musa@gmail.com</t>
  </si>
  <si>
    <t>Binder Clips Asst. [DISCONTINUED]</t>
  </si>
  <si>
    <t>ORD-10165</t>
  </si>
  <si>
    <t>Ibrahim Ogundipe</t>
  </si>
  <si>
    <t>ibrahim.ogundipe@yahoo.com</t>
  </si>
  <si>
    <t>Sketch Pad A3</t>
  </si>
  <si>
    <t>ORD-10166</t>
  </si>
  <si>
    <t>adebayo.okonkwo@gmail.com</t>
  </si>
  <si>
    <t>Laptop Backpack</t>
  </si>
  <si>
    <t>ORD-10167</t>
  </si>
  <si>
    <t>Tobi Musa</t>
  </si>
  <si>
    <t>tobi.musa@outlook.com</t>
  </si>
  <si>
    <t>ORD-10168</t>
  </si>
  <si>
    <t>Lanre Abubakar</t>
  </si>
  <si>
    <t>lanre.abubakar@hotmail.com</t>
  </si>
  <si>
    <t>ORD-10169</t>
  </si>
  <si>
    <t>Uchenna Eze</t>
  </si>
  <si>
    <t>ORD-10170</t>
  </si>
  <si>
    <t>Yemi Okafor</t>
  </si>
  <si>
    <t>yemi.okafor@gmail.com</t>
  </si>
  <si>
    <t>ORD-10171</t>
  </si>
  <si>
    <t>Ibrahim Dangote</t>
  </si>
  <si>
    <t>ORD-10172</t>
  </si>
  <si>
    <t>Uchenna Osei</t>
  </si>
  <si>
    <t>uchenna.osei@yahoo.com</t>
  </si>
  <si>
    <t>Round Stickers</t>
  </si>
  <si>
    <t>ORD-10173</t>
  </si>
  <si>
    <t>Dayo Eze</t>
  </si>
  <si>
    <t>dayo.eze@hotmail.com</t>
  </si>
  <si>
    <t>ORD-10174</t>
  </si>
  <si>
    <t>Gbenga Obi</t>
  </si>
  <si>
    <t>gbenga.obi@hotmail.com</t>
  </si>
  <si>
    <t>Samsung Galaxy A54</t>
  </si>
  <si>
    <t>ORD-10175</t>
  </si>
  <si>
    <t>Kemi Obi</t>
  </si>
  <si>
    <t>kemi.obi@gmail.com</t>
  </si>
  <si>
    <t>ORD-10176</t>
  </si>
  <si>
    <t>Ronke Musa</t>
  </si>
  <si>
    <t>ronke.musa@outlook.com</t>
  </si>
  <si>
    <t>Consummer</t>
  </si>
  <si>
    <t>ORD-10177</t>
  </si>
  <si>
    <t>Emeka Lawal</t>
  </si>
  <si>
    <t>ORD-10178</t>
  </si>
  <si>
    <t>Chisom Chukwu</t>
  </si>
  <si>
    <t>chisom.chukwu@gmail.com</t>
  </si>
  <si>
    <t>HP DeskJet 2710</t>
  </si>
  <si>
    <t>ORD-10179</t>
  </si>
  <si>
    <t>Taiwo Fashola</t>
  </si>
  <si>
    <t>taiwo.fashola@gmail.com</t>
  </si>
  <si>
    <t>OFfice Supplies</t>
  </si>
  <si>
    <t>Price Tag Labels</t>
  </si>
  <si>
    <t>ORD-10180</t>
  </si>
  <si>
    <t>Chibundo Okonkwo #</t>
  </si>
  <si>
    <t>chibundo.okonkwo@yahoo.com</t>
  </si>
  <si>
    <t>₦345,134.18</t>
  </si>
  <si>
    <t>ORD-10181</t>
  </si>
  <si>
    <t>Sade Adeleke</t>
  </si>
  <si>
    <t>sade.adeleke@yahoo.com</t>
  </si>
  <si>
    <t>ORD-10182</t>
  </si>
  <si>
    <t>Hauwa Eze</t>
  </si>
  <si>
    <t>hauwa.eze@outlook.com</t>
  </si>
  <si>
    <t>ORD-10183</t>
  </si>
  <si>
    <t>Olumide Fashola</t>
  </si>
  <si>
    <t>olumide.fashola@outlook.com</t>
  </si>
  <si>
    <t>ORD-10184</t>
  </si>
  <si>
    <t>chisom.okafor@gmail.com</t>
  </si>
  <si>
    <t>C5 Envelopes</t>
  </si>
  <si>
    <t>ORD-10185</t>
  </si>
  <si>
    <t>Adebayo Bello</t>
  </si>
  <si>
    <t>adebayo.bello@yahoo.com</t>
  </si>
  <si>
    <t>iPhone 13</t>
  </si>
  <si>
    <t>ORD-10187</t>
  </si>
  <si>
    <t>Fatima Adebayo</t>
  </si>
  <si>
    <t>fatima.adebayo@yahoo.com</t>
  </si>
  <si>
    <t>CORPORATE</t>
  </si>
  <si>
    <t>ORD-10188</t>
  </si>
  <si>
    <t>Femi Olawale</t>
  </si>
  <si>
    <t>femi.olawale@yahoo.com</t>
  </si>
  <si>
    <t>Plantain Chips 200g</t>
  </si>
  <si>
    <t>75117.74</t>
  </si>
  <si>
    <t>ORD-10189</t>
  </si>
  <si>
    <t>Fatima Okonkwo</t>
  </si>
  <si>
    <t>fatima.okonkwo@outlook.com</t>
  </si>
  <si>
    <t>ORD-10190</t>
  </si>
  <si>
    <t>Bukola Gambo</t>
  </si>
  <si>
    <t>bukola.gambo@gmail.com</t>
  </si>
  <si>
    <t>ORD-10191</t>
  </si>
  <si>
    <t>Kehinde Nwosu</t>
  </si>
  <si>
    <t>kehinde.nwosu@hotmail.com</t>
  </si>
  <si>
    <t>ORD-10192</t>
  </si>
  <si>
    <t>Fatima Sule</t>
  </si>
  <si>
    <t>fatima.sule@outlook.com</t>
  </si>
  <si>
    <t>L-Shaped Sectional</t>
  </si>
  <si>
    <t>2160222.91</t>
  </si>
  <si>
    <t>ORD-10193</t>
  </si>
  <si>
    <t>Chisom Okafor</t>
  </si>
  <si>
    <t>chisom.okafor@yahoo.com</t>
  </si>
  <si>
    <t>525023.69</t>
  </si>
  <si>
    <t>ORD-10194</t>
  </si>
  <si>
    <t>Chidi Obi</t>
  </si>
  <si>
    <t>chidi.obi@hotmail.com</t>
  </si>
  <si>
    <t>ORD-10195</t>
  </si>
  <si>
    <t>Obinna Osei</t>
  </si>
  <si>
    <t>obinna.osei@yahoo.com</t>
  </si>
  <si>
    <t>A4 Envelopes 50pk</t>
  </si>
  <si>
    <t>ORD-10196</t>
  </si>
  <si>
    <t>Aisha Ogundipe</t>
  </si>
  <si>
    <t>aisha.ogundipe@hotmail.com</t>
  </si>
  <si>
    <t>ORD-10197</t>
  </si>
  <si>
    <t>Yemi Musa</t>
  </si>
  <si>
    <t>yemi.musa@outlook.com</t>
  </si>
  <si>
    <t>ORD-10198</t>
  </si>
  <si>
    <t>Ngozi Bello</t>
  </si>
  <si>
    <t>ngozi.bello@outlook.com</t>
  </si>
  <si>
    <t>ORD-10199</t>
  </si>
  <si>
    <t>Uchenna Okonkwo</t>
  </si>
  <si>
    <t>uchenna.okonkwo@hotmail.com</t>
  </si>
  <si>
    <t>7327.6</t>
  </si>
  <si>
    <t>ORD-10200</t>
  </si>
  <si>
    <t>Wale Sowore</t>
  </si>
  <si>
    <t>wale.sowore@outlook.com</t>
  </si>
  <si>
    <t>ORD-10201</t>
  </si>
  <si>
    <t>ORD-10202</t>
  </si>
  <si>
    <t>ikenna.lawal@gmail.com</t>
  </si>
  <si>
    <t>ORD-10203</t>
  </si>
  <si>
    <t>Sade Sowore</t>
  </si>
  <si>
    <t>sade.sowore@hotmail.com</t>
  </si>
  <si>
    <t>Garri 10kg</t>
  </si>
  <si>
    <t>ORD-10204</t>
  </si>
  <si>
    <t>Chidi Sule (deleted)</t>
  </si>
  <si>
    <t>fURNITURE</t>
  </si>
  <si>
    <t>Standing Desk</t>
  </si>
  <si>
    <t>ORD-10205</t>
  </si>
  <si>
    <t>chidinma.tinubu@hotmail.com</t>
  </si>
  <si>
    <t>ORD-10206</t>
  </si>
  <si>
    <t>Amara Osei</t>
  </si>
  <si>
    <t>amara.osei@outlook.com</t>
  </si>
  <si>
    <t>Women's Blouse</t>
  </si>
  <si>
    <t>ORD-10207</t>
  </si>
  <si>
    <t>Ibrahim Gambo</t>
  </si>
  <si>
    <t>ORD-10208</t>
  </si>
  <si>
    <t>Musa Gambo</t>
  </si>
  <si>
    <t>musa.gambo@gmail.com</t>
  </si>
  <si>
    <t>ORD-10209</t>
  </si>
  <si>
    <t>Wale Alakija</t>
  </si>
  <si>
    <t>wale.alakija@hotmail.com</t>
  </si>
  <si>
    <t>food &amp; beverages</t>
  </si>
  <si>
    <t>ORD-10210</t>
  </si>
  <si>
    <t>Zainab Sowore</t>
  </si>
  <si>
    <t>ORD-10211</t>
  </si>
  <si>
    <t>Chidinma Lawal</t>
  </si>
  <si>
    <t>chidinma.lawal@outlook.com</t>
  </si>
  <si>
    <t>ORD-10212</t>
  </si>
  <si>
    <t>Yemi Sanusi</t>
  </si>
  <si>
    <t>yemi.sanusi@gmail.com</t>
  </si>
  <si>
    <t>ORD-10213</t>
  </si>
  <si>
    <t>Amara Tinubu</t>
  </si>
  <si>
    <t>amara.tinubu@hotmail.com</t>
  </si>
  <si>
    <t>Gym Duffel Bag</t>
  </si>
  <si>
    <t>ORD-10214</t>
  </si>
  <si>
    <t>aisha.gambo@yahoo.com</t>
  </si>
  <si>
    <t>ORD-10215</t>
  </si>
  <si>
    <t>Chibundo Sule</t>
  </si>
  <si>
    <t>chibundo.sule@outlook.com</t>
  </si>
  <si>
    <t>Oats 1kg</t>
  </si>
  <si>
    <t>ORD-10216</t>
  </si>
  <si>
    <t>Chibundo Adeleke</t>
  </si>
  <si>
    <t>chibundo.adeleke@yahoo.com</t>
  </si>
  <si>
    <t>$335,620.65</t>
  </si>
  <si>
    <t>ORD-10217</t>
  </si>
  <si>
    <t>Ngozi Okonkwo</t>
  </si>
  <si>
    <t>ngozi.okonkwo@hotmail.com</t>
  </si>
  <si>
    <t>ORD-10218</t>
  </si>
  <si>
    <t>Emeka Otedola</t>
  </si>
  <si>
    <t>emeka.otedola@yahoo.com</t>
  </si>
  <si>
    <t>ORD-10219</t>
  </si>
  <si>
    <t>ORD-10220</t>
  </si>
  <si>
    <t>zainab.abubakar@yahoo.com</t>
  </si>
  <si>
    <t>ORD-10221</t>
  </si>
  <si>
    <t>Amara Adeleke</t>
  </si>
  <si>
    <t>Ankara Print Shirt</t>
  </si>
  <si>
    <t>ORD-10222</t>
  </si>
  <si>
    <t>Ayo Alakija</t>
  </si>
  <si>
    <t>ayo.alakija@yahoo.com</t>
  </si>
  <si>
    <t>Norh</t>
  </si>
  <si>
    <t>ORD-10223</t>
  </si>
  <si>
    <t>2024/01/04</t>
  </si>
  <si>
    <t>chibundo.eze@yahoo.com</t>
  </si>
  <si>
    <t>ORD-10224</t>
  </si>
  <si>
    <t>Zainab Fashola</t>
  </si>
  <si>
    <t>zainab.fashola@outlook.com</t>
  </si>
  <si>
    <t>ORD-10225</t>
  </si>
  <si>
    <t>Chidi Lawal</t>
  </si>
  <si>
    <t>chidi.lawal@yahoo.com</t>
  </si>
  <si>
    <t>Whiteboard  Markers</t>
  </si>
  <si>
    <t>ORD-10226</t>
  </si>
  <si>
    <t>Femi Gambo</t>
  </si>
  <si>
    <t>femi.gambo@hotmail.com</t>
  </si>
  <si>
    <t>ORD-10227</t>
  </si>
  <si>
    <t>Obinna Alakija</t>
  </si>
  <si>
    <t>obinna.alakija@gmail.com</t>
  </si>
  <si>
    <t>ORD-10228</t>
  </si>
  <si>
    <t>Ronke Obi</t>
  </si>
  <si>
    <t>ronke.obi@gmail.com</t>
  </si>
  <si>
    <t>ORD-10229</t>
  </si>
  <si>
    <t>Wale Osei</t>
  </si>
  <si>
    <t>wale.osei@yahoo.com</t>
  </si>
  <si>
    <t>ORD-10230</t>
  </si>
  <si>
    <t>Olumide Osei</t>
  </si>
  <si>
    <t>olumide.osei@gmail.com</t>
  </si>
  <si>
    <t>ORD-10231</t>
  </si>
  <si>
    <t>Uchenna Gambo</t>
  </si>
  <si>
    <t>uchenna.gambo@gmail.com</t>
  </si>
  <si>
    <t>ORD-10232</t>
  </si>
  <si>
    <t>Adaeze Adebayo</t>
  </si>
  <si>
    <t>adaeze.adebayo@outlook.com</t>
  </si>
  <si>
    <t>ORD-10548</t>
  </si>
  <si>
    <t>Ronke Adebayo</t>
  </si>
  <si>
    <t>ronke.adebayo@outlook.com</t>
  </si>
  <si>
    <t>ORD-10233</t>
  </si>
  <si>
    <t>Ikenna Nwosu</t>
  </si>
  <si>
    <t>ikenna.nwosu@hotmail.com</t>
  </si>
  <si>
    <t>ORD-10234</t>
  </si>
  <si>
    <t>ronke.atiku@gmail.com</t>
  </si>
  <si>
    <t>6 units</t>
  </si>
  <si>
    <t>ORD-10235</t>
  </si>
  <si>
    <t>ORD-10236</t>
  </si>
  <si>
    <t>ayo.obi@outlook.com</t>
  </si>
  <si>
    <t>ORD-10380</t>
  </si>
  <si>
    <t>Kunle Obi</t>
  </si>
  <si>
    <t>kunle.obi@outlook.com</t>
  </si>
  <si>
    <t>Infinix Note 30</t>
  </si>
  <si>
    <t>ORD-10237</t>
  </si>
  <si>
    <t>Oluwaseun Sule</t>
  </si>
  <si>
    <t>oluwaseun.sule@gmail.com</t>
  </si>
  <si>
    <t>ORD-10238</t>
  </si>
  <si>
    <t>Nike Nwosu</t>
  </si>
  <si>
    <t>nike.nwosu@gmail.com</t>
  </si>
  <si>
    <t>ORD-10239</t>
  </si>
  <si>
    <t>Taiwo Adeleke</t>
  </si>
  <si>
    <t>taiwo.adeleke@gmail.com</t>
  </si>
  <si>
    <t>Ottoman Footstool</t>
  </si>
  <si>
    <t>ORD-10240</t>
  </si>
  <si>
    <t>Fatima Adeyemi</t>
  </si>
  <si>
    <t>fatima.adeyemi@gmail.com</t>
  </si>
  <si>
    <t>ORD-10241</t>
  </si>
  <si>
    <t>Ngozi Buhari</t>
  </si>
  <si>
    <t>ngozi.buhari@outlook.com</t>
  </si>
  <si>
    <t>consumer</t>
  </si>
  <si>
    <t>ORD-10242</t>
  </si>
  <si>
    <t>Zainab Nwosu</t>
  </si>
  <si>
    <t>zainab.nwosu@outlook.com</t>
  </si>
  <si>
    <t>Expanding File</t>
  </si>
  <si>
    <t>ORD-10243</t>
  </si>
  <si>
    <t>Chisom Olawale</t>
  </si>
  <si>
    <t>chisom.olawale@gmail.com</t>
  </si>
  <si>
    <t>ORD-10244</t>
  </si>
  <si>
    <t>Dayo Musa</t>
  </si>
  <si>
    <t>dayo.musa@gmail.com</t>
  </si>
  <si>
    <t>ORD-10245</t>
  </si>
  <si>
    <t>May 28, 2022</t>
  </si>
  <si>
    <t>Amara Fashola</t>
  </si>
  <si>
    <t>amara.fashola@outlook.com</t>
  </si>
  <si>
    <t>ORD-10246</t>
  </si>
  <si>
    <t>Oluwaseun Osei</t>
  </si>
  <si>
    <t>oluwaseun.osei@gmail.com</t>
  </si>
  <si>
    <t>ORD-10247</t>
  </si>
  <si>
    <t>Deola Musa</t>
  </si>
  <si>
    <t>deola.musa@outlook.com</t>
  </si>
  <si>
    <t>ORD-10248</t>
  </si>
  <si>
    <t>ORD-10249</t>
  </si>
  <si>
    <t>Zainab Alakija</t>
  </si>
  <si>
    <t>zainab.alakija@outlook.com</t>
  </si>
  <si>
    <t>ORD-10250</t>
  </si>
  <si>
    <t>Musa Atiku</t>
  </si>
  <si>
    <t>musa.atiku@hotmail.com</t>
  </si>
  <si>
    <t>ORD-10251</t>
  </si>
  <si>
    <t>Chisom Ogundipe</t>
  </si>
  <si>
    <t>chisom.ogundipe@yahoo.com</t>
  </si>
  <si>
    <t>ORD-10252</t>
  </si>
  <si>
    <t>Wale Otedola</t>
  </si>
  <si>
    <t>ORD-10253</t>
  </si>
  <si>
    <t>emeka.otedola@outlook.com</t>
  </si>
  <si>
    <t>ORD-10254</t>
  </si>
  <si>
    <t>Dayo Okafor</t>
  </si>
  <si>
    <t>dayo.okafor@hotmail.com</t>
  </si>
  <si>
    <t>ORD-10255</t>
  </si>
  <si>
    <t>emeka.sowore@yahoo.com</t>
  </si>
  <si>
    <t>ORD-10256</t>
  </si>
  <si>
    <t>Chidinma_Adebayo</t>
  </si>
  <si>
    <t>chidinma.adebayo@gmail.com</t>
  </si>
  <si>
    <t>ORD-10257</t>
  </si>
  <si>
    <t>Tunde Dangote</t>
  </si>
  <si>
    <t>tunde.dangote@outlook.com</t>
  </si>
  <si>
    <t>Study Table - N/A</t>
  </si>
  <si>
    <t>423880.46</t>
  </si>
  <si>
    <t>ORD-10258</t>
  </si>
  <si>
    <t>lanre.adeyemi@hotmail.com</t>
  </si>
  <si>
    <t>east</t>
  </si>
  <si>
    <t>Xiaomi Redmi 12</t>
  </si>
  <si>
    <t>25%</t>
  </si>
  <si>
    <t>ORD-10259</t>
  </si>
  <si>
    <t>Deola Danjuma</t>
  </si>
  <si>
    <t>deola.danjuma@gmail.com</t>
  </si>
  <si>
    <t>ORD-10260</t>
  </si>
  <si>
    <t>Aisha Atiku</t>
  </si>
  <si>
    <t>aisha.atiku@outlook.com</t>
  </si>
  <si>
    <t>Storage Box Set</t>
  </si>
  <si>
    <t>ORD-10261</t>
  </si>
  <si>
    <t>ayo.alakija@gmail.com</t>
  </si>
  <si>
    <t>ORD-10262</t>
  </si>
  <si>
    <t>Zainab Sule</t>
  </si>
  <si>
    <t>zainab.sule@hotmail.com</t>
  </si>
  <si>
    <t>ORD-10263</t>
  </si>
  <si>
    <t>chidi.obi@gmail.com</t>
  </si>
  <si>
    <t>ORD-10264</t>
  </si>
  <si>
    <t>Kehinde Adebayo</t>
  </si>
  <si>
    <t>kehinde.adebayo@outlook.com</t>
  </si>
  <si>
    <t>ORD-10265</t>
  </si>
  <si>
    <t>26 Mar 2024</t>
  </si>
  <si>
    <t>Bola Atiku</t>
  </si>
  <si>
    <t>bola.atiku@yahoo.com</t>
  </si>
  <si>
    <t>ORD-10266</t>
  </si>
  <si>
    <t>Kunle_Alakija</t>
  </si>
  <si>
    <t>kunle.alakija@hotmail.com</t>
  </si>
  <si>
    <t>ORD-10267</t>
  </si>
  <si>
    <t>Wale Fashola</t>
  </si>
  <si>
    <t>wale.fashola@gmail.com</t>
  </si>
  <si>
    <t>Ring Binder A4</t>
  </si>
  <si>
    <t>ORD-10268</t>
  </si>
  <si>
    <t>Sade Chukwu</t>
  </si>
  <si>
    <t>sade.chukwu@hotmail.com</t>
  </si>
  <si>
    <t>ORD-10269</t>
  </si>
  <si>
    <t>February 03, 2023</t>
  </si>
  <si>
    <t>Ikenna Danjuma</t>
  </si>
  <si>
    <t>ikenna.danjuma@gmail.com</t>
  </si>
  <si>
    <t>ORD-10270</t>
  </si>
  <si>
    <t>Kehinde Sanusi</t>
  </si>
  <si>
    <t>kehinde.sanusi@yahoo.com</t>
  </si>
  <si>
    <t>625072.0</t>
  </si>
  <si>
    <t>ORD-10271</t>
  </si>
  <si>
    <t>Obinna Dangote</t>
  </si>
  <si>
    <t>obinna.dangote@gmail.com</t>
  </si>
  <si>
    <t>5-Shelf Bookcase</t>
  </si>
  <si>
    <t>ORD-10272</t>
  </si>
  <si>
    <t>Fatima Atiku</t>
  </si>
  <si>
    <t>fatima.atiku@yahoo.com</t>
  </si>
  <si>
    <t>Study Table</t>
  </si>
  <si>
    <t>ORD-10273</t>
  </si>
  <si>
    <t>Ayo Okonkwo</t>
  </si>
  <si>
    <t>ayo.okonkwo@gmail.com</t>
  </si>
  <si>
    <t>Office  Supplies</t>
  </si>
  <si>
    <t>ORD-10274</t>
  </si>
  <si>
    <t>Oluwaseun Sanusi</t>
  </si>
  <si>
    <t>oluwaseun.sanusi@gmail.com</t>
  </si>
  <si>
    <t>ORD-10275</t>
  </si>
  <si>
    <t>2024/02/17</t>
  </si>
  <si>
    <t>Yemi Osei</t>
  </si>
  <si>
    <t>yemi.osei@outlook.com</t>
  </si>
  <si>
    <t>ORD-10276</t>
  </si>
  <si>
    <t>Ikenna Chukwu</t>
  </si>
  <si>
    <t>ikenna.chukwu@hotmail.com</t>
  </si>
  <si>
    <t>ORD-10277</t>
  </si>
  <si>
    <t>fatima.ogundipe@hotmail.com</t>
  </si>
  <si>
    <t>ORD-10278</t>
  </si>
  <si>
    <t>Olumide Atiku</t>
  </si>
  <si>
    <t>ORD-10279</t>
  </si>
  <si>
    <t>obinna.osei@hotmail.com</t>
  </si>
  <si>
    <t>ORD-10280</t>
  </si>
  <si>
    <t>Aisha Osei</t>
  </si>
  <si>
    <t>aisha.osei@yahoo.com</t>
  </si>
  <si>
    <t>Binder Clips Asst.</t>
  </si>
  <si>
    <t>ORD-10281</t>
  </si>
  <si>
    <t>fatima.lawal@gmail.com</t>
  </si>
  <si>
    <t>ORD-10282</t>
  </si>
  <si>
    <t>Yemi Chukwu</t>
  </si>
  <si>
    <t>yemi.chukwu@yahoo.com</t>
  </si>
  <si>
    <t>ORD-10283</t>
  </si>
  <si>
    <t>Adebayo Lawal</t>
  </si>
  <si>
    <t>adebayo.lawal@outlook.com</t>
  </si>
  <si>
    <t>ORD-10284</t>
  </si>
  <si>
    <t>Gbenga Adebayo</t>
  </si>
  <si>
    <t>gbenga.adebayo@hotmail.com</t>
  </si>
  <si>
    <t>ORD-10285</t>
  </si>
  <si>
    <t>nike.alakija@yahoo.com</t>
  </si>
  <si>
    <t>ORD-10286</t>
  </si>
  <si>
    <t>Oluwaseun Tinubu</t>
  </si>
  <si>
    <t>oluwaseun.tinubu@yahoo.com</t>
  </si>
  <si>
    <t>Drawing Pins Box</t>
  </si>
  <si>
    <t>ORD-10287</t>
  </si>
  <si>
    <t>Femi Obi</t>
  </si>
  <si>
    <t>femi.obi@hotmail.com</t>
  </si>
  <si>
    <t>ORD-10288</t>
  </si>
  <si>
    <t>Sade Okafor</t>
  </si>
  <si>
    <t>sade.okafor@gmail.com</t>
  </si>
  <si>
    <t>ORD-10289</t>
  </si>
  <si>
    <t>ikenna.musa@hotmail.com</t>
  </si>
  <si>
    <t>ORD-10290</t>
  </si>
  <si>
    <t>Yemi Dangote</t>
  </si>
  <si>
    <t>yemi.dangote@yahoo.com</t>
  </si>
  <si>
    <t>ORD-10291</t>
  </si>
  <si>
    <t>ngozi.lawal@yahoo.com</t>
  </si>
  <si>
    <t>ORD-10292</t>
  </si>
  <si>
    <t>Sade Abubakar</t>
  </si>
  <si>
    <t>sade.abubakar@yahoo.com</t>
  </si>
  <si>
    <t>ORD-10293</t>
  </si>
  <si>
    <t>Musa Okonkwo</t>
  </si>
  <si>
    <t>SOUTH</t>
  </si>
  <si>
    <t xml:space="preserve">  Office Supplies</t>
  </si>
  <si>
    <t>ORD-10294</t>
  </si>
  <si>
    <t>Adebayo Chukwu</t>
  </si>
  <si>
    <t>adebayo.chukwu@yahoo.com</t>
  </si>
  <si>
    <t>ORD-10295</t>
  </si>
  <si>
    <t>Tunde Sowore</t>
  </si>
  <si>
    <t>tunde.sowore@hotmail.com</t>
  </si>
  <si>
    <t>Consumr</t>
  </si>
  <si>
    <t>265172.45</t>
  </si>
  <si>
    <t>ORD-10296</t>
  </si>
  <si>
    <t>ORD-10297</t>
  </si>
  <si>
    <t>Ibrahim Tinubu</t>
  </si>
  <si>
    <t>ibrahim.tinubu@hotmail.com</t>
  </si>
  <si>
    <t>ORD-10298</t>
  </si>
  <si>
    <t>tunde.nwosu@gmail.com</t>
  </si>
  <si>
    <t xml:space="preserve">Katsina   </t>
  </si>
  <si>
    <t>14296.16</t>
  </si>
  <si>
    <t>ORD-10299</t>
  </si>
  <si>
    <t>ORD-10300</t>
  </si>
  <si>
    <t>ORD-10301</t>
  </si>
  <si>
    <t>Gbenga Okonkwo</t>
  </si>
  <si>
    <t>gbenga.okonkwo@outlook.com</t>
  </si>
  <si>
    <t>Sticky Notes Pack</t>
  </si>
  <si>
    <t>ORD-10302</t>
  </si>
  <si>
    <t>Wall-Mounted Shelf ???</t>
  </si>
  <si>
    <t>ORD-10303</t>
  </si>
  <si>
    <t xml:space="preserve">  Emeka Atiku</t>
  </si>
  <si>
    <t>emeka.atiku@hotmail.com</t>
  </si>
  <si>
    <t>ORD-10304</t>
  </si>
  <si>
    <t>Chisom Otedola</t>
  </si>
  <si>
    <t>chisom.otedola@yahoo.com</t>
  </si>
  <si>
    <t>ORD-10305</t>
  </si>
  <si>
    <t>Kemi Osei</t>
  </si>
  <si>
    <t>kemi.osei@gmail.com</t>
  </si>
  <si>
    <t>ORD-10306</t>
  </si>
  <si>
    <t>kehinde.nwosu@yahoo.com</t>
  </si>
  <si>
    <t>ORD-10307</t>
  </si>
  <si>
    <t>ORD-10308</t>
  </si>
  <si>
    <t>bola.atiku@gmail.com</t>
  </si>
  <si>
    <t>4 units</t>
  </si>
  <si>
    <t>ORD-10309</t>
  </si>
  <si>
    <t>Ronke Buhari</t>
  </si>
  <si>
    <t>ORD-10310</t>
  </si>
  <si>
    <t>chidi.musa@hotmail.com</t>
  </si>
  <si>
    <t>Officce Supplies</t>
  </si>
  <si>
    <t>ORD-10311</t>
  </si>
  <si>
    <t>Dayo Fashola</t>
  </si>
  <si>
    <t>dayo.fashola@gmail.com</t>
  </si>
  <si>
    <t>ORD-10312</t>
  </si>
  <si>
    <t>Ngozi Tinubu</t>
  </si>
  <si>
    <t>ngozi.tinubu@outlook.com</t>
  </si>
  <si>
    <t>ORD-10313</t>
  </si>
  <si>
    <t>Kehinde Okafor</t>
  </si>
  <si>
    <t>kehinde.okafor@hotmail.com</t>
  </si>
  <si>
    <t>ORD-10314</t>
  </si>
  <si>
    <t>Kehinde Adeyemi</t>
  </si>
  <si>
    <t>kehinde.adeyemi@outlook.com</t>
  </si>
  <si>
    <t>ORD-10315</t>
  </si>
  <si>
    <t>Musa Bello</t>
  </si>
  <si>
    <t>musa.bello@yahoo.com</t>
  </si>
  <si>
    <t>ORD-10316</t>
  </si>
  <si>
    <t>dayo.lawal@hotmail.com</t>
  </si>
  <si>
    <t>ORD-10317</t>
  </si>
  <si>
    <t>Ibrahim Musa</t>
  </si>
  <si>
    <t>ibrahim.musa@yahoo.com</t>
  </si>
  <si>
    <t>ORD-10318</t>
  </si>
  <si>
    <t>olumide.fashola@gmail.com</t>
  </si>
  <si>
    <t>78103.1</t>
  </si>
  <si>
    <t>ORD-10319</t>
  </si>
  <si>
    <t>Oluwaseun Eze</t>
  </si>
  <si>
    <t>oluwaseun.eze@gmail.com</t>
  </si>
  <si>
    <t>ORD-10834</t>
  </si>
  <si>
    <t>Sade Olawale</t>
  </si>
  <si>
    <t>sade.olawale@outlook.com</t>
  </si>
  <si>
    <t>Filing Cabinet</t>
  </si>
  <si>
    <t>ORD-10320</t>
  </si>
  <si>
    <t>Fatima Fashola</t>
  </si>
  <si>
    <t>fatima.fashola@yahoo.com</t>
  </si>
  <si>
    <t>ORD-10321</t>
  </si>
  <si>
    <t>Chidinma Otedola</t>
  </si>
  <si>
    <t>chidinma.otedola@hotmail.com</t>
  </si>
  <si>
    <t>ORD-10322</t>
  </si>
  <si>
    <t>Fatima Bello</t>
  </si>
  <si>
    <t>fatima.bello@yahoo.com</t>
  </si>
  <si>
    <t>Noth</t>
  </si>
  <si>
    <t>ORD-10425</t>
  </si>
  <si>
    <t>Aisha Adeleke</t>
  </si>
  <si>
    <t>aisha.adeleke@hotmail.com</t>
  </si>
  <si>
    <t>ORD-10323</t>
  </si>
  <si>
    <t>Maggi Cubes 100pk ???</t>
  </si>
  <si>
    <t>ORD-10324</t>
  </si>
  <si>
    <t>ngozi.bello@hotmail.com</t>
  </si>
  <si>
    <t>ORD-10325</t>
  </si>
  <si>
    <t>Chidinma Gambo</t>
  </si>
  <si>
    <t>chidinma.gambo@gmail.com</t>
  </si>
  <si>
    <t>ORD-10326</t>
  </si>
  <si>
    <t>Kehinde Atiku</t>
  </si>
  <si>
    <t>kehinde.atiku@gmail.com</t>
  </si>
  <si>
    <t>Consmer</t>
  </si>
  <si>
    <t>ORD-10327</t>
  </si>
  <si>
    <t>05 Oct 2024</t>
  </si>
  <si>
    <t>Ayo Abubakar</t>
  </si>
  <si>
    <t>ayo.abubakar@outlook.com</t>
  </si>
  <si>
    <t>ORD-10328</t>
  </si>
  <si>
    <t>18 Dec 2023</t>
  </si>
  <si>
    <t>Chidi Tinubu</t>
  </si>
  <si>
    <t>chidi.tinubu@yahoo.com</t>
  </si>
  <si>
    <t>Watercolour  Set</t>
  </si>
  <si>
    <t>ORD-10329</t>
  </si>
  <si>
    <t>Kehinde Alakija</t>
  </si>
  <si>
    <t>kehinde.alakija@gmail.com</t>
  </si>
  <si>
    <t>₦166,632.12</t>
  </si>
  <si>
    <t>ORD-10330</t>
  </si>
  <si>
    <t>Chibundo Atiku</t>
  </si>
  <si>
    <t>chibundo.atiku@gmail.com</t>
  </si>
  <si>
    <t>SOTH</t>
  </si>
  <si>
    <t>ORD-10331</t>
  </si>
  <si>
    <t>Adaeze Olawale</t>
  </si>
  <si>
    <t>adaeze.olawale@yahoo.com</t>
  </si>
  <si>
    <t>ORD-10332</t>
  </si>
  <si>
    <t>Olumide Gambo</t>
  </si>
  <si>
    <t>olumide.gambo@outlook.com</t>
  </si>
  <si>
    <t>ORD-10333</t>
  </si>
  <si>
    <t>Musa Osei</t>
  </si>
  <si>
    <t>musa.osei@hotmail.com</t>
  </si>
  <si>
    <t>ORD-10334</t>
  </si>
  <si>
    <t>Ronke Bello</t>
  </si>
  <si>
    <t>ronke.bello@gmail.com</t>
  </si>
  <si>
    <t>ORD-10335</t>
  </si>
  <si>
    <t>Musa Nwosu</t>
  </si>
  <si>
    <t>musa.nwosu@outlook.com</t>
  </si>
  <si>
    <t>ORD-10336</t>
  </si>
  <si>
    <t>taiwo.osei@outlook.com</t>
  </si>
  <si>
    <t>ORD-10337</t>
  </si>
  <si>
    <t>Chidinma Adeleke</t>
  </si>
  <si>
    <t>chidinma.adeleke@gmail.com</t>
  </si>
  <si>
    <t>Recliner Chair</t>
  </si>
  <si>
    <t>ORD-10338</t>
  </si>
  <si>
    <t>adebayo.bello@hotmail.com</t>
  </si>
  <si>
    <t>Women's Palazzo</t>
  </si>
  <si>
    <t>ORD-10339</t>
  </si>
  <si>
    <t>Wale Okonkwo</t>
  </si>
  <si>
    <t>wale.okonkwo@gmail.com</t>
  </si>
  <si>
    <t>ORD-10340</t>
  </si>
  <si>
    <t>Taiwo Tinubu</t>
  </si>
  <si>
    <t>taiwo.tinubu@gmail.com</t>
  </si>
  <si>
    <t>ORD-10341</t>
  </si>
  <si>
    <t>Oluwaseun Danjuma</t>
  </si>
  <si>
    <t>oluwaseun.danjuma@outlook.com</t>
  </si>
  <si>
    <t>ORD-10342</t>
  </si>
  <si>
    <t>Deola Bello</t>
  </si>
  <si>
    <t>deola.bello@hotmail.com</t>
  </si>
  <si>
    <t>ORD-10343</t>
  </si>
  <si>
    <t>ORD-10344</t>
  </si>
  <si>
    <t>Taiwo Gambo</t>
  </si>
  <si>
    <t>taiwo.gambo@outlook.com</t>
  </si>
  <si>
    <t>ORD-10345</t>
  </si>
  <si>
    <t>Kemi Nwosu</t>
  </si>
  <si>
    <t>ORD-10346</t>
  </si>
  <si>
    <t>sade.okafor@hotmail.com</t>
  </si>
  <si>
    <t>17 units</t>
  </si>
  <si>
    <t>ORD-10347</t>
  </si>
  <si>
    <t>2023/01/16</t>
  </si>
  <si>
    <t>Deola Okonkwo</t>
  </si>
  <si>
    <t>deola.okonkwo@hotmail.com</t>
  </si>
  <si>
    <t>ORD-10348</t>
  </si>
  <si>
    <t>sade.okafor@outlook.com</t>
  </si>
  <si>
    <t>ORD-10349</t>
  </si>
  <si>
    <t>First  Class</t>
  </si>
  <si>
    <t>kunle.fashola@hotmail.com</t>
  </si>
  <si>
    <t>ORD-10350</t>
  </si>
  <si>
    <t>Nike Sule</t>
  </si>
  <si>
    <t>nike.sule@gmail.com</t>
  </si>
  <si>
    <t>Easst</t>
  </si>
  <si>
    <t>ORD-10351</t>
  </si>
  <si>
    <t>Standard  Class</t>
  </si>
  <si>
    <t>lanre.atiku@yahoo.com</t>
  </si>
  <si>
    <t>ORD-10352</t>
  </si>
  <si>
    <t>Chibundo Buhari</t>
  </si>
  <si>
    <t>chibundo.buhari@hotmail.com</t>
  </si>
  <si>
    <t>ORD-10353</t>
  </si>
  <si>
    <t>Gbenga Sanusi</t>
  </si>
  <si>
    <t>gbenga.sanusi@yahoo.com</t>
  </si>
  <si>
    <t>ORD-10354</t>
  </si>
  <si>
    <t>Yemi Otedola</t>
  </si>
  <si>
    <t>yemi.otedola@outlook.com</t>
  </si>
  <si>
    <t>ORD-10355</t>
  </si>
  <si>
    <t>adaeze.sowore@yahoo.com</t>
  </si>
  <si>
    <t>HP Pavilion 15</t>
  </si>
  <si>
    <t>ORD-10356</t>
  </si>
  <si>
    <t>first class</t>
  </si>
  <si>
    <t>emeka.okonkwo@gmail.com</t>
  </si>
  <si>
    <t xml:space="preserve">  Onitsha</t>
  </si>
  <si>
    <t>ORD-10357</t>
  </si>
  <si>
    <t>Adebayo Sowore</t>
  </si>
  <si>
    <t>adebayo.sowore@gmail.com</t>
  </si>
  <si>
    <t>11 units</t>
  </si>
  <si>
    <t>ORD-10358</t>
  </si>
  <si>
    <t>Ngozi Chukwu</t>
  </si>
  <si>
    <t>ngozi.chukwu@outlook.com</t>
  </si>
  <si>
    <t>ORD-10359</t>
  </si>
  <si>
    <t>Yemi Adeleke</t>
  </si>
  <si>
    <t>yemi.adeleke@gmail.com</t>
  </si>
  <si>
    <t>ORD-10360</t>
  </si>
  <si>
    <t>Dayo Obi</t>
  </si>
  <si>
    <t>dayo.obi@hotmail.com</t>
  </si>
  <si>
    <t>ORD-10361</t>
  </si>
  <si>
    <t>sade.adebayo@outlook.com</t>
  </si>
  <si>
    <t>Paper Clips Box [DISCONTINUED]</t>
  </si>
  <si>
    <t>2 units</t>
  </si>
  <si>
    <t>ORD-10362</t>
  </si>
  <si>
    <t>olumide.atiku@yahoo.com</t>
  </si>
  <si>
    <t>ORD-10363</t>
  </si>
  <si>
    <t>Adaeze Adeleke</t>
  </si>
  <si>
    <t>adaeze.adeleke@outlook.com</t>
  </si>
  <si>
    <t>ORD-10364</t>
  </si>
  <si>
    <t>Wale Tinubu</t>
  </si>
  <si>
    <t>wale.tinubu@gmail.com</t>
  </si>
  <si>
    <t>ORD-10365</t>
  </si>
  <si>
    <t>Bola Sanusi</t>
  </si>
  <si>
    <t>bola.sanusi@yahoo.com</t>
  </si>
  <si>
    <t>ORD-10366</t>
  </si>
  <si>
    <t>Bola Chukwu</t>
  </si>
  <si>
    <t>bola.chukwu@yahoo.com</t>
  </si>
  <si>
    <t>ORD-10367</t>
  </si>
  <si>
    <t>Chidi Adeyemi</t>
  </si>
  <si>
    <t>chidi.adeyemi@gmail.com</t>
  </si>
  <si>
    <t>73338.01</t>
  </si>
  <si>
    <t>ORD-10368</t>
  </si>
  <si>
    <t>Ayo Musa</t>
  </si>
  <si>
    <t>ayo.musa@outlook.com</t>
  </si>
  <si>
    <t>ORD-10369</t>
  </si>
  <si>
    <t>ORD-10370</t>
  </si>
  <si>
    <t>Emeka Bello</t>
  </si>
  <si>
    <t>ORD-10371</t>
  </si>
  <si>
    <t>Chisom Abubakar</t>
  </si>
  <si>
    <t>chisom.abubakar@gmail.com</t>
  </si>
  <si>
    <t>ORD-10372</t>
  </si>
  <si>
    <t>2022/12/31</t>
  </si>
  <si>
    <t>Uchenna Okafor</t>
  </si>
  <si>
    <t>uchenna.okafor@hotmail.com</t>
  </si>
  <si>
    <t>ORD-10373</t>
  </si>
  <si>
    <t>Zainab Eze</t>
  </si>
  <si>
    <t>zainab.eze@yahoo.com</t>
  </si>
  <si>
    <t>ORD-10374</t>
  </si>
  <si>
    <t>Oluwaseun Atiku</t>
  </si>
  <si>
    <t>oluwaseun.atiku@yahoo.com</t>
  </si>
  <si>
    <t>ORD-10375</t>
  </si>
  <si>
    <t>Oluwaseun Dangote</t>
  </si>
  <si>
    <t>oluwaseun.dangote@hotmail.com</t>
  </si>
  <si>
    <t>ORD-10376</t>
  </si>
  <si>
    <t>Kunle Sowore</t>
  </si>
  <si>
    <t>kunle.sowore@outlook.com</t>
  </si>
  <si>
    <t>ORD-10377</t>
  </si>
  <si>
    <t>Chidinma Obi</t>
  </si>
  <si>
    <t>chidinma.obi@outlook.com</t>
  </si>
  <si>
    <t>ORD-10378</t>
  </si>
  <si>
    <t>23 Apr 2022</t>
  </si>
  <si>
    <t>ORD-10379</t>
  </si>
  <si>
    <t xml:space="preserve">  Kunle Atiku</t>
  </si>
  <si>
    <t>kunle.atiku@yahoo.com</t>
  </si>
  <si>
    <t>Pilot G2 Gel Pens</t>
  </si>
  <si>
    <t>ORD-10381</t>
  </si>
  <si>
    <t>Wale Okafor</t>
  </si>
  <si>
    <t>wale.okafor@yahoo.com</t>
  </si>
  <si>
    <t>ORD-10382</t>
  </si>
  <si>
    <t>Ronke Tinubu</t>
  </si>
  <si>
    <t>ronke.tinubu@outlook.com</t>
  </si>
  <si>
    <t>ORD-10396</t>
  </si>
  <si>
    <t>gbenga.obi@outlook.com</t>
  </si>
  <si>
    <t>ORD-10383</t>
  </si>
  <si>
    <t>Zainab Sanusi</t>
  </si>
  <si>
    <t>zainab.sanusi@outlook.com</t>
  </si>
  <si>
    <t>ORD-10384</t>
  </si>
  <si>
    <t>Bola Adeleke</t>
  </si>
  <si>
    <t>bola.adeleke@outlook.com</t>
  </si>
  <si>
    <t>ORD-10385</t>
  </si>
  <si>
    <t>Bola Okonkwo</t>
  </si>
  <si>
    <t>bola.okonkwo@hotmail.com</t>
  </si>
  <si>
    <t>ORD-10386</t>
  </si>
  <si>
    <t>bola.atiku@hotmail.com</t>
  </si>
  <si>
    <t>ORD-10387</t>
  </si>
  <si>
    <t>ORD-10388</t>
  </si>
  <si>
    <t>uchenna.okonkwo@outlook.com</t>
  </si>
  <si>
    <t>ORD-10389</t>
  </si>
  <si>
    <t>Lanre Alakija</t>
  </si>
  <si>
    <t>lanre.alakija@gmail.com</t>
  </si>
  <si>
    <t>ORD-10390</t>
  </si>
  <si>
    <t>kehinde.buhari@yahoo.com</t>
  </si>
  <si>
    <t>ORD-10391</t>
  </si>
  <si>
    <t>Gbenga_Tinubu</t>
  </si>
  <si>
    <t>gbenga.tinubu@hotmail.com</t>
  </si>
  <si>
    <t>8 units</t>
  </si>
  <si>
    <t>ORD-10392</t>
  </si>
  <si>
    <t>Tobi Tinubu</t>
  </si>
  <si>
    <t>tobi.tinubu@hotmail.com</t>
  </si>
  <si>
    <t>ORD-10393</t>
  </si>
  <si>
    <t>Lenovo Tab M10</t>
  </si>
  <si>
    <t>ORD-10394</t>
  </si>
  <si>
    <t>ORD-10395</t>
  </si>
  <si>
    <t>Seun Dangote</t>
  </si>
  <si>
    <t>seun.dangote@yahoo.com</t>
  </si>
  <si>
    <t>Salt 1kg [DISCONTINUED]</t>
  </si>
  <si>
    <t>ORD-10397</t>
  </si>
  <si>
    <t>kemi.nwosu@yahoo.com</t>
  </si>
  <si>
    <t>ORD-10398</t>
  </si>
  <si>
    <t>Tobi Adeleke</t>
  </si>
  <si>
    <t>tobi.adeleke@gmail.com</t>
  </si>
  <si>
    <t>ORD-10399</t>
  </si>
  <si>
    <t>Aisha Lawal</t>
  </si>
  <si>
    <t>aisha.lawal@yahoo.com</t>
  </si>
  <si>
    <t xml:space="preserve">  Technology</t>
  </si>
  <si>
    <t>$1,543,782.56</t>
  </si>
  <si>
    <t>ORD-10400</t>
  </si>
  <si>
    <t>olumide.sowore@gmail.com</t>
  </si>
  <si>
    <t>ORD-10401</t>
  </si>
  <si>
    <t>Wale Buhari</t>
  </si>
  <si>
    <t>wale.buhari@outlook.com</t>
  </si>
  <si>
    <t>₦2,826.49</t>
  </si>
  <si>
    <t>ORD-10402</t>
  </si>
  <si>
    <t>Musa Lawal</t>
  </si>
  <si>
    <t>musa.lawal@gmail.com</t>
  </si>
  <si>
    <t>OFFICE SUPPLIES</t>
  </si>
  <si>
    <t>ORD-10403</t>
  </si>
  <si>
    <t>aisha.musa@outlook.com</t>
  </si>
  <si>
    <t>Ottoman  Footstool</t>
  </si>
  <si>
    <t>ORD-10404</t>
  </si>
  <si>
    <t>Dayo Chukwu</t>
  </si>
  <si>
    <t>dayo.chukwu@yahoo.com</t>
  </si>
  <si>
    <t>ORD-10405</t>
  </si>
  <si>
    <t>Deola Sowore</t>
  </si>
  <si>
    <t>deola.sowore@outlook.com</t>
  </si>
  <si>
    <t>ORD-10406</t>
  </si>
  <si>
    <t>Bukola Osei</t>
  </si>
  <si>
    <t>bukola.osei@gmail.com</t>
  </si>
  <si>
    <t>ORD-10407</t>
  </si>
  <si>
    <t>Oluwaseun Okafor</t>
  </si>
  <si>
    <t>oluwaseun.okafor@outlook.com</t>
  </si>
  <si>
    <t>ORD-10408</t>
  </si>
  <si>
    <t>Wale Danjuma</t>
  </si>
  <si>
    <t>wale.danjuma@hotmail.com</t>
  </si>
  <si>
    <t>Bic Ballpoint Pack</t>
  </si>
  <si>
    <t>ORD-10409</t>
  </si>
  <si>
    <t>Oluwaseun Adebayo</t>
  </si>
  <si>
    <t>oluwaseun.adebayo@outlook.com</t>
  </si>
  <si>
    <t>ORD-10832</t>
  </si>
  <si>
    <t>Yemi Abubakar</t>
  </si>
  <si>
    <t>yemi.abubakar@gmail.com</t>
  </si>
  <si>
    <t>ORD-10410</t>
  </si>
  <si>
    <t>ORD-10411</t>
  </si>
  <si>
    <t>Yemi Obi</t>
  </si>
  <si>
    <t>yemi.obi@yahoo.com</t>
  </si>
  <si>
    <t>ORD-10412</t>
  </si>
  <si>
    <t>Gbenga Danjuma</t>
  </si>
  <si>
    <t>gbenga.danjuma@hotmail.com</t>
  </si>
  <si>
    <t>ORD-10413</t>
  </si>
  <si>
    <t>Dayo Sule</t>
  </si>
  <si>
    <t>ORD-10414</t>
  </si>
  <si>
    <t>adebayo.chukwu@hotmail.com</t>
  </si>
  <si>
    <t>ORD-10415</t>
  </si>
  <si>
    <t>Chibundo Chukwu</t>
  </si>
  <si>
    <t>chibundo.chukwu@outlook.com</t>
  </si>
  <si>
    <t>ORD-10416</t>
  </si>
  <si>
    <t>***Oluwaseun Tinubu</t>
  </si>
  <si>
    <t>oluwaseun.tinubu@gmail.com</t>
  </si>
  <si>
    <t>ORD-10417</t>
  </si>
  <si>
    <t>Deola Eze</t>
  </si>
  <si>
    <t>deola.eze@gmail.com</t>
  </si>
  <si>
    <t>ORD-10418</t>
  </si>
  <si>
    <t>Adaeze Gambo</t>
  </si>
  <si>
    <t>adaeze.gambo@hotmail.com</t>
  </si>
  <si>
    <t>ORD-10419</t>
  </si>
  <si>
    <t>Bola Osei</t>
  </si>
  <si>
    <t>bola.osei@hotmail.com</t>
  </si>
  <si>
    <t>ORD-10420</t>
  </si>
  <si>
    <t>Chidinma Eze</t>
  </si>
  <si>
    <t>chidinma.eze@outlook.com</t>
  </si>
  <si>
    <t>ORD-10421</t>
  </si>
  <si>
    <t>Chisom Sule</t>
  </si>
  <si>
    <t>chisom.sule@hotmail.com</t>
  </si>
  <si>
    <t>ORD-10422</t>
  </si>
  <si>
    <t>Tunde Adebayo</t>
  </si>
  <si>
    <t>tunde.adebayo@hotmail.com</t>
  </si>
  <si>
    <t>ORD-10423</t>
  </si>
  <si>
    <t>Kehinde Musa</t>
  </si>
  <si>
    <t>kehinde.musa@gmail.com</t>
  </si>
  <si>
    <t>south</t>
  </si>
  <si>
    <t>ORD-10424</t>
  </si>
  <si>
    <t>sade.ogundipe@outlook.com</t>
  </si>
  <si>
    <t>080312345678901</t>
  </si>
  <si>
    <t>2023/06/21</t>
  </si>
  <si>
    <t>ORD-10426</t>
  </si>
  <si>
    <t>Bola Abubakar</t>
  </si>
  <si>
    <t>bola.abubakar@yahoo.com</t>
  </si>
  <si>
    <t>ORD-10427</t>
  </si>
  <si>
    <t>Amara Eze</t>
  </si>
  <si>
    <t>amara.eze@outlook.com</t>
  </si>
  <si>
    <t>ORD-10428</t>
  </si>
  <si>
    <t>oluwaseun.atiku@outlook.com</t>
  </si>
  <si>
    <t>ORD-10429</t>
  </si>
  <si>
    <t xml:space="preserve">  Uchenna Okafor</t>
  </si>
  <si>
    <t>uchenna.okafor@gmail.com</t>
  </si>
  <si>
    <t>ORD-10430</t>
  </si>
  <si>
    <t>Chisom Adeleke</t>
  </si>
  <si>
    <t>chisom.adeleke@yahoo.com</t>
  </si>
  <si>
    <t>ORD-10431</t>
  </si>
  <si>
    <t>Ngozi Nwosu</t>
  </si>
  <si>
    <t>ngozi.nwosu@yahoo.com</t>
  </si>
  <si>
    <t>ORD-10432</t>
  </si>
  <si>
    <t>wale.bello@yahoo.com</t>
  </si>
  <si>
    <t>ORD-10433</t>
  </si>
  <si>
    <t>Hauwa Buhari</t>
  </si>
  <si>
    <t>hauwa.buhari@hotmail.com</t>
  </si>
  <si>
    <t>ORD-10434</t>
  </si>
  <si>
    <t>ORD-10435</t>
  </si>
  <si>
    <t>ORD-10436</t>
  </si>
  <si>
    <t>10/02/2024</t>
  </si>
  <si>
    <t>Gbenga Sowore</t>
  </si>
  <si>
    <t>gbenga.sowore@yahoo.com</t>
  </si>
  <si>
    <t>ORD-10437</t>
  </si>
  <si>
    <t>Oluwaseun Musa</t>
  </si>
  <si>
    <t>oluwaseun.musa@gmail.com</t>
  </si>
  <si>
    <t>ORD-10438</t>
  </si>
  <si>
    <t>2023/09/08</t>
  </si>
  <si>
    <t>Kemi Sowore</t>
  </si>
  <si>
    <t>kemi.sowore@outlook.com</t>
  </si>
  <si>
    <t>Food &amp;Beverages</t>
  </si>
  <si>
    <t>ORD-10439</t>
  </si>
  <si>
    <t>Kehinde Gambo</t>
  </si>
  <si>
    <t>kehinde.gambo@outlook.com</t>
  </si>
  <si>
    <t>6379.05</t>
  </si>
  <si>
    <t>ORD-10440</t>
  </si>
  <si>
    <t>lanre.atiku@hotmail.com</t>
  </si>
  <si>
    <t>ORD-10441</t>
  </si>
  <si>
    <t>bola.okonkwo@yahoo.com</t>
  </si>
  <si>
    <t>ORD-10442</t>
  </si>
  <si>
    <t>musa.bello@gmail.com</t>
  </si>
  <si>
    <t>ORD-10443</t>
  </si>
  <si>
    <t>oluwaseun.okonkwo@gmail.com</t>
  </si>
  <si>
    <t>ORD-10444</t>
  </si>
  <si>
    <t>Chibundo Lawal</t>
  </si>
  <si>
    <t>chibundo.lawal@hotmail.com</t>
  </si>
  <si>
    <t>ORD-10445</t>
  </si>
  <si>
    <t>Femi Tinubu</t>
  </si>
  <si>
    <t>femi.tinubu@hotmail.com</t>
  </si>
  <si>
    <t>ORD-10446</t>
  </si>
  <si>
    <t>lanre.sowore@outlook.com</t>
  </si>
  <si>
    <t>furniture</t>
  </si>
  <si>
    <t>ORD-10447</t>
  </si>
  <si>
    <t>Kemi Adeyemi</t>
  </si>
  <si>
    <t>kemi.adeyemi@yahoo.com</t>
  </si>
  <si>
    <t>ORD-10448</t>
  </si>
  <si>
    <t>Dayo Adeleke</t>
  </si>
  <si>
    <t>dayo.adeleke@gmail.com</t>
  </si>
  <si>
    <t>ORD-10449</t>
  </si>
  <si>
    <t>Ngozi Fashola</t>
  </si>
  <si>
    <t>ngozi.fashola@hotmail.com</t>
  </si>
  <si>
    <t>ORD-10450</t>
  </si>
  <si>
    <t>missing@</t>
  </si>
  <si>
    <t>ORD-10451</t>
  </si>
  <si>
    <t>Kunle Osei</t>
  </si>
  <si>
    <t>kunle.osei@outlook.com</t>
  </si>
  <si>
    <t>ORD-10452</t>
  </si>
  <si>
    <t>Oluwaseun Ogundipe</t>
  </si>
  <si>
    <t>oluwaseun.ogundipe@hotmail.com</t>
  </si>
  <si>
    <t>ORD-10453</t>
  </si>
  <si>
    <t>Ngozi Olawale</t>
  </si>
  <si>
    <t>ngozi.olawale@gmail.com</t>
  </si>
  <si>
    <t>ORD-10454</t>
  </si>
  <si>
    <t>Ikenna Fashola</t>
  </si>
  <si>
    <t>ikenna.fashola@yahoo.com</t>
  </si>
  <si>
    <t>ORD-10455</t>
  </si>
  <si>
    <t>18 units</t>
  </si>
  <si>
    <t>ORD-10843</t>
  </si>
  <si>
    <t>Olumide Adebayo</t>
  </si>
  <si>
    <t>olumide.adebayo@hotmail.com</t>
  </si>
  <si>
    <t>Paper Clips Box</t>
  </si>
  <si>
    <t>ORD-10456</t>
  </si>
  <si>
    <t>tobi.tinubu@outlook.com</t>
  </si>
  <si>
    <t>ORD-10457</t>
  </si>
  <si>
    <t>Nike Sowore</t>
  </si>
  <si>
    <t>nike.sowore@yahoo.com</t>
  </si>
  <si>
    <t>ORD-10458</t>
  </si>
  <si>
    <t>Sade Musa</t>
  </si>
  <si>
    <t>sade.musa@gmail.com</t>
  </si>
  <si>
    <t>ORD-10459</t>
  </si>
  <si>
    <t>Wale Atiku</t>
  </si>
  <si>
    <t>wale.atiku@hotmail.com</t>
  </si>
  <si>
    <t>ORD-10460</t>
  </si>
  <si>
    <t>Taiwo Adebayo</t>
  </si>
  <si>
    <t>taiwo.adebayo@gmail.com</t>
  </si>
  <si>
    <t>ORD-10461</t>
  </si>
  <si>
    <t>Amara Sule</t>
  </si>
  <si>
    <t>amara.sule@yahoo.com</t>
  </si>
  <si>
    <t>ORD-10462</t>
  </si>
  <si>
    <t>Kehinde Fashola</t>
  </si>
  <si>
    <t>kehinde.fashola@outlook.com</t>
  </si>
  <si>
    <t>ORD-10463</t>
  </si>
  <si>
    <t>Chidinma Abubakar</t>
  </si>
  <si>
    <t>chidinma.abubakar@hotmail.com</t>
  </si>
  <si>
    <t>ORD-10464</t>
  </si>
  <si>
    <t>Ronke Nwosu</t>
  </si>
  <si>
    <t>ronke.nwosu@hotmail.com</t>
  </si>
  <si>
    <t>ORD-10465</t>
  </si>
  <si>
    <t>Wale Lawal</t>
  </si>
  <si>
    <t>wale.lawal@gmail.com</t>
  </si>
  <si>
    <t>ORD-10466</t>
  </si>
  <si>
    <t>Fatima Chukwu</t>
  </si>
  <si>
    <t>fatima.chukwu@gmail.com</t>
  </si>
  <si>
    <t>ORD-10467</t>
  </si>
  <si>
    <t>Chibundo Osei</t>
  </si>
  <si>
    <t>chibundo.osei@outlook.com</t>
  </si>
  <si>
    <t>ORD-10468</t>
  </si>
  <si>
    <t>taiwo.ogundipe@gmail.com</t>
  </si>
  <si>
    <t>ORD-10469</t>
  </si>
  <si>
    <t>Dayo Nwosu</t>
  </si>
  <si>
    <t>dayo.nwosu@yahoo.com</t>
  </si>
  <si>
    <t>$2,496,276.86</t>
  </si>
  <si>
    <t>ORD-10470</t>
  </si>
  <si>
    <t>Kunle Chukwu</t>
  </si>
  <si>
    <t>kunle.chukwu@outlook.com</t>
  </si>
  <si>
    <t>oFFICE sUPPLIES</t>
  </si>
  <si>
    <t>ORD-10471</t>
  </si>
  <si>
    <t>Taiwo Chukwu</t>
  </si>
  <si>
    <t>taiwo.chukwu@hotmail.com</t>
  </si>
  <si>
    <t>ORD-10472</t>
  </si>
  <si>
    <t>Kemi Tinubu</t>
  </si>
  <si>
    <t>kemi.tinubu@gmail.com</t>
  </si>
  <si>
    <t>ORD-10473</t>
  </si>
  <si>
    <t>chidinma.gambo@outlook.com</t>
  </si>
  <si>
    <t>ORD-10474</t>
  </si>
  <si>
    <t>Ayo Tinubu</t>
  </si>
  <si>
    <t>ayo.tinubu@outlook.com</t>
  </si>
  <si>
    <t>ORD-10475</t>
  </si>
  <si>
    <t>Kehinde Sowore</t>
  </si>
  <si>
    <t>ORD-10476</t>
  </si>
  <si>
    <t>ORD-10477</t>
  </si>
  <si>
    <t>Chisom Okonkwo</t>
  </si>
  <si>
    <t>ORD-10478</t>
  </si>
  <si>
    <t>First Clas</t>
  </si>
  <si>
    <t>Yemi Okonkwo</t>
  </si>
  <si>
    <t>ORD-10479</t>
  </si>
  <si>
    <t>Ayo Fashola</t>
  </si>
  <si>
    <t>ayo.fashola@gmail.com</t>
  </si>
  <si>
    <t>NORTH</t>
  </si>
  <si>
    <t>ORD-10480</t>
  </si>
  <si>
    <t>ayo.tinubu@hotmail.com</t>
  </si>
  <si>
    <t>ORD-10481</t>
  </si>
  <si>
    <t>Adebayo_Sule</t>
  </si>
  <si>
    <t>adebayo.sule@hotmail.com</t>
  </si>
  <si>
    <t>HOME OFFICE</t>
  </si>
  <si>
    <t>ORD-10482</t>
  </si>
  <si>
    <t>dayo.chukwu@outlook.com</t>
  </si>
  <si>
    <t>ORD-10483</t>
  </si>
  <si>
    <t>seun.sanusi@outlook.com</t>
  </si>
  <si>
    <t>ORD-10484</t>
  </si>
  <si>
    <t>Musa Sule</t>
  </si>
  <si>
    <t>musa.sule@gmail.com</t>
  </si>
  <si>
    <t>ORD-10485</t>
  </si>
  <si>
    <t>Wale Abubakar</t>
  </si>
  <si>
    <t>wale.abubakar@gmail.com</t>
  </si>
  <si>
    <t>ORD-10486</t>
  </si>
  <si>
    <t>INVALID</t>
  </si>
  <si>
    <t>ORD-10487</t>
  </si>
  <si>
    <t>Tobi Atiku</t>
  </si>
  <si>
    <t>tobi.atiku@yahoo.com</t>
  </si>
  <si>
    <t>ORD-10488</t>
  </si>
  <si>
    <t>Gbenga Fashola</t>
  </si>
  <si>
    <t>gbenga.fashola@yahoo.com</t>
  </si>
  <si>
    <t>ORD-10489</t>
  </si>
  <si>
    <t>Deola Ogundipe</t>
  </si>
  <si>
    <t>deola.ogundipe@yahoo.com</t>
  </si>
  <si>
    <t>ORD-10490</t>
  </si>
  <si>
    <t>ORD-10491</t>
  </si>
  <si>
    <t>Ibrahim Abubakar</t>
  </si>
  <si>
    <t>ibrahim.abubakar@yahoo.com</t>
  </si>
  <si>
    <t>ORD-10492</t>
  </si>
  <si>
    <t>Nike Fashola</t>
  </si>
  <si>
    <t>nike.fashola@outlook.com</t>
  </si>
  <si>
    <t>ORD-10493</t>
  </si>
  <si>
    <t>ORD-10494</t>
  </si>
  <si>
    <t>ORD-10495</t>
  </si>
  <si>
    <t>Obinna Sule</t>
  </si>
  <si>
    <t>obinna.sule@hotmail.com</t>
  </si>
  <si>
    <t xml:space="preserve">Sunglasses UV400   </t>
  </si>
  <si>
    <t>ORD-10496</t>
  </si>
  <si>
    <t>sade.osei@yahoo.com</t>
  </si>
  <si>
    <t>ORD-10497</t>
  </si>
  <si>
    <t>Adaeze Abubakar</t>
  </si>
  <si>
    <t>adaeze.abubakar@hotmail.com</t>
  </si>
  <si>
    <t>ORD-10498</t>
  </si>
  <si>
    <t>ORD-10499</t>
  </si>
  <si>
    <t>Musa Musa</t>
  </si>
  <si>
    <t>musa.musa@hotmail.com</t>
  </si>
  <si>
    <t>ORD-10500</t>
  </si>
  <si>
    <t>11/18/2022</t>
  </si>
  <si>
    <t>kemi.otedola@hotmail.com</t>
  </si>
  <si>
    <t>ORD-10501</t>
  </si>
  <si>
    <t>ORD-10502</t>
  </si>
  <si>
    <t>adebayo.adebayo@outlook.com</t>
  </si>
  <si>
    <t>ORD-10503</t>
  </si>
  <si>
    <t>aisha.chukwu@outlook.com</t>
  </si>
  <si>
    <t>$3,216,438.54</t>
  </si>
  <si>
    <t>ORD-10504</t>
  </si>
  <si>
    <t>email.com</t>
  </si>
  <si>
    <t>ORD-10505</t>
  </si>
  <si>
    <t>Bola Obi</t>
  </si>
  <si>
    <t>bola.obi@yahoo.com</t>
  </si>
  <si>
    <t>ORD-10506</t>
  </si>
  <si>
    <t>Nike Bello</t>
  </si>
  <si>
    <t>nike.bello@hotmail.com</t>
  </si>
  <si>
    <t>₦206,686.23</t>
  </si>
  <si>
    <t>ORD-10507</t>
  </si>
  <si>
    <t>ORD-10508</t>
  </si>
  <si>
    <t>Chidi Osei</t>
  </si>
  <si>
    <t>chidi.osei@yahoo.com</t>
  </si>
  <si>
    <t>ORD-10509</t>
  </si>
  <si>
    <t>ORD-10510</t>
  </si>
  <si>
    <t>Emeka Musa</t>
  </si>
  <si>
    <t>emeka.musa@yahoo.com</t>
  </si>
  <si>
    <t>ORD-10511</t>
  </si>
  <si>
    <t>Fatima Tinubu</t>
  </si>
  <si>
    <t>fatima.tinubu@outlook.com</t>
  </si>
  <si>
    <t>ORD-10512</t>
  </si>
  <si>
    <t>Ayo Buhari</t>
  </si>
  <si>
    <t>ayo.buhari@gmail.com</t>
  </si>
  <si>
    <t>ORD-10513</t>
  </si>
  <si>
    <t>Deola Fashola</t>
  </si>
  <si>
    <t>deola.fashola@outlook.com</t>
  </si>
  <si>
    <t>ORD-10514</t>
  </si>
  <si>
    <t>Ngozi Sowore</t>
  </si>
  <si>
    <t>ngozi.sowore@yahoo.com</t>
  </si>
  <si>
    <t>FOOD &amp; BEVERAGES</t>
  </si>
  <si>
    <t>ORD-10515</t>
  </si>
  <si>
    <t>Kemi Musa!!</t>
  </si>
  <si>
    <t>kemi.musa@yahoo.com</t>
  </si>
  <si>
    <t>ORD-10516</t>
  </si>
  <si>
    <t>Nike Danjuma</t>
  </si>
  <si>
    <t>nike.danjuma@hotmail.com</t>
  </si>
  <si>
    <t>ORD-10517</t>
  </si>
  <si>
    <t>Amara Buhari</t>
  </si>
  <si>
    <t>amara.buhari@hotmail.com</t>
  </si>
  <si>
    <t>ORD-10518</t>
  </si>
  <si>
    <t>Adaeze Okafor</t>
  </si>
  <si>
    <t>adaeze.okafor@hotmail.com</t>
  </si>
  <si>
    <t>ORD-10519</t>
  </si>
  <si>
    <t>Gbenga Tinubu</t>
  </si>
  <si>
    <t>gbenga.tinubu@gmail.com</t>
  </si>
  <si>
    <t>ORD-10520</t>
  </si>
  <si>
    <t>Chidinma Ogundipe</t>
  </si>
  <si>
    <t>chidinma.ogundipe@yahoo.com</t>
  </si>
  <si>
    <t>ORD-10521</t>
  </si>
  <si>
    <t>Sade Tinubu</t>
  </si>
  <si>
    <t>sade.tinubu@hotmail.com</t>
  </si>
  <si>
    <t>Food&amp;Beverages</t>
  </si>
  <si>
    <t>ORD-10522</t>
  </si>
  <si>
    <t>Kehinde Buhari</t>
  </si>
  <si>
    <t>kehinde.buhari@outlook.com</t>
  </si>
  <si>
    <t>ORD-10523</t>
  </si>
  <si>
    <t>Ronke Ogundipe</t>
  </si>
  <si>
    <t>ronke.ogundipe@outlook.com</t>
  </si>
  <si>
    <t>ORD-10524</t>
  </si>
  <si>
    <t>Ngozi Atiku</t>
  </si>
  <si>
    <t>ngozi.atiku@yahoo.com</t>
  </si>
  <si>
    <t>ORD-10525</t>
  </si>
  <si>
    <t>Femi Musa</t>
  </si>
  <si>
    <t>femi.musa@outlook.com</t>
  </si>
  <si>
    <t>ORD-10526</t>
  </si>
  <si>
    <t>Wale Sanusi</t>
  </si>
  <si>
    <t>wale.sanusi@outlook.com</t>
  </si>
  <si>
    <t>ORD-10527</t>
  </si>
  <si>
    <t>Chidi Fashola</t>
  </si>
  <si>
    <t>chidi.fashola@hotmail.com</t>
  </si>
  <si>
    <t>ORD-10528</t>
  </si>
  <si>
    <t>chisom.okonkwo@outlook.com</t>
  </si>
  <si>
    <t>ORD-10529</t>
  </si>
  <si>
    <t>Salt 1kg</t>
  </si>
  <si>
    <t>ORD-10530</t>
  </si>
  <si>
    <t>hauwa.nwosu@yahoo.com</t>
  </si>
  <si>
    <t>ORD-10531</t>
  </si>
  <si>
    <t>Bukola Tinubu</t>
  </si>
  <si>
    <t>bukola.tinubu@hotmail.com</t>
  </si>
  <si>
    <t>ORD-10532</t>
  </si>
  <si>
    <t>Bola Eze</t>
  </si>
  <si>
    <t>bola.eze@gmail.com</t>
  </si>
  <si>
    <t>ORD-10533</t>
  </si>
  <si>
    <t>Lanre Otedola</t>
  </si>
  <si>
    <t>lanre.otedola@yahoo.com</t>
  </si>
  <si>
    <t>ORD-10534</t>
  </si>
  <si>
    <t>08/01/2024</t>
  </si>
  <si>
    <t>Seun Gambo</t>
  </si>
  <si>
    <t>seun.gambo@outlook.com</t>
  </si>
  <si>
    <t>139315.05</t>
  </si>
  <si>
    <t>ORD-10535</t>
  </si>
  <si>
    <t>Ibrahim Sanusi</t>
  </si>
  <si>
    <t>ibrahim.sanusi@outlook.com</t>
  </si>
  <si>
    <t>TECHNOLOGY</t>
  </si>
  <si>
    <t>ORD-10536</t>
  </si>
  <si>
    <t>Amara Otedola</t>
  </si>
  <si>
    <t>amara.otedola@hotmail.com</t>
  </si>
  <si>
    <t>ORD-10537</t>
  </si>
  <si>
    <t>Lanre Lawal</t>
  </si>
  <si>
    <t>lanre.lawal@gmail.com</t>
  </si>
  <si>
    <t>ORD-10538</t>
  </si>
  <si>
    <t>SECOND CLASS</t>
  </si>
  <si>
    <t>Kehinde Bello</t>
  </si>
  <si>
    <t>kehinde.bello@yahoo.com</t>
  </si>
  <si>
    <t>ORD-10539</t>
  </si>
  <si>
    <t>Ikenna Abubakar</t>
  </si>
  <si>
    <t>ikenna.abubakar@gmail.com</t>
  </si>
  <si>
    <t>Briefcase</t>
  </si>
  <si>
    <t>ORD-10540</t>
  </si>
  <si>
    <t>***Uchenna Okonkwo</t>
  </si>
  <si>
    <t>uchenna.okonkwo@gmail.com</t>
  </si>
  <si>
    <t>ORD-10541</t>
  </si>
  <si>
    <t>gbenga.danjuma@yahoo.com</t>
  </si>
  <si>
    <t>ORD-10542</t>
  </si>
  <si>
    <t>fatima.lawal@yahoo.com</t>
  </si>
  <si>
    <t>ORD-10543</t>
  </si>
  <si>
    <t>Uchenna Otedola</t>
  </si>
  <si>
    <t>uchenna.otedola@yahoo.com</t>
  </si>
  <si>
    <t>ORD-10544</t>
  </si>
  <si>
    <t>deola.otedola@yahoo.com</t>
  </si>
  <si>
    <t>ORD-10545</t>
  </si>
  <si>
    <t>Tunde Otedola</t>
  </si>
  <si>
    <t>tunde.otedola@outlook.com</t>
  </si>
  <si>
    <t>ORD-10546</t>
  </si>
  <si>
    <t>Uchenna Danjuma</t>
  </si>
  <si>
    <t>uchenna.danjuma@yahoo.com</t>
  </si>
  <si>
    <t>ORD-10547</t>
  </si>
  <si>
    <t>ORD-10549</t>
  </si>
  <si>
    <t>dayo.obi@yahoo.com</t>
  </si>
  <si>
    <t>ORD-10550</t>
  </si>
  <si>
    <t>ORD-10551</t>
  </si>
  <si>
    <t>Tunde Atiku</t>
  </si>
  <si>
    <t>tunde.atiku@yahoo.com</t>
  </si>
  <si>
    <t>ORD-10552</t>
  </si>
  <si>
    <t>dayo.sowore@gmail.com</t>
  </si>
  <si>
    <t>ORD-10553</t>
  </si>
  <si>
    <t>Fatima Musa</t>
  </si>
  <si>
    <t>fatima.musa@outlook.com</t>
  </si>
  <si>
    <t>ORD-10554</t>
  </si>
  <si>
    <t>gbenga.sanusi@outlook.com</t>
  </si>
  <si>
    <t>ORD-10555</t>
  </si>
  <si>
    <t>Chidi Alakija</t>
  </si>
  <si>
    <t>chidi.alakija@hotmail.com</t>
  </si>
  <si>
    <t>ORD-10556</t>
  </si>
  <si>
    <t>ORD-10557</t>
  </si>
  <si>
    <t>Olumide Adeyemi</t>
  </si>
  <si>
    <t>olumide.adeyemi@yahoo.com</t>
  </si>
  <si>
    <t>Techology</t>
  </si>
  <si>
    <t>ORD-10558</t>
  </si>
  <si>
    <t>Femi Bello</t>
  </si>
  <si>
    <t>ORD-10559</t>
  </si>
  <si>
    <t>Chidi Buhari</t>
  </si>
  <si>
    <t>chidi.buhari@yahoo.com</t>
  </si>
  <si>
    <t>₦20,676.13</t>
  </si>
  <si>
    <t>ORD-10560</t>
  </si>
  <si>
    <t>Hauwa Chukwu</t>
  </si>
  <si>
    <t>hauwa.chukwu@gmail.com</t>
  </si>
  <si>
    <t xml:space="preserve">  West</t>
  </si>
  <si>
    <t>ORD-10561</t>
  </si>
  <si>
    <t>Kemi Olawale</t>
  </si>
  <si>
    <t>kemi.olawale@gmail.com</t>
  </si>
  <si>
    <t>ORD-10562</t>
  </si>
  <si>
    <t>May 22, 2024</t>
  </si>
  <si>
    <t>Ngozi Dangote</t>
  </si>
  <si>
    <t>ngozi.dangote@hotmail.com</t>
  </si>
  <si>
    <t>Office Supply</t>
  </si>
  <si>
    <t>ORD-10563</t>
  </si>
  <si>
    <t>04/17/2022</t>
  </si>
  <si>
    <t>Ibrahim Eze</t>
  </si>
  <si>
    <t>ibrahim.eze@hotmail.com</t>
  </si>
  <si>
    <t>ORD-10564</t>
  </si>
  <si>
    <t>Uchenna Atiku</t>
  </si>
  <si>
    <t>uchenna.atiku@outlook.com</t>
  </si>
  <si>
    <t>ORD-10565</t>
  </si>
  <si>
    <t>Olumide Bello</t>
  </si>
  <si>
    <t>olumide.bello@gmail.com</t>
  </si>
  <si>
    <t>ORD-10566</t>
  </si>
  <si>
    <t>Uchenna Fashola</t>
  </si>
  <si>
    <t>uchenna.fashola@gmail.com</t>
  </si>
  <si>
    <t>ORD-10567</t>
  </si>
  <si>
    <t>Ikenna Sanusi</t>
  </si>
  <si>
    <t>ikenna.sanusi@gmail.com</t>
  </si>
  <si>
    <t>ORD-10568</t>
  </si>
  <si>
    <t>Adebayo Dangote</t>
  </si>
  <si>
    <t>adebayo.dangote@outlook.com</t>
  </si>
  <si>
    <t>ORD-10569</t>
  </si>
  <si>
    <t>Femi Lawal</t>
  </si>
  <si>
    <t>femi.lawal@gmail.com</t>
  </si>
  <si>
    <t>ORD-10570</t>
  </si>
  <si>
    <t>Chidi Gambo</t>
  </si>
  <si>
    <t>chidi.gambo@outlook.com</t>
  </si>
  <si>
    <t>ORD-10571</t>
  </si>
  <si>
    <t>chisom.chukwu@yahoo.com</t>
  </si>
  <si>
    <t>₦133,527.65</t>
  </si>
  <si>
    <t>ORD-10572</t>
  </si>
  <si>
    <t>Fatima Nwosu</t>
  </si>
  <si>
    <t>fatima.nwosu@hotmail.com</t>
  </si>
  <si>
    <t>ORD-10573</t>
  </si>
  <si>
    <t>adebayo.tinubu@hotmail.com</t>
  </si>
  <si>
    <t>ORD-10574</t>
  </si>
  <si>
    <t>Seun Tinubu</t>
  </si>
  <si>
    <t>seun.tinubu@gmail.com</t>
  </si>
  <si>
    <t>ORD-10575</t>
  </si>
  <si>
    <t>hauwa.adeleke@outlook.com</t>
  </si>
  <si>
    <t>ORD-10576</t>
  </si>
  <si>
    <t>Oluwaseun Olawale</t>
  </si>
  <si>
    <t>oluwaseun.olawale@yahoo.com</t>
  </si>
  <si>
    <t>ORD-10577</t>
  </si>
  <si>
    <t>803 1234567</t>
  </si>
  <si>
    <t>ORD-10578</t>
  </si>
  <si>
    <t>ORD-10579</t>
  </si>
  <si>
    <t>ORD-10580</t>
  </si>
  <si>
    <t>Bukola Otedola</t>
  </si>
  <si>
    <t>bukola.otedola@yahoo.com</t>
  </si>
  <si>
    <t>ORD-10581</t>
  </si>
  <si>
    <t>ORD-10582</t>
  </si>
  <si>
    <t>Seun Olawale</t>
  </si>
  <si>
    <t>seun.olawale@gmail.com</t>
  </si>
  <si>
    <t>40169.54</t>
  </si>
  <si>
    <t>ORD-10583</t>
  </si>
  <si>
    <t>Hauwa Musa</t>
  </si>
  <si>
    <t>hauwa.musa@gmail.com</t>
  </si>
  <si>
    <t>ORD-10584</t>
  </si>
  <si>
    <t>Seun Adeleke</t>
  </si>
  <si>
    <t>seun.adeleke@gmail.com</t>
  </si>
  <si>
    <t>ORD-10585</t>
  </si>
  <si>
    <t>+1-800-555-0199</t>
  </si>
  <si>
    <t>ORD-10586</t>
  </si>
  <si>
    <t>aisha.adeleke@outlook.com</t>
  </si>
  <si>
    <t>ORD-10587</t>
  </si>
  <si>
    <t>deola.okonkwo@outlook.com</t>
  </si>
  <si>
    <t>ORD-10588</t>
  </si>
  <si>
    <t>ORD-10589</t>
  </si>
  <si>
    <t>ORD-10590</t>
  </si>
  <si>
    <t>adaeze.eze@outlook.com</t>
  </si>
  <si>
    <t>ORD-10591</t>
  </si>
  <si>
    <t>Sade Sanusi</t>
  </si>
  <si>
    <t>sade.sanusi@gmail.com</t>
  </si>
  <si>
    <t>ORD-10592</t>
  </si>
  <si>
    <t>Tobi Buhari</t>
  </si>
  <si>
    <t>tobi.buhari@hotmail.com</t>
  </si>
  <si>
    <t>₦32,222.80</t>
  </si>
  <si>
    <t>ORD-10593</t>
  </si>
  <si>
    <t>Chibundo Dangote</t>
  </si>
  <si>
    <t>chibundo.dangote@hotmail.com</t>
  </si>
  <si>
    <t>ORD-10594</t>
  </si>
  <si>
    <t xml:space="preserve">Zainab Olawale   </t>
  </si>
  <si>
    <t>zainab.olawale@hotmail.com</t>
  </si>
  <si>
    <t>ORD-10595</t>
  </si>
  <si>
    <t>Tunde Osei</t>
  </si>
  <si>
    <t>tunde.osei@outlook.com</t>
  </si>
  <si>
    <t>ORD-10596</t>
  </si>
  <si>
    <t>Emeka Alakija</t>
  </si>
  <si>
    <t>emeka.alakija@hotmail.com</t>
  </si>
  <si>
    <t>ORD-10597</t>
  </si>
  <si>
    <t>Sade Eze</t>
  </si>
  <si>
    <t>sade.eze@hotmail.com</t>
  </si>
  <si>
    <t>ORD-10598</t>
  </si>
  <si>
    <t>Chibundo Sanusi</t>
  </si>
  <si>
    <t>chibundo.sanusi@hotmail.com</t>
  </si>
  <si>
    <t>Wst</t>
  </si>
  <si>
    <t>ORD-10599</t>
  </si>
  <si>
    <t>chisom.okonkwo@yahoo.com</t>
  </si>
  <si>
    <t>ORD-10600</t>
  </si>
  <si>
    <t>Ibrahim Atiku</t>
  </si>
  <si>
    <t>ibrahim.atiku@yahoo.com</t>
  </si>
  <si>
    <t>ORD-10601</t>
  </si>
  <si>
    <t>wale.tinubu@hotmail.com</t>
  </si>
  <si>
    <t>Highlighters Set</t>
  </si>
  <si>
    <t>ORD-10602</t>
  </si>
  <si>
    <t>oluwaseun.olawale@outlook.com</t>
  </si>
  <si>
    <t>ORD-10603</t>
  </si>
  <si>
    <t>ORD-10604</t>
  </si>
  <si>
    <t>Bola Adebayo</t>
  </si>
  <si>
    <t>bola.adebayo@hotmail.com</t>
  </si>
  <si>
    <t>ORD-10605</t>
  </si>
  <si>
    <t>Amara Okafor</t>
  </si>
  <si>
    <t>amara.okafor@outlook.com</t>
  </si>
  <si>
    <t>ORD-10606</t>
  </si>
  <si>
    <t>kemi.tinubu@hotmail.com</t>
  </si>
  <si>
    <t>ORD-10607</t>
  </si>
  <si>
    <t>chisom.nwosu@gmail.com</t>
  </si>
  <si>
    <t>ORD-10608</t>
  </si>
  <si>
    <t>Obinna Adeyemi</t>
  </si>
  <si>
    <t>ORD-10609</t>
  </si>
  <si>
    <t>Adebayo Alakija</t>
  </si>
  <si>
    <t>adebayo.alakija@gmail.com</t>
  </si>
  <si>
    <t>ORD-10610</t>
  </si>
  <si>
    <t>ORD-10611</t>
  </si>
  <si>
    <t>Obinna Sanusi</t>
  </si>
  <si>
    <t>obinna.sanusi@gmail.com</t>
  </si>
  <si>
    <t>A3 Paper Ream</t>
  </si>
  <si>
    <t>ORD-10612</t>
  </si>
  <si>
    <t>ORD-10613</t>
  </si>
  <si>
    <t>Musa Chukwu</t>
  </si>
  <si>
    <t>musa.chukwu@yahoo.com</t>
  </si>
  <si>
    <t>19 units</t>
  </si>
  <si>
    <t>ORD-10614</t>
  </si>
  <si>
    <t>chisom.alakija@gmail.com</t>
  </si>
  <si>
    <t>ORD-10615</t>
  </si>
  <si>
    <t>Ikenna Okonkwo</t>
  </si>
  <si>
    <t>ikenna.okonkwo@gmail.com</t>
  </si>
  <si>
    <t xml:space="preserve">Joggers   </t>
  </si>
  <si>
    <t>ORD-10616</t>
  </si>
  <si>
    <t>ibrahim.fashola@outlook.com</t>
  </si>
  <si>
    <t>ORD-10617</t>
  </si>
  <si>
    <t>chisom.nwosu@yahoo.com</t>
  </si>
  <si>
    <t>ORD-10618</t>
  </si>
  <si>
    <t>amara.tinubu@gmail.com</t>
  </si>
  <si>
    <t>ORD-10619</t>
  </si>
  <si>
    <t>Femi Osei</t>
  </si>
  <si>
    <t>femi.osei@outlook.com</t>
  </si>
  <si>
    <t>ORD-10620</t>
  </si>
  <si>
    <t>Amara Abubakar</t>
  </si>
  <si>
    <t>amara.abubakar@gmail.com</t>
  </si>
  <si>
    <t>ORD-10621</t>
  </si>
  <si>
    <t>emeka.bello@gmail.com</t>
  </si>
  <si>
    <t>ORD-10622</t>
  </si>
  <si>
    <t>Seun Buhari</t>
  </si>
  <si>
    <t>seun.buhari@hotmail.com</t>
  </si>
  <si>
    <t>Technlogy</t>
  </si>
  <si>
    <t>₦119,627.70</t>
  </si>
  <si>
    <t>ORD-10623</t>
  </si>
  <si>
    <t>sade.adebayo@yahoo.com</t>
  </si>
  <si>
    <t>ORD-10624</t>
  </si>
  <si>
    <t>Lanre Buhari</t>
  </si>
  <si>
    <t>lanre.buhari@outlook.com</t>
  </si>
  <si>
    <t>ORD-10625</t>
  </si>
  <si>
    <t>Tunde Chukwu</t>
  </si>
  <si>
    <t>tunde.chukwu@hotmail.com</t>
  </si>
  <si>
    <t>fOOD &amp; bEVERAGES</t>
  </si>
  <si>
    <t>ORD-10626</t>
  </si>
  <si>
    <t>02 Sep 2024</t>
  </si>
  <si>
    <t>Obinna Chukwu</t>
  </si>
  <si>
    <t>obinna.chukwu@gmail.com</t>
  </si>
  <si>
    <t>15%</t>
  </si>
  <si>
    <t>ORD-10627</t>
  </si>
  <si>
    <t>Chidinma Atiku</t>
  </si>
  <si>
    <t>chidinma.atiku@hotmail.com</t>
  </si>
  <si>
    <t>ORD-10628</t>
  </si>
  <si>
    <t>bola.adeleke@gmail.com</t>
  </si>
  <si>
    <t>ORD-10629</t>
  </si>
  <si>
    <t>aisha.sule@yahoo.com</t>
  </si>
  <si>
    <t>ORD-10630</t>
  </si>
  <si>
    <t>Adaeze Fashola</t>
  </si>
  <si>
    <t>adaeze.fashola@yahoo.com</t>
  </si>
  <si>
    <t>ORD-10631</t>
  </si>
  <si>
    <t>Hauwa Sanusi</t>
  </si>
  <si>
    <t>hauwa.sanusi@gmail.com</t>
  </si>
  <si>
    <t>ORD-10632</t>
  </si>
  <si>
    <t>Obinna Otedola</t>
  </si>
  <si>
    <t>obinna.otedola@outlook.com</t>
  </si>
  <si>
    <t>ORD-10633</t>
  </si>
  <si>
    <t>zainab.sowore@yahoo.com</t>
  </si>
  <si>
    <t>4250489.17</t>
  </si>
  <si>
    <t>ORD-10634</t>
  </si>
  <si>
    <t>Ronke Adeyemi</t>
  </si>
  <si>
    <t>ronke.adeyemi@outlook.com</t>
  </si>
  <si>
    <t>Coporate</t>
  </si>
  <si>
    <t>ORD-10635</t>
  </si>
  <si>
    <t>nike.bello@gmail.com</t>
  </si>
  <si>
    <t>ORD-10636</t>
  </si>
  <si>
    <t>Adebayo Adeleke</t>
  </si>
  <si>
    <t>adebayo.adeleke@yahoo.com</t>
  </si>
  <si>
    <t>ORD-10637</t>
  </si>
  <si>
    <t>Femi Okafor</t>
  </si>
  <si>
    <t>femi.okafor@yahoo.com</t>
  </si>
  <si>
    <t>₦12,092.86</t>
  </si>
  <si>
    <t>ORD-10638</t>
  </si>
  <si>
    <t>deola.eze@yahoo.com</t>
  </si>
  <si>
    <t>ORD-10639</t>
  </si>
  <si>
    <t>bukola.adeyemi@hotmail.com</t>
  </si>
  <si>
    <t>ORD-10640</t>
  </si>
  <si>
    <t>Chibundo Fashola</t>
  </si>
  <si>
    <t>chibundo.fashola@gmail.com</t>
  </si>
  <si>
    <t>ORD-10641</t>
  </si>
  <si>
    <t>ORD-10642</t>
  </si>
  <si>
    <t>lanre.sowore@gmail.com</t>
  </si>
  <si>
    <t>ORD-10643</t>
  </si>
  <si>
    <t>Ayo Obi</t>
  </si>
  <si>
    <t>ayo.obi@yahoo.com</t>
  </si>
  <si>
    <t>ORD-10644</t>
  </si>
  <si>
    <t>bola.eze@hotmail.com</t>
  </si>
  <si>
    <t>ORD-10645</t>
  </si>
  <si>
    <t>ORD-10646</t>
  </si>
  <si>
    <t>oluwaseun.okafor@gmail.com</t>
  </si>
  <si>
    <t>ORD-10647</t>
  </si>
  <si>
    <t>adebayo.chukwu@gmail.com</t>
  </si>
  <si>
    <t>ORD-10648</t>
  </si>
  <si>
    <t>Femi Sule</t>
  </si>
  <si>
    <t>femi.sule@outlook.com</t>
  </si>
  <si>
    <t>ORD-10649</t>
  </si>
  <si>
    <t>Tunde Adeleke</t>
  </si>
  <si>
    <t>tunde.adeleke@gmail.com</t>
  </si>
  <si>
    <t>ORD-10650</t>
  </si>
  <si>
    <t>Ngozi Alakija</t>
  </si>
  <si>
    <t>ngozi.alakija@outlook.com</t>
  </si>
  <si>
    <t>ORD-10651</t>
  </si>
  <si>
    <t>05 Feb 2023</t>
  </si>
  <si>
    <t>wale.fashola@outlook.com</t>
  </si>
  <si>
    <t>ORD-10652</t>
  </si>
  <si>
    <t>Chibundo Danjuma</t>
  </si>
  <si>
    <t>chibundo.danjuma@gmail.com</t>
  </si>
  <si>
    <t>ORD-10653</t>
  </si>
  <si>
    <t>oluwaseun.tinubu@hotmail.com</t>
  </si>
  <si>
    <t>ORD-10654</t>
  </si>
  <si>
    <t>Nike Gambo</t>
  </si>
  <si>
    <t>nike.gambo@outlook.com</t>
  </si>
  <si>
    <t>ORD-10655</t>
  </si>
  <si>
    <t>tobi.tinubu@gmail.com</t>
  </si>
  <si>
    <t>ORD-10656</t>
  </si>
  <si>
    <t>Obinna Musa</t>
  </si>
  <si>
    <t>obinna.musa@hotmail.com</t>
  </si>
  <si>
    <t>ORD-10657</t>
  </si>
  <si>
    <t>ORD-10658</t>
  </si>
  <si>
    <t>Oluwaseun Otedola</t>
  </si>
  <si>
    <t>oluwaseun.otedola@yahoo.com</t>
  </si>
  <si>
    <t>ORD-10659</t>
  </si>
  <si>
    <t>Bukola Danjuma</t>
  </si>
  <si>
    <t>bukola.danjuma@gmail.com</t>
  </si>
  <si>
    <t>ORD-10660</t>
  </si>
  <si>
    <t>deola.olawale@hotmail.com</t>
  </si>
  <si>
    <t>ORD-10661</t>
  </si>
  <si>
    <t>hauwa.dangote@outlook.com</t>
  </si>
  <si>
    <t>ORD-10662</t>
  </si>
  <si>
    <t>Taiwo Nwosu</t>
  </si>
  <si>
    <t>taiwo.nwosu@gmail.com</t>
  </si>
  <si>
    <t>ORD-10663</t>
  </si>
  <si>
    <t>ngozi.chukwu@hotmail.com</t>
  </si>
  <si>
    <t>ORD-10664</t>
  </si>
  <si>
    <t>March 06, 2022</t>
  </si>
  <si>
    <t>Amara Alakija</t>
  </si>
  <si>
    <t>amara.alakija@outlook.com</t>
  </si>
  <si>
    <t>ORD-10665</t>
  </si>
  <si>
    <t>ORD-10666</t>
  </si>
  <si>
    <t>ayo.chukwu@outlook.com</t>
  </si>
  <si>
    <t>ORD-10667</t>
  </si>
  <si>
    <t>Emeka Adebayo</t>
  </si>
  <si>
    <t>emeka.adebayo@hotmail.com</t>
  </si>
  <si>
    <t>ORD-10668</t>
  </si>
  <si>
    <t>ORD-10669</t>
  </si>
  <si>
    <t>Tobi Chukwu</t>
  </si>
  <si>
    <t>tobi.chukwu@gmail.com</t>
  </si>
  <si>
    <t>8428.68</t>
  </si>
  <si>
    <t>ORD-10670</t>
  </si>
  <si>
    <t>kehinde.adebayo@hotmail.com</t>
  </si>
  <si>
    <t>ORD-10671</t>
  </si>
  <si>
    <t>emeka.eze@yahoo.com</t>
  </si>
  <si>
    <t>Oluwaseun Adebayo!!</t>
  </si>
  <si>
    <t>ORD-10672</t>
  </si>
  <si>
    <t>sade.musa@yahoo.com</t>
  </si>
  <si>
    <t>ORD-10673</t>
  </si>
  <si>
    <t>musa.gambo@outlook.com</t>
  </si>
  <si>
    <t>₦86,401.24</t>
  </si>
  <si>
    <t>ORD-10674</t>
  </si>
  <si>
    <t>Uchenna Tinubu</t>
  </si>
  <si>
    <t>uchenna.tinubu@hotmail.com</t>
  </si>
  <si>
    <t>ORD-10675</t>
  </si>
  <si>
    <t>Adaeze Osei</t>
  </si>
  <si>
    <t>adaeze.osei@gmail.com</t>
  </si>
  <si>
    <t>ORD-10676</t>
  </si>
  <si>
    <t>1048843.42</t>
  </si>
  <si>
    <t>ORD-10677</t>
  </si>
  <si>
    <t>adaeze.gambo@outlook.com</t>
  </si>
  <si>
    <t>tECHNOLOGY</t>
  </si>
  <si>
    <t>ORD-10678</t>
  </si>
  <si>
    <t>Lanre Gambo</t>
  </si>
  <si>
    <t>lanre.gambo@gmail.com</t>
  </si>
  <si>
    <t>Food&amp; Beverages</t>
  </si>
  <si>
    <t>ORD-10679</t>
  </si>
  <si>
    <t xml:space="preserve">south   </t>
  </si>
  <si>
    <t>ORD-10680</t>
  </si>
  <si>
    <t>Ronke Chukwu</t>
  </si>
  <si>
    <t>ronke.chukwu@outlook.com</t>
  </si>
  <si>
    <t>ORD-10681</t>
  </si>
  <si>
    <t>Seun Bello (deleted)</t>
  </si>
  <si>
    <t>seun.bello@yahoo.com</t>
  </si>
  <si>
    <t>ORD-10682</t>
  </si>
  <si>
    <t>kehinde.ogundipe@hotmail.com</t>
  </si>
  <si>
    <t>ORD-10683</t>
  </si>
  <si>
    <t>bola.adebayo@gmail.com</t>
  </si>
  <si>
    <t>ORD-10684</t>
  </si>
  <si>
    <t>ORD-10685</t>
  </si>
  <si>
    <t>Musa Tinubu</t>
  </si>
  <si>
    <t>musa.tinubu@gmail.com</t>
  </si>
  <si>
    <t>ORD-10686</t>
  </si>
  <si>
    <t>obinna.sanusi@yahoo.com</t>
  </si>
  <si>
    <t>ORD-10687</t>
  </si>
  <si>
    <t>olumide.osei@yahoo.com</t>
  </si>
  <si>
    <t>ORD-10688</t>
  </si>
  <si>
    <t>Nike Chukwu</t>
  </si>
  <si>
    <t>nike.chukwu@yahoo.com</t>
  </si>
  <si>
    <t xml:space="preserve">Warri   </t>
  </si>
  <si>
    <t>ORD-10689</t>
  </si>
  <si>
    <t>wale.atiku@yahoo.com</t>
  </si>
  <si>
    <t>ORD-10690</t>
  </si>
  <si>
    <t>amara.sule@hotmail.com</t>
  </si>
  <si>
    <t>ORD-10691</t>
  </si>
  <si>
    <t>Aisha Adebayo</t>
  </si>
  <si>
    <t>aisha.adebayo@outlook.com</t>
  </si>
  <si>
    <t>ORD-10692</t>
  </si>
  <si>
    <t>amara.abubakar@yahoo.com</t>
  </si>
  <si>
    <t>ORD-10693</t>
  </si>
  <si>
    <t>Lanre Sule</t>
  </si>
  <si>
    <t>lanre.sule@hotmail.com</t>
  </si>
  <si>
    <t>$168,438.06</t>
  </si>
  <si>
    <t>ORD-10694</t>
  </si>
  <si>
    <t>oluwaseun.musa@yahoo.com</t>
  </si>
  <si>
    <t>ORD-10695</t>
  </si>
  <si>
    <t>Kehinde Okonkwo</t>
  </si>
  <si>
    <t>kehinde.okonkwo@hotmail.com</t>
  </si>
  <si>
    <t>ORD-10696</t>
  </si>
  <si>
    <t>lanre.abubakar@gmail.com</t>
  </si>
  <si>
    <t>₦5,867.35</t>
  </si>
  <si>
    <t>ORD-10697</t>
  </si>
  <si>
    <t>23-11-2023</t>
  </si>
  <si>
    <t>Emeka Osei</t>
  </si>
  <si>
    <t>emeka.osei@hotmail.com</t>
  </si>
  <si>
    <t>ORD-10698</t>
  </si>
  <si>
    <t>yemi.ogundipe@gmail.com</t>
  </si>
  <si>
    <t>Corpoarte</t>
  </si>
  <si>
    <t>ORD-10699</t>
  </si>
  <si>
    <t>kemi.atiku@hotmail.com</t>
  </si>
  <si>
    <t>ORD-10700</t>
  </si>
  <si>
    <t>Ronke Sowore</t>
  </si>
  <si>
    <t>ORD-10701</t>
  </si>
  <si>
    <t>chibundo.adeyemi@yahoo.com</t>
  </si>
  <si>
    <t>ORD-10702</t>
  </si>
  <si>
    <t>Obinna Tinubu</t>
  </si>
  <si>
    <t>obinna.tinubu@yahoo.com</t>
  </si>
  <si>
    <t>ORD-10703</t>
  </si>
  <si>
    <t>ORD-10704</t>
  </si>
  <si>
    <t>chidi.sule@yahoo.com</t>
  </si>
  <si>
    <t>ORD-10705</t>
  </si>
  <si>
    <t>Chisom Eze</t>
  </si>
  <si>
    <t>chisom.eze@gmail.com</t>
  </si>
  <si>
    <t>ORD-10706</t>
  </si>
  <si>
    <t>taiwo.fashola@hotmail.com</t>
  </si>
  <si>
    <t>ORD-10707</t>
  </si>
  <si>
    <t>Chidinma Adebayo</t>
  </si>
  <si>
    <t>chidinma.adebayo@yahoo.com</t>
  </si>
  <si>
    <t>ORD-10708</t>
  </si>
  <si>
    <t>ORD-10709</t>
  </si>
  <si>
    <t>ORD-10710</t>
  </si>
  <si>
    <t>ORD-10711</t>
  </si>
  <si>
    <t>fatima.fashola@gmail.com</t>
  </si>
  <si>
    <t>ORD-10712</t>
  </si>
  <si>
    <t>Sade Bello (deleted)</t>
  </si>
  <si>
    <t>sade.bello@gmail.com</t>
  </si>
  <si>
    <t>ORD-10713</t>
  </si>
  <si>
    <t>musa.atiku@yahoo.com</t>
  </si>
  <si>
    <t>ORD-10714</t>
  </si>
  <si>
    <t>Olumide Chukwu</t>
  </si>
  <si>
    <t>olumide.chukwu@gmail.com</t>
  </si>
  <si>
    <t>ORD-10715</t>
  </si>
  <si>
    <t>ORD-10716</t>
  </si>
  <si>
    <t>adebayo.danjuma@outlook.com</t>
  </si>
  <si>
    <t>ORD-10717</t>
  </si>
  <si>
    <t>January 19, 2023</t>
  </si>
  <si>
    <t>Gbenga Adeyemi</t>
  </si>
  <si>
    <t>gbenga.adeyemi@hotmail.com</t>
  </si>
  <si>
    <t>ORD-10718</t>
  </si>
  <si>
    <t>ikenna.eze@gmail.com</t>
  </si>
  <si>
    <t>ORD-10719</t>
  </si>
  <si>
    <t>ORD-10720</t>
  </si>
  <si>
    <t>Gbenga Eze</t>
  </si>
  <si>
    <t>gbenga.eze@gmail.com</t>
  </si>
  <si>
    <t>ORD-10721</t>
  </si>
  <si>
    <t>Kunle Otedola</t>
  </si>
  <si>
    <t>kunle.otedola@hotmail.com</t>
  </si>
  <si>
    <t>ORD-10722</t>
  </si>
  <si>
    <t>Bukola Musa</t>
  </si>
  <si>
    <t>bukola.musa@outlook.com</t>
  </si>
  <si>
    <t>ORD-10723</t>
  </si>
  <si>
    <t>Kemi Sanusi</t>
  </si>
  <si>
    <t>kemi.sanusi@yahoo.com</t>
  </si>
  <si>
    <t>ORD-10724</t>
  </si>
  <si>
    <t>Chibundo Adeyemi</t>
  </si>
  <si>
    <t>ORD-10725</t>
  </si>
  <si>
    <t>adebayo.okonkwo@hotmail.com</t>
  </si>
  <si>
    <t>ORD-10726</t>
  </si>
  <si>
    <t>oluwaseun.otedola@hotmail.com</t>
  </si>
  <si>
    <t>ORD-10727</t>
  </si>
  <si>
    <t>Bola Lawal</t>
  </si>
  <si>
    <t>bola.lawal@hotmail.com</t>
  </si>
  <si>
    <t>ORD-10728</t>
  </si>
  <si>
    <t>Chibundo Okonkwo</t>
  </si>
  <si>
    <t>chibundo.okonkwo@hotmail.com</t>
  </si>
  <si>
    <t>ORD-10729</t>
  </si>
  <si>
    <t>Wale Ogundipe</t>
  </si>
  <si>
    <t>wale.ogundipe@outlook.com</t>
  </si>
  <si>
    <t>ORD-10730</t>
  </si>
  <si>
    <t>Adaeze Tinubu</t>
  </si>
  <si>
    <t>adaeze.tinubu@outlook.com</t>
  </si>
  <si>
    <t>ORD-10731</t>
  </si>
  <si>
    <t>Ngozi Adebayo</t>
  </si>
  <si>
    <t>ngozi.adebayo@hotmail.com</t>
  </si>
  <si>
    <t>12380.96</t>
  </si>
  <si>
    <t>ORD-10732</t>
  </si>
  <si>
    <t>01 Mar 2023</t>
  </si>
  <si>
    <t>chibundo.sowore@yahoo.com</t>
  </si>
  <si>
    <t>ORD-10733</t>
  </si>
  <si>
    <t>Deola Osei</t>
  </si>
  <si>
    <t>deola.osei@hotmail.com</t>
  </si>
  <si>
    <t>ORD-10734</t>
  </si>
  <si>
    <t>Ikenna Adeleke</t>
  </si>
  <si>
    <t>ikenna.adeleke@gmail.com</t>
  </si>
  <si>
    <t>ORD-10735</t>
  </si>
  <si>
    <t>Ayo Danjuma</t>
  </si>
  <si>
    <t>ayo.danjuma@yahoo.com</t>
  </si>
  <si>
    <t>ORD-10736</t>
  </si>
  <si>
    <t>Bola Bello</t>
  </si>
  <si>
    <t>bola.bello@hotmail.com</t>
  </si>
  <si>
    <t>ORD-10737</t>
  </si>
  <si>
    <t>Yemi Sowore</t>
  </si>
  <si>
    <t>yemi.sowore@outlook.com</t>
  </si>
  <si>
    <t>₦6,914.74</t>
  </si>
  <si>
    <t>ORD-10738</t>
  </si>
  <si>
    <t>bukola.gambo@outlook.com</t>
  </si>
  <si>
    <t>ORD-10739</t>
  </si>
  <si>
    <t>deola.danjuma@hotmail.com</t>
  </si>
  <si>
    <t>ORD-10740</t>
  </si>
  <si>
    <t>aisha.fashola@outlook.com</t>
  </si>
  <si>
    <t>ORD-10741</t>
  </si>
  <si>
    <t>Hauwa Sule</t>
  </si>
  <si>
    <t>hauwa.sule@yahoo.com</t>
  </si>
  <si>
    <t>ORD-10742</t>
  </si>
  <si>
    <t>Chidinma Musa</t>
  </si>
  <si>
    <t>chidinma.musa@hotmail.com</t>
  </si>
  <si>
    <t>ORD-10743</t>
  </si>
  <si>
    <t>yemi.okafor@outlook.com</t>
  </si>
  <si>
    <t>ORD-10744</t>
  </si>
  <si>
    <t>wale.buhari@yahoo.com</t>
  </si>
  <si>
    <t>ORD-10745</t>
  </si>
  <si>
    <t>uchenna.danjuma@outlook.com</t>
  </si>
  <si>
    <t>ORD-10746</t>
  </si>
  <si>
    <t>Nike Lawal</t>
  </si>
  <si>
    <t>nike.lawal@hotmail.com</t>
  </si>
  <si>
    <t>ORD-10747</t>
  </si>
  <si>
    <t>seun.danjuma@outlook.com</t>
  </si>
  <si>
    <t>ORD-10748</t>
  </si>
  <si>
    <t>Gbenga Nwosu</t>
  </si>
  <si>
    <t>gbenga.nwosu@yahoo.com</t>
  </si>
  <si>
    <t>ORD-10749</t>
  </si>
  <si>
    <t>Adaeze Dangote</t>
  </si>
  <si>
    <t>adaeze.dangote@gmail.com</t>
  </si>
  <si>
    <t>ORD-10750</t>
  </si>
  <si>
    <t>deola.chukwu@outlook.com</t>
  </si>
  <si>
    <t>ORD-10751</t>
  </si>
  <si>
    <t>Musa Sanusi</t>
  </si>
  <si>
    <t>musa.sanusi@gmail.com</t>
  </si>
  <si>
    <t>ORD-10752</t>
  </si>
  <si>
    <t>ORD-10753</t>
  </si>
  <si>
    <t>Taiwo Dangote</t>
  </si>
  <si>
    <t>taiwo.dangote@outlook.com</t>
  </si>
  <si>
    <t>ORD-10754</t>
  </si>
  <si>
    <t>adaeze.tinubu@yahoo.com</t>
  </si>
  <si>
    <t>ORD-10755</t>
  </si>
  <si>
    <t>Musa Buhari</t>
  </si>
  <si>
    <t>musa.buhari@hotmail.com</t>
  </si>
  <si>
    <t>ORD-10756</t>
  </si>
  <si>
    <t>uchenna.okafor@outlook.com</t>
  </si>
  <si>
    <t>ORD-10757</t>
  </si>
  <si>
    <t>Femi Okonkwo</t>
  </si>
  <si>
    <t>femi.okonkwo@yahoo.com</t>
  </si>
  <si>
    <t>ORD-10758</t>
  </si>
  <si>
    <t>tunde.abubakar@yahoo.com</t>
  </si>
  <si>
    <t>ORD-10759</t>
  </si>
  <si>
    <t>Bukola Adebayo</t>
  </si>
  <si>
    <t>bukola.adebayo@hotmail.com</t>
  </si>
  <si>
    <t>ORD-10760</t>
  </si>
  <si>
    <t>Chisom Danjuma</t>
  </si>
  <si>
    <t>chisom.danjuma@outlook.com</t>
  </si>
  <si>
    <t>ORD-10761</t>
  </si>
  <si>
    <t>Adebayo Abubakar</t>
  </si>
  <si>
    <t>adebayo.abubakar@hotmail.com</t>
  </si>
  <si>
    <t>ORD-10762</t>
  </si>
  <si>
    <t>Dayo Adebayo</t>
  </si>
  <si>
    <t>dayo.adebayo@gmail.com</t>
  </si>
  <si>
    <t>ORD-10763</t>
  </si>
  <si>
    <t>ORD-10764</t>
  </si>
  <si>
    <t>ronke.buhari@hotmail.com</t>
  </si>
  <si>
    <t>ORD-10765</t>
  </si>
  <si>
    <t>Bukola Fashola</t>
  </si>
  <si>
    <t>bukola.fashola@yahoo.com</t>
  </si>
  <si>
    <t>ORD-10766</t>
  </si>
  <si>
    <t>ORD-10767</t>
  </si>
  <si>
    <t>Chidinma Okonkwo</t>
  </si>
  <si>
    <t>chidinma.okonkwo@hotmail.com</t>
  </si>
  <si>
    <t>ORD-10768</t>
  </si>
  <si>
    <t>bola.sanusi@outlook.com</t>
  </si>
  <si>
    <t>ORD-10769</t>
  </si>
  <si>
    <t>ORD-10770</t>
  </si>
  <si>
    <t>Emeka Okafor</t>
  </si>
  <si>
    <t>emeka.okafor@yahoo.com</t>
  </si>
  <si>
    <t>ORD-10771</t>
  </si>
  <si>
    <t>fatima.adeyemi@yahoo.com</t>
  </si>
  <si>
    <t>ORD-10772</t>
  </si>
  <si>
    <t>02/28/2022</t>
  </si>
  <si>
    <t>Adaeze Okonkwo</t>
  </si>
  <si>
    <t>adaeze.okonkwo@hotmail.com</t>
  </si>
  <si>
    <t>ORD-10773</t>
  </si>
  <si>
    <t>Tunde Bello</t>
  </si>
  <si>
    <t>tunde.bello@hotmail.com</t>
  </si>
  <si>
    <t>ORD-10774</t>
  </si>
  <si>
    <t>nodotat.com</t>
  </si>
  <si>
    <t>ORD-10775</t>
  </si>
  <si>
    <t>fatima.atiku@outlook.com</t>
  </si>
  <si>
    <t>ORD-10776</t>
  </si>
  <si>
    <t>Musa Adeyemi</t>
  </si>
  <si>
    <t>musa.adeyemi@gmail.com</t>
  </si>
  <si>
    <t>ORD-10777</t>
  </si>
  <si>
    <t>adebayo.alakija@outlook.com</t>
  </si>
  <si>
    <t>ORD-10778</t>
  </si>
  <si>
    <t>Tunde Sule</t>
  </si>
  <si>
    <t>tunde.sule@outlook.com</t>
  </si>
  <si>
    <t>ORD-10779</t>
  </si>
  <si>
    <t>taiwo.musa@yahoo.com</t>
  </si>
  <si>
    <t>ORD-10780</t>
  </si>
  <si>
    <t>Bukola Abubakar</t>
  </si>
  <si>
    <t>bukola.abubakar@yahoo.com</t>
  </si>
  <si>
    <t>ORD-10781</t>
  </si>
  <si>
    <t>Chidinma Dangote</t>
  </si>
  <si>
    <t>chidinma.dangote@hotmail.com</t>
  </si>
  <si>
    <t>ORD-10782</t>
  </si>
  <si>
    <t>kemi.okafor@hotmail.com</t>
  </si>
  <si>
    <t>ORD-10783</t>
  </si>
  <si>
    <t>ORD-10784</t>
  </si>
  <si>
    <t>ORD-10785</t>
  </si>
  <si>
    <t>ORD-10786</t>
  </si>
  <si>
    <t>obinna.musa@gmail.com</t>
  </si>
  <si>
    <t>ORD-10787</t>
  </si>
  <si>
    <t>emeka.alakija@gmail.com</t>
  </si>
  <si>
    <t>ORD-10788</t>
  </si>
  <si>
    <t>ORD-10789</t>
  </si>
  <si>
    <t>Obinna Adebayo</t>
  </si>
  <si>
    <t>obinna.adebayo@yahoo.com</t>
  </si>
  <si>
    <t>ORD-10790</t>
  </si>
  <si>
    <t>adaeze.adebayo@yahoo.com</t>
  </si>
  <si>
    <t>ORD-10791</t>
  </si>
  <si>
    <t>olumide.adebayo@yahoo.com</t>
  </si>
  <si>
    <t>ORD-10792</t>
  </si>
  <si>
    <t>Sade Obi</t>
  </si>
  <si>
    <t>sade.obi@hotmail.com</t>
  </si>
  <si>
    <t>ORD-10793</t>
  </si>
  <si>
    <t>olumide.gambo@gmail.com</t>
  </si>
  <si>
    <t>ORD-10794</t>
  </si>
  <si>
    <t>Amara Lawal</t>
  </si>
  <si>
    <t>amara.lawal@hotmail.com</t>
  </si>
  <si>
    <t>ORD-10795</t>
  </si>
  <si>
    <t>ORD-10796</t>
  </si>
  <si>
    <t>kunle.otedola@outlook.com</t>
  </si>
  <si>
    <t>ORD-10797</t>
  </si>
  <si>
    <t>Tunde Adeyemi</t>
  </si>
  <si>
    <t>tunde.adeyemi@gmail.com</t>
  </si>
  <si>
    <t>$19,850.10</t>
  </si>
  <si>
    <t>ORD-10798</t>
  </si>
  <si>
    <t>Oluwaseun Obi</t>
  </si>
  <si>
    <t>oluwaseun.obi@yahoo.com</t>
  </si>
  <si>
    <t>ORD-10799</t>
  </si>
  <si>
    <t>Obinna Danjuma</t>
  </si>
  <si>
    <t>obinna.danjuma@gmail.com</t>
  </si>
  <si>
    <t>$19,867.81</t>
  </si>
  <si>
    <t>ORD-10800</t>
  </si>
  <si>
    <t>Sade Bello</t>
  </si>
  <si>
    <t>sade.bello@hotmail.com</t>
  </si>
  <si>
    <t>ORD-10801</t>
  </si>
  <si>
    <t>Sade Adeyemi</t>
  </si>
  <si>
    <t>sade.adeyemi@outlook.com</t>
  </si>
  <si>
    <t>ORD-10802</t>
  </si>
  <si>
    <t>Chidi Dangote</t>
  </si>
  <si>
    <t>chidi.dangote@gmail.com</t>
  </si>
  <si>
    <t>ORD-10803</t>
  </si>
  <si>
    <t>Obinna Bello</t>
  </si>
  <si>
    <t>obinna.bello@yahoo.com</t>
  </si>
  <si>
    <t>ORD-10804</t>
  </si>
  <si>
    <t>nike.bello@outlook.com</t>
  </si>
  <si>
    <t>ORD-10805</t>
  </si>
  <si>
    <t>Taiwo Musa</t>
  </si>
  <si>
    <t>taiwo.musa@outlook.com</t>
  </si>
  <si>
    <t xml:space="preserve">  Owerri</t>
  </si>
  <si>
    <t>ORD-10806</t>
  </si>
  <si>
    <t>bukola.tinubu@yahoo.com</t>
  </si>
  <si>
    <t>ORD-10807</t>
  </si>
  <si>
    <t>Taiwo Sanusi</t>
  </si>
  <si>
    <t>taiwo.sanusi@hotmail.com</t>
  </si>
  <si>
    <t>ORD-10808</t>
  </si>
  <si>
    <t>Ngozi Otedola</t>
  </si>
  <si>
    <t>ngozi.otedola@gmail.com</t>
  </si>
  <si>
    <t>ORD-10809</t>
  </si>
  <si>
    <t>Adebayo Adeyemi</t>
  </si>
  <si>
    <t>adebayo.adeyemi@yahoo.com</t>
  </si>
  <si>
    <t>ORD-10810</t>
  </si>
  <si>
    <t>Hauwa Sowore</t>
  </si>
  <si>
    <t>ORD-10811</t>
  </si>
  <si>
    <t>Chibundo Obi</t>
  </si>
  <si>
    <t>chibundo.obi@gmail.com</t>
  </si>
  <si>
    <t>ORD-10812</t>
  </si>
  <si>
    <t>21-09-2022</t>
  </si>
  <si>
    <t>Tunde Tinubu</t>
  </si>
  <si>
    <t>tunde.tinubu@gmail.com</t>
  </si>
  <si>
    <t>ORD-10813</t>
  </si>
  <si>
    <t>Yemi Buhari</t>
  </si>
  <si>
    <t>yemi.buhari@gmail.com</t>
  </si>
  <si>
    <t>WEST</t>
  </si>
  <si>
    <t>ORD-10814</t>
  </si>
  <si>
    <t>Sade Buhari</t>
  </si>
  <si>
    <t>sade.buhari@gmail.com</t>
  </si>
  <si>
    <t>ORD-10815</t>
  </si>
  <si>
    <t>Seun Osei</t>
  </si>
  <si>
    <t>seun.osei@outlook.com</t>
  </si>
  <si>
    <t>Soth</t>
  </si>
  <si>
    <t>ORD-10816</t>
  </si>
  <si>
    <t>Olumide Okonkwo</t>
  </si>
  <si>
    <t>olumide.okonkwo@hotmail.com</t>
  </si>
  <si>
    <t>ORD-10817</t>
  </si>
  <si>
    <t>Ayo Atiku</t>
  </si>
  <si>
    <t>ayo.atiku@yahoo.com</t>
  </si>
  <si>
    <t>ORD-10818</t>
  </si>
  <si>
    <t>Kehinde Otedola</t>
  </si>
  <si>
    <t>kehinde.otedola@gmail.com</t>
  </si>
  <si>
    <t>Food  &amp;  Beverages</t>
  </si>
  <si>
    <t>ORD-10819</t>
  </si>
  <si>
    <t>ORD-10820</t>
  </si>
  <si>
    <t>seun.adeleke@hotmail.com</t>
  </si>
  <si>
    <t>ORD-10821</t>
  </si>
  <si>
    <t>adaeze.osei@hotmail.com</t>
  </si>
  <si>
    <t>ORD-10822</t>
  </si>
  <si>
    <t>Ibrahim Olawale</t>
  </si>
  <si>
    <t>ibrahim.olawale@yahoo.com</t>
  </si>
  <si>
    <t>ORD-10823</t>
  </si>
  <si>
    <t>Oluwaseun Adeyemi</t>
  </si>
  <si>
    <t>oluwaseun.adeyemi@hotmail.com</t>
  </si>
  <si>
    <t>ORD-10824</t>
  </si>
  <si>
    <t>ORD-10825</t>
  </si>
  <si>
    <t>Gbenga Gambo</t>
  </si>
  <si>
    <t>gbenga.gambo@gmail.com</t>
  </si>
  <si>
    <t>ORD-10826</t>
  </si>
  <si>
    <t>Aisha Otedola</t>
  </si>
  <si>
    <t>aisha.otedola@hotmail.com</t>
  </si>
  <si>
    <t>ORD-10827</t>
  </si>
  <si>
    <t>Lanre Obi</t>
  </si>
  <si>
    <t>lanre.obi@outlook.com</t>
  </si>
  <si>
    <t>ORD-10828</t>
  </si>
  <si>
    <t>gbenga.sowore@hotmail.com</t>
  </si>
  <si>
    <t>ORD-10829</t>
  </si>
  <si>
    <t>SAME DAY</t>
  </si>
  <si>
    <t>ORD-10830</t>
  </si>
  <si>
    <t>Adaeze Otedola</t>
  </si>
  <si>
    <t>adaeze.otedola@gmail.com</t>
  </si>
  <si>
    <t>ORD-10831</t>
  </si>
  <si>
    <t>chibundo.obi@outlook.com</t>
  </si>
  <si>
    <t>ORD-10833</t>
  </si>
  <si>
    <t>Adaeze Sule</t>
  </si>
  <si>
    <t>user@@domain.com</t>
  </si>
  <si>
    <t>ORD-10835</t>
  </si>
  <si>
    <t>technology</t>
  </si>
  <si>
    <t>ORD-10836</t>
  </si>
  <si>
    <t>Tobi Gambo</t>
  </si>
  <si>
    <t>tobi.gambo@outlook.com</t>
  </si>
  <si>
    <t>ORD-10837</t>
  </si>
  <si>
    <t>olumide.okonkwo@gmail.com</t>
  </si>
  <si>
    <t>ORD-10838</t>
  </si>
  <si>
    <t>Bukola Atiku</t>
  </si>
  <si>
    <t>ORD-10839</t>
  </si>
  <si>
    <t>chidinma.ogundipe@gmail.com</t>
  </si>
  <si>
    <t>ORD-10840</t>
  </si>
  <si>
    <t>Amara Olawale</t>
  </si>
  <si>
    <t>amara.olawale@hotmail.com</t>
  </si>
  <si>
    <t>ORD-10841</t>
  </si>
  <si>
    <t>oluwaseun.lawal@yahoo.com</t>
  </si>
  <si>
    <t>ORD-10842</t>
  </si>
  <si>
    <t>aisha.osei@outlook.com</t>
  </si>
  <si>
    <t>ORD-10844</t>
  </si>
  <si>
    <t>Kehinde Abubakar</t>
  </si>
  <si>
    <t>kehinde.abubakar@yahoo.com</t>
  </si>
  <si>
    <t>ORD-10845</t>
  </si>
  <si>
    <t>ORD-10846</t>
  </si>
  <si>
    <t>Femi Osei!!</t>
  </si>
  <si>
    <t>femi.osei@hotmail.com</t>
  </si>
  <si>
    <t>ORD-10847</t>
  </si>
  <si>
    <t>oluwaseun.obi@gmail.com</t>
  </si>
  <si>
    <t>ORD-10848</t>
  </si>
  <si>
    <t>Chisom Bello</t>
  </si>
  <si>
    <t>chisom.bello@outlook.com</t>
  </si>
  <si>
    <t>ORD-10849</t>
  </si>
  <si>
    <t>04-09-2024</t>
  </si>
  <si>
    <t>seun.osei@hotmail.com</t>
  </si>
  <si>
    <t>ORD-10850</t>
  </si>
  <si>
    <t>kemi.sanusi@gmail.com</t>
  </si>
  <si>
    <t>ORD-10851</t>
  </si>
  <si>
    <t xml:space="preserve">Wale Olawale   </t>
  </si>
  <si>
    <t>ORD-10852</t>
  </si>
  <si>
    <t>zainab.sanusi@gmail.com</t>
  </si>
  <si>
    <t>ORD-10853</t>
  </si>
  <si>
    <t>Chibundo Otedola</t>
  </si>
  <si>
    <t>chibundo.otedola@gmail.com</t>
  </si>
  <si>
    <t>ORD-10854</t>
  </si>
  <si>
    <t>Seun Otedola</t>
  </si>
  <si>
    <t>seun.otedola@gmail.com</t>
  </si>
  <si>
    <t>ORD-10855</t>
  </si>
  <si>
    <t>Bola Tinubu</t>
  </si>
  <si>
    <t>bola.tinubu@outlook.com</t>
  </si>
  <si>
    <t>ORD-10856</t>
  </si>
  <si>
    <t>gbenga.gambo@yahoo.com</t>
  </si>
  <si>
    <t>ORD-10857</t>
  </si>
  <si>
    <t>ibrahim.sanusi@hotmail.com</t>
  </si>
  <si>
    <t>ORD-10858</t>
  </si>
  <si>
    <t>Ayo Adeleke</t>
  </si>
  <si>
    <t>ayo.adeleke@gmail.com</t>
  </si>
  <si>
    <t>ORD-10859</t>
  </si>
  <si>
    <t>Chibundo Tinubu</t>
  </si>
  <si>
    <t>ORD-10860</t>
  </si>
  <si>
    <t>Hauwa Fashola</t>
  </si>
  <si>
    <t>hauwa.fashola@outlook.com</t>
  </si>
  <si>
    <t>ORD-10861</t>
  </si>
  <si>
    <t>chibundo.adeyemi@gmail.com</t>
  </si>
  <si>
    <t>ORD-10862</t>
  </si>
  <si>
    <t>kehinde.gambo@hotmail.com</t>
  </si>
  <si>
    <t>ORD-10863</t>
  </si>
  <si>
    <t>Chisom Atiku</t>
  </si>
  <si>
    <t>chisom.atiku@outlook.com</t>
  </si>
  <si>
    <t>ORD-10864</t>
  </si>
  <si>
    <t>deola.chukwu@yahoo.com</t>
  </si>
  <si>
    <t>ORD-10865</t>
  </si>
  <si>
    <t>ORD-10866</t>
  </si>
  <si>
    <t>14 units</t>
  </si>
  <si>
    <t>ORD-10867</t>
  </si>
  <si>
    <t>Plastic  Drawers</t>
  </si>
  <si>
    <t>ORD-10868</t>
  </si>
  <si>
    <t>Ibrahim Adeyemi</t>
  </si>
  <si>
    <t>ibrahim.adeyemi@gmail.com</t>
  </si>
  <si>
    <t>ORD-10869</t>
  </si>
  <si>
    <t>Oluwaseun Alakija</t>
  </si>
  <si>
    <t>oluwaseun.alakija@hotmail.com</t>
  </si>
  <si>
    <t>ORD-10870</t>
  </si>
  <si>
    <t>ORD-10871</t>
  </si>
  <si>
    <t>Gbenga Otedola</t>
  </si>
  <si>
    <t>gbenga.otedola@hotmail.com</t>
  </si>
  <si>
    <t>ORD-10872</t>
  </si>
  <si>
    <t>Lanre Bello</t>
  </si>
  <si>
    <t>lanre.bello@hotmail.com</t>
  </si>
  <si>
    <t>ORD-10873</t>
  </si>
  <si>
    <t>Chidi Olawale</t>
  </si>
  <si>
    <t>chidi.olawale@yahoo.com</t>
  </si>
  <si>
    <t>ORD-10874</t>
  </si>
  <si>
    <t>ORD-10875</t>
  </si>
  <si>
    <t>Taiwo Obi</t>
  </si>
  <si>
    <t>taiwo.obi@hotmail.com</t>
  </si>
  <si>
    <t>ORD-10876</t>
  </si>
  <si>
    <t>fatima.sowore@yahoo.com</t>
  </si>
  <si>
    <t>ORD-10877</t>
  </si>
  <si>
    <t>ikenna.okonkwo@outlook.com</t>
  </si>
  <si>
    <t>ORD-10878</t>
  </si>
  <si>
    <t>Kunle Sanusi</t>
  </si>
  <si>
    <t>kunle.sanusi@hotmail.com</t>
  </si>
  <si>
    <t>ORD-10879</t>
  </si>
  <si>
    <t>kehinde.adeyemi@yahoo.com</t>
  </si>
  <si>
    <t>ORD-10880</t>
  </si>
  <si>
    <t>03/11/2024</t>
  </si>
  <si>
    <t>Deola Gambo</t>
  </si>
  <si>
    <t>deola.gambo@yahoo.com</t>
  </si>
  <si>
    <t>ORD-10881</t>
  </si>
  <si>
    <t>tunde.otedola@gmail.com</t>
  </si>
  <si>
    <t>ORD-10882</t>
  </si>
  <si>
    <t>kunle.osei@gmail.com</t>
  </si>
  <si>
    <t>ORD-10883</t>
  </si>
  <si>
    <t>Hauwa Danjuma</t>
  </si>
  <si>
    <t>hauwa.danjuma@yahoo.com</t>
  </si>
  <si>
    <t>ORD-10884</t>
  </si>
  <si>
    <t>bukola.otedola@outlook.com</t>
  </si>
  <si>
    <t>ORD-10885</t>
  </si>
  <si>
    <t>ikenna.sanusi@outlook.com</t>
  </si>
  <si>
    <t xml:space="preserve">  Food &amp; Beverages</t>
  </si>
  <si>
    <t>ORD-10886</t>
  </si>
  <si>
    <t>Tobi Sanusi</t>
  </si>
  <si>
    <t>tobi.sanusi@hotmail.com</t>
  </si>
  <si>
    <t>ORD-10887</t>
  </si>
  <si>
    <t>chisom.bello@yahoo.com</t>
  </si>
  <si>
    <t>ORD-10888</t>
  </si>
  <si>
    <t>Kehinde Adeleke</t>
  </si>
  <si>
    <t>kehinde.adeleke@gmail.com</t>
  </si>
  <si>
    <t>Garri  10kg</t>
  </si>
  <si>
    <t>ORD-10889</t>
  </si>
  <si>
    <t>Taiwo Danjuma</t>
  </si>
  <si>
    <t>taiwo.danjuma@outlook.com</t>
  </si>
  <si>
    <t>ORD-10890</t>
  </si>
  <si>
    <t>zainab.abubakar@hotmail.com</t>
  </si>
  <si>
    <t>ORD-10891</t>
  </si>
  <si>
    <t>chibundo.obi@hotmail.com</t>
  </si>
  <si>
    <t>ORD-10892</t>
  </si>
  <si>
    <t>Wale Dangote</t>
  </si>
  <si>
    <t>ORD-10893</t>
  </si>
  <si>
    <t>femi.abubakar@outlook.com</t>
  </si>
  <si>
    <t>ORD-10894</t>
  </si>
  <si>
    <t>Uchenna Olawale</t>
  </si>
  <si>
    <t>uchenna.olawale@gmail.com</t>
  </si>
  <si>
    <t>ORD-10895</t>
  </si>
  <si>
    <t>Ronke Alakija</t>
  </si>
  <si>
    <t>ronke.alakija@yahoo.com</t>
  </si>
  <si>
    <t>ORD-10896</t>
  </si>
  <si>
    <t>Nike Okafor</t>
  </si>
  <si>
    <t>nike.okafor@hotmail.com</t>
  </si>
  <si>
    <t>ORD-10897</t>
  </si>
  <si>
    <t>Kunle Ogundipe</t>
  </si>
  <si>
    <t>ORD-10898</t>
  </si>
  <si>
    <t>seun.otedola@yahoo.com</t>
  </si>
  <si>
    <t>ORD-10899</t>
  </si>
  <si>
    <t>Seun Lawal</t>
  </si>
  <si>
    <t>seun.lawal@yahoo.com</t>
  </si>
  <si>
    <t>ORD-10900</t>
  </si>
  <si>
    <t>Chidi Eze</t>
  </si>
  <si>
    <t>chidi.eze@hotmail.com</t>
  </si>
  <si>
    <t>ORD-10902</t>
  </si>
  <si>
    <t>Chisom Sanusi</t>
  </si>
  <si>
    <t>chisom.sanusi@yahoo.com</t>
  </si>
  <si>
    <t>ORD-10903</t>
  </si>
  <si>
    <t>olumide.chukwu@hotmail.com</t>
  </si>
  <si>
    <t>306906.18</t>
  </si>
  <si>
    <t>ORD-10904</t>
  </si>
  <si>
    <t>Adebayo Olawale</t>
  </si>
  <si>
    <t>adebayo.olawale@hotmail.com</t>
  </si>
  <si>
    <t>ORD-10905</t>
  </si>
  <si>
    <t>Seun Atiku</t>
  </si>
  <si>
    <t>ORD-10906</t>
  </si>
  <si>
    <t>ngozi.sule@gmail.com</t>
  </si>
  <si>
    <t>ORD-10907</t>
  </si>
  <si>
    <t>seun.buhari@yahoo.com</t>
  </si>
  <si>
    <t>ORD-10908</t>
  </si>
  <si>
    <t>May 05, 2024</t>
  </si>
  <si>
    <t>oluwaseun.otedola@outlook.com</t>
  </si>
  <si>
    <t>ORD-10909</t>
  </si>
  <si>
    <t>ayo.atiku@outlook.com</t>
  </si>
  <si>
    <t>ORD-10910</t>
  </si>
  <si>
    <t>ORD-10911</t>
  </si>
  <si>
    <t>seun.bello@outlook.com</t>
  </si>
  <si>
    <t>ORD-10912</t>
  </si>
  <si>
    <t>Seun Ogundipe</t>
  </si>
  <si>
    <t>seun.ogundipe@hotmail.com</t>
  </si>
  <si>
    <t>ORD-10913</t>
  </si>
  <si>
    <t>adaeze.adeyemi@outlook.com</t>
  </si>
  <si>
    <t>ORD-10914</t>
  </si>
  <si>
    <t>Kunle Adeyemi</t>
  </si>
  <si>
    <t>kunle.adeyemi@gmail.com</t>
  </si>
  <si>
    <t>ORD-10915</t>
  </si>
  <si>
    <t>ayo.okonkwo@yahoo.com</t>
  </si>
  <si>
    <t>ORD-10916</t>
  </si>
  <si>
    <t>Dayo Bello</t>
  </si>
  <si>
    <t>dayo.bello@hotmail.com</t>
  </si>
  <si>
    <t>ORD-10917</t>
  </si>
  <si>
    <t>hauwa.sule@outlook.com</t>
  </si>
  <si>
    <t>Furnitre</t>
  </si>
  <si>
    <t>ORD-10918</t>
  </si>
  <si>
    <t>Tunde Eze</t>
  </si>
  <si>
    <t>tunde.eze@outlook.com</t>
  </si>
  <si>
    <t>ORD-10919</t>
  </si>
  <si>
    <t>ikenna.nwosu@outlook.com</t>
  </si>
  <si>
    <t>ORD-10920</t>
  </si>
  <si>
    <t>Oluwaseun Sowore</t>
  </si>
  <si>
    <t>oluwaseun.sowore@outlook.com</t>
  </si>
  <si>
    <t>ORD-10921</t>
  </si>
  <si>
    <t>ORD-10922</t>
  </si>
  <si>
    <t>dayo.chukwu@hotmail.com</t>
  </si>
  <si>
    <t>ORD-10923</t>
  </si>
  <si>
    <t>Lanre Tinubu</t>
  </si>
  <si>
    <t>lanre.tinubu@gmail.com</t>
  </si>
  <si>
    <t>ORD-10924</t>
  </si>
  <si>
    <t>chidi.dangote@yahoo.com</t>
  </si>
  <si>
    <t>ORD-10925</t>
  </si>
  <si>
    <t>deola.sowore@gmail.com</t>
  </si>
  <si>
    <t>ORD-10926</t>
  </si>
  <si>
    <t>oluwaseun.musa@outlook.com</t>
  </si>
  <si>
    <t>ORD-10927</t>
  </si>
  <si>
    <t>Uchenna Bello</t>
  </si>
  <si>
    <t>366764.76</t>
  </si>
  <si>
    <t>ORD-10928</t>
  </si>
  <si>
    <t>Dayo Buhari</t>
  </si>
  <si>
    <t>dayo.buhari@hotmail.com</t>
  </si>
  <si>
    <t>ORD-10929</t>
  </si>
  <si>
    <t>tunde.adeyemi@yahoo.com</t>
  </si>
  <si>
    <t>47831.04</t>
  </si>
  <si>
    <t>ORD-10930</t>
  </si>
  <si>
    <t>Musa Alakija</t>
  </si>
  <si>
    <t>musa.alakija@hotmail.com</t>
  </si>
  <si>
    <t>ORD-10931</t>
  </si>
  <si>
    <t>kehinde.adebayo@gmail.com</t>
  </si>
  <si>
    <t>ORD-10932</t>
  </si>
  <si>
    <t>wale.otedola@outlook.com</t>
  </si>
  <si>
    <t>ORD-10933</t>
  </si>
  <si>
    <t>Seun Chukwu</t>
  </si>
  <si>
    <t>seun.chukwu@outlook.com</t>
  </si>
  <si>
    <t>ORD-10934</t>
  </si>
  <si>
    <t>10-07-2022</t>
  </si>
  <si>
    <t>ronke.alakija@gmail.com</t>
  </si>
  <si>
    <t>ORD-10935</t>
  </si>
  <si>
    <t>ORD-10936</t>
  </si>
  <si>
    <t>ORD-10937</t>
  </si>
  <si>
    <t>Kehinde Obi</t>
  </si>
  <si>
    <t>kehinde.obi@gmail.com</t>
  </si>
  <si>
    <t>ORD-10938</t>
  </si>
  <si>
    <t>hauwa.adeleke@hotmail.com</t>
  </si>
  <si>
    <t>ORD-10939</t>
  </si>
  <si>
    <t>Deola Sanusi</t>
  </si>
  <si>
    <t>deola.sanusi@gmail.com</t>
  </si>
  <si>
    <t>ORD-10940</t>
  </si>
  <si>
    <t>emeka.atiku@gmail.com</t>
  </si>
  <si>
    <t>ORD-10941</t>
  </si>
  <si>
    <t>olumide.okafor@yahoo.com</t>
  </si>
  <si>
    <t>ORD-10942</t>
  </si>
  <si>
    <t>hauwa.sanusi@hotmail.com</t>
  </si>
  <si>
    <t>ORD-10943</t>
  </si>
  <si>
    <t>bola.eze@yahoo.com</t>
  </si>
  <si>
    <t>ORD-10944</t>
  </si>
  <si>
    <t>ORD-10945</t>
  </si>
  <si>
    <t>Uchenna Dangote</t>
  </si>
  <si>
    <t>uchenna.dangote@outlook.com</t>
  </si>
  <si>
    <t>ORD-10946</t>
  </si>
  <si>
    <t>wale.dangote@gmail.com</t>
  </si>
  <si>
    <t>ORD-10947</t>
  </si>
  <si>
    <t>Femi Danjuma</t>
  </si>
  <si>
    <t>femi.danjuma@yahoo.com</t>
  </si>
  <si>
    <t xml:space="preserve">  Salt 1kg</t>
  </si>
  <si>
    <t>ORD-10948</t>
  </si>
  <si>
    <t>Hauwa Otedola</t>
  </si>
  <si>
    <t>hauwa.otedola@outlook.com</t>
  </si>
  <si>
    <t>ORD-10949</t>
  </si>
  <si>
    <t>yemi.sowore@hotmail.com</t>
  </si>
  <si>
    <t>ORD-10950</t>
  </si>
  <si>
    <t>adaeze.abubakar@gmail.com</t>
  </si>
  <si>
    <t>ORD-10951</t>
  </si>
  <si>
    <t>Sade Dangote</t>
  </si>
  <si>
    <t>sade.dangote@yahoo.com</t>
  </si>
  <si>
    <t>ORD-10952</t>
  </si>
  <si>
    <t>Fatima Gambo</t>
  </si>
  <si>
    <t>fatima.gambo@yahoo.com</t>
  </si>
  <si>
    <t>ORD-10953</t>
  </si>
  <si>
    <t>Ibrahim Adebayo</t>
  </si>
  <si>
    <t>ibrahim.adebayo@outlook.com</t>
  </si>
  <si>
    <t>ORD-10954</t>
  </si>
  <si>
    <t>Tunde Okafor</t>
  </si>
  <si>
    <t>tunde.okafor@hotmail.com</t>
  </si>
  <si>
    <t>ORD-10955</t>
  </si>
  <si>
    <t>Fatima Alakija</t>
  </si>
  <si>
    <t>fatima.alakija@hotmail.com</t>
  </si>
  <si>
    <t>ORD-10956</t>
  </si>
  <si>
    <t>Ngozi Abubakar</t>
  </si>
  <si>
    <t>ngozi.abubakar@gmail.com</t>
  </si>
  <si>
    <t>ORD-10957</t>
  </si>
  <si>
    <t>ORD-10958</t>
  </si>
  <si>
    <t>Standar Class</t>
  </si>
  <si>
    <t>ORD-10959</t>
  </si>
  <si>
    <t>chisom.adeyemi@gmail.com</t>
  </si>
  <si>
    <t>ORD-10960</t>
  </si>
  <si>
    <t>Dayo Tinubu #</t>
  </si>
  <si>
    <t>dayo.tinubu@outlook.com</t>
  </si>
  <si>
    <t>ORD-10961</t>
  </si>
  <si>
    <t>dayo.alakija@gmail.com</t>
  </si>
  <si>
    <t>$20,691.67</t>
  </si>
  <si>
    <t>ORD-10962</t>
  </si>
  <si>
    <t>ORD-10963</t>
  </si>
  <si>
    <t>aisha.sule@hotmail.com</t>
  </si>
  <si>
    <t>ORD-10964</t>
  </si>
  <si>
    <t>Kemi Musa</t>
  </si>
  <si>
    <t>kemi.musa@gmail.com</t>
  </si>
  <si>
    <t>ORD-10965</t>
  </si>
  <si>
    <t>wale.abubakar@yahoo.com</t>
  </si>
  <si>
    <t>ORD-10966</t>
  </si>
  <si>
    <t>ORD-10967</t>
  </si>
  <si>
    <t>Nike Tinubu</t>
  </si>
  <si>
    <t>nike.tinubu@hotmail.com</t>
  </si>
  <si>
    <t>ORD-10968</t>
  </si>
  <si>
    <t>Amara Sowore</t>
  </si>
  <si>
    <t>amara.sowore@gmail.com</t>
  </si>
  <si>
    <t>ORD-10969</t>
  </si>
  <si>
    <t>taiwo.obi@yahoo.com</t>
  </si>
  <si>
    <t>ORD-10970</t>
  </si>
  <si>
    <t>Obinna Nwosu</t>
  </si>
  <si>
    <t>obinna.nwosu@outlook.com</t>
  </si>
  <si>
    <t>ORD-10971</t>
  </si>
  <si>
    <t>hauwa.danjuma@gmail.com</t>
  </si>
  <si>
    <t>ORD-10972</t>
  </si>
  <si>
    <t>ORD-10973</t>
  </si>
  <si>
    <t>bola.otedola@yahoo.com</t>
  </si>
  <si>
    <t>ORD-10974</t>
  </si>
  <si>
    <t>Ayo Sule</t>
  </si>
  <si>
    <t>ayo.sule@outlook.com</t>
  </si>
  <si>
    <t>ORD-10975</t>
  </si>
  <si>
    <t>ikenna.dangote@hotmail.com</t>
  </si>
  <si>
    <t>ORD-10976</t>
  </si>
  <si>
    <t>Adaeze Ogundipe</t>
  </si>
  <si>
    <t>adaeze.ogundipe@gmail.com</t>
  </si>
  <si>
    <t>ORD-10977</t>
  </si>
  <si>
    <t>20 Mar 2024</t>
  </si>
  <si>
    <t>ORD-10978</t>
  </si>
  <si>
    <t>deola.musa@gmail.com</t>
  </si>
  <si>
    <t>ORD-10979</t>
  </si>
  <si>
    <t>Dayo Otedola</t>
  </si>
  <si>
    <t>dayo.otedola@yahoo.com</t>
  </si>
  <si>
    <t>ORD-10980</t>
  </si>
  <si>
    <t>gbenga.otedola@gmail.com</t>
  </si>
  <si>
    <t>ORD-10981</t>
  </si>
  <si>
    <t>Uchenna Alakija</t>
  </si>
  <si>
    <t>uchenna.alakija@gmail.com</t>
  </si>
  <si>
    <t>ORD-10982</t>
  </si>
  <si>
    <t>olumide.chukwu@yahoo.com</t>
  </si>
  <si>
    <t>ORD-10983</t>
  </si>
  <si>
    <t>Lanre Olawale</t>
  </si>
  <si>
    <t>lanre.olawale@yahoo.com</t>
  </si>
  <si>
    <t>ORD-10984</t>
  </si>
  <si>
    <t>Nike Buhari</t>
  </si>
  <si>
    <t>nike.buhari@yahoo.com</t>
  </si>
  <si>
    <t>ORD-10985</t>
  </si>
  <si>
    <t>bola.fashola@hotmail.com</t>
  </si>
  <si>
    <t>ORD-10986</t>
  </si>
  <si>
    <t>Taiwo Buhari</t>
  </si>
  <si>
    <t>taiwo.buhari@gmail.com</t>
  </si>
  <si>
    <t>ORD-10987</t>
  </si>
  <si>
    <t>obinna.otedola@yahoo.com</t>
  </si>
  <si>
    <t>ORD-10988</t>
  </si>
  <si>
    <t>ORD-10989</t>
  </si>
  <si>
    <t>Gbenga Lawal</t>
  </si>
  <si>
    <t>gbenga.lawal@outlook.com</t>
  </si>
  <si>
    <t>ORD-10990</t>
  </si>
  <si>
    <t>Bola Gambo</t>
  </si>
  <si>
    <t>bola.gambo@hotmail.com</t>
  </si>
  <si>
    <t>$4,061,491.28</t>
  </si>
  <si>
    <t>ORD-10991</t>
  </si>
  <si>
    <t>nike.tinubu@gmail.com</t>
  </si>
  <si>
    <t>ORD-10992</t>
  </si>
  <si>
    <t>Uchenna Abubakar</t>
  </si>
  <si>
    <t>uchenna.abubakar@outlook.com</t>
  </si>
  <si>
    <t>ORD-10993</t>
  </si>
  <si>
    <t>Deola Okafor</t>
  </si>
  <si>
    <t>deola.okafor@outlook.com</t>
  </si>
  <si>
    <t>ORD-10994</t>
  </si>
  <si>
    <t>musa.nwosu@hotmail.com</t>
  </si>
  <si>
    <t>ORD-10995</t>
  </si>
  <si>
    <t>Ibrahim Lawal</t>
  </si>
  <si>
    <t>ibrahim.lawal@yahoo.com</t>
  </si>
  <si>
    <t>ORD-10996</t>
  </si>
  <si>
    <t>ORD-10997</t>
  </si>
  <si>
    <t>Ikenna Eze</t>
  </si>
  <si>
    <t>ORD-10998</t>
  </si>
  <si>
    <t>Seun Fashola</t>
  </si>
  <si>
    <t>ORD-10999</t>
  </si>
  <si>
    <t>chibundo.adeyemi@outlook.com</t>
  </si>
  <si>
    <t>ORD-11000</t>
  </si>
  <si>
    <t>📖  DATA DICTIONARY  —  Column descriptions and data types</t>
  </si>
  <si>
    <t>Col</t>
  </si>
  <si>
    <t>Column Name</t>
  </si>
  <si>
    <t>Data Type</t>
  </si>
  <si>
    <t>Description</t>
  </si>
  <si>
    <t>Example Value</t>
  </si>
  <si>
    <t>A</t>
  </si>
  <si>
    <t>Text</t>
  </si>
  <si>
    <t>Unique identifier for each order</t>
  </si>
  <si>
    <t>B</t>
  </si>
  <si>
    <t>Date</t>
  </si>
  <si>
    <t>Date the order was placed</t>
  </si>
  <si>
    <t>15/03/2023</t>
  </si>
  <si>
    <t>C</t>
  </si>
  <si>
    <t>Date the order was shipped</t>
  </si>
  <si>
    <t>19/03/2023</t>
  </si>
  <si>
    <t>D</t>
  </si>
  <si>
    <t>Delivery speed selected by customer</t>
  </si>
  <si>
    <t>E</t>
  </si>
  <si>
    <t>Full name of the customer</t>
  </si>
  <si>
    <t>Chidi Okonkwo</t>
  </si>
  <si>
    <t>F</t>
  </si>
  <si>
    <t>Customer email address</t>
  </si>
  <si>
    <t>chidi.okonkwo@gmail.com</t>
  </si>
  <si>
    <t>G</t>
  </si>
  <si>
    <t>Customer phone number (Nigerian format)</t>
  </si>
  <si>
    <t>08031234567</t>
  </si>
  <si>
    <t>H</t>
  </si>
  <si>
    <t>Customer business segment</t>
  </si>
  <si>
    <t>Consumer, Corporate, Home Office</t>
  </si>
  <si>
    <t>I</t>
  </si>
  <si>
    <t>Geographic region in Nigeria</t>
  </si>
  <si>
    <t>North, South, East, West</t>
  </si>
  <si>
    <t>J</t>
  </si>
  <si>
    <t>Nigerian state of delivery</t>
  </si>
  <si>
    <t>Lagos, Kano, Enugu</t>
  </si>
  <si>
    <t>K</t>
  </si>
  <si>
    <t>Broad product category</t>
  </si>
  <si>
    <t>Technology, Furniture, Office Supplies</t>
  </si>
  <si>
    <t>L</t>
  </si>
  <si>
    <t>Specific product sub-group</t>
  </si>
  <si>
    <t>Laptops, Chairs, Paper</t>
  </si>
  <si>
    <t>M</t>
  </si>
  <si>
    <t>Name of the product ordered</t>
  </si>
  <si>
    <t>N</t>
  </si>
  <si>
    <t>Number</t>
  </si>
  <si>
    <t>Number of units ordered</t>
  </si>
  <si>
    <t>1 to 20</t>
  </si>
  <si>
    <t>O</t>
  </si>
  <si>
    <t>Currency</t>
  </si>
  <si>
    <t>Price per single unit in Naira</t>
  </si>
  <si>
    <t>₦245,000.00</t>
  </si>
  <si>
    <t>P</t>
  </si>
  <si>
    <t>Percentage discount applied (0,5,10,15,20,25)</t>
  </si>
  <si>
    <t>10</t>
  </si>
  <si>
    <t>Q</t>
  </si>
  <si>
    <t>Naira value of the discount</t>
  </si>
  <si>
    <t>₦12,250.00</t>
  </si>
  <si>
    <t>R</t>
  </si>
  <si>
    <t>Final revenue after discount: Qty×Price−Discount</t>
  </si>
  <si>
    <t>₦220,500.00</t>
  </si>
  <si>
    <t>S</t>
  </si>
  <si>
    <t>Profit or loss on the order (can be negative)</t>
  </si>
  <si>
    <t>₦55,125.00</t>
  </si>
  <si>
    <t>Kemi</t>
  </si>
  <si>
    <t>Atiku</t>
  </si>
  <si>
    <t>Lanre</t>
  </si>
  <si>
    <t>Chukwu</t>
  </si>
  <si>
    <t>Bukola</t>
  </si>
  <si>
    <t>Bello</t>
  </si>
  <si>
    <t>Adebayo</t>
  </si>
  <si>
    <t>Tinubu</t>
  </si>
  <si>
    <t>Chisom</t>
  </si>
  <si>
    <t>Gambo</t>
  </si>
  <si>
    <t>Abubakar</t>
  </si>
  <si>
    <t>Tunde</t>
  </si>
  <si>
    <t>Olawale</t>
  </si>
  <si>
    <t>Okonkwo</t>
  </si>
  <si>
    <t>Amara</t>
  </si>
  <si>
    <t>Aisha</t>
  </si>
  <si>
    <t>Chidi</t>
  </si>
  <si>
    <t>Musa</t>
  </si>
  <si>
    <t>Chibundo</t>
  </si>
  <si>
    <t>Nwosu</t>
  </si>
  <si>
    <t>Olumide</t>
  </si>
  <si>
    <t>Okafor</t>
  </si>
  <si>
    <t>Kunle</t>
  </si>
  <si>
    <t>Bola</t>
  </si>
  <si>
    <t>Danjuma</t>
  </si>
  <si>
    <t>Ikenna</t>
  </si>
  <si>
    <t>Hauwa</t>
  </si>
  <si>
    <t>Taiwo</t>
  </si>
  <si>
    <t>Tobi</t>
  </si>
  <si>
    <t>Adeyemi</t>
  </si>
  <si>
    <t>Emeka</t>
  </si>
  <si>
    <t>Eze</t>
  </si>
  <si>
    <t>Fatima</t>
  </si>
  <si>
    <t>Ogundipe</t>
  </si>
  <si>
    <t>Zainab</t>
  </si>
  <si>
    <t>Oluwaseun</t>
  </si>
  <si>
    <t>Sowore</t>
  </si>
  <si>
    <t>Ronke</t>
  </si>
  <si>
    <t>Fashola</t>
  </si>
  <si>
    <t>Yemi</t>
  </si>
  <si>
    <t>Uchenna</t>
  </si>
  <si>
    <t>Osei</t>
  </si>
  <si>
    <t>Dangote</t>
  </si>
  <si>
    <t>Nike</t>
  </si>
  <si>
    <t>Otedola</t>
  </si>
  <si>
    <t>Obi</t>
  </si>
  <si>
    <t>Sule</t>
  </si>
  <si>
    <t>Deola</t>
  </si>
  <si>
    <t>Sade</t>
  </si>
  <si>
    <t>Ibrahim</t>
  </si>
  <si>
    <t>Sanusi</t>
  </si>
  <si>
    <t>Seun</t>
  </si>
  <si>
    <t>Ayo</t>
  </si>
  <si>
    <t>Lawal</t>
  </si>
  <si>
    <t>Ngozi</t>
  </si>
  <si>
    <t>Alakija</t>
  </si>
  <si>
    <t>Wale</t>
  </si>
  <si>
    <t>Adeleke</t>
  </si>
  <si>
    <t>Femi</t>
  </si>
  <si>
    <t>Dayo</t>
  </si>
  <si>
    <t>Gbenga</t>
  </si>
  <si>
    <t>Kehinde</t>
  </si>
  <si>
    <t>Adaeze</t>
  </si>
  <si>
    <t>Buhari</t>
  </si>
  <si>
    <t>Obinna</t>
  </si>
  <si>
    <t>Chidinma</t>
  </si>
  <si>
    <t>***Oluwaseun</t>
  </si>
  <si>
    <t>Musa!!</t>
  </si>
  <si>
    <t>***Uchenna</t>
  </si>
  <si>
    <t>Adebayo!!</t>
  </si>
  <si>
    <t>Osei!!</t>
  </si>
  <si>
    <t>First Name</t>
  </si>
  <si>
    <t>Last Name</t>
  </si>
  <si>
    <t>[DSN0031591170</t>
  </si>
  <si>
    <t xml:space="preserve"> Nature'sfield E.P.O 1000mg Capsules x 60''</t>
  </si>
  <si>
    <t>[DSN65466365664</t>
  </si>
  <si>
    <t xml:space="preserve"> Gradyn Capsules X 20</t>
  </si>
  <si>
    <t>[DSN0031591171</t>
  </si>
  <si>
    <t xml:space="preserve"> Nature'sfield Pregmum plus Omega-3</t>
  </si>
  <si>
    <t>[265222476</t>
  </si>
  <si>
    <t xml:space="preserve"> Jointace Collagen</t>
  </si>
  <si>
    <t>[DSN000751</t>
  </si>
  <si>
    <t xml:space="preserve"> Afrab Salbutamol Syrup 100mL</t>
  </si>
  <si>
    <t>[DSN003077</t>
  </si>
  <si>
    <t xml:space="preserve"> Optica AZ 30 Softgel Capsules (3x10)</t>
  </si>
  <si>
    <t>[DSN00088</t>
  </si>
  <si>
    <t xml:space="preserve"> Perfectil  Hair/Skin/Nails Tablets x 30''</t>
  </si>
  <si>
    <t>[DSN0031591655</t>
  </si>
  <si>
    <t xml:space="preserve"> Nutrify Men50+ Tablets with Probiotics x 30''</t>
  </si>
  <si>
    <t>[DSN0031806</t>
  </si>
  <si>
    <t xml:space="preserve"> Acyvir Eye Ointment 5g</t>
  </si>
  <si>
    <t>[DSN00032</t>
  </si>
  <si>
    <t xml:space="preserve"> Aprovel 150mg Tablets x 28''</t>
  </si>
  <si>
    <t>unknown</t>
  </si>
  <si>
    <t>Abia</t>
  </si>
  <si>
    <t>Num 1</t>
  </si>
  <si>
    <t>Num 2</t>
  </si>
  <si>
    <t>Add</t>
  </si>
  <si>
    <t>Sub</t>
  </si>
  <si>
    <t>Multiply</t>
  </si>
  <si>
    <t>Division</t>
  </si>
  <si>
    <t>Raise Power</t>
  </si>
  <si>
    <t>Cell Referencing</t>
  </si>
  <si>
    <t>Absolute</t>
  </si>
  <si>
    <t>Relative</t>
  </si>
  <si>
    <t>Cost Price</t>
  </si>
  <si>
    <t>Cost Of Goods Sold</t>
  </si>
  <si>
    <t>Absolute Cell Reference</t>
  </si>
  <si>
    <t>Relative Cell Reference</t>
  </si>
  <si>
    <t>New Qty</t>
  </si>
  <si>
    <t>Web   design</t>
  </si>
  <si>
    <t xml:space="preserve">   Data     Analysis</t>
  </si>
  <si>
    <t>Category Clean</t>
  </si>
  <si>
    <t>TRIM</t>
  </si>
  <si>
    <t>PROPER</t>
  </si>
  <si>
    <t>MACHine lEaRNIng</t>
  </si>
  <si>
    <t>proDuct MANgement</t>
  </si>
  <si>
    <t>Upper</t>
  </si>
  <si>
    <t>Lower</t>
  </si>
  <si>
    <t>Len</t>
  </si>
  <si>
    <t>Category_titleCase</t>
  </si>
  <si>
    <t>ABS(Absolute Value)</t>
  </si>
  <si>
    <t>Statistical Functions</t>
  </si>
  <si>
    <t>Total Sales</t>
  </si>
  <si>
    <t>SUM</t>
  </si>
  <si>
    <t>Average Sales</t>
  </si>
  <si>
    <t>No of Orders</t>
  </si>
  <si>
    <t>AVERAGE</t>
  </si>
  <si>
    <t>COUNT</t>
  </si>
  <si>
    <t>Highest Sale</t>
  </si>
  <si>
    <t>MAX</t>
  </si>
  <si>
    <t>MIN</t>
  </si>
  <si>
    <t>Lowest Sale</t>
  </si>
  <si>
    <t>Total Profit</t>
  </si>
  <si>
    <t>AverageProfit</t>
  </si>
  <si>
    <t>Average Discount</t>
  </si>
  <si>
    <t>Profit Margin</t>
  </si>
  <si>
    <t>DATE FUNCTIONS</t>
  </si>
  <si>
    <t>NOW</t>
  </si>
  <si>
    <t>DAY</t>
  </si>
  <si>
    <t>TODAY</t>
  </si>
  <si>
    <t>MONTH</t>
  </si>
  <si>
    <t>WEEK NUMBER</t>
  </si>
  <si>
    <t>DATEDIF</t>
  </si>
  <si>
    <t>Extract Month</t>
  </si>
  <si>
    <t>Order Classification</t>
  </si>
  <si>
    <t>COMPARISON OPERATORS</t>
  </si>
  <si>
    <t>&gt;=</t>
  </si>
  <si>
    <t>Greater than or equal to</t>
  </si>
  <si>
    <t>&gt;</t>
  </si>
  <si>
    <t>&lt;=</t>
  </si>
  <si>
    <t>Less than or equal to</t>
  </si>
  <si>
    <t xml:space="preserve">&lt; </t>
  </si>
  <si>
    <t>=</t>
  </si>
  <si>
    <t>Equal To</t>
  </si>
  <si>
    <t xml:space="preserve">!= </t>
  </si>
  <si>
    <t>Not Equal to</t>
  </si>
  <si>
    <t>Nested If Condition</t>
  </si>
  <si>
    <t>AND</t>
  </si>
  <si>
    <t>OR</t>
  </si>
  <si>
    <t>Return if both conditions are True</t>
  </si>
  <si>
    <t>Return true if at least one condition is true</t>
  </si>
  <si>
    <t xml:space="preserve">Age </t>
  </si>
  <si>
    <t>Years of Experience</t>
  </si>
  <si>
    <t>Employe id</t>
  </si>
  <si>
    <t>Above 30 years and yoe is above 5</t>
  </si>
  <si>
    <t>Retain</t>
  </si>
  <si>
    <t>Decision</t>
  </si>
  <si>
    <t>Lay off</t>
  </si>
  <si>
    <t>Discount Decision</t>
  </si>
  <si>
    <t>AND/OR LOGICAL FUNCTIONS</t>
  </si>
  <si>
    <t>.3E</t>
  </si>
  <si>
    <t>IFERROR</t>
  </si>
  <si>
    <t>Conditional Aggregation Functions</t>
  </si>
  <si>
    <t>SUMIF</t>
  </si>
  <si>
    <t>Sum Qty &gt; 10</t>
  </si>
  <si>
    <t>AVERAGEIF</t>
  </si>
  <si>
    <t>COUNTIF</t>
  </si>
  <si>
    <t>MAXIFS</t>
  </si>
  <si>
    <t>Enter Order ID →</t>
  </si>
  <si>
    <t>Sales Amount (₦)</t>
  </si>
  <si>
    <t>Unique Function</t>
  </si>
  <si>
    <t>VLOOKUP</t>
  </si>
  <si>
    <t>Products</t>
  </si>
  <si>
    <t>Sales</t>
  </si>
  <si>
    <t>HLOOKUP</t>
  </si>
  <si>
    <t>XLOOKUP</t>
  </si>
  <si>
    <t>ShipMode</t>
  </si>
  <si>
    <t>INDEX FUNCTION</t>
  </si>
  <si>
    <t>MATCH</t>
  </si>
  <si>
    <t xml:space="preserve">Sales </t>
  </si>
  <si>
    <t>Discount</t>
  </si>
  <si>
    <t>INDEX AND MATCH</t>
  </si>
  <si>
    <t>FILTER FUNCTION</t>
  </si>
  <si>
    <t>Grand Total</t>
  </si>
  <si>
    <t>2022</t>
  </si>
  <si>
    <t>Profit</t>
  </si>
  <si>
    <t>Sum of Sales (₦)</t>
  </si>
  <si>
    <t>Column Labels</t>
  </si>
  <si>
    <t>(All)</t>
  </si>
  <si>
    <t>Year</t>
  </si>
  <si>
    <t>Consumer Total</t>
  </si>
  <si>
    <t>Corporate Total</t>
  </si>
  <si>
    <t>Home Office Total</t>
  </si>
  <si>
    <t>Total Sales (₦)</t>
  </si>
  <si>
    <t>Total Profit (₦)</t>
  </si>
  <si>
    <t>Row Labels</t>
  </si>
  <si>
    <t>Sum of Profit (₦)</t>
  </si>
  <si>
    <t>2023</t>
  </si>
  <si>
    <t>2024</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</si>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</sst>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quot;₦&quot;* #,##0.00_-;\-&quot;₦&quot;* #,##0.00_-;_-&quot;₦&quot;* &quot;-&quot;??_-;_-@_-"/>
    <numFmt numFmtId="165" formatCode="_-* #,##0_-;\-* #,##0_-;_-* &quot;-&quot;??_-;_-@_-"/>
    <numFmt numFmtId="166" formatCode="_-[$₦-466]\ * #,##0.0_-;\-[$₦-466]\ * #,##0.0_-;_-[$₦-466]\ * &quot;-&quot;?_-;_-@_-"/>
    <numFmt numFmtId="167" formatCode="_-[$₦-466]\ * #,##0.00_-;\-[$₦-466]\ * #,##0.00_-;_-[$₦-466]\ * &quot;-&quot;??_-;_-@_-"/>
  </numFmts>
  <fonts count="14" x14ac:knownFonts="1">
    <font>
      <sz val="11"/>
      <color theme="1"/>
      <name val="Calibri"/>
      <family val="2"/>
      <charset val="1"/>
    </font>
    <font>
      <sz val="11"/>
      <color theme="1"/>
      <name val="Calibri"/>
      <family val="2"/>
      <scheme val="minor"/>
    </font>
    <font>
      <sz val="11"/>
      <color theme="1"/>
      <name val="Calibri"/>
      <family val="2"/>
      <scheme val="minor"/>
    </font>
    <font>
      <b/>
      <sz val="12"/>
      <color rgb="FFFFFFFF"/>
      <name val="Calibri"/>
      <charset val="1"/>
    </font>
    <font>
      <b/>
      <sz val="10"/>
      <color rgb="FF0F2044"/>
      <name val="Calibri"/>
      <charset val="1"/>
    </font>
    <font>
      <sz val="10"/>
      <name val="Calibri"/>
      <charset val="1"/>
    </font>
    <font>
      <b/>
      <sz val="10"/>
      <name val="Calibri"/>
      <charset val="1"/>
    </font>
    <font>
      <sz val="11"/>
      <color theme="1"/>
      <name val="Calibri"/>
      <family val="2"/>
      <charset val="1"/>
    </font>
    <font>
      <u/>
      <sz val="11"/>
      <color theme="10"/>
      <name val="Calibri"/>
      <family val="2"/>
      <charset val="1"/>
    </font>
    <font>
      <b/>
      <sz val="11"/>
      <color theme="1"/>
      <name val="Calibri"/>
      <family val="2"/>
    </font>
    <font>
      <b/>
      <sz val="11"/>
      <color theme="0"/>
      <name val="Calibri"/>
      <family val="2"/>
      <charset val="1"/>
    </font>
    <font>
      <b/>
      <sz val="11"/>
      <color rgb="FF1A56DB"/>
      <name val="Calibri"/>
      <charset val="1"/>
    </font>
    <font>
      <b/>
      <sz val="10"/>
      <color rgb="FF0D3B8A"/>
      <name val="Calibri"/>
      <charset val="1"/>
    </font>
    <font>
      <sz val="8"/>
      <name val="Calibri"/>
      <family val="2"/>
      <charset val="1"/>
    </font>
  </fonts>
  <fills count="17">
    <fill>
      <patternFill patternType="none"/>
    </fill>
    <fill>
      <patternFill patternType="gray125"/>
    </fill>
    <fill>
      <patternFill patternType="solid">
        <fgColor rgb="FF7C3AED"/>
        <bgColor rgb="FF993366"/>
      </patternFill>
    </fill>
    <fill>
      <patternFill patternType="solid">
        <fgColor rgb="FFE8F4FD"/>
        <bgColor rgb="FFEFF6FF"/>
      </patternFill>
    </fill>
    <fill>
      <patternFill patternType="solid">
        <fgColor rgb="FFFFFFFF"/>
        <bgColor rgb="FFF8FAFF"/>
      </patternFill>
    </fill>
    <fill>
      <patternFill patternType="solid">
        <fgColor rgb="FFF8FAFF"/>
        <bgColor rgb="FFF0F7FF"/>
      </patternFill>
    </fill>
    <fill>
      <patternFill patternType="solid">
        <fgColor rgb="FFFFF9C4"/>
        <bgColor rgb="FFFEF3C7"/>
      </patternFill>
    </fill>
    <fill>
      <patternFill patternType="solid">
        <fgColor rgb="FFE8F5E9"/>
        <bgColor rgb="FFE8F4FD"/>
      </patternFill>
    </fill>
    <fill>
      <patternFill patternType="solid">
        <fgColor rgb="FFFEF3C7"/>
        <bgColor rgb="FFFFF9C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DBEAFE"/>
        <bgColor rgb="FFE8F4FD"/>
      </patternFill>
    </fill>
    <fill>
      <patternFill patternType="solid">
        <fgColor rgb="FFFEE2E2"/>
        <bgColor rgb="FFFFE0E0"/>
      </patternFill>
    </fill>
    <fill>
      <patternFill patternType="solid">
        <fgColor rgb="FFEFF6FF"/>
        <bgColor rgb="FFF0F7FF"/>
      </patternFill>
    </fill>
    <fill>
      <patternFill patternType="solid">
        <fgColor rgb="FFFFF1F1"/>
        <bgColor rgb="FFFFFBEB"/>
      </patternFill>
    </fill>
  </fills>
  <borders count="9">
    <border>
      <left/>
      <right/>
      <top/>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theme="4" tint="0.39997558519241921"/>
      </top>
      <bottom style="thin">
        <color theme="4" tint="0.39997558519241921"/>
      </bottom>
      <diagonal/>
    </border>
    <border>
      <left/>
      <right/>
      <top/>
      <bottom style="thin">
        <color indexed="64"/>
      </bottom>
      <diagonal/>
    </border>
  </borders>
  <cellStyleXfs count="5">
    <xf numFmtId="0" fontId="0" fillId="0" borderId="0"/>
    <xf numFmtId="43" fontId="2" fillId="0" borderId="0" applyFont="0" applyFill="0" applyBorder="0" applyAlignment="0" applyProtection="0"/>
    <xf numFmtId="0" fontId="1" fillId="0" borderId="0"/>
    <xf numFmtId="164" fontId="7" fillId="0" borderId="0" applyFont="0" applyFill="0" applyBorder="0" applyAlignment="0" applyProtection="0"/>
    <xf numFmtId="0" fontId="8" fillId="0" borderId="0" applyNumberFormat="0" applyFill="0" applyBorder="0" applyAlignment="0" applyProtection="0"/>
  </cellStyleXfs>
  <cellXfs count="56">
    <xf numFmtId="0" fontId="0" fillId="0" borderId="0" xfId="0"/>
    <xf numFmtId="0" fontId="4" fillId="3" borderId="1" xfId="0" applyFont="1" applyFill="1" applyBorder="1" applyAlignment="1">
      <alignment horizontal="center" vertical="center"/>
    </xf>
    <xf numFmtId="0" fontId="5" fillId="4" borderId="1" xfId="0" applyFont="1" applyFill="1" applyBorder="1" applyAlignment="1">
      <alignment vertical="center" wrapText="1"/>
    </xf>
    <xf numFmtId="0" fontId="6" fillId="3" borderId="1" xfId="0" applyFont="1" applyFill="1" applyBorder="1" applyAlignment="1">
      <alignment vertical="center" wrapText="1"/>
    </xf>
    <xf numFmtId="0" fontId="5" fillId="5" borderId="1" xfId="0" applyFont="1" applyFill="1" applyBorder="1" applyAlignment="1">
      <alignment vertical="center" wrapText="1"/>
    </xf>
    <xf numFmtId="0" fontId="6" fillId="6" borderId="1" xfId="0" applyFont="1" applyFill="1" applyBorder="1" applyAlignment="1">
      <alignment vertical="center" wrapText="1"/>
    </xf>
    <xf numFmtId="0" fontId="6" fillId="7" borderId="1" xfId="0" applyFont="1" applyFill="1" applyBorder="1" applyAlignment="1">
      <alignment vertical="center" wrapText="1"/>
    </xf>
    <xf numFmtId="0" fontId="6" fillId="8" borderId="1" xfId="0" applyFont="1" applyFill="1" applyBorder="1" applyAlignment="1">
      <alignment vertical="center" wrapText="1"/>
    </xf>
    <xf numFmtId="14" fontId="0" fillId="0" borderId="0" xfId="0" applyNumberFormat="1"/>
    <xf numFmtId="4" fontId="1" fillId="0" borderId="0" xfId="2" applyNumberFormat="1"/>
    <xf numFmtId="0" fontId="8" fillId="0" borderId="0" xfId="4"/>
    <xf numFmtId="2" fontId="0" fillId="0" borderId="0" xfId="0" applyNumberFormat="1"/>
    <xf numFmtId="0" fontId="0" fillId="10" borderId="2" xfId="0" applyFill="1" applyBorder="1"/>
    <xf numFmtId="0" fontId="0" fillId="0" borderId="2" xfId="0" applyBorder="1"/>
    <xf numFmtId="0" fontId="9" fillId="0" borderId="0" xfId="0" applyFont="1"/>
    <xf numFmtId="0" fontId="0" fillId="0" borderId="3" xfId="0" applyBorder="1"/>
    <xf numFmtId="164" fontId="0" fillId="10" borderId="2" xfId="0" applyNumberFormat="1" applyFill="1" applyBorder="1"/>
    <xf numFmtId="164" fontId="0" fillId="0" borderId="0" xfId="3" applyFont="1" applyBorder="1"/>
    <xf numFmtId="164" fontId="0" fillId="10" borderId="2" xfId="3" applyFont="1" applyFill="1" applyBorder="1"/>
    <xf numFmtId="165" fontId="0" fillId="10" borderId="2" xfId="1" applyNumberFormat="1" applyFont="1" applyFill="1" applyBorder="1"/>
    <xf numFmtId="0" fontId="9" fillId="0" borderId="2" xfId="0" applyFont="1" applyBorder="1"/>
    <xf numFmtId="164" fontId="0" fillId="0" borderId="2" xfId="3" applyFont="1" applyBorder="1"/>
    <xf numFmtId="22" fontId="0" fillId="0" borderId="2" xfId="0" applyNumberFormat="1" applyBorder="1"/>
    <xf numFmtId="14" fontId="0" fillId="0" borderId="2" xfId="0" applyNumberFormat="1" applyBorder="1"/>
    <xf numFmtId="0" fontId="10" fillId="11" borderId="7" xfId="0" applyFont="1" applyFill="1" applyBorder="1"/>
    <xf numFmtId="0" fontId="0" fillId="0" borderId="7" xfId="0" applyBorder="1"/>
    <xf numFmtId="0" fontId="0" fillId="0" borderId="0" xfId="0" applyAlignment="1">
      <alignment wrapText="1"/>
    </xf>
    <xf numFmtId="164" fontId="0" fillId="0" borderId="0" xfId="3" applyFont="1"/>
    <xf numFmtId="0" fontId="6" fillId="0" borderId="0" xfId="0" applyFont="1"/>
    <xf numFmtId="0" fontId="11" fillId="13" borderId="1" xfId="0" applyFont="1" applyFill="1" applyBorder="1"/>
    <xf numFmtId="0" fontId="5" fillId="14" borderId="1" xfId="0" applyFont="1" applyFill="1" applyBorder="1" applyAlignment="1">
      <alignment vertical="center"/>
    </xf>
    <xf numFmtId="0" fontId="12" fillId="15" borderId="1" xfId="0" applyFont="1" applyFill="1" applyBorder="1" applyAlignment="1">
      <alignment vertical="center"/>
    </xf>
    <xf numFmtId="0" fontId="5" fillId="16" borderId="1" xfId="0" applyFont="1" applyFill="1" applyBorder="1" applyAlignment="1">
      <alignment vertical="center"/>
    </xf>
    <xf numFmtId="4" fontId="12" fillId="15" borderId="1" xfId="0" applyNumberFormat="1" applyFont="1" applyFill="1" applyBorder="1" applyAlignment="1">
      <alignment vertical="center"/>
    </xf>
    <xf numFmtId="14" fontId="12" fillId="15" borderId="1" xfId="0" applyNumberFormat="1" applyFont="1" applyFill="1" applyBorder="1" applyAlignment="1">
      <alignment vertical="center"/>
    </xf>
    <xf numFmtId="0" fontId="11" fillId="13" borderId="2" xfId="0" applyFont="1" applyFill="1" applyBorder="1"/>
    <xf numFmtId="0" fontId="0" fillId="12" borderId="2" xfId="0" applyFill="1" applyBorder="1"/>
    <xf numFmtId="0" fontId="0" fillId="0" borderId="0" xfId="0" pivotButton="1"/>
    <xf numFmtId="0" fontId="0" fillId="0" borderId="0" xfId="0" applyAlignment="1">
      <alignment horizontal="left"/>
    </xf>
    <xf numFmtId="43" fontId="0" fillId="0" borderId="0" xfId="1" applyFont="1"/>
    <xf numFmtId="43" fontId="0" fillId="0" borderId="0" xfId="0" applyNumberFormat="1"/>
    <xf numFmtId="166" fontId="0" fillId="0" borderId="0" xfId="0" applyNumberFormat="1"/>
    <xf numFmtId="167" fontId="0" fillId="0" borderId="0" xfId="0" applyNumberFormat="1"/>
    <xf numFmtId="0" fontId="9" fillId="9" borderId="0" xfId="0" applyFont="1" applyFill="1" applyAlignment="1">
      <alignment horizontal="center"/>
    </xf>
    <xf numFmtId="0" fontId="9" fillId="9" borderId="5" xfId="0" applyFont="1" applyFill="1" applyBorder="1" applyAlignment="1">
      <alignment horizontal="center"/>
    </xf>
    <xf numFmtId="0" fontId="9" fillId="9" borderId="6" xfId="0" applyFont="1" applyFill="1" applyBorder="1" applyAlignment="1">
      <alignment horizontal="center"/>
    </xf>
    <xf numFmtId="0" fontId="9" fillId="9" borderId="3" xfId="0" applyFont="1" applyFill="1" applyBorder="1" applyAlignment="1">
      <alignment horizontal="center"/>
    </xf>
    <xf numFmtId="0" fontId="0" fillId="0" borderId="2" xfId="0" applyBorder="1" applyAlignment="1">
      <alignment horizontal="center"/>
    </xf>
    <xf numFmtId="0" fontId="9" fillId="9" borderId="8" xfId="0" applyFont="1" applyFill="1" applyBorder="1" applyAlignment="1">
      <alignment horizontal="center"/>
    </xf>
    <xf numFmtId="0" fontId="0" fillId="9" borderId="2" xfId="0" applyFill="1" applyBorder="1" applyAlignment="1">
      <alignment horizontal="center"/>
    </xf>
    <xf numFmtId="0" fontId="0" fillId="0" borderId="0" xfId="0" applyAlignment="1">
      <alignment horizontal="center"/>
    </xf>
    <xf numFmtId="0" fontId="0" fillId="10" borderId="4" xfId="0" applyFill="1" applyBorder="1" applyAlignment="1">
      <alignment horizontal="center"/>
    </xf>
    <xf numFmtId="0" fontId="0" fillId="10" borderId="0" xfId="0" applyFill="1" applyAlignment="1">
      <alignment horizontal="center"/>
    </xf>
    <xf numFmtId="0" fontId="3" fillId="2" borderId="0" xfId="0" applyFont="1" applyFill="1" applyAlignment="1">
      <alignment horizontal="left" vertical="center" indent="1"/>
    </xf>
    <xf numFmtId="10" fontId="0" fillId="0" borderId="0" xfId="0" applyNumberFormat="1"/>
    <xf numFmtId="0" fontId="0" fillId="0" borderId="0" xfId="0" applyAlignment="1">
      <alignment horizontal="left" indent="1"/>
    </xf>
  </cellXfs>
  <cellStyles count="5">
    <cellStyle name="Comma" xfId="1" builtinId="3"/>
    <cellStyle name="Currency" xfId="3" builtinId="4"/>
    <cellStyle name="Hyperlink" xfId="4" builtinId="8"/>
    <cellStyle name="Normal" xfId="0" builtinId="0"/>
    <cellStyle name="Normal 2" xfId="2" xr:uid="{43BEEA98-AA29-4BD8-9B91-FC49C5FBEEF8}"/>
  </cellStyles>
  <dxfs count="14">
    <dxf>
      <numFmt numFmtId="35" formatCode="_-* #,##0.00_-;\-* #,##0.00_-;_-* &quot;-&quot;??_-;_-@_-"/>
    </dxf>
    <dxf>
      <numFmt numFmtId="35" formatCode="_-* #,##0.00_-;\-* #,##0.00_-;_-* &quot;-&quot;??_-;_-@_-"/>
    </dxf>
    <dxf>
      <numFmt numFmtId="35" formatCode="_-* #,##0.00_-;\-* #,##0.00_-;_-* &quot;-&quot;??_-;_-@_-"/>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[Retail_Sales.xlsx]Pivot Tables_Dash!PivotTable1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Regional</a:t>
            </a:r>
            <a:r>
              <a:rPr lang="en-US" b="1" baseline="0"/>
              <a:t> Sales and Profit</a:t>
            </a:r>
          </a:p>
        </c:rich>
      </c:tx>
      <c:layout>
        <c:manualLayout>
          <c:xMode val="edge"/>
          <c:yMode val="edge"/>
          <c:x val="0.24319492990205499"/>
          <c:y val="3.892944038929440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466]\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466]\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466]\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466]\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466]\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466]\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772357723577237E-2"/>
          <c:y val="0.18048661800486621"/>
          <c:w val="0.92845528455284554"/>
          <c:h val="0.70662643446941398"/>
        </c:manualLayout>
      </c:layout>
      <c:barChart>
        <c:barDir val="col"/>
        <c:grouping val="clustered"/>
        <c:varyColors val="0"/>
        <c:ser>
          <c:idx val="0"/>
          <c:order val="0"/>
          <c:tx>
            <c:strRef>
              <c:f>'Pivot Tables_Dash'!$B$2</c:f>
              <c:strCache>
                <c:ptCount val="1"/>
                <c:pt idx="0">
                  <c:v>Sum of Sales (₦)</c:v>
                </c:pt>
              </c:strCache>
            </c:strRef>
          </c:tx>
          <c:spPr>
            <a:solidFill>
              <a:schemeClr val="accent1"/>
            </a:solidFill>
            <a:ln>
              <a:noFill/>
            </a:ln>
            <a:effectLst/>
          </c:spPr>
          <c:invertIfNegative val="0"/>
          <c:dLbls>
            <c:numFmt formatCode="[$₦-466]\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Tables_Dash'!$A$3:$A$7</c:f>
              <c:strCache>
                <c:ptCount val="4"/>
                <c:pt idx="0">
                  <c:v>East</c:v>
                </c:pt>
                <c:pt idx="1">
                  <c:v>North</c:v>
                </c:pt>
                <c:pt idx="2">
                  <c:v>South</c:v>
                </c:pt>
                <c:pt idx="3">
                  <c:v>West</c:v>
                </c:pt>
              </c:strCache>
            </c:strRef>
          </c:cat>
          <c:val>
            <c:numRef>
              <c:f>'Pivot Tables_Dash'!$B$3:$B$7</c:f>
              <c:numCache>
                <c:formatCode>_(* #,##0.00_);_(* \(#,##0.00\);_(* "-"??_);_(@_)</c:formatCode>
                <c:ptCount val="4"/>
                <c:pt idx="0">
                  <c:v>136638586.09999999</c:v>
                </c:pt>
                <c:pt idx="1">
                  <c:v>158175117.25999999</c:v>
                </c:pt>
                <c:pt idx="2">
                  <c:v>156020814.31999996</c:v>
                </c:pt>
                <c:pt idx="3">
                  <c:v>180807544.95999992</c:v>
                </c:pt>
              </c:numCache>
            </c:numRef>
          </c:val>
          <c:extLst>
            <c:ext xmlns:c16="http://schemas.microsoft.com/office/drawing/2014/chart" uri="{C3380CC4-5D6E-409C-BE32-E72D297353CC}">
              <c16:uniqueId val="{00000000-8E56-479F-BDF8-8C749E146089}"/>
            </c:ext>
          </c:extLst>
        </c:ser>
        <c:ser>
          <c:idx val="1"/>
          <c:order val="1"/>
          <c:tx>
            <c:strRef>
              <c:f>'Pivot Tables_Dash'!$C$2</c:f>
              <c:strCache>
                <c:ptCount val="1"/>
                <c:pt idx="0">
                  <c:v>Sum of Profit (₦)</c:v>
                </c:pt>
              </c:strCache>
            </c:strRef>
          </c:tx>
          <c:spPr>
            <a:solidFill>
              <a:schemeClr val="accent2"/>
            </a:solidFill>
            <a:ln>
              <a:noFill/>
            </a:ln>
            <a:effectLst/>
          </c:spPr>
          <c:invertIfNegative val="0"/>
          <c:dLbls>
            <c:numFmt formatCode="[$₦-466]\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Tables_Dash'!$A$3:$A$7</c:f>
              <c:strCache>
                <c:ptCount val="4"/>
                <c:pt idx="0">
                  <c:v>East</c:v>
                </c:pt>
                <c:pt idx="1">
                  <c:v>North</c:v>
                </c:pt>
                <c:pt idx="2">
                  <c:v>South</c:v>
                </c:pt>
                <c:pt idx="3">
                  <c:v>West</c:v>
                </c:pt>
              </c:strCache>
            </c:strRef>
          </c:cat>
          <c:val>
            <c:numRef>
              <c:f>'Pivot Tables_Dash'!$C$3:$C$7</c:f>
              <c:numCache>
                <c:formatCode>_(* #,##0.00_);_(* \(#,##0.00\);_(* "-"??_);_(@_)</c:formatCode>
                <c:ptCount val="4"/>
                <c:pt idx="0">
                  <c:v>17563180.379999995</c:v>
                </c:pt>
                <c:pt idx="1">
                  <c:v>25803411.889999982</c:v>
                </c:pt>
                <c:pt idx="2">
                  <c:v>23823355.770000003</c:v>
                </c:pt>
                <c:pt idx="3">
                  <c:v>25524221.169999991</c:v>
                </c:pt>
              </c:numCache>
            </c:numRef>
          </c:val>
          <c:extLst>
            <c:ext xmlns:c16="http://schemas.microsoft.com/office/drawing/2014/chart" uri="{C3380CC4-5D6E-409C-BE32-E72D297353CC}">
              <c16:uniqueId val="{00000001-8E56-479F-BDF8-8C749E146089}"/>
            </c:ext>
          </c:extLst>
        </c:ser>
        <c:dLbls>
          <c:dLblPos val="outEnd"/>
          <c:showLegendKey val="0"/>
          <c:showVal val="1"/>
          <c:showCatName val="0"/>
          <c:showSerName val="0"/>
          <c:showPercent val="0"/>
          <c:showBubbleSize val="0"/>
        </c:dLbls>
        <c:gapWidth val="219"/>
        <c:overlap val="-27"/>
        <c:axId val="1207028160"/>
        <c:axId val="1207028640"/>
      </c:barChart>
      <c:catAx>
        <c:axId val="120702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028640"/>
        <c:crosses val="autoZero"/>
        <c:auto val="1"/>
        <c:lblAlgn val="ctr"/>
        <c:lblOffset val="100"/>
        <c:noMultiLvlLbl val="0"/>
      </c:catAx>
      <c:valAx>
        <c:axId val="1207028640"/>
        <c:scaling>
          <c:orientation val="minMax"/>
        </c:scaling>
        <c:delete val="1"/>
        <c:axPos val="l"/>
        <c:numFmt formatCode="_(* #,##0.00_);_(* \(#,##0.00\);_(* &quot;-&quot;??_);_(@_)" sourceLinked="1"/>
        <c:majorTickMark val="none"/>
        <c:minorTickMark val="none"/>
        <c:tickLblPos val="nextTo"/>
        <c:crossAx val="1207028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[Retail_Sales.xlsx]Pivot Tables_Dash!PivotTable2</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By Segments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Tables_Dash'!$B$11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35-437C-A723-D180E7F55D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35-437C-A723-D180E7F55D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35-437C-A723-D180E7F55D7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Tables_Dash'!$A$12:$A$15</c:f>
              <c:strCache>
                <c:ptCount val="3"/>
                <c:pt idx="0">
                  <c:v>Consumer</c:v>
                </c:pt>
                <c:pt idx="1">
                  <c:v>Corporate</c:v>
                </c:pt>
                <c:pt idx="2">
                  <c:v>Home Office</c:v>
                </c:pt>
              </c:strCache>
            </c:strRef>
          </c:cat>
          <c:val>
            <c:numRef>
              <c:f>'Pivot Tables_Dash'!$B$12:$B$15</c:f>
              <c:numCache>
                <c:formatCode>_(* #,##0.00_);_(* \(#,##0.00\);_(* "-"??_);_(@_)</c:formatCode>
                <c:ptCount val="3"/>
                <c:pt idx="0">
                  <c:v>210199383.34999967</c:v>
                </c:pt>
                <c:pt idx="1">
                  <c:v>211055885.11000004</c:v>
                </c:pt>
                <c:pt idx="2">
                  <c:v>210386794.17999992</c:v>
                </c:pt>
              </c:numCache>
            </c:numRef>
          </c:val>
          <c:extLst>
            <c:ext xmlns:c16="http://schemas.microsoft.com/office/drawing/2014/chart" uri="{C3380CC4-5D6E-409C-BE32-E72D297353CC}">
              <c16:uniqueId val="{00000006-7F35-437C-A723-D180E7F55D72}"/>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[Retail_Sales.xlsx]Pivot Tables_Dash!PivotTable3</c:name>
    <c:fmtId val="6"/>
  </c:pivotSource>
  <c:chart>
    <c:title>
      <c:tx>
        <c:rich>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r>
              <a:rPr lang="en-US" b="1"/>
              <a:t>Profit By Segments</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Tables_Dash'!$B$18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C7E-4D14-95D9-317012FF60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C7E-4D14-95D9-317012FF60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C7E-4D14-95D9-317012FF602B}"/>
              </c:ext>
            </c:extLst>
          </c:dPt>
          <c:dLbls>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Tables_Dash'!$A$19:$A$22</c:f>
              <c:strCache>
                <c:ptCount val="3"/>
                <c:pt idx="0">
                  <c:v>Consumer</c:v>
                </c:pt>
                <c:pt idx="1">
                  <c:v>Corporate</c:v>
                </c:pt>
                <c:pt idx="2">
                  <c:v>Home Office</c:v>
                </c:pt>
              </c:strCache>
            </c:strRef>
          </c:cat>
          <c:val>
            <c:numRef>
              <c:f>'Pivot Tables_Dash'!$B$19:$B$22</c:f>
              <c:numCache>
                <c:formatCode>0.00%</c:formatCode>
                <c:ptCount val="3"/>
                <c:pt idx="0">
                  <c:v>0.32881071598613731</c:v>
                </c:pt>
                <c:pt idx="1">
                  <c:v>0.39656556504023921</c:v>
                </c:pt>
                <c:pt idx="2">
                  <c:v>0.27462371897362348</c:v>
                </c:pt>
              </c:numCache>
            </c:numRef>
          </c:val>
          <c:extLst>
            <c:ext xmlns:c16="http://schemas.microsoft.com/office/drawing/2014/chart" uri="{C3380CC4-5D6E-409C-BE32-E72D297353CC}">
              <c16:uniqueId val="{00000006-6C7E-4D14-95D9-317012FF602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[Retail_Sales.xlsx]Pivot Tables_Dash!PivotTable4</c:name>
    <c:fmtId val="8"/>
  </c:pivotSource>
  <c:chart>
    <c:title>
      <c:tx>
        <c:rich>
          <a:bodyPr rot="0" spcFirstLastPara="1" vertOverflow="ellipsis" vert="horz" wrap="square" anchor="ctr" anchorCtr="1"/>
          <a:lstStyle/>
          <a:p>
            <a:pPr algn="ctr" rtl="0">
              <a:defRPr lang="en-US" sz="1400" b="1" i="0" u="none" strike="noStrike" kern="1200" spc="0" baseline="0">
                <a:solidFill>
                  <a:srgbClr val="000000">
                    <a:lumMod val="65000"/>
                    <a:lumOff val="35000"/>
                  </a:srgbClr>
                </a:solidFill>
                <a:latin typeface="+mn-lt"/>
                <a:ea typeface="+mn-ea"/>
                <a:cs typeface="+mn-cs"/>
              </a:defRPr>
            </a:pPr>
            <a:r>
              <a:rPr lang="en-US" sz="1400" b="1" i="0" u="none" strike="noStrike" kern="1200" spc="0" baseline="0">
                <a:solidFill>
                  <a:srgbClr val="000000">
                    <a:lumMod val="65000"/>
                    <a:lumOff val="35000"/>
                  </a:srgbClr>
                </a:solidFill>
                <a:latin typeface="+mn-lt"/>
                <a:ea typeface="+mn-ea"/>
                <a:cs typeface="+mn-cs"/>
              </a:rPr>
              <a:t>Top 10 Products by Sales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466]\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466]\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466]\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Tables_Dash'!$B$26</c:f>
              <c:strCache>
                <c:ptCount val="1"/>
                <c:pt idx="0">
                  <c:v>Total</c:v>
                </c:pt>
              </c:strCache>
            </c:strRef>
          </c:tx>
          <c:spPr>
            <a:solidFill>
              <a:schemeClr val="accent1"/>
            </a:solidFill>
            <a:ln>
              <a:noFill/>
            </a:ln>
            <a:effectLst/>
          </c:spPr>
          <c:invertIfNegative val="0"/>
          <c:dLbls>
            <c:numFmt formatCode="[$₦-466]\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Tables_Dash'!$A$27:$A$37</c:f>
              <c:strCache>
                <c:ptCount val="10"/>
                <c:pt idx="0">
                  <c:v>Lenovo Tab M10</c:v>
                </c:pt>
                <c:pt idx="1">
                  <c:v>Epson EcoTank</c:v>
                </c:pt>
                <c:pt idx="2">
                  <c:v>Tecno Spark 10</c:v>
                </c:pt>
                <c:pt idx="3">
                  <c:v>Silk Scarf</c:v>
                </c:pt>
                <c:pt idx="4">
                  <c:v>HP LaserJet Pro</c:v>
                </c:pt>
                <c:pt idx="5">
                  <c:v>Dell Inspiron 15</c:v>
                </c:pt>
                <c:pt idx="6">
                  <c:v>iPad 10th Gen</c:v>
                </c:pt>
                <c:pt idx="7">
                  <c:v>Infinix Note 30</c:v>
                </c:pt>
                <c:pt idx="8">
                  <c:v>Xiaomi Redmi 12</c:v>
                </c:pt>
                <c:pt idx="9">
                  <c:v>Lenovo IdeaPad 3</c:v>
                </c:pt>
              </c:strCache>
            </c:strRef>
          </c:cat>
          <c:val>
            <c:numRef>
              <c:f>'Pivot Tables_Dash'!$B$27:$B$37</c:f>
              <c:numCache>
                <c:formatCode>_(* #,##0.00_);_(* \(#,##0.00\);_(* "-"??_);_(@_)</c:formatCode>
                <c:ptCount val="10"/>
                <c:pt idx="0">
                  <c:v>16227714.93</c:v>
                </c:pt>
                <c:pt idx="1">
                  <c:v>17780907.419999994</c:v>
                </c:pt>
                <c:pt idx="2">
                  <c:v>17800951.23</c:v>
                </c:pt>
                <c:pt idx="3">
                  <c:v>17823077.749999996</c:v>
                </c:pt>
                <c:pt idx="4">
                  <c:v>18345487.810000002</c:v>
                </c:pt>
                <c:pt idx="5">
                  <c:v>18349678.800000001</c:v>
                </c:pt>
                <c:pt idx="6">
                  <c:v>18973364.990000002</c:v>
                </c:pt>
                <c:pt idx="7">
                  <c:v>21390307.990000002</c:v>
                </c:pt>
                <c:pt idx="8">
                  <c:v>23949166.469999999</c:v>
                </c:pt>
                <c:pt idx="9">
                  <c:v>30402493.289999999</c:v>
                </c:pt>
              </c:numCache>
            </c:numRef>
          </c:val>
          <c:extLst>
            <c:ext xmlns:c16="http://schemas.microsoft.com/office/drawing/2014/chart" uri="{C3380CC4-5D6E-409C-BE32-E72D297353CC}">
              <c16:uniqueId val="{00000000-006F-4C68-B79F-5F627BF0EDFE}"/>
            </c:ext>
          </c:extLst>
        </c:ser>
        <c:dLbls>
          <c:dLblPos val="outEnd"/>
          <c:showLegendKey val="0"/>
          <c:showVal val="1"/>
          <c:showCatName val="0"/>
          <c:showSerName val="0"/>
          <c:showPercent val="0"/>
          <c:showBubbleSize val="0"/>
        </c:dLbls>
        <c:gapWidth val="82"/>
        <c:axId val="196042960"/>
        <c:axId val="196040560"/>
      </c:barChart>
      <c:catAx>
        <c:axId val="196042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lumMod val="65000"/>
                    <a:lumOff val="35000"/>
                  </a:schemeClr>
                </a:solidFill>
                <a:latin typeface="+mn-lt"/>
                <a:ea typeface="+mn-ea"/>
                <a:cs typeface="+mn-cs"/>
              </a:defRPr>
            </a:pPr>
            <a:endParaRPr lang="en-US"/>
          </a:p>
        </c:txPr>
        <c:crossAx val="196040560"/>
        <c:crosses val="autoZero"/>
        <c:auto val="1"/>
        <c:lblAlgn val="ctr"/>
        <c:lblOffset val="100"/>
        <c:noMultiLvlLbl val="0"/>
      </c:catAx>
      <c:valAx>
        <c:axId val="196040560"/>
        <c:scaling>
          <c:orientation val="minMax"/>
        </c:scaling>
        <c:delete val="1"/>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crossAx val="19604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[Retail_Sales.xlsx]Pivot Tables_Dash!PivotTable5</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10 profitable Products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466]\ #,##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466]\ #,##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466]\ #,##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Tables_Dash'!$B$40</c:f>
              <c:strCache>
                <c:ptCount val="1"/>
                <c:pt idx="0">
                  <c:v>Total</c:v>
                </c:pt>
              </c:strCache>
            </c:strRef>
          </c:tx>
          <c:spPr>
            <a:solidFill>
              <a:schemeClr val="accent1"/>
            </a:solidFill>
            <a:ln>
              <a:noFill/>
            </a:ln>
            <a:effectLst/>
          </c:spPr>
          <c:invertIfNegative val="0"/>
          <c:dLbls>
            <c:numFmt formatCode="[$₦-466]\ #,##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Tables_Dash'!$A$41:$A$51</c:f>
              <c:strCache>
                <c:ptCount val="10"/>
                <c:pt idx="0">
                  <c:v>Epson EcoTank</c:v>
                </c:pt>
                <c:pt idx="1">
                  <c:v>Belt Leather</c:v>
                </c:pt>
                <c:pt idx="2">
                  <c:v>Canon PIXMA G3411</c:v>
                </c:pt>
                <c:pt idx="3">
                  <c:v>Samsung Tab A8</c:v>
                </c:pt>
                <c:pt idx="4">
                  <c:v>Wristwatch</c:v>
                </c:pt>
                <c:pt idx="5">
                  <c:v>Sunglasses UV400</c:v>
                </c:pt>
                <c:pt idx="6">
                  <c:v>Brother HL-L2350DW</c:v>
                </c:pt>
                <c:pt idx="7">
                  <c:v>Silk Scarf</c:v>
                </c:pt>
                <c:pt idx="8">
                  <c:v>Wallet Genuine Leather</c:v>
                </c:pt>
                <c:pt idx="9">
                  <c:v>Lenovo IdeaPad 3</c:v>
                </c:pt>
              </c:strCache>
            </c:strRef>
          </c:cat>
          <c:val>
            <c:numRef>
              <c:f>'Pivot Tables_Dash'!$B$41:$B$51</c:f>
              <c:numCache>
                <c:formatCode>_(* #,##0.00_);_(* \(#,##0.00\);_(* "-"??_);_(@_)</c:formatCode>
                <c:ptCount val="10"/>
                <c:pt idx="0">
                  <c:v>2494964.62</c:v>
                </c:pt>
                <c:pt idx="1">
                  <c:v>2698327.1799999997</c:v>
                </c:pt>
                <c:pt idx="2">
                  <c:v>2916771.34</c:v>
                </c:pt>
                <c:pt idx="3">
                  <c:v>2996877.6300000004</c:v>
                </c:pt>
                <c:pt idx="4">
                  <c:v>3370942.5300000003</c:v>
                </c:pt>
                <c:pt idx="5">
                  <c:v>3741308.44</c:v>
                </c:pt>
                <c:pt idx="6">
                  <c:v>3750595.56</c:v>
                </c:pt>
                <c:pt idx="7">
                  <c:v>3794707.0999999996</c:v>
                </c:pt>
                <c:pt idx="8">
                  <c:v>4263666.7</c:v>
                </c:pt>
                <c:pt idx="9">
                  <c:v>5234113.78</c:v>
                </c:pt>
              </c:numCache>
            </c:numRef>
          </c:val>
          <c:extLst>
            <c:ext xmlns:c16="http://schemas.microsoft.com/office/drawing/2014/chart" uri="{C3380CC4-5D6E-409C-BE32-E72D297353CC}">
              <c16:uniqueId val="{00000000-CB92-4025-91B8-2A1E83E9DB1B}"/>
            </c:ext>
          </c:extLst>
        </c:ser>
        <c:dLbls>
          <c:dLblPos val="outEnd"/>
          <c:showLegendKey val="0"/>
          <c:showVal val="1"/>
          <c:showCatName val="0"/>
          <c:showSerName val="0"/>
          <c:showPercent val="0"/>
          <c:showBubbleSize val="0"/>
        </c:dLbls>
        <c:gapWidth val="182"/>
        <c:axId val="183511552"/>
        <c:axId val="183512512"/>
      </c:barChart>
      <c:catAx>
        <c:axId val="1835115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3512512"/>
        <c:crosses val="autoZero"/>
        <c:auto val="1"/>
        <c:lblAlgn val="ctr"/>
        <c:lblOffset val="100"/>
        <c:noMultiLvlLbl val="0"/>
      </c:catAx>
      <c:valAx>
        <c:axId val="183512512"/>
        <c:scaling>
          <c:orientation val="minMax"/>
        </c:scaling>
        <c:delete val="1"/>
        <c:axPos val="b"/>
        <c:numFmt formatCode="_(* #,##0.00_);_(* \(#,##0.00\);_(* &quot;-&quot;??_);_(@_)" sourceLinked="1"/>
        <c:majorTickMark val="out"/>
        <c:minorTickMark val="none"/>
        <c:tickLblPos val="nextTo"/>
        <c:crossAx val="183511552"/>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[Retail_Sales.xlsx]Pivot Tables_Dash!PivotTable8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State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Tables_Dash'!$B$55</c:f>
              <c:strCache>
                <c:ptCount val="1"/>
                <c:pt idx="0">
                  <c:v>Total</c:v>
                </c:pt>
              </c:strCache>
            </c:strRef>
          </c:tx>
          <c:spPr>
            <a:solidFill>
              <a:schemeClr val="accent1"/>
            </a:solidFill>
            <a:ln>
              <a:noFill/>
            </a:ln>
            <a:effectLst/>
          </c:spPr>
          <c:invertIfNegative val="0"/>
          <c:cat>
            <c:strRef>
              <c:f>'Pivot Tables_Dash'!$A$56:$A$66</c:f>
              <c:strCache>
                <c:ptCount val="10"/>
                <c:pt idx="0">
                  <c:v>Abuja</c:v>
                </c:pt>
                <c:pt idx="1">
                  <c:v>Awka</c:v>
                </c:pt>
                <c:pt idx="2">
                  <c:v>Ado-Ekiti</c:v>
                </c:pt>
                <c:pt idx="3">
                  <c:v>Osogbo</c:v>
                </c:pt>
                <c:pt idx="4">
                  <c:v>Kaduna</c:v>
                </c:pt>
                <c:pt idx="5">
                  <c:v>Sokoto</c:v>
                </c:pt>
                <c:pt idx="6">
                  <c:v>Ilorin</c:v>
                </c:pt>
                <c:pt idx="7">
                  <c:v>Akure</c:v>
                </c:pt>
                <c:pt idx="8">
                  <c:v>Benin City</c:v>
                </c:pt>
                <c:pt idx="9">
                  <c:v>Onitsha</c:v>
                </c:pt>
              </c:strCache>
            </c:strRef>
          </c:cat>
          <c:val>
            <c:numRef>
              <c:f>'Pivot Tables_Dash'!$B$56:$B$66</c:f>
              <c:numCache>
                <c:formatCode>_(* #,##0.00_);_(* \(#,##0.00\);_(* "-"??_);_(@_)</c:formatCode>
                <c:ptCount val="10"/>
                <c:pt idx="0">
                  <c:v>29430777.70000001</c:v>
                </c:pt>
                <c:pt idx="1">
                  <c:v>31418383.180000015</c:v>
                </c:pt>
                <c:pt idx="2">
                  <c:v>31636825.170000009</c:v>
                </c:pt>
                <c:pt idx="3">
                  <c:v>37891362.93</c:v>
                </c:pt>
                <c:pt idx="4">
                  <c:v>39122901.179999985</c:v>
                </c:pt>
                <c:pt idx="5">
                  <c:v>39312242.730000012</c:v>
                </c:pt>
                <c:pt idx="6">
                  <c:v>40699028.489999995</c:v>
                </c:pt>
                <c:pt idx="7">
                  <c:v>40865108.449999996</c:v>
                </c:pt>
                <c:pt idx="8">
                  <c:v>42376983.229999997</c:v>
                </c:pt>
                <c:pt idx="9">
                  <c:v>45282027.219999991</c:v>
                </c:pt>
              </c:numCache>
            </c:numRef>
          </c:val>
          <c:extLst>
            <c:ext xmlns:c16="http://schemas.microsoft.com/office/drawing/2014/chart" uri="{C3380CC4-5D6E-409C-BE32-E72D297353CC}">
              <c16:uniqueId val="{00000000-40F2-4F51-9891-E5D7E1C97183}"/>
            </c:ext>
          </c:extLst>
        </c:ser>
        <c:dLbls>
          <c:showLegendKey val="0"/>
          <c:showVal val="0"/>
          <c:showCatName val="0"/>
          <c:showSerName val="0"/>
          <c:showPercent val="0"/>
          <c:showBubbleSize val="0"/>
        </c:dLbls>
        <c:gapWidth val="219"/>
        <c:overlap val="-27"/>
        <c:axId val="195940176"/>
        <c:axId val="195938256"/>
      </c:barChart>
      <c:catAx>
        <c:axId val="19594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38256"/>
        <c:crosses val="autoZero"/>
        <c:auto val="1"/>
        <c:lblAlgn val="ctr"/>
        <c:lblOffset val="100"/>
        <c:noMultiLvlLbl val="0"/>
      </c:catAx>
      <c:valAx>
        <c:axId val="19593825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4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[Retail_Sales.xlsx]Pivot Tables_Dash!PivotTable9</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 Sales And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diamond"/>
          <c:size val="8"/>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diamond"/>
          <c:size val="8"/>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diamond"/>
          <c:size val="8"/>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Tables_Dash'!$B$70</c:f>
              <c:strCache>
                <c:ptCount val="1"/>
                <c:pt idx="0">
                  <c:v>Total Sales</c:v>
                </c:pt>
              </c:strCache>
            </c:strRef>
          </c:tx>
          <c:spPr>
            <a:solidFill>
              <a:schemeClr val="accent1"/>
            </a:solidFill>
            <a:ln>
              <a:noFill/>
            </a:ln>
            <a:effectLst/>
          </c:spPr>
          <c:invertIfNegative val="0"/>
          <c:cat>
            <c:strRef>
              <c:f>'Pivot Tables_Dash'!$A$71:$A$74</c:f>
              <c:strCache>
                <c:ptCount val="3"/>
                <c:pt idx="0">
                  <c:v>2022</c:v>
                </c:pt>
                <c:pt idx="1">
                  <c:v>2023</c:v>
                </c:pt>
                <c:pt idx="2">
                  <c:v>2024</c:v>
                </c:pt>
              </c:strCache>
            </c:strRef>
          </c:cat>
          <c:val>
            <c:numRef>
              <c:f>'Pivot Tables_Dash'!$B$71:$B$74</c:f>
              <c:numCache>
                <c:formatCode>_(* #,##0.00_);_(* \(#,##0.00\);_(* "-"??_);_(@_)</c:formatCode>
                <c:ptCount val="3"/>
                <c:pt idx="0">
                  <c:v>212258700.18999985</c:v>
                </c:pt>
                <c:pt idx="1">
                  <c:v>243863274.69999993</c:v>
                </c:pt>
                <c:pt idx="2">
                  <c:v>175520087.74999991</c:v>
                </c:pt>
              </c:numCache>
            </c:numRef>
          </c:val>
          <c:extLst>
            <c:ext xmlns:c16="http://schemas.microsoft.com/office/drawing/2014/chart" uri="{C3380CC4-5D6E-409C-BE32-E72D297353CC}">
              <c16:uniqueId val="{00000000-9595-4901-A2CB-5F36B6D66100}"/>
            </c:ext>
          </c:extLst>
        </c:ser>
        <c:dLbls>
          <c:showLegendKey val="0"/>
          <c:showVal val="0"/>
          <c:showCatName val="0"/>
          <c:showSerName val="0"/>
          <c:showPercent val="0"/>
          <c:showBubbleSize val="0"/>
        </c:dLbls>
        <c:gapWidth val="150"/>
        <c:axId val="186603504"/>
        <c:axId val="186601584"/>
      </c:barChart>
      <c:lineChart>
        <c:grouping val="stacked"/>
        <c:varyColors val="0"/>
        <c:ser>
          <c:idx val="1"/>
          <c:order val="1"/>
          <c:tx>
            <c:strRef>
              <c:f>'Pivot Tables_Dash'!$C$70</c:f>
              <c:strCache>
                <c:ptCount val="1"/>
                <c:pt idx="0">
                  <c:v>Total Profit</c:v>
                </c:pt>
              </c:strCache>
            </c:strRef>
          </c:tx>
          <c:spPr>
            <a:ln w="28575" cap="rnd">
              <a:solidFill>
                <a:schemeClr val="accent2"/>
              </a:solidFill>
              <a:round/>
            </a:ln>
            <a:effectLst/>
          </c:spPr>
          <c:marker>
            <c:symbol val="diamond"/>
            <c:size val="8"/>
            <c:spPr>
              <a:solidFill>
                <a:schemeClr val="accent2"/>
              </a:solidFill>
              <a:ln w="9525">
                <a:solidFill>
                  <a:schemeClr val="accent2"/>
                </a:solidFill>
              </a:ln>
              <a:effectLst/>
            </c:spPr>
          </c:marker>
          <c:cat>
            <c:strRef>
              <c:f>'Pivot Tables_Dash'!$A$71:$A$74</c:f>
              <c:strCache>
                <c:ptCount val="3"/>
                <c:pt idx="0">
                  <c:v>2022</c:v>
                </c:pt>
                <c:pt idx="1">
                  <c:v>2023</c:v>
                </c:pt>
                <c:pt idx="2">
                  <c:v>2024</c:v>
                </c:pt>
              </c:strCache>
            </c:strRef>
          </c:cat>
          <c:val>
            <c:numRef>
              <c:f>'Pivot Tables_Dash'!$C$71:$C$74</c:f>
              <c:numCache>
                <c:formatCode>_(* #,##0.00_);_(* \(#,##0.00\);_(* "-"??_);_(@_)</c:formatCode>
                <c:ptCount val="3"/>
                <c:pt idx="0">
                  <c:v>31235026.049999986</c:v>
                </c:pt>
                <c:pt idx="1">
                  <c:v>34648153.729999982</c:v>
                </c:pt>
                <c:pt idx="2">
                  <c:v>26830989.429999992</c:v>
                </c:pt>
              </c:numCache>
            </c:numRef>
          </c:val>
          <c:smooth val="0"/>
          <c:extLst>
            <c:ext xmlns:c16="http://schemas.microsoft.com/office/drawing/2014/chart" uri="{C3380CC4-5D6E-409C-BE32-E72D297353CC}">
              <c16:uniqueId val="{00000001-9595-4901-A2CB-5F36B6D66100}"/>
            </c:ext>
          </c:extLst>
        </c:ser>
        <c:dLbls>
          <c:showLegendKey val="0"/>
          <c:showVal val="0"/>
          <c:showCatName val="0"/>
          <c:showSerName val="0"/>
          <c:showPercent val="0"/>
          <c:showBubbleSize val="0"/>
        </c:dLbls>
        <c:marker val="1"/>
        <c:smooth val="0"/>
        <c:axId val="186603504"/>
        <c:axId val="186601584"/>
      </c:lineChart>
      <c:catAx>
        <c:axId val="18660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01584"/>
        <c:crosses val="autoZero"/>
        <c:auto val="1"/>
        <c:lblAlgn val="ctr"/>
        <c:lblOffset val="100"/>
        <c:noMultiLvlLbl val="0"/>
      </c:catAx>
      <c:valAx>
        <c:axId val="186601584"/>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03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[Retail_Sales.xlsx]Pivot Tables_Dash!PivotTable10</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Tables_Dash'!$B$77</c:f>
              <c:strCache>
                <c:ptCount val="1"/>
                <c:pt idx="0">
                  <c:v>Total</c:v>
                </c:pt>
              </c:strCache>
            </c:strRef>
          </c:tx>
          <c:spPr>
            <a:ln w="28575" cap="rnd">
              <a:solidFill>
                <a:schemeClr val="accent1"/>
              </a:solidFill>
              <a:round/>
            </a:ln>
            <a:effectLst/>
          </c:spPr>
          <c:marker>
            <c:symbol val="none"/>
          </c:marker>
          <c:cat>
            <c:multiLvlStrRef>
              <c:f>'Pivot Tables_Dash'!$A$78:$A$117</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2022</c:v>
                  </c:pt>
                  <c:pt idx="12">
                    <c:v>2023</c:v>
                  </c:pt>
                  <c:pt idx="24">
                    <c:v>2024</c:v>
                  </c:pt>
                </c:lvl>
              </c:multiLvlStrCache>
            </c:multiLvlStrRef>
          </c:cat>
          <c:val>
            <c:numRef>
              <c:f>'Pivot Tables_Dash'!$B$78:$B$117</c:f>
              <c:numCache>
                <c:formatCode>_(* #,##0.00_);_(* \(#,##0.00\);_(* "-"??_);_(@_)</c:formatCode>
                <c:ptCount val="36"/>
                <c:pt idx="0">
                  <c:v>21317448.68</c:v>
                </c:pt>
                <c:pt idx="1">
                  <c:v>11003258.909999996</c:v>
                </c:pt>
                <c:pt idx="2">
                  <c:v>17494629.940000001</c:v>
                </c:pt>
                <c:pt idx="3">
                  <c:v>19856214.34</c:v>
                </c:pt>
                <c:pt idx="4">
                  <c:v>22724581.57</c:v>
                </c:pt>
                <c:pt idx="5">
                  <c:v>12254962.550000001</c:v>
                </c:pt>
                <c:pt idx="6">
                  <c:v>20289987.520000003</c:v>
                </c:pt>
                <c:pt idx="7">
                  <c:v>10051073.280000001</c:v>
                </c:pt>
                <c:pt idx="8">
                  <c:v>15121861.460000001</c:v>
                </c:pt>
                <c:pt idx="9">
                  <c:v>24503636.140000001</c:v>
                </c:pt>
                <c:pt idx="10">
                  <c:v>25069209.600000009</c:v>
                </c:pt>
                <c:pt idx="11">
                  <c:v>12571836.200000001</c:v>
                </c:pt>
                <c:pt idx="12">
                  <c:v>18481577.329999998</c:v>
                </c:pt>
                <c:pt idx="13">
                  <c:v>19432827.959999993</c:v>
                </c:pt>
                <c:pt idx="14">
                  <c:v>24032915.68</c:v>
                </c:pt>
                <c:pt idx="15">
                  <c:v>17747149.18</c:v>
                </c:pt>
                <c:pt idx="16">
                  <c:v>18888651.070000004</c:v>
                </c:pt>
                <c:pt idx="17">
                  <c:v>13450579.299999999</c:v>
                </c:pt>
                <c:pt idx="18">
                  <c:v>29834522.68</c:v>
                </c:pt>
                <c:pt idx="19">
                  <c:v>22317900.930000003</c:v>
                </c:pt>
                <c:pt idx="20">
                  <c:v>20481222.220000003</c:v>
                </c:pt>
                <c:pt idx="21">
                  <c:v>14378859.33</c:v>
                </c:pt>
                <c:pt idx="22">
                  <c:v>25224601.749999996</c:v>
                </c:pt>
                <c:pt idx="23">
                  <c:v>19592467.270000007</c:v>
                </c:pt>
                <c:pt idx="24">
                  <c:v>13545064.529999999</c:v>
                </c:pt>
                <c:pt idx="25">
                  <c:v>20880963.66</c:v>
                </c:pt>
                <c:pt idx="26">
                  <c:v>16042460.279999999</c:v>
                </c:pt>
                <c:pt idx="27">
                  <c:v>24825941.760000002</c:v>
                </c:pt>
                <c:pt idx="28">
                  <c:v>21385248.500000004</c:v>
                </c:pt>
                <c:pt idx="29">
                  <c:v>8972923.8399999999</c:v>
                </c:pt>
                <c:pt idx="30">
                  <c:v>19054101.680000003</c:v>
                </c:pt>
                <c:pt idx="31">
                  <c:v>11576786.469999999</c:v>
                </c:pt>
                <c:pt idx="32">
                  <c:v>15800322.549999999</c:v>
                </c:pt>
                <c:pt idx="33">
                  <c:v>7207009.1800000006</c:v>
                </c:pt>
                <c:pt idx="34">
                  <c:v>8118647.6700000009</c:v>
                </c:pt>
                <c:pt idx="35">
                  <c:v>8110617.6299999999</c:v>
                </c:pt>
              </c:numCache>
            </c:numRef>
          </c:val>
          <c:smooth val="0"/>
          <c:extLst>
            <c:ext xmlns:c16="http://schemas.microsoft.com/office/drawing/2014/chart" uri="{C3380CC4-5D6E-409C-BE32-E72D297353CC}">
              <c16:uniqueId val="{00000000-3730-4EF3-AC59-1CB5E9E7520D}"/>
            </c:ext>
          </c:extLst>
        </c:ser>
        <c:dLbls>
          <c:showLegendKey val="0"/>
          <c:showVal val="0"/>
          <c:showCatName val="0"/>
          <c:showSerName val="0"/>
          <c:showPercent val="0"/>
          <c:showBubbleSize val="0"/>
        </c:dLbls>
        <c:smooth val="0"/>
        <c:axId val="189404624"/>
        <c:axId val="189401744"/>
      </c:lineChart>
      <c:catAx>
        <c:axId val="18940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01744"/>
        <c:crosses val="autoZero"/>
        <c:auto val="1"/>
        <c:lblAlgn val="ctr"/>
        <c:lblOffset val="100"/>
        <c:noMultiLvlLbl val="0"/>
      </c:catAx>
      <c:valAx>
        <c:axId val="189401744"/>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0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[Retail_Sales.xlsx]Pivot Tables_Dash!PivotTable1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Regional</a:t>
            </a:r>
            <a:r>
              <a:rPr lang="en-US" b="1" baseline="0"/>
              <a:t> Sales and Profit</a:t>
            </a:r>
          </a:p>
        </c:rich>
      </c:tx>
      <c:layout>
        <c:manualLayout>
          <c:xMode val="edge"/>
          <c:yMode val="edge"/>
          <c:x val="0.24319492990205499"/>
          <c:y val="3.892944038929440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466]\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466]\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772357723577237E-2"/>
          <c:y val="0.18048661800486621"/>
          <c:w val="0.92845528455284554"/>
          <c:h val="0.70662643446941398"/>
        </c:manualLayout>
      </c:layout>
      <c:barChart>
        <c:barDir val="col"/>
        <c:grouping val="clustered"/>
        <c:varyColors val="0"/>
        <c:ser>
          <c:idx val="0"/>
          <c:order val="0"/>
          <c:tx>
            <c:strRef>
              <c:f>'Pivot Tables_Dash'!$B$2</c:f>
              <c:strCache>
                <c:ptCount val="1"/>
                <c:pt idx="0">
                  <c:v>Sum of Sales (₦)</c:v>
                </c:pt>
              </c:strCache>
            </c:strRef>
          </c:tx>
          <c:spPr>
            <a:solidFill>
              <a:schemeClr val="accent1"/>
            </a:solidFill>
            <a:ln>
              <a:noFill/>
            </a:ln>
            <a:effectLst/>
          </c:spPr>
          <c:invertIfNegative val="0"/>
          <c:dLbls>
            <c:numFmt formatCode="[$₦-466]\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Tables_Dash'!$A$3:$A$7</c:f>
              <c:strCache>
                <c:ptCount val="4"/>
                <c:pt idx="0">
                  <c:v>East</c:v>
                </c:pt>
                <c:pt idx="1">
                  <c:v>North</c:v>
                </c:pt>
                <c:pt idx="2">
                  <c:v>South</c:v>
                </c:pt>
                <c:pt idx="3">
                  <c:v>West</c:v>
                </c:pt>
              </c:strCache>
            </c:strRef>
          </c:cat>
          <c:val>
            <c:numRef>
              <c:f>'Pivot Tables_Dash'!$B$3:$B$7</c:f>
              <c:numCache>
                <c:formatCode>_(* #,##0.00_);_(* \(#,##0.00\);_(* "-"??_);_(@_)</c:formatCode>
                <c:ptCount val="4"/>
                <c:pt idx="0">
                  <c:v>136638586.09999999</c:v>
                </c:pt>
                <c:pt idx="1">
                  <c:v>158175117.25999999</c:v>
                </c:pt>
                <c:pt idx="2">
                  <c:v>156020814.31999996</c:v>
                </c:pt>
                <c:pt idx="3">
                  <c:v>180807544.95999992</c:v>
                </c:pt>
              </c:numCache>
            </c:numRef>
          </c:val>
          <c:extLst>
            <c:ext xmlns:c16="http://schemas.microsoft.com/office/drawing/2014/chart" uri="{C3380CC4-5D6E-409C-BE32-E72D297353CC}">
              <c16:uniqueId val="{00000003-A3A2-4BFD-9F39-944C4294C16F}"/>
            </c:ext>
          </c:extLst>
        </c:ser>
        <c:ser>
          <c:idx val="1"/>
          <c:order val="1"/>
          <c:tx>
            <c:strRef>
              <c:f>'Pivot Tables_Dash'!$C$2</c:f>
              <c:strCache>
                <c:ptCount val="1"/>
                <c:pt idx="0">
                  <c:v>Sum of Profit (₦)</c:v>
                </c:pt>
              </c:strCache>
            </c:strRef>
          </c:tx>
          <c:spPr>
            <a:solidFill>
              <a:schemeClr val="accent2"/>
            </a:solidFill>
            <a:ln>
              <a:noFill/>
            </a:ln>
            <a:effectLst/>
          </c:spPr>
          <c:invertIfNegative val="0"/>
          <c:dLbls>
            <c:numFmt formatCode="[$₦-466]\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Tables_Dash'!$A$3:$A$7</c:f>
              <c:strCache>
                <c:ptCount val="4"/>
                <c:pt idx="0">
                  <c:v>East</c:v>
                </c:pt>
                <c:pt idx="1">
                  <c:v>North</c:v>
                </c:pt>
                <c:pt idx="2">
                  <c:v>South</c:v>
                </c:pt>
                <c:pt idx="3">
                  <c:v>West</c:v>
                </c:pt>
              </c:strCache>
            </c:strRef>
          </c:cat>
          <c:val>
            <c:numRef>
              <c:f>'Pivot Tables_Dash'!$C$3:$C$7</c:f>
              <c:numCache>
                <c:formatCode>_(* #,##0.00_);_(* \(#,##0.00\);_(* "-"??_);_(@_)</c:formatCode>
                <c:ptCount val="4"/>
                <c:pt idx="0">
                  <c:v>17563180.379999995</c:v>
                </c:pt>
                <c:pt idx="1">
                  <c:v>25803411.889999982</c:v>
                </c:pt>
                <c:pt idx="2">
                  <c:v>23823355.770000003</c:v>
                </c:pt>
                <c:pt idx="3">
                  <c:v>25524221.169999991</c:v>
                </c:pt>
              </c:numCache>
            </c:numRef>
          </c:val>
          <c:extLst>
            <c:ext xmlns:c16="http://schemas.microsoft.com/office/drawing/2014/chart" uri="{C3380CC4-5D6E-409C-BE32-E72D297353CC}">
              <c16:uniqueId val="{00000004-A3A2-4BFD-9F39-944C4294C16F}"/>
            </c:ext>
          </c:extLst>
        </c:ser>
        <c:dLbls>
          <c:dLblPos val="outEnd"/>
          <c:showLegendKey val="0"/>
          <c:showVal val="1"/>
          <c:showCatName val="0"/>
          <c:showSerName val="0"/>
          <c:showPercent val="0"/>
          <c:showBubbleSize val="0"/>
        </c:dLbls>
        <c:gapWidth val="219"/>
        <c:overlap val="-27"/>
        <c:axId val="1207028160"/>
        <c:axId val="1207028640"/>
      </c:barChart>
      <c:catAx>
        <c:axId val="120702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028640"/>
        <c:crosses val="autoZero"/>
        <c:auto val="1"/>
        <c:lblAlgn val="ctr"/>
        <c:lblOffset val="100"/>
        <c:noMultiLvlLbl val="0"/>
      </c:catAx>
      <c:valAx>
        <c:axId val="1207028640"/>
        <c:scaling>
          <c:orientation val="minMax"/>
        </c:scaling>
        <c:delete val="1"/>
        <c:axPos val="l"/>
        <c:numFmt formatCode="_(* #,##0.00_);_(* \(#,##0.00\);_(* &quot;-&quot;??_);_(@_)" sourceLinked="1"/>
        <c:majorTickMark val="none"/>
        <c:minorTickMark val="none"/>
        <c:tickLblPos val="nextTo"/>
        <c:crossAx val="1207028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[Retail_Sales.xlsx]Pivot Tables_Dash!PivotTable2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By Segments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Tables_Dash'!$B$11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Tables_Dash'!$A$12:$A$15</c:f>
              <c:strCache>
                <c:ptCount val="3"/>
                <c:pt idx="0">
                  <c:v>Consumer</c:v>
                </c:pt>
                <c:pt idx="1">
                  <c:v>Corporate</c:v>
                </c:pt>
                <c:pt idx="2">
                  <c:v>Home Office</c:v>
                </c:pt>
              </c:strCache>
            </c:strRef>
          </c:cat>
          <c:val>
            <c:numRef>
              <c:f>'Pivot Tables_Dash'!$B$12:$B$15</c:f>
              <c:numCache>
                <c:formatCode>_(* #,##0.00_);_(* \(#,##0.00\);_(* "-"??_);_(@_)</c:formatCode>
                <c:ptCount val="3"/>
                <c:pt idx="0">
                  <c:v>210199383.34999967</c:v>
                </c:pt>
                <c:pt idx="1">
                  <c:v>211055885.11000004</c:v>
                </c:pt>
                <c:pt idx="2">
                  <c:v>210386794.17999992</c:v>
                </c:pt>
              </c:numCache>
            </c:numRef>
          </c:val>
          <c:extLst>
            <c:ext xmlns:c16="http://schemas.microsoft.com/office/drawing/2014/chart" uri="{C3380CC4-5D6E-409C-BE32-E72D297353CC}">
              <c16:uniqueId val="{00000002-15A3-465D-9E1D-2DB34628BB46}"/>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[Retail_Sales.xlsx]Pivot Tables_Dash!PivotTable3</c:name>
    <c:fmtId val="3"/>
  </c:pivotSource>
  <c:chart>
    <c:title>
      <c:tx>
        <c:rich>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r>
              <a:rPr lang="en-US" b="1"/>
              <a:t>Profit By Segments</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Tables_Dash'!$B$18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Tables_Dash'!$A$19:$A$22</c:f>
              <c:strCache>
                <c:ptCount val="3"/>
                <c:pt idx="0">
                  <c:v>Consumer</c:v>
                </c:pt>
                <c:pt idx="1">
                  <c:v>Corporate</c:v>
                </c:pt>
                <c:pt idx="2">
                  <c:v>Home Office</c:v>
                </c:pt>
              </c:strCache>
            </c:strRef>
          </c:cat>
          <c:val>
            <c:numRef>
              <c:f>'Pivot Tables_Dash'!$B$19:$B$22</c:f>
              <c:numCache>
                <c:formatCode>0.00%</c:formatCode>
                <c:ptCount val="3"/>
                <c:pt idx="0">
                  <c:v>0.32881071598613731</c:v>
                </c:pt>
                <c:pt idx="1">
                  <c:v>0.39656556504023921</c:v>
                </c:pt>
                <c:pt idx="2">
                  <c:v>0.27462371897362348</c:v>
                </c:pt>
              </c:numCache>
            </c:numRef>
          </c:val>
          <c:extLst>
            <c:ext xmlns:c16="http://schemas.microsoft.com/office/drawing/2014/chart" uri="{C3380CC4-5D6E-409C-BE32-E72D297353CC}">
              <c16:uniqueId val="{00000002-D13E-4CA4-B525-704D6A9731B2}"/>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[Retail_Sales.xlsx]Pivot Tables_Dash!PivotTable4</c:name>
    <c:fmtId val="5"/>
  </c:pivotSource>
  <c:chart>
    <c:title>
      <c:tx>
        <c:rich>
          <a:bodyPr rot="0" spcFirstLastPara="1" vertOverflow="ellipsis" vert="horz" wrap="square" anchor="ctr" anchorCtr="1"/>
          <a:lstStyle/>
          <a:p>
            <a:pPr algn="ctr" rtl="0">
              <a:defRPr lang="en-US" sz="1400" b="1" i="0" u="none" strike="noStrike" kern="1200" spc="0" baseline="0">
                <a:solidFill>
                  <a:srgbClr val="000000">
                    <a:lumMod val="65000"/>
                    <a:lumOff val="35000"/>
                  </a:srgbClr>
                </a:solidFill>
                <a:latin typeface="+mn-lt"/>
                <a:ea typeface="+mn-ea"/>
                <a:cs typeface="+mn-cs"/>
              </a:defRPr>
            </a:pPr>
            <a:r>
              <a:rPr lang="en-US" sz="1400" b="1" i="0" u="none" strike="noStrike" kern="1200" spc="0" baseline="0">
                <a:solidFill>
                  <a:srgbClr val="000000">
                    <a:lumMod val="65000"/>
                    <a:lumOff val="35000"/>
                  </a:srgbClr>
                </a:solidFill>
                <a:latin typeface="+mn-lt"/>
                <a:ea typeface="+mn-ea"/>
                <a:cs typeface="+mn-cs"/>
              </a:rPr>
              <a:t>Top 10 Products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466]\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Tables_Dash'!$B$26</c:f>
              <c:strCache>
                <c:ptCount val="1"/>
                <c:pt idx="0">
                  <c:v>Total</c:v>
                </c:pt>
              </c:strCache>
            </c:strRef>
          </c:tx>
          <c:spPr>
            <a:solidFill>
              <a:schemeClr val="accent1"/>
            </a:solidFill>
            <a:ln>
              <a:noFill/>
            </a:ln>
            <a:effectLst/>
          </c:spPr>
          <c:invertIfNegative val="0"/>
          <c:dLbls>
            <c:numFmt formatCode="[$₦-466]\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Tables_Dash'!$A$27:$A$37</c:f>
              <c:strCache>
                <c:ptCount val="10"/>
                <c:pt idx="0">
                  <c:v>Lenovo Tab M10</c:v>
                </c:pt>
                <c:pt idx="1">
                  <c:v>Epson EcoTank</c:v>
                </c:pt>
                <c:pt idx="2">
                  <c:v>Tecno Spark 10</c:v>
                </c:pt>
                <c:pt idx="3">
                  <c:v>Silk Scarf</c:v>
                </c:pt>
                <c:pt idx="4">
                  <c:v>HP LaserJet Pro</c:v>
                </c:pt>
                <c:pt idx="5">
                  <c:v>Dell Inspiron 15</c:v>
                </c:pt>
                <c:pt idx="6">
                  <c:v>iPad 10th Gen</c:v>
                </c:pt>
                <c:pt idx="7">
                  <c:v>Infinix Note 30</c:v>
                </c:pt>
                <c:pt idx="8">
                  <c:v>Xiaomi Redmi 12</c:v>
                </c:pt>
                <c:pt idx="9">
                  <c:v>Lenovo IdeaPad 3</c:v>
                </c:pt>
              </c:strCache>
            </c:strRef>
          </c:cat>
          <c:val>
            <c:numRef>
              <c:f>'Pivot Tables_Dash'!$B$27:$B$37</c:f>
              <c:numCache>
                <c:formatCode>_(* #,##0.00_);_(* \(#,##0.00\);_(* "-"??_);_(@_)</c:formatCode>
                <c:ptCount val="10"/>
                <c:pt idx="0">
                  <c:v>16227714.93</c:v>
                </c:pt>
                <c:pt idx="1">
                  <c:v>17780907.419999994</c:v>
                </c:pt>
                <c:pt idx="2">
                  <c:v>17800951.23</c:v>
                </c:pt>
                <c:pt idx="3">
                  <c:v>17823077.749999996</c:v>
                </c:pt>
                <c:pt idx="4">
                  <c:v>18345487.810000002</c:v>
                </c:pt>
                <c:pt idx="5">
                  <c:v>18349678.800000001</c:v>
                </c:pt>
                <c:pt idx="6">
                  <c:v>18973364.990000002</c:v>
                </c:pt>
                <c:pt idx="7">
                  <c:v>21390307.990000002</c:v>
                </c:pt>
                <c:pt idx="8">
                  <c:v>23949166.469999999</c:v>
                </c:pt>
                <c:pt idx="9">
                  <c:v>30402493.289999999</c:v>
                </c:pt>
              </c:numCache>
            </c:numRef>
          </c:val>
          <c:extLst>
            <c:ext xmlns:c16="http://schemas.microsoft.com/office/drawing/2014/chart" uri="{C3380CC4-5D6E-409C-BE32-E72D297353CC}">
              <c16:uniqueId val="{00000002-F39C-4A61-BBD3-0599B7F3FD78}"/>
            </c:ext>
          </c:extLst>
        </c:ser>
        <c:dLbls>
          <c:dLblPos val="outEnd"/>
          <c:showLegendKey val="0"/>
          <c:showVal val="1"/>
          <c:showCatName val="0"/>
          <c:showSerName val="0"/>
          <c:showPercent val="0"/>
          <c:showBubbleSize val="0"/>
        </c:dLbls>
        <c:gapWidth val="82"/>
        <c:axId val="196042960"/>
        <c:axId val="196040560"/>
      </c:barChart>
      <c:catAx>
        <c:axId val="196042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lumMod val="65000"/>
                    <a:lumOff val="35000"/>
                  </a:schemeClr>
                </a:solidFill>
                <a:latin typeface="+mn-lt"/>
                <a:ea typeface="+mn-ea"/>
                <a:cs typeface="+mn-cs"/>
              </a:defRPr>
            </a:pPr>
            <a:endParaRPr lang="en-US"/>
          </a:p>
        </c:txPr>
        <c:crossAx val="196040560"/>
        <c:crosses val="autoZero"/>
        <c:auto val="1"/>
        <c:lblAlgn val="ctr"/>
        <c:lblOffset val="100"/>
        <c:noMultiLvlLbl val="0"/>
      </c:catAx>
      <c:valAx>
        <c:axId val="196040560"/>
        <c:scaling>
          <c:orientation val="minMax"/>
        </c:scaling>
        <c:delete val="1"/>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crossAx val="19604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[Retail_Sales.xlsx]Pivot Tables_Dash!PivotTable5</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10 profitable Products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466]\ #,##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Tables_Dash'!$B$40</c:f>
              <c:strCache>
                <c:ptCount val="1"/>
                <c:pt idx="0">
                  <c:v>Total</c:v>
                </c:pt>
              </c:strCache>
            </c:strRef>
          </c:tx>
          <c:spPr>
            <a:solidFill>
              <a:schemeClr val="accent1"/>
            </a:solidFill>
            <a:ln>
              <a:noFill/>
            </a:ln>
            <a:effectLst/>
          </c:spPr>
          <c:invertIfNegative val="0"/>
          <c:dLbls>
            <c:numFmt formatCode="[$₦-466]\ #,##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Tables_Dash'!$A$41:$A$51</c:f>
              <c:strCache>
                <c:ptCount val="10"/>
                <c:pt idx="0">
                  <c:v>Epson EcoTank</c:v>
                </c:pt>
                <c:pt idx="1">
                  <c:v>Belt Leather</c:v>
                </c:pt>
                <c:pt idx="2">
                  <c:v>Canon PIXMA G3411</c:v>
                </c:pt>
                <c:pt idx="3">
                  <c:v>Samsung Tab A8</c:v>
                </c:pt>
                <c:pt idx="4">
                  <c:v>Wristwatch</c:v>
                </c:pt>
                <c:pt idx="5">
                  <c:v>Sunglasses UV400</c:v>
                </c:pt>
                <c:pt idx="6">
                  <c:v>Brother HL-L2350DW</c:v>
                </c:pt>
                <c:pt idx="7">
                  <c:v>Silk Scarf</c:v>
                </c:pt>
                <c:pt idx="8">
                  <c:v>Wallet Genuine Leather</c:v>
                </c:pt>
                <c:pt idx="9">
                  <c:v>Lenovo IdeaPad 3</c:v>
                </c:pt>
              </c:strCache>
            </c:strRef>
          </c:cat>
          <c:val>
            <c:numRef>
              <c:f>'Pivot Tables_Dash'!$B$41:$B$51</c:f>
              <c:numCache>
                <c:formatCode>_(* #,##0.00_);_(* \(#,##0.00\);_(* "-"??_);_(@_)</c:formatCode>
                <c:ptCount val="10"/>
                <c:pt idx="0">
                  <c:v>2494964.62</c:v>
                </c:pt>
                <c:pt idx="1">
                  <c:v>2698327.1799999997</c:v>
                </c:pt>
                <c:pt idx="2">
                  <c:v>2916771.34</c:v>
                </c:pt>
                <c:pt idx="3">
                  <c:v>2996877.6300000004</c:v>
                </c:pt>
                <c:pt idx="4">
                  <c:v>3370942.5300000003</c:v>
                </c:pt>
                <c:pt idx="5">
                  <c:v>3741308.44</c:v>
                </c:pt>
                <c:pt idx="6">
                  <c:v>3750595.56</c:v>
                </c:pt>
                <c:pt idx="7">
                  <c:v>3794707.0999999996</c:v>
                </c:pt>
                <c:pt idx="8">
                  <c:v>4263666.7</c:v>
                </c:pt>
                <c:pt idx="9">
                  <c:v>5234113.78</c:v>
                </c:pt>
              </c:numCache>
            </c:numRef>
          </c:val>
          <c:extLst>
            <c:ext xmlns:c16="http://schemas.microsoft.com/office/drawing/2014/chart" uri="{C3380CC4-5D6E-409C-BE32-E72D297353CC}">
              <c16:uniqueId val="{00000002-68C4-4AEB-9CFA-71434E9AEA97}"/>
            </c:ext>
          </c:extLst>
        </c:ser>
        <c:dLbls>
          <c:dLblPos val="outEnd"/>
          <c:showLegendKey val="0"/>
          <c:showVal val="1"/>
          <c:showCatName val="0"/>
          <c:showSerName val="0"/>
          <c:showPercent val="0"/>
          <c:showBubbleSize val="0"/>
        </c:dLbls>
        <c:gapWidth val="182"/>
        <c:axId val="183511552"/>
        <c:axId val="183512512"/>
      </c:barChart>
      <c:catAx>
        <c:axId val="1835115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3512512"/>
        <c:crosses val="autoZero"/>
        <c:auto val="1"/>
        <c:lblAlgn val="ctr"/>
        <c:lblOffset val="100"/>
        <c:noMultiLvlLbl val="0"/>
      </c:catAx>
      <c:valAx>
        <c:axId val="183512512"/>
        <c:scaling>
          <c:orientation val="minMax"/>
        </c:scaling>
        <c:delete val="1"/>
        <c:axPos val="b"/>
        <c:numFmt formatCode="_(* #,##0.00_);_(* \(#,##0.00\);_(* &quot;-&quot;??_);_(@_)" sourceLinked="1"/>
        <c:majorTickMark val="out"/>
        <c:minorTickMark val="none"/>
        <c:tickLblPos val="nextTo"/>
        <c:crossAx val="18351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[Retail_Sales.xlsx]Pivot Tables_Dash!PivotTable8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State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Tables_Dash'!$B$55</c:f>
              <c:strCache>
                <c:ptCount val="1"/>
                <c:pt idx="0">
                  <c:v>Total</c:v>
                </c:pt>
              </c:strCache>
            </c:strRef>
          </c:tx>
          <c:spPr>
            <a:solidFill>
              <a:schemeClr val="accent1"/>
            </a:solidFill>
            <a:ln>
              <a:noFill/>
            </a:ln>
            <a:effectLst/>
          </c:spPr>
          <c:invertIfNegative val="0"/>
          <c:cat>
            <c:strRef>
              <c:f>'Pivot Tables_Dash'!$A$56:$A$66</c:f>
              <c:strCache>
                <c:ptCount val="10"/>
                <c:pt idx="0">
                  <c:v>Abuja</c:v>
                </c:pt>
                <c:pt idx="1">
                  <c:v>Awka</c:v>
                </c:pt>
                <c:pt idx="2">
                  <c:v>Ado-Ekiti</c:v>
                </c:pt>
                <c:pt idx="3">
                  <c:v>Osogbo</c:v>
                </c:pt>
                <c:pt idx="4">
                  <c:v>Kaduna</c:v>
                </c:pt>
                <c:pt idx="5">
                  <c:v>Sokoto</c:v>
                </c:pt>
                <c:pt idx="6">
                  <c:v>Ilorin</c:v>
                </c:pt>
                <c:pt idx="7">
                  <c:v>Akure</c:v>
                </c:pt>
                <c:pt idx="8">
                  <c:v>Benin City</c:v>
                </c:pt>
                <c:pt idx="9">
                  <c:v>Onitsha</c:v>
                </c:pt>
              </c:strCache>
            </c:strRef>
          </c:cat>
          <c:val>
            <c:numRef>
              <c:f>'Pivot Tables_Dash'!$B$56:$B$66</c:f>
              <c:numCache>
                <c:formatCode>_(* #,##0.00_);_(* \(#,##0.00\);_(* "-"??_);_(@_)</c:formatCode>
                <c:ptCount val="10"/>
                <c:pt idx="0">
                  <c:v>29430777.70000001</c:v>
                </c:pt>
                <c:pt idx="1">
                  <c:v>31418383.180000015</c:v>
                </c:pt>
                <c:pt idx="2">
                  <c:v>31636825.170000009</c:v>
                </c:pt>
                <c:pt idx="3">
                  <c:v>37891362.93</c:v>
                </c:pt>
                <c:pt idx="4">
                  <c:v>39122901.179999985</c:v>
                </c:pt>
                <c:pt idx="5">
                  <c:v>39312242.730000012</c:v>
                </c:pt>
                <c:pt idx="6">
                  <c:v>40699028.489999995</c:v>
                </c:pt>
                <c:pt idx="7">
                  <c:v>40865108.449999996</c:v>
                </c:pt>
                <c:pt idx="8">
                  <c:v>42376983.229999997</c:v>
                </c:pt>
                <c:pt idx="9">
                  <c:v>45282027.219999991</c:v>
                </c:pt>
              </c:numCache>
            </c:numRef>
          </c:val>
          <c:extLst>
            <c:ext xmlns:c16="http://schemas.microsoft.com/office/drawing/2014/chart" uri="{C3380CC4-5D6E-409C-BE32-E72D297353CC}">
              <c16:uniqueId val="{00000000-A03E-4726-837A-AA365EA79957}"/>
            </c:ext>
          </c:extLst>
        </c:ser>
        <c:dLbls>
          <c:dLblPos val="outEnd"/>
          <c:showLegendKey val="0"/>
          <c:showVal val="0"/>
          <c:showCatName val="0"/>
          <c:showSerName val="0"/>
          <c:showPercent val="0"/>
          <c:showBubbleSize val="0"/>
        </c:dLbls>
        <c:gapWidth val="219"/>
        <c:overlap val="-27"/>
        <c:axId val="195940176"/>
        <c:axId val="195938256"/>
      </c:barChart>
      <c:catAx>
        <c:axId val="19594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38256"/>
        <c:crosses val="autoZero"/>
        <c:auto val="1"/>
        <c:lblAlgn val="ctr"/>
        <c:lblOffset val="100"/>
        <c:noMultiLvlLbl val="0"/>
      </c:catAx>
      <c:valAx>
        <c:axId val="19593825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4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[Retail_Sales.xlsx]Pivot Tables_Dash!PivotTable9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 Sales And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diamond"/>
          <c:size val="8"/>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Tables_Dash'!$B$70</c:f>
              <c:strCache>
                <c:ptCount val="1"/>
                <c:pt idx="0">
                  <c:v>Total Sales</c:v>
                </c:pt>
              </c:strCache>
            </c:strRef>
          </c:tx>
          <c:spPr>
            <a:solidFill>
              <a:schemeClr val="accent1"/>
            </a:solidFill>
            <a:ln>
              <a:noFill/>
            </a:ln>
            <a:effectLst/>
          </c:spPr>
          <c:invertIfNegative val="0"/>
          <c:cat>
            <c:strRef>
              <c:f>'Pivot Tables_Dash'!$A$71:$A$74</c:f>
              <c:strCache>
                <c:ptCount val="3"/>
                <c:pt idx="0">
                  <c:v>2022</c:v>
                </c:pt>
                <c:pt idx="1">
                  <c:v>2023</c:v>
                </c:pt>
                <c:pt idx="2">
                  <c:v>2024</c:v>
                </c:pt>
              </c:strCache>
            </c:strRef>
          </c:cat>
          <c:val>
            <c:numRef>
              <c:f>'Pivot Tables_Dash'!$B$71:$B$74</c:f>
              <c:numCache>
                <c:formatCode>_(* #,##0.00_);_(* \(#,##0.00\);_(* "-"??_);_(@_)</c:formatCode>
                <c:ptCount val="3"/>
                <c:pt idx="0">
                  <c:v>212258700.18999985</c:v>
                </c:pt>
                <c:pt idx="1">
                  <c:v>243863274.69999993</c:v>
                </c:pt>
                <c:pt idx="2">
                  <c:v>175520087.74999991</c:v>
                </c:pt>
              </c:numCache>
            </c:numRef>
          </c:val>
          <c:extLst>
            <c:ext xmlns:c16="http://schemas.microsoft.com/office/drawing/2014/chart" uri="{C3380CC4-5D6E-409C-BE32-E72D297353CC}">
              <c16:uniqueId val="{00000000-89BC-4207-AFBC-DD4F51C53735}"/>
            </c:ext>
          </c:extLst>
        </c:ser>
        <c:dLbls>
          <c:showLegendKey val="0"/>
          <c:showVal val="0"/>
          <c:showCatName val="0"/>
          <c:showSerName val="0"/>
          <c:showPercent val="0"/>
          <c:showBubbleSize val="0"/>
        </c:dLbls>
        <c:gapWidth val="150"/>
        <c:axId val="186603504"/>
        <c:axId val="186601584"/>
      </c:barChart>
      <c:lineChart>
        <c:grouping val="stacked"/>
        <c:varyColors val="0"/>
        <c:ser>
          <c:idx val="1"/>
          <c:order val="1"/>
          <c:tx>
            <c:strRef>
              <c:f>'Pivot Tables_Dash'!$C$70</c:f>
              <c:strCache>
                <c:ptCount val="1"/>
                <c:pt idx="0">
                  <c:v>Total Profit</c:v>
                </c:pt>
              </c:strCache>
            </c:strRef>
          </c:tx>
          <c:spPr>
            <a:ln w="28575" cap="rnd">
              <a:solidFill>
                <a:schemeClr val="accent2"/>
              </a:solidFill>
              <a:round/>
            </a:ln>
            <a:effectLst/>
          </c:spPr>
          <c:marker>
            <c:symbol val="diamond"/>
            <c:size val="8"/>
            <c:spPr>
              <a:solidFill>
                <a:schemeClr val="accent2"/>
              </a:solidFill>
              <a:ln w="9525">
                <a:solidFill>
                  <a:schemeClr val="accent2"/>
                </a:solidFill>
              </a:ln>
              <a:effectLst/>
            </c:spPr>
          </c:marker>
          <c:cat>
            <c:strRef>
              <c:f>'Pivot Tables_Dash'!$A$71:$A$74</c:f>
              <c:strCache>
                <c:ptCount val="3"/>
                <c:pt idx="0">
                  <c:v>2022</c:v>
                </c:pt>
                <c:pt idx="1">
                  <c:v>2023</c:v>
                </c:pt>
                <c:pt idx="2">
                  <c:v>2024</c:v>
                </c:pt>
              </c:strCache>
            </c:strRef>
          </c:cat>
          <c:val>
            <c:numRef>
              <c:f>'Pivot Tables_Dash'!$C$71:$C$74</c:f>
              <c:numCache>
                <c:formatCode>_(* #,##0.00_);_(* \(#,##0.00\);_(* "-"??_);_(@_)</c:formatCode>
                <c:ptCount val="3"/>
                <c:pt idx="0">
                  <c:v>31235026.049999986</c:v>
                </c:pt>
                <c:pt idx="1">
                  <c:v>34648153.729999982</c:v>
                </c:pt>
                <c:pt idx="2">
                  <c:v>26830989.429999992</c:v>
                </c:pt>
              </c:numCache>
            </c:numRef>
          </c:val>
          <c:smooth val="0"/>
          <c:extLst>
            <c:ext xmlns:c16="http://schemas.microsoft.com/office/drawing/2014/chart" uri="{C3380CC4-5D6E-409C-BE32-E72D297353CC}">
              <c16:uniqueId val="{00000002-89BC-4207-AFBC-DD4F51C53735}"/>
            </c:ext>
          </c:extLst>
        </c:ser>
        <c:dLbls>
          <c:showLegendKey val="0"/>
          <c:showVal val="0"/>
          <c:showCatName val="0"/>
          <c:showSerName val="0"/>
          <c:showPercent val="0"/>
          <c:showBubbleSize val="0"/>
        </c:dLbls>
        <c:marker val="1"/>
        <c:smooth val="0"/>
        <c:axId val="186603504"/>
        <c:axId val="186601584"/>
      </c:lineChart>
      <c:catAx>
        <c:axId val="18660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01584"/>
        <c:crosses val="autoZero"/>
        <c:auto val="1"/>
        <c:lblAlgn val="ctr"/>
        <c:lblOffset val="100"/>
        <c:noMultiLvlLbl val="0"/>
      </c:catAx>
      <c:valAx>
        <c:axId val="186601584"/>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03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[Retail_Sales.xlsx]Pivot Tables_Dash!PivotTable10</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Tables_Dash'!$B$77</c:f>
              <c:strCache>
                <c:ptCount val="1"/>
                <c:pt idx="0">
                  <c:v>Total</c:v>
                </c:pt>
              </c:strCache>
            </c:strRef>
          </c:tx>
          <c:spPr>
            <a:ln w="28575" cap="rnd">
              <a:solidFill>
                <a:schemeClr val="accent1"/>
              </a:solidFill>
              <a:round/>
            </a:ln>
            <a:effectLst/>
          </c:spPr>
          <c:marker>
            <c:symbol val="none"/>
          </c:marker>
          <c:cat>
            <c:multiLvlStrRef>
              <c:f>'Pivot Tables_Dash'!$A$78:$A$117</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2022</c:v>
                  </c:pt>
                  <c:pt idx="12">
                    <c:v>2023</c:v>
                  </c:pt>
                  <c:pt idx="24">
                    <c:v>2024</c:v>
                  </c:pt>
                </c:lvl>
              </c:multiLvlStrCache>
            </c:multiLvlStrRef>
          </c:cat>
          <c:val>
            <c:numRef>
              <c:f>'Pivot Tables_Dash'!$B$78:$B$117</c:f>
              <c:numCache>
                <c:formatCode>_(* #,##0.00_);_(* \(#,##0.00\);_(* "-"??_);_(@_)</c:formatCode>
                <c:ptCount val="36"/>
                <c:pt idx="0">
                  <c:v>21317448.68</c:v>
                </c:pt>
                <c:pt idx="1">
                  <c:v>11003258.909999996</c:v>
                </c:pt>
                <c:pt idx="2">
                  <c:v>17494629.940000001</c:v>
                </c:pt>
                <c:pt idx="3">
                  <c:v>19856214.34</c:v>
                </c:pt>
                <c:pt idx="4">
                  <c:v>22724581.57</c:v>
                </c:pt>
                <c:pt idx="5">
                  <c:v>12254962.550000001</c:v>
                </c:pt>
                <c:pt idx="6">
                  <c:v>20289987.520000003</c:v>
                </c:pt>
                <c:pt idx="7">
                  <c:v>10051073.280000001</c:v>
                </c:pt>
                <c:pt idx="8">
                  <c:v>15121861.460000001</c:v>
                </c:pt>
                <c:pt idx="9">
                  <c:v>24503636.140000001</c:v>
                </c:pt>
                <c:pt idx="10">
                  <c:v>25069209.600000009</c:v>
                </c:pt>
                <c:pt idx="11">
                  <c:v>12571836.200000001</c:v>
                </c:pt>
                <c:pt idx="12">
                  <c:v>18481577.329999998</c:v>
                </c:pt>
                <c:pt idx="13">
                  <c:v>19432827.959999993</c:v>
                </c:pt>
                <c:pt idx="14">
                  <c:v>24032915.68</c:v>
                </c:pt>
                <c:pt idx="15">
                  <c:v>17747149.18</c:v>
                </c:pt>
                <c:pt idx="16">
                  <c:v>18888651.070000004</c:v>
                </c:pt>
                <c:pt idx="17">
                  <c:v>13450579.299999999</c:v>
                </c:pt>
                <c:pt idx="18">
                  <c:v>29834522.68</c:v>
                </c:pt>
                <c:pt idx="19">
                  <c:v>22317900.930000003</c:v>
                </c:pt>
                <c:pt idx="20">
                  <c:v>20481222.220000003</c:v>
                </c:pt>
                <c:pt idx="21">
                  <c:v>14378859.33</c:v>
                </c:pt>
                <c:pt idx="22">
                  <c:v>25224601.749999996</c:v>
                </c:pt>
                <c:pt idx="23">
                  <c:v>19592467.270000007</c:v>
                </c:pt>
                <c:pt idx="24">
                  <c:v>13545064.529999999</c:v>
                </c:pt>
                <c:pt idx="25">
                  <c:v>20880963.66</c:v>
                </c:pt>
                <c:pt idx="26">
                  <c:v>16042460.279999999</c:v>
                </c:pt>
                <c:pt idx="27">
                  <c:v>24825941.760000002</c:v>
                </c:pt>
                <c:pt idx="28">
                  <c:v>21385248.500000004</c:v>
                </c:pt>
                <c:pt idx="29">
                  <c:v>8972923.8399999999</c:v>
                </c:pt>
                <c:pt idx="30">
                  <c:v>19054101.680000003</c:v>
                </c:pt>
                <c:pt idx="31">
                  <c:v>11576786.469999999</c:v>
                </c:pt>
                <c:pt idx="32">
                  <c:v>15800322.549999999</c:v>
                </c:pt>
                <c:pt idx="33">
                  <c:v>7207009.1800000006</c:v>
                </c:pt>
                <c:pt idx="34">
                  <c:v>8118647.6700000009</c:v>
                </c:pt>
                <c:pt idx="35">
                  <c:v>8110617.6299999999</c:v>
                </c:pt>
              </c:numCache>
            </c:numRef>
          </c:val>
          <c:smooth val="0"/>
          <c:extLst>
            <c:ext xmlns:c16="http://schemas.microsoft.com/office/drawing/2014/chart" uri="{C3380CC4-5D6E-409C-BE32-E72D297353CC}">
              <c16:uniqueId val="{00000000-8DE7-49DD-ADAD-0D6CFAADDE16}"/>
            </c:ext>
          </c:extLst>
        </c:ser>
        <c:dLbls>
          <c:showLegendKey val="0"/>
          <c:showVal val="0"/>
          <c:showCatName val="0"/>
          <c:showSerName val="0"/>
          <c:showPercent val="0"/>
          <c:showBubbleSize val="0"/>
        </c:dLbls>
        <c:smooth val="0"/>
        <c:axId val="189404624"/>
        <c:axId val="189401744"/>
      </c:lineChart>
      <c:catAx>
        <c:axId val="18940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01744"/>
        <c:crosses val="autoZero"/>
        <c:auto val="1"/>
        <c:lblAlgn val="ctr"/>
        <c:lblOffset val="100"/>
        <c:noMultiLvlLbl val="0"/>
      </c:catAx>
      <c:valAx>
        <c:axId val="189401744"/>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0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Total</a:t>
            </a:r>
            <a:r>
              <a:rPr lang="en-GB" b="1" baseline="0"/>
              <a:t> Sales And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60000"/>
              <a:lumOff val="4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Tables'!$C$2</c:f>
              <c:strCache>
                <c:ptCount val="1"/>
                <c:pt idx="0">
                  <c:v>Total Sales (₦)</c:v>
                </c:pt>
              </c:strCache>
            </c:strRef>
          </c:tx>
          <c:spPr>
            <a:solidFill>
              <a:schemeClr val="accent3">
                <a:lumMod val="60000"/>
                <a:lumOff val="4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Tables'!$B$3:$B$7</c:f>
              <c:strCache>
                <c:ptCount val="4"/>
                <c:pt idx="0">
                  <c:v>West</c:v>
                </c:pt>
                <c:pt idx="1">
                  <c:v>North</c:v>
                </c:pt>
                <c:pt idx="2">
                  <c:v>South</c:v>
                </c:pt>
                <c:pt idx="3">
                  <c:v>East</c:v>
                </c:pt>
              </c:strCache>
            </c:strRef>
          </c:cat>
          <c:val>
            <c:numRef>
              <c:f>'Pivot Tables'!$C$3:$C$7</c:f>
              <c:numCache>
                <c:formatCode>_-[$₦-466]\ * #,##0.0_-;\-[$₦-466]\ * #,##0.0_-;_-[$₦-466]\ * "-"?_-;_-@_-</c:formatCode>
                <c:ptCount val="4"/>
                <c:pt idx="0">
                  <c:v>180807544.95999992</c:v>
                </c:pt>
                <c:pt idx="1">
                  <c:v>158175117.25999999</c:v>
                </c:pt>
                <c:pt idx="2">
                  <c:v>156020814.31999996</c:v>
                </c:pt>
                <c:pt idx="3">
                  <c:v>136638586.09999999</c:v>
                </c:pt>
              </c:numCache>
            </c:numRef>
          </c:val>
          <c:extLst>
            <c:ext xmlns:c16="http://schemas.microsoft.com/office/drawing/2014/chart" uri="{C3380CC4-5D6E-409C-BE32-E72D297353CC}">
              <c16:uniqueId val="{00000000-E6EE-4CCC-BEC3-E1C22BB3C092}"/>
            </c:ext>
          </c:extLst>
        </c:ser>
        <c:ser>
          <c:idx val="1"/>
          <c:order val="1"/>
          <c:tx>
            <c:strRef>
              <c:f>'Pivot Tables'!$D$2</c:f>
              <c:strCache>
                <c:ptCount val="1"/>
                <c:pt idx="0">
                  <c:v>Total Profit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Tables'!$B$3:$B$7</c:f>
              <c:strCache>
                <c:ptCount val="4"/>
                <c:pt idx="0">
                  <c:v>West</c:v>
                </c:pt>
                <c:pt idx="1">
                  <c:v>North</c:v>
                </c:pt>
                <c:pt idx="2">
                  <c:v>South</c:v>
                </c:pt>
                <c:pt idx="3">
                  <c:v>East</c:v>
                </c:pt>
              </c:strCache>
            </c:strRef>
          </c:cat>
          <c:val>
            <c:numRef>
              <c:f>'Pivot Tables'!$D$3:$D$7</c:f>
              <c:numCache>
                <c:formatCode>_-[$₦-466]\ * #,##0.00_-;\-[$₦-466]\ * #,##0.00_-;_-[$₦-466]\ * "-"??_-;_-@_-</c:formatCode>
                <c:ptCount val="4"/>
                <c:pt idx="0">
                  <c:v>25524221.169999991</c:v>
                </c:pt>
                <c:pt idx="1">
                  <c:v>25803411.889999982</c:v>
                </c:pt>
                <c:pt idx="2">
                  <c:v>23823355.770000003</c:v>
                </c:pt>
                <c:pt idx="3">
                  <c:v>17563180.379999995</c:v>
                </c:pt>
              </c:numCache>
            </c:numRef>
          </c:val>
          <c:extLst>
            <c:ext xmlns:c16="http://schemas.microsoft.com/office/drawing/2014/chart" uri="{C3380CC4-5D6E-409C-BE32-E72D297353CC}">
              <c16:uniqueId val="{00000001-E6EE-4CCC-BEC3-E1C22BB3C092}"/>
            </c:ext>
          </c:extLst>
        </c:ser>
        <c:dLbls>
          <c:dLblPos val="outEnd"/>
          <c:showLegendKey val="0"/>
          <c:showVal val="1"/>
          <c:showCatName val="0"/>
          <c:showSerName val="0"/>
          <c:showPercent val="0"/>
          <c:showBubbleSize val="0"/>
        </c:dLbls>
        <c:gapWidth val="89"/>
        <c:overlap val="-27"/>
        <c:axId val="55437951"/>
        <c:axId val="55449471"/>
      </c:barChart>
      <c:catAx>
        <c:axId val="554379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lumMod val="65000"/>
                    <a:lumOff val="35000"/>
                  </a:schemeClr>
                </a:solidFill>
                <a:latin typeface="+mn-lt"/>
                <a:ea typeface="+mn-ea"/>
                <a:cs typeface="+mn-cs"/>
              </a:defRPr>
            </a:pPr>
            <a:endParaRPr lang="en-US"/>
          </a:p>
        </c:txPr>
        <c:crossAx val="55449471"/>
        <c:crosses val="autoZero"/>
        <c:auto val="1"/>
        <c:lblAlgn val="ctr"/>
        <c:lblOffset val="100"/>
        <c:noMultiLvlLbl val="0"/>
      </c:catAx>
      <c:valAx>
        <c:axId val="55449471"/>
        <c:scaling>
          <c:orientation val="minMax"/>
        </c:scaling>
        <c:delete val="1"/>
        <c:axPos val="l"/>
        <c:numFmt formatCode="_-[$₦-466]\ * #,##0.0_-;\-[$₦-466]\ * #,##0.0_-;_-[$₦-466]\ * &quot;-&quot;?_-;_-@_-" sourceLinked="1"/>
        <c:majorTickMark val="out"/>
        <c:minorTickMark val="none"/>
        <c:tickLblPos val="nextTo"/>
        <c:crossAx val="5543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[Retail_Sales.xlsx]Pivot Tables!PivotTable5</c:name>
    <c:fmtId val="0"/>
  </c:pivotSource>
  <c:chart>
    <c:title>
      <c:tx>
        <c:rich>
          <a:bodyPr rot="0" spcFirstLastPara="1" vertOverflow="ellipsis" vert="horz" wrap="square" anchor="ctr" anchorCtr="1"/>
          <a:lstStyle/>
          <a:p>
            <a:pPr algn="ctr" rtl="0">
              <a:defRPr lang="en-US" sz="1400" b="1" i="0" u="none" strike="noStrike" kern="1200" spc="0" baseline="0">
                <a:solidFill>
                  <a:srgbClr val="000000">
                    <a:lumMod val="65000"/>
                    <a:lumOff val="35000"/>
                  </a:srgbClr>
                </a:solidFill>
                <a:latin typeface="+mn-lt"/>
                <a:ea typeface="+mn-ea"/>
                <a:cs typeface="+mn-cs"/>
              </a:defRPr>
            </a:pPr>
            <a:r>
              <a:rPr lang="en-US" sz="1400" b="1" i="0" u="none" strike="noStrike" kern="1200" spc="0" baseline="0">
                <a:solidFill>
                  <a:srgbClr val="000000">
                    <a:lumMod val="65000"/>
                    <a:lumOff val="35000"/>
                  </a:srgbClr>
                </a:solidFill>
                <a:latin typeface="+mn-lt"/>
                <a:ea typeface="+mn-ea"/>
                <a:cs typeface="+mn-cs"/>
              </a:rPr>
              <a:t>Yearly Sales </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diamond"/>
          <c:size val="8"/>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Tables'!$C$22</c:f>
              <c:strCache>
                <c:ptCount val="1"/>
                <c:pt idx="0">
                  <c:v>Total</c:v>
                </c:pt>
              </c:strCache>
            </c:strRef>
          </c:tx>
          <c:spPr>
            <a:ln w="28575" cap="rnd">
              <a:solidFill>
                <a:schemeClr val="accent2"/>
              </a:solidFill>
              <a:round/>
            </a:ln>
            <a:effectLst/>
          </c:spPr>
          <c:marker>
            <c:symbol val="diamond"/>
            <c:size val="8"/>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Tables'!$B$23:$B$26</c:f>
              <c:strCache>
                <c:ptCount val="3"/>
                <c:pt idx="0">
                  <c:v>2022</c:v>
                </c:pt>
                <c:pt idx="1">
                  <c:v>2023</c:v>
                </c:pt>
                <c:pt idx="2">
                  <c:v>2024</c:v>
                </c:pt>
              </c:strCache>
            </c:strRef>
          </c:cat>
          <c:val>
            <c:numRef>
              <c:f>'Pivot Tables'!$C$23:$C$26</c:f>
              <c:numCache>
                <c:formatCode>_(* #,##0.00_);_(* \(#,##0.00\);_(* "-"??_);_(@_)</c:formatCode>
                <c:ptCount val="3"/>
                <c:pt idx="0">
                  <c:v>212258700.18999985</c:v>
                </c:pt>
                <c:pt idx="1">
                  <c:v>243863274.69999993</c:v>
                </c:pt>
                <c:pt idx="2">
                  <c:v>175520087.74999991</c:v>
                </c:pt>
              </c:numCache>
            </c:numRef>
          </c:val>
          <c:smooth val="0"/>
          <c:extLst>
            <c:ext xmlns:c16="http://schemas.microsoft.com/office/drawing/2014/chart" uri="{C3380CC4-5D6E-409C-BE32-E72D297353CC}">
              <c16:uniqueId val="{00000000-5FBD-47E9-A390-F9E209CA0E25}"/>
            </c:ext>
          </c:extLst>
        </c:ser>
        <c:dLbls>
          <c:showLegendKey val="0"/>
          <c:showVal val="0"/>
          <c:showCatName val="0"/>
          <c:showSerName val="0"/>
          <c:showPercent val="0"/>
          <c:showBubbleSize val="0"/>
        </c:dLbls>
        <c:marker val="1"/>
        <c:smooth val="0"/>
        <c:axId val="731316927"/>
        <c:axId val="731318367"/>
      </c:lineChart>
      <c:catAx>
        <c:axId val="73131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31318367"/>
        <c:crosses val="autoZero"/>
        <c:auto val="1"/>
        <c:lblAlgn val="ctr"/>
        <c:lblOffset val="100"/>
        <c:noMultiLvlLbl val="0"/>
      </c:catAx>
      <c:valAx>
        <c:axId val="731318367"/>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31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312964</xdr:colOff>
      <xdr:row>0</xdr:row>
      <xdr:rowOff>40820</xdr:rowOff>
    </xdr:from>
    <xdr:to>
      <xdr:col>22</xdr:col>
      <xdr:colOff>163286</xdr:colOff>
      <xdr:row>57</xdr:row>
      <xdr:rowOff>54429</xdr:rowOff>
    </xdr:to>
    <xdr:sp macro="" textlink="">
      <xdr:nvSpPr>
        <xdr:cNvPr id="2" name="Rectangle 1">
          <a:extLst>
            <a:ext uri="{FF2B5EF4-FFF2-40B4-BE49-F238E27FC236}">
              <a16:creationId xmlns:a16="http://schemas.microsoft.com/office/drawing/2014/main" id="{ED92BFA4-4257-DFBF-2D30-73F575DF30E7}"/>
            </a:ext>
          </a:extLst>
        </xdr:cNvPr>
        <xdr:cNvSpPr/>
      </xdr:nvSpPr>
      <xdr:spPr>
        <a:xfrm>
          <a:off x="312964" y="40820"/>
          <a:ext cx="13321393" cy="1087210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457201</xdr:colOff>
      <xdr:row>41</xdr:row>
      <xdr:rowOff>109537</xdr:rowOff>
    </xdr:from>
    <xdr:to>
      <xdr:col>12</xdr:col>
      <xdr:colOff>528637</xdr:colOff>
      <xdr:row>56</xdr:row>
      <xdr:rowOff>169068</xdr:rowOff>
    </xdr:to>
    <xdr:graphicFrame macro="">
      <xdr:nvGraphicFramePr>
        <xdr:cNvPr id="3" name="Chart 2">
          <a:extLst>
            <a:ext uri="{FF2B5EF4-FFF2-40B4-BE49-F238E27FC236}">
              <a16:creationId xmlns:a16="http://schemas.microsoft.com/office/drawing/2014/main" id="{8A548128-3825-45BD-94A8-AA0BD1C11D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400050</xdr:colOff>
      <xdr:row>15</xdr:row>
      <xdr:rowOff>85726</xdr:rowOff>
    </xdr:from>
    <xdr:to>
      <xdr:col>13</xdr:col>
      <xdr:colOff>0</xdr:colOff>
      <xdr:row>25</xdr:row>
      <xdr:rowOff>142876</xdr:rowOff>
    </xdr:to>
    <xdr:graphicFrame macro="">
      <xdr:nvGraphicFramePr>
        <xdr:cNvPr id="4" name="Chart 3">
          <a:extLst>
            <a:ext uri="{FF2B5EF4-FFF2-40B4-BE49-F238E27FC236}">
              <a16:creationId xmlns:a16="http://schemas.microsoft.com/office/drawing/2014/main" id="{E64EB235-5A81-4AF1-A170-C3FEC83BD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47624</xdr:colOff>
      <xdr:row>15</xdr:row>
      <xdr:rowOff>57150</xdr:rowOff>
    </xdr:from>
    <xdr:to>
      <xdr:col>22</xdr:col>
      <xdr:colOff>114299</xdr:colOff>
      <xdr:row>25</xdr:row>
      <xdr:rowOff>152400</xdr:rowOff>
    </xdr:to>
    <xdr:graphicFrame macro="">
      <xdr:nvGraphicFramePr>
        <xdr:cNvPr id="5" name="Chart 4">
          <a:extLst>
            <a:ext uri="{FF2B5EF4-FFF2-40B4-BE49-F238E27FC236}">
              <a16:creationId xmlns:a16="http://schemas.microsoft.com/office/drawing/2014/main" id="{DF3F8AFA-EC26-48CF-A67B-E0C84BE1A4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388144</xdr:colOff>
      <xdr:row>26</xdr:row>
      <xdr:rowOff>28575</xdr:rowOff>
    </xdr:from>
    <xdr:to>
      <xdr:col>13</xdr:col>
      <xdr:colOff>2381</xdr:colOff>
      <xdr:row>40</xdr:row>
      <xdr:rowOff>152400</xdr:rowOff>
    </xdr:to>
    <xdr:graphicFrame macro="">
      <xdr:nvGraphicFramePr>
        <xdr:cNvPr id="6" name="Chart 5">
          <a:extLst>
            <a:ext uri="{FF2B5EF4-FFF2-40B4-BE49-F238E27FC236}">
              <a16:creationId xmlns:a16="http://schemas.microsoft.com/office/drawing/2014/main" id="{ED4958B9-BEE3-42FA-AED4-655859A65C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83342</xdr:colOff>
      <xdr:row>26</xdr:row>
      <xdr:rowOff>27214</xdr:rowOff>
    </xdr:from>
    <xdr:to>
      <xdr:col>22</xdr:col>
      <xdr:colOff>109536</xdr:colOff>
      <xdr:row>40</xdr:row>
      <xdr:rowOff>190499</xdr:rowOff>
    </xdr:to>
    <xdr:graphicFrame macro="">
      <xdr:nvGraphicFramePr>
        <xdr:cNvPr id="7" name="Chart 6">
          <a:extLst>
            <a:ext uri="{FF2B5EF4-FFF2-40B4-BE49-F238E27FC236}">
              <a16:creationId xmlns:a16="http://schemas.microsoft.com/office/drawing/2014/main" id="{743099D5-E3BF-4759-8397-E4729E4E92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85725</xdr:colOff>
      <xdr:row>41</xdr:row>
      <xdr:rowOff>122464</xdr:rowOff>
    </xdr:from>
    <xdr:to>
      <xdr:col>22</xdr:col>
      <xdr:colOff>109537</xdr:colOff>
      <xdr:row>56</xdr:row>
      <xdr:rowOff>157162</xdr:rowOff>
    </xdr:to>
    <xdr:graphicFrame macro="">
      <xdr:nvGraphicFramePr>
        <xdr:cNvPr id="8" name="Chart 7">
          <a:extLst>
            <a:ext uri="{FF2B5EF4-FFF2-40B4-BE49-F238E27FC236}">
              <a16:creationId xmlns:a16="http://schemas.microsoft.com/office/drawing/2014/main" id="{B5AFDDBD-835D-4710-A1CA-4A5A876DF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152400</xdr:colOff>
      <xdr:row>0</xdr:row>
      <xdr:rowOff>76201</xdr:rowOff>
    </xdr:from>
    <xdr:to>
      <xdr:col>17</xdr:col>
      <xdr:colOff>247650</xdr:colOff>
      <xdr:row>2</xdr:row>
      <xdr:rowOff>57151</xdr:rowOff>
    </xdr:to>
    <xdr:sp macro="" textlink="">
      <xdr:nvSpPr>
        <xdr:cNvPr id="9" name="TextBox 8">
          <a:extLst>
            <a:ext uri="{FF2B5EF4-FFF2-40B4-BE49-F238E27FC236}">
              <a16:creationId xmlns:a16="http://schemas.microsoft.com/office/drawing/2014/main" id="{3728D7C4-D43D-215B-8DFA-EC875BBD5BD7}"/>
            </a:ext>
          </a:extLst>
        </xdr:cNvPr>
        <xdr:cNvSpPr txBox="1"/>
      </xdr:nvSpPr>
      <xdr:spPr>
        <a:xfrm>
          <a:off x="6248400" y="76201"/>
          <a:ext cx="43624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b="1">
              <a:solidFill>
                <a:schemeClr val="bg1"/>
              </a:solidFill>
            </a:rPr>
            <a:t>SALES OVERVIEW</a:t>
          </a:r>
        </a:p>
      </xdr:txBody>
    </xdr:sp>
    <xdr:clientData/>
  </xdr:twoCellAnchor>
  <xdr:twoCellAnchor>
    <xdr:from>
      <xdr:col>6</xdr:col>
      <xdr:colOff>123825</xdr:colOff>
      <xdr:row>2</xdr:row>
      <xdr:rowOff>114300</xdr:rowOff>
    </xdr:from>
    <xdr:to>
      <xdr:col>19</xdr:col>
      <xdr:colOff>209550</xdr:colOff>
      <xdr:row>2</xdr:row>
      <xdr:rowOff>133350</xdr:rowOff>
    </xdr:to>
    <xdr:cxnSp macro="">
      <xdr:nvCxnSpPr>
        <xdr:cNvPr id="13" name="Straight Connector 12">
          <a:extLst>
            <a:ext uri="{FF2B5EF4-FFF2-40B4-BE49-F238E27FC236}">
              <a16:creationId xmlns:a16="http://schemas.microsoft.com/office/drawing/2014/main" id="{F74D1037-341D-0E59-087F-7A504FA77C7D}"/>
            </a:ext>
          </a:extLst>
        </xdr:cNvPr>
        <xdr:cNvCxnSpPr/>
      </xdr:nvCxnSpPr>
      <xdr:spPr>
        <a:xfrm flipV="1">
          <a:off x="3781425" y="495300"/>
          <a:ext cx="8010525" cy="19050"/>
        </a:xfrm>
        <a:prstGeom prst="line">
          <a:avLst/>
        </a:prstGeom>
        <a:ln>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428624</xdr:colOff>
      <xdr:row>3</xdr:row>
      <xdr:rowOff>152399</xdr:rowOff>
    </xdr:from>
    <xdr:to>
      <xdr:col>12</xdr:col>
      <xdr:colOff>590549</xdr:colOff>
      <xdr:row>15</xdr:row>
      <xdr:rowOff>38100</xdr:rowOff>
    </xdr:to>
    <xdr:graphicFrame macro="">
      <xdr:nvGraphicFramePr>
        <xdr:cNvPr id="16" name="Chart 15">
          <a:extLst>
            <a:ext uri="{FF2B5EF4-FFF2-40B4-BE49-F238E27FC236}">
              <a16:creationId xmlns:a16="http://schemas.microsoft.com/office/drawing/2014/main" id="{F550E3ED-6908-43D1-86BC-552F09BDF9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28575</xdr:colOff>
      <xdr:row>3</xdr:row>
      <xdr:rowOff>142875</xdr:rowOff>
    </xdr:from>
    <xdr:to>
      <xdr:col>22</xdr:col>
      <xdr:colOff>142875</xdr:colOff>
      <xdr:row>15</xdr:row>
      <xdr:rowOff>19050</xdr:rowOff>
    </xdr:to>
    <xdr:graphicFrame macro="">
      <xdr:nvGraphicFramePr>
        <xdr:cNvPr id="18" name="Chart 17">
          <a:extLst>
            <a:ext uri="{FF2B5EF4-FFF2-40B4-BE49-F238E27FC236}">
              <a16:creationId xmlns:a16="http://schemas.microsoft.com/office/drawing/2014/main" id="{DFE46AB9-172E-40BE-ACBC-FC207AA48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332014</xdr:colOff>
      <xdr:row>5</xdr:row>
      <xdr:rowOff>0</xdr:rowOff>
    </xdr:from>
    <xdr:to>
      <xdr:col>4</xdr:col>
      <xdr:colOff>217713</xdr:colOff>
      <xdr:row>14</xdr:row>
      <xdr:rowOff>163286</xdr:rowOff>
    </xdr:to>
    <mc:AlternateContent xmlns:mc="http://schemas.openxmlformats.org/markup-compatibility/2006">
      <mc:Choice xmlns:a14="http://schemas.microsoft.com/office/drawing/2010/main" Requires="a14">
        <xdr:graphicFrame macro="">
          <xdr:nvGraphicFramePr>
            <xdr:cNvPr id="19" name="Region 1">
              <a:extLst>
                <a:ext uri="{FF2B5EF4-FFF2-40B4-BE49-F238E27FC236}">
                  <a16:creationId xmlns:a16="http://schemas.microsoft.com/office/drawing/2014/main" id="{E921DF85-EC34-4135-8CF3-59888B72EB2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32014" y="952500"/>
              <a:ext cx="2334985" cy="187778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332016</xdr:colOff>
      <xdr:row>15</xdr:row>
      <xdr:rowOff>122463</xdr:rowOff>
    </xdr:from>
    <xdr:to>
      <xdr:col>4</xdr:col>
      <xdr:colOff>163285</xdr:colOff>
      <xdr:row>23</xdr:row>
      <xdr:rowOff>108857</xdr:rowOff>
    </xdr:to>
    <mc:AlternateContent xmlns:mc="http://schemas.openxmlformats.org/markup-compatibility/2006">
      <mc:Choice xmlns:tsle="http://schemas.microsoft.com/office/drawing/2012/timeslicer" Requires="tsle">
        <xdr:graphicFrame macro="">
          <xdr:nvGraphicFramePr>
            <xdr:cNvPr id="20" name="Order Date 1">
              <a:extLst>
                <a:ext uri="{FF2B5EF4-FFF2-40B4-BE49-F238E27FC236}">
                  <a16:creationId xmlns:a16="http://schemas.microsoft.com/office/drawing/2014/main" id="{21BA64C3-7AC1-4FD0-B619-3B01CD0F1546}"/>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332016" y="2979963"/>
              <a:ext cx="2280555" cy="1510394"/>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76200</xdr:colOff>
      <xdr:row>1</xdr:row>
      <xdr:rowOff>123825</xdr:rowOff>
    </xdr:from>
    <xdr:to>
      <xdr:col>10</xdr:col>
      <xdr:colOff>323850</xdr:colOff>
      <xdr:row>15</xdr:row>
      <xdr:rowOff>66675</xdr:rowOff>
    </xdr:to>
    <xdr:graphicFrame macro="">
      <xdr:nvGraphicFramePr>
        <xdr:cNvPr id="2" name="Chart 1">
          <a:extLst>
            <a:ext uri="{FF2B5EF4-FFF2-40B4-BE49-F238E27FC236}">
              <a16:creationId xmlns:a16="http://schemas.microsoft.com/office/drawing/2014/main" id="{02B1E7DA-5319-F1B5-8039-9860CC94CC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571500</xdr:colOff>
      <xdr:row>2</xdr:row>
      <xdr:rowOff>114300</xdr:rowOff>
    </xdr:from>
    <xdr:to>
      <xdr:col>18</xdr:col>
      <xdr:colOff>266700</xdr:colOff>
      <xdr:row>17</xdr:row>
      <xdr:rowOff>0</xdr:rowOff>
    </xdr:to>
    <xdr:graphicFrame macro="">
      <xdr:nvGraphicFramePr>
        <xdr:cNvPr id="3" name="Chart 2">
          <a:extLst>
            <a:ext uri="{FF2B5EF4-FFF2-40B4-BE49-F238E27FC236}">
              <a16:creationId xmlns:a16="http://schemas.microsoft.com/office/drawing/2014/main" id="{842B29A7-89FF-3A4D-3821-9CCCC1645A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28575</xdr:colOff>
      <xdr:row>16</xdr:row>
      <xdr:rowOff>95250</xdr:rowOff>
    </xdr:from>
    <xdr:to>
      <xdr:col>11</xdr:col>
      <xdr:colOff>333375</xdr:colOff>
      <xdr:row>30</xdr:row>
      <xdr:rowOff>171450</xdr:rowOff>
    </xdr:to>
    <xdr:graphicFrame macro="">
      <xdr:nvGraphicFramePr>
        <xdr:cNvPr id="4" name="Chart 3">
          <a:extLst>
            <a:ext uri="{FF2B5EF4-FFF2-40B4-BE49-F238E27FC236}">
              <a16:creationId xmlns:a16="http://schemas.microsoft.com/office/drawing/2014/main" id="{F1F9AEAC-1E51-1847-EB71-5565FDBFEE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66675</xdr:colOff>
      <xdr:row>32</xdr:row>
      <xdr:rowOff>47625</xdr:rowOff>
    </xdr:from>
    <xdr:to>
      <xdr:col>10</xdr:col>
      <xdr:colOff>152400</xdr:colOff>
      <xdr:row>46</xdr:row>
      <xdr:rowOff>171450</xdr:rowOff>
    </xdr:to>
    <xdr:graphicFrame macro="">
      <xdr:nvGraphicFramePr>
        <xdr:cNvPr id="5" name="Chart 4">
          <a:extLst>
            <a:ext uri="{FF2B5EF4-FFF2-40B4-BE49-F238E27FC236}">
              <a16:creationId xmlns:a16="http://schemas.microsoft.com/office/drawing/2014/main" id="{37D02BF6-7757-9DD5-9020-2756AD0DCA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38100</xdr:colOff>
      <xdr:row>32</xdr:row>
      <xdr:rowOff>28575</xdr:rowOff>
    </xdr:from>
    <xdr:to>
      <xdr:col>17</xdr:col>
      <xdr:colOff>342900</xdr:colOff>
      <xdr:row>46</xdr:row>
      <xdr:rowOff>104775</xdr:rowOff>
    </xdr:to>
    <xdr:graphicFrame macro="">
      <xdr:nvGraphicFramePr>
        <xdr:cNvPr id="6" name="Chart 5">
          <a:extLst>
            <a:ext uri="{FF2B5EF4-FFF2-40B4-BE49-F238E27FC236}">
              <a16:creationId xmlns:a16="http://schemas.microsoft.com/office/drawing/2014/main" id="{C114F385-4D07-13B3-4FE1-E3916447E0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400050</xdr:colOff>
      <xdr:row>48</xdr:row>
      <xdr:rowOff>142875</xdr:rowOff>
    </xdr:from>
    <xdr:to>
      <xdr:col>11</xdr:col>
      <xdr:colOff>95250</xdr:colOff>
      <xdr:row>63</xdr:row>
      <xdr:rowOff>28575</xdr:rowOff>
    </xdr:to>
    <xdr:graphicFrame macro="">
      <xdr:nvGraphicFramePr>
        <xdr:cNvPr id="8" name="Chart 7">
          <a:extLst>
            <a:ext uri="{FF2B5EF4-FFF2-40B4-BE49-F238E27FC236}">
              <a16:creationId xmlns:a16="http://schemas.microsoft.com/office/drawing/2014/main" id="{692A727E-16F3-3774-FE3E-544C963A36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161925</xdr:colOff>
      <xdr:row>63</xdr:row>
      <xdr:rowOff>66675</xdr:rowOff>
    </xdr:from>
    <xdr:to>
      <xdr:col>12</xdr:col>
      <xdr:colOff>466725</xdr:colOff>
      <xdr:row>77</xdr:row>
      <xdr:rowOff>142875</xdr:rowOff>
    </xdr:to>
    <xdr:graphicFrame macro="">
      <xdr:nvGraphicFramePr>
        <xdr:cNvPr id="9" name="Chart 8">
          <a:extLst>
            <a:ext uri="{FF2B5EF4-FFF2-40B4-BE49-F238E27FC236}">
              <a16:creationId xmlns:a16="http://schemas.microsoft.com/office/drawing/2014/main" id="{2EBC636A-05C6-8279-B00E-9B8B62D007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552450</xdr:colOff>
      <xdr:row>64</xdr:row>
      <xdr:rowOff>171450</xdr:rowOff>
    </xdr:from>
    <xdr:to>
      <xdr:col>10</xdr:col>
      <xdr:colOff>361950</xdr:colOff>
      <xdr:row>79</xdr:row>
      <xdr:rowOff>57150</xdr:rowOff>
    </xdr:to>
    <xdr:graphicFrame macro="">
      <xdr:nvGraphicFramePr>
        <xdr:cNvPr id="10" name="Chart 9">
          <a:extLst>
            <a:ext uri="{FF2B5EF4-FFF2-40B4-BE49-F238E27FC236}">
              <a16:creationId xmlns:a16="http://schemas.microsoft.com/office/drawing/2014/main" id="{6931359D-7B22-F16A-4976-BF8FF0DE17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211667</xdr:colOff>
      <xdr:row>2</xdr:row>
      <xdr:rowOff>31751</xdr:rowOff>
    </xdr:from>
    <xdr:to>
      <xdr:col>15</xdr:col>
      <xdr:colOff>465666</xdr:colOff>
      <xdr:row>18</xdr:row>
      <xdr:rowOff>169333</xdr:rowOff>
    </xdr:to>
    <xdr:graphicFrame macro="">
      <xdr:nvGraphicFramePr>
        <xdr:cNvPr id="6" name="Chart 5">
          <a:extLst>
            <a:ext uri="{FF2B5EF4-FFF2-40B4-BE49-F238E27FC236}">
              <a16:creationId xmlns:a16="http://schemas.microsoft.com/office/drawing/2014/main" id="{DE1B5E25-A614-6F28-C264-9165CAB127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587375</xdr:colOff>
      <xdr:row>20</xdr:row>
      <xdr:rowOff>94192</xdr:rowOff>
    </xdr:from>
    <xdr:to>
      <xdr:col>15</xdr:col>
      <xdr:colOff>248708</xdr:colOff>
      <xdr:row>34</xdr:row>
      <xdr:rowOff>170392</xdr:rowOff>
    </xdr:to>
    <xdr:graphicFrame macro="">
      <xdr:nvGraphicFramePr>
        <xdr:cNvPr id="7" name="Chart 6">
          <a:extLst>
            <a:ext uri="{FF2B5EF4-FFF2-40B4-BE49-F238E27FC236}">
              <a16:creationId xmlns:a16="http://schemas.microsoft.com/office/drawing/2014/main" id="{7F0D9BF2-2825-7C15-401F-5306A7774E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606425</xdr:colOff>
      <xdr:row>2</xdr:row>
      <xdr:rowOff>61383</xdr:rowOff>
    </xdr:from>
    <xdr:to>
      <xdr:col>21</xdr:col>
      <xdr:colOff>257175</xdr:colOff>
      <xdr:row>9</xdr:row>
      <xdr:rowOff>99483</xdr:rowOff>
    </xdr:to>
    <mc:AlternateContent xmlns:mc="http://schemas.openxmlformats.org/markup-compatibility/2006" xmlns:tsle="http://schemas.microsoft.com/office/drawing/2012/timeslicer">
      <mc:Choice Requires="tsle">
        <xdr:graphicFrame macro="">
          <xdr:nvGraphicFramePr>
            <xdr:cNvPr id="8" name="Order Date">
              <a:extLst>
                <a:ext uri="{FF2B5EF4-FFF2-40B4-BE49-F238E27FC236}">
                  <a16:creationId xmlns:a16="http://schemas.microsoft.com/office/drawing/2014/main" id="{950D582F-D2A0-B6F8-D679-24ABF96FA0D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2332758" y="442383"/>
              <a:ext cx="3333750"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16</xdr:col>
      <xdr:colOff>8466</xdr:colOff>
      <xdr:row>11</xdr:row>
      <xdr:rowOff>4234</xdr:rowOff>
    </xdr:from>
    <xdr:to>
      <xdr:col>18</xdr:col>
      <xdr:colOff>609599</xdr:colOff>
      <xdr:row>24</xdr:row>
      <xdr:rowOff>51859</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B58AEC0C-A948-F5F1-E3DF-56503A8B5D6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348633" y="2099734"/>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38.586360648151" createdVersion="8" refreshedVersion="8" minRefreshableVersion="3" recordCount="1009" xr:uid="{7B6409AE-0C05-4E30-AE2C-50D3B8819D52}">
  <cacheSource type="worksheet">
    <worksheetSource name="Sales"/>
  </cacheSource>
  <cacheFields count="28">
    <cacheField name="Order ID" numFmtId="0">
      <sharedItems/>
    </cacheField>
    <cacheField name="Order Date" numFmtId="14">
      <sharedItems containsSemiMixedTypes="0" containsNonDate="0" containsDate="1" containsString="0" minDate="2022-01-01T00:00:00" maxDate="2025-01-01T00:00:00" count="662">
        <d v="2022-01-01T00:00:00"/>
        <d v="2022-01-12T00:00:00"/>
        <d v="2022-01-22T00:00:00"/>
        <d v="2022-02-15T00:00:00"/>
        <d v="2022-02-17T00:00:00"/>
        <d v="2022-02-19T00:00:00"/>
        <d v="2022-03-04T00:00:00"/>
        <d v="2022-03-05T00:00:00"/>
        <d v="2022-03-17T00:00:00"/>
        <d v="2022-03-24T00:00:00"/>
        <d v="2022-03-31T00:00:00"/>
        <d v="2022-04-05T00:00:00"/>
        <d v="2022-04-08T00:00:00"/>
        <d v="2022-04-09T00:00:00"/>
        <d v="2022-04-17T00:00:00"/>
        <d v="2022-04-18T00:00:00"/>
        <d v="2022-05-04T00:00:00"/>
        <d v="2022-05-03T00:00:00"/>
        <d v="2022-05-02T00:00:00"/>
        <d v="2022-05-05T00:00:00"/>
        <d v="2022-05-14T00:00:00"/>
        <d v="2022-05-17T00:00:00"/>
        <d v="2022-05-21T00:00:00"/>
        <d v="2022-05-25T00:00:00"/>
        <d v="2022-05-24T00:00:00"/>
        <d v="2022-05-27T00:00:00"/>
        <d v="2022-06-10T00:00:00"/>
        <d v="2022-06-21T00:00:00"/>
        <d v="2022-06-12T00:00:00"/>
        <d v="2022-06-18T00:00:00"/>
        <d v="2022-06-17T00:00:00"/>
        <d v="2022-06-16T00:00:00"/>
        <d v="2022-07-06T00:00:00"/>
        <d v="2022-07-13T00:00:00"/>
        <d v="2022-07-14T00:00:00"/>
        <d v="2023-07-19T00:00:00"/>
        <d v="2022-07-25T00:00:00"/>
        <d v="2022-07-27T00:00:00"/>
        <d v="2022-07-31T00:00:00"/>
        <d v="2022-07-30T00:00:00"/>
        <d v="2022-08-17T00:00:00"/>
        <d v="2022-08-16T00:00:00"/>
        <d v="2022-08-19T00:00:00"/>
        <d v="2022-08-25T00:00:00"/>
        <d v="2022-08-26T00:00:00"/>
        <d v="2022-08-29T00:00:00"/>
        <d v="2022-09-04T00:00:00"/>
        <d v="2022-09-16T00:00:00"/>
        <d v="2022-09-18T00:00:00"/>
        <d v="2022-09-26T00:00:00"/>
        <d v="2022-09-25T00:00:00"/>
        <d v="2022-10-03T00:00:00"/>
        <d v="2022-10-06T00:00:00"/>
        <d v="2022-10-16T00:00:00"/>
        <d v="2022-10-17T00:00:00"/>
        <d v="2022-10-19T00:00:00"/>
        <d v="2022-10-30T00:00:00"/>
        <d v="2022-11-04T00:00:00"/>
        <d v="2022-11-12T00:00:00"/>
        <d v="2022-11-16T00:00:00"/>
        <d v="2022-11-19T00:00:00"/>
        <d v="2022-11-25T00:00:00"/>
        <d v="2022-11-30T00:00:00"/>
        <d v="2022-12-02T00:00:00"/>
        <d v="2022-12-08T00:00:00"/>
        <d v="2022-12-22T00:00:00"/>
        <d v="2022-12-30T00:00:00"/>
        <d v="2023-01-02T00:00:00"/>
        <d v="2023-01-04T00:00:00"/>
        <d v="2023-01-14T00:00:00"/>
        <d v="2023-01-17T00:00:00"/>
        <d v="2023-01-19T00:00:00"/>
        <d v="2023-01-20T00:00:00"/>
        <d v="2023-02-01T00:00:00"/>
        <d v="2023-02-05T00:00:00"/>
        <d v="2023-02-11T00:00:00"/>
        <d v="2023-02-14T00:00:00"/>
        <d v="2023-02-12T00:00:00"/>
        <d v="2023-02-25T00:00:00"/>
        <d v="2023-03-01T00:00:00"/>
        <d v="2023-02-28T00:00:00"/>
        <d v="2023-03-02T00:00:00"/>
        <d v="2023-03-11T00:00:00"/>
        <d v="2023-03-08T00:00:00"/>
        <d v="2023-03-16T00:00:00"/>
        <d v="2023-03-21T00:00:00"/>
        <d v="2023-03-31T00:00:00"/>
        <d v="2023-04-05T00:00:00"/>
        <d v="2023-04-12T00:00:00"/>
        <d v="2023-04-13T00:00:00"/>
        <d v="2023-04-11T00:00:00"/>
        <d v="2023-04-17T00:00:00"/>
        <d v="2023-04-18T00:00:00"/>
        <d v="2023-04-22T00:00:00"/>
        <d v="2023-04-20T00:00:00"/>
        <d v="2023-04-27T00:00:00"/>
        <d v="2023-05-05T00:00:00"/>
        <d v="2023-05-10T00:00:00"/>
        <d v="2023-05-11T00:00:00"/>
        <d v="2023-05-21T00:00:00"/>
        <d v="2023-05-20T00:00:00"/>
        <d v="2023-05-29T00:00:00"/>
        <d v="2023-06-17T00:00:00"/>
        <d v="2023-06-20T00:00:00"/>
        <d v="2023-06-25T00:00:00"/>
        <d v="2023-06-27T00:00:00"/>
        <d v="2023-07-06T00:00:00"/>
        <d v="2023-07-14T00:00:00"/>
        <d v="2023-07-15T00:00:00"/>
        <d v="2023-07-17T00:00:00"/>
        <d v="2023-07-18T00:00:00"/>
        <d v="2023-07-22T00:00:00"/>
        <d v="2023-07-25T00:00:00"/>
        <d v="2023-07-26T00:00:00"/>
        <d v="2023-07-27T00:00:00"/>
        <d v="2023-07-29T00:00:00"/>
        <d v="2023-08-06T00:00:00"/>
        <d v="2023-08-11T00:00:00"/>
        <d v="2023-08-12T00:00:00"/>
        <d v="2023-08-18T00:00:00"/>
        <d v="2023-08-17T00:00:00"/>
        <d v="2023-08-27T00:00:00"/>
        <d v="2023-08-29T00:00:00"/>
        <d v="2023-08-31T00:00:00"/>
        <d v="2023-09-01T00:00:00"/>
        <d v="2023-09-06T00:00:00"/>
        <d v="2023-09-26T00:00:00"/>
        <d v="2023-09-29T00:00:00"/>
        <d v="2023-09-28T00:00:00"/>
        <d v="2023-10-16T00:00:00"/>
        <d v="2023-10-15T00:00:00"/>
        <d v="2023-10-14T00:00:00"/>
        <d v="2023-10-18T00:00:00"/>
        <d v="2023-10-19T00:00:00"/>
        <d v="2023-10-26T00:00:00"/>
        <d v="2023-11-15T00:00:00"/>
        <d v="2023-11-17T00:00:00"/>
        <d v="2023-11-21T00:00:00"/>
        <d v="2023-11-25T00:00:00"/>
        <d v="2023-12-03T00:00:00"/>
        <d v="2023-11-29T00:00:00"/>
        <d v="2023-12-01T00:00:00"/>
        <d v="2023-12-13T00:00:00"/>
        <d v="2023-12-22T00:00:00"/>
        <d v="2024-01-16T00:00:00"/>
        <d v="2024-01-20T00:00:00"/>
        <d v="2024-01-25T00:00:00"/>
        <d v="2024-02-05T00:00:00"/>
        <d v="2024-02-09T00:00:00"/>
        <d v="2024-02-13T00:00:00"/>
        <d v="2024-02-12T00:00:00"/>
        <d v="2024-02-18T00:00:00"/>
        <d v="2024-02-19T00:00:00"/>
        <d v="2024-02-22T00:00:00"/>
        <d v="2024-02-21T00:00:00"/>
        <d v="2024-02-23T00:00:00"/>
        <d v="2024-02-25T00:00:00"/>
        <d v="2024-02-28T00:00:00"/>
        <d v="2024-03-05T00:00:00"/>
        <d v="2024-03-07T00:00:00"/>
        <d v="2024-03-12T00:00:00"/>
        <d v="2024-03-24T00:00:00"/>
        <d v="2024-03-27T00:00:00"/>
        <d v="2024-03-31T00:00:00"/>
        <d v="2024-04-03T00:00:00"/>
        <d v="2024-04-09T00:00:00"/>
        <d v="2024-04-12T00:00:00"/>
        <d v="2024-04-19T00:00:00"/>
        <d v="2024-04-22T00:00:00"/>
        <d v="2024-04-29T00:00:00"/>
        <d v="2024-04-30T00:00:00"/>
        <d v="2024-05-10T00:00:00"/>
        <d v="2024-05-13T00:00:00"/>
        <d v="2024-05-17T00:00:00"/>
        <d v="2024-05-23T00:00:00"/>
        <d v="2024-05-30T00:00:00"/>
        <d v="2024-06-03T00:00:00"/>
        <d v="2024-06-09T00:00:00"/>
        <d v="2024-06-16T00:00:00"/>
        <d v="2024-06-23T00:00:00"/>
        <d v="2024-06-25T00:00:00"/>
        <d v="2024-07-15T00:00:00"/>
        <d v="2024-07-19T00:00:00"/>
        <d v="2024-07-17T00:00:00"/>
        <d v="2024-07-21T00:00:00"/>
        <d v="2024-07-29T00:00:00"/>
        <d v="2024-07-30T00:00:00"/>
        <d v="2024-01-08T00:00:00"/>
        <d v="2024-08-08T00:00:00"/>
        <d v="2024-08-18T00:00:00"/>
        <d v="2024-08-21T00:00:00"/>
        <d v="2024-09-02T00:00:00"/>
        <d v="2024-09-05T00:00:00"/>
        <d v="2024-09-09T00:00:00"/>
        <d v="2024-09-14T00:00:00"/>
        <d v="2024-10-20T00:00:00"/>
        <d v="2024-11-02T00:00:00"/>
        <d v="2024-11-13T00:00:00"/>
        <d v="2024-11-26T00:00:00"/>
        <d v="2024-11-30T00:00:00"/>
        <d v="2024-12-02T00:00:00"/>
        <d v="2024-12-01T00:00:00"/>
        <d v="2024-12-06T00:00:00"/>
        <d v="2024-12-12T00:00:00"/>
        <d v="2024-12-17T00:00:00"/>
        <d v="2024-12-27T00:00:00"/>
        <d v="2024-09-03T00:00:00"/>
        <d v="2022-01-02T00:00:00"/>
        <d v="2022-01-07T00:00:00"/>
        <d v="2022-01-11T00:00:00"/>
        <d v="2022-01-14T00:00:00"/>
        <d v="2022-01-19T00:00:00"/>
        <d v="2022-01-23T00:00:00"/>
        <d v="2022-01-26T00:00:00"/>
        <d v="2022-01-30T00:00:00"/>
        <d v="2022-02-03T00:00:00"/>
        <d v="2022-02-02T00:00:00"/>
        <d v="2022-02-13T00:00:00"/>
        <d v="2022-03-06T00:00:00"/>
        <d v="2022-03-19T00:00:00"/>
        <d v="2022-03-23T00:00:00"/>
        <d v="2022-03-29T00:00:00"/>
        <d v="2022-04-10T00:00:00"/>
        <d v="2022-04-16T00:00:00"/>
        <d v="2022-04-14T00:00:00"/>
        <d v="2022-04-25T00:00:00"/>
        <d v="2022-04-19T00:00:00"/>
        <d v="2022-04-21T00:00:00"/>
        <d v="2022-04-30T00:00:00"/>
        <d v="2022-05-11T00:00:00"/>
        <d v="2022-05-18T00:00:00"/>
        <d v="2022-05-20T00:00:00"/>
        <d v="2022-05-26T00:00:00"/>
        <d v="2022-05-30T00:00:00"/>
        <d v="2022-06-04T00:00:00"/>
        <d v="2022-06-08T00:00:00"/>
        <d v="2022-06-23T00:00:00"/>
        <d v="2022-06-26T00:00:00"/>
        <d v="2022-07-03T00:00:00"/>
        <d v="2022-07-05T00:00:00"/>
        <d v="2022-07-08T00:00:00"/>
        <d v="2022-07-10T00:00:00"/>
        <d v="2022-07-15T00:00:00"/>
        <d v="2022-07-17T00:00:00"/>
        <d v="2022-07-29T00:00:00"/>
        <d v="2022-08-05T00:00:00"/>
        <d v="2022-08-13T00:00:00"/>
        <d v="2022-08-21T00:00:00"/>
        <d v="2022-08-30T00:00:00"/>
        <d v="2022-09-02T00:00:00"/>
        <d v="2022-09-08T00:00:00"/>
        <d v="2022-09-22T00:00:00"/>
        <d v="2022-10-04T00:00:00"/>
        <d v="2022-10-13T00:00:00"/>
        <d v="2022-10-26T00:00:00"/>
        <d v="2022-11-05T00:00:00"/>
        <d v="2022-10-29T00:00:00"/>
        <d v="2022-10-28T00:00:00"/>
        <d v="2022-11-07T00:00:00"/>
        <d v="2022-11-24T00:00:00"/>
        <d v="2022-11-26T00:00:00"/>
        <d v="2022-11-27T00:00:00"/>
        <d v="2022-12-16T00:00:00"/>
        <d v="2022-12-24T00:00:00"/>
        <d v="2022-12-26T00:00:00"/>
        <d v="2023-01-06T00:00:00"/>
        <d v="2023-01-11T00:00:00"/>
        <d v="2023-01-13T00:00:00"/>
        <d v="2023-01-16T00:00:00"/>
        <d v="2023-01-15T00:00:00"/>
        <d v="2023-01-25T00:00:00"/>
        <d v="2023-01-31T00:00:00"/>
        <d v="2023-02-03T00:00:00"/>
        <d v="2023-02-04T00:00:00"/>
        <d v="2023-02-15T00:00:00"/>
        <d v="2023-02-16T00:00:00"/>
        <d v="2023-02-22T00:00:00"/>
        <d v="2023-02-26T00:00:00"/>
        <d v="2023-03-07T00:00:00"/>
        <d v="2023-03-19T00:00:00"/>
        <d v="2023-03-25T00:00:00"/>
        <d v="2023-03-30T00:00:00"/>
        <d v="2023-04-03T00:00:00"/>
        <d v="2023-04-09T00:00:00"/>
        <d v="2023-04-10T00:00:00"/>
        <d v="2023-04-15T00:00:00"/>
        <d v="2023-04-24T00:00:00"/>
        <d v="2023-04-30T00:00:00"/>
        <d v="2023-05-09T00:00:00"/>
        <d v="2023-05-08T00:00:00"/>
        <d v="2023-05-12T00:00:00"/>
        <d v="2023-05-25T00:00:00"/>
        <d v="2023-06-03T00:00:00"/>
        <d v="2023-06-06T00:00:00"/>
        <d v="2023-06-13T00:00:00"/>
        <d v="2023-06-15T00:00:00"/>
        <d v="2023-06-18T00:00:00"/>
        <d v="2023-06-19T00:00:00"/>
        <d v="2023-06-23T00:00:00"/>
        <d v="2023-06-21T00:00:00"/>
        <d v="2023-07-01T00:00:00"/>
        <d v="2023-07-21T00:00:00"/>
        <d v="2023-07-23T00:00:00"/>
        <d v="2023-08-03T00:00:00"/>
        <d v="2023-08-08T00:00:00"/>
        <d v="2023-08-09T00:00:00"/>
        <d v="2023-08-14T00:00:00"/>
        <d v="2023-08-22T00:00:00"/>
        <d v="2023-08-24T00:00:00"/>
        <d v="2023-08-25T00:00:00"/>
        <d v="2023-08-28T00:00:00"/>
        <d v="2023-09-03T00:00:00"/>
        <d v="2023-09-07T00:00:00"/>
        <d v="2023-09-08T00:00:00"/>
        <d v="2023-09-18T00:00:00"/>
        <d v="2023-09-17T00:00:00"/>
        <d v="2023-10-04T00:00:00"/>
        <d v="2023-10-05T00:00:00"/>
        <d v="2023-10-09T00:00:00"/>
        <d v="2023-10-21T00:00:00"/>
        <d v="2023-10-23T00:00:00"/>
        <d v="2023-11-01T00:00:00"/>
        <d v="2023-11-10T00:00:00"/>
        <d v="2023-11-14T00:00:00"/>
        <d v="2023-11-19T00:00:00"/>
        <d v="2023-11-24T00:00:00"/>
        <d v="2023-11-27T00:00:00"/>
        <d v="2023-11-30T00:00:00"/>
        <d v="2023-12-07T00:00:00"/>
        <d v="2023-12-06T00:00:00"/>
        <d v="2023-12-14T00:00:00"/>
        <d v="2023-12-16T00:00:00"/>
        <d v="2023-12-19T00:00:00"/>
        <d v="2024-01-02T00:00:00"/>
        <d v="2024-01-04T00:00:00"/>
        <d v="2024-01-11T00:00:00"/>
        <d v="2024-02-11T00:00:00"/>
        <d v="2024-02-15T00:00:00"/>
        <d v="2024-02-17T00:00:00"/>
        <d v="2024-02-27T00:00:00"/>
        <d v="2024-03-06T00:00:00"/>
        <d v="2024-03-09T00:00:00"/>
        <d v="2024-03-13T00:00:00"/>
        <d v="2024-03-28T00:00:00"/>
        <d v="2024-03-30T00:00:00"/>
        <d v="2024-04-02T00:00:00"/>
        <d v="2024-04-06T00:00:00"/>
        <d v="2024-04-11T00:00:00"/>
        <d v="2024-04-16T00:00:00"/>
        <d v="2024-05-04T00:00:00"/>
        <d v="2024-05-02T00:00:00"/>
        <d v="2024-05-05T00:00:00"/>
        <d v="2024-05-14T00:00:00"/>
        <d v="2024-05-16T00:00:00"/>
        <d v="2024-05-21T00:00:00"/>
        <d v="2024-06-08T00:00:00"/>
        <d v="2024-06-17T00:00:00"/>
        <d v="2024-06-19T00:00:00"/>
        <d v="2024-06-24T00:00:00"/>
        <d v="2024-07-09T00:00:00"/>
        <d v="2024-07-08T00:00:00"/>
        <d v="2024-07-23T00:00:00"/>
        <d v="2024-08-04T00:00:00"/>
        <d v="2024-08-16T00:00:00"/>
        <d v="2024-08-23T00:00:00"/>
        <d v="2024-08-26T00:00:00"/>
        <d v="2024-08-31T00:00:00"/>
        <d v="2024-09-08T00:00:00"/>
        <d v="2024-09-26T00:00:00"/>
        <d v="2024-10-05T00:00:00"/>
        <d v="2024-10-12T00:00:00"/>
        <d v="2024-10-19T00:00:00"/>
        <d v="2024-10-27T00:00:00"/>
        <d v="2024-11-04T00:00:00"/>
        <d v="2024-11-12T00:00:00"/>
        <d v="2024-11-17T00:00:00"/>
        <d v="2024-11-28T00:00:00"/>
        <d v="2024-12-03T00:00:00"/>
        <d v="2024-12-08T00:00:00"/>
        <d v="2024-12-14T00:00:00"/>
        <d v="2024-10-18T00:00:00"/>
        <d v="2024-03-26T00:00:00"/>
        <d v="2022-01-03T00:00:00"/>
        <d v="2022-01-04T00:00:00"/>
        <d v="2022-01-17T00:00:00"/>
        <d v="2022-01-21T00:00:00"/>
        <d v="2022-01-25T00:00:00"/>
        <d v="2022-01-27T00:00:00"/>
        <d v="2022-02-04T00:00:00"/>
        <d v="2022-02-24T00:00:00"/>
        <d v="2022-03-02T00:00:00"/>
        <d v="2022-03-08T00:00:00"/>
        <d v="2022-03-13T00:00:00"/>
        <d v="2022-03-12T00:00:00"/>
        <d v="2022-03-25T00:00:00"/>
        <d v="2022-04-23T00:00:00"/>
        <d v="2022-04-28T00:00:00"/>
        <d v="2022-05-10T00:00:00"/>
        <d v="2022-05-09T00:00:00"/>
        <d v="2022-05-16T00:00:00"/>
        <d v="2022-05-23T00:00:00"/>
        <d v="2022-05-28T00:00:00"/>
        <d v="2022-06-09T00:00:00"/>
        <d v="2022-06-15T00:00:00"/>
        <d v="2022-06-30T00:00:00"/>
        <d v="2022-07-02T00:00:00"/>
        <d v="2022-07-19T00:00:00"/>
        <d v="2022-08-01T00:00:00"/>
        <d v="2022-08-02T00:00:00"/>
        <d v="2022-08-08T00:00:00"/>
        <d v="2022-08-22T00:00:00"/>
        <d v="2022-08-31T00:00:00"/>
        <d v="2022-09-09T00:00:00"/>
        <d v="2022-09-10T00:00:00"/>
        <d v="2022-09-21T00:00:00"/>
        <d v="2022-09-27T00:00:00"/>
        <d v="2022-09-30T00:00:00"/>
        <d v="2022-10-12T00:00:00"/>
        <d v="2022-10-14T00:00:00"/>
        <d v="2022-10-20T00:00:00"/>
        <d v="2022-10-31T00:00:00"/>
        <d v="2022-11-01T00:00:00"/>
        <d v="2022-11-06T00:00:00"/>
        <d v="2022-11-09T00:00:00"/>
        <d v="2022-11-11T00:00:00"/>
        <d v="2022-11-14T00:00:00"/>
        <d v="2022-11-15T00:00:00"/>
        <d v="2022-11-17T00:00:00"/>
        <d v="2022-11-18T00:00:00"/>
        <d v="2022-11-29T00:00:00"/>
        <d v="2022-12-03T00:00:00"/>
        <d v="2022-12-05T00:00:00"/>
        <d v="2022-12-06T00:00:00"/>
        <d v="2022-12-13T00:00:00"/>
        <d v="2022-12-17T00:00:00"/>
        <d v="2022-12-31T00:00:00"/>
        <d v="2023-01-07T00:00:00"/>
        <d v="2023-01-08T00:00:00"/>
        <d v="2023-01-09T00:00:00"/>
        <d v="2023-01-10T00:00:00"/>
        <d v="2023-01-21T00:00:00"/>
        <d v="2023-02-24T00:00:00"/>
        <d v="2023-03-05T00:00:00"/>
        <d v="2023-03-14T00:00:00"/>
        <d v="2023-03-28T00:00:00"/>
        <d v="2023-04-01T00:00:00"/>
        <d v="2023-04-21T00:00:00"/>
        <d v="2023-04-26T00:00:00"/>
        <d v="2023-05-02T00:00:00"/>
        <d v="2023-05-13T00:00:00"/>
        <d v="2023-05-17T00:00:00"/>
        <d v="2023-05-27T00:00:00"/>
        <d v="2023-05-30T00:00:00"/>
        <d v="2023-06-01T00:00:00"/>
        <d v="2023-06-02T00:00:00"/>
        <d v="2023-06-04T00:00:00"/>
        <d v="2023-06-12T00:00:00"/>
        <d v="2023-06-24T00:00:00"/>
        <d v="2023-07-02T00:00:00"/>
        <d v="2023-07-05T00:00:00"/>
        <d v="2023-07-07T00:00:00"/>
        <d v="2023-07-09T00:00:00"/>
        <d v="2023-07-16T00:00:00"/>
        <d v="2023-07-24T00:00:00"/>
        <d v="2023-07-31T00:00:00"/>
        <d v="2023-08-02T00:00:00"/>
        <d v="2023-08-19T00:00:00"/>
        <d v="2023-08-20T00:00:00"/>
        <d v="2023-09-05T00:00:00"/>
        <d v="2023-09-12T00:00:00"/>
        <d v="2023-09-14T00:00:00"/>
        <d v="2023-10-03T00:00:00"/>
        <d v="2023-10-12T00:00:00"/>
        <d v="2023-10-17T00:00:00"/>
        <d v="2023-11-04T00:00:00"/>
        <d v="2023-11-09T00:00:00"/>
        <d v="2023-11-18T00:00:00"/>
        <d v="2023-11-20T00:00:00"/>
        <d v="2023-11-23T00:00:00"/>
        <d v="2023-12-05T00:00:00"/>
        <d v="2023-12-10T00:00:00"/>
        <d v="2023-12-09T00:00:00"/>
        <d v="2023-12-15T00:00:00"/>
        <d v="2023-12-18T00:00:00"/>
        <d v="2023-12-20T00:00:00"/>
        <d v="2023-12-21T00:00:00"/>
        <d v="2023-12-25T00:00:00"/>
        <d v="2023-12-30T00:00:00"/>
        <d v="2024-01-05T00:00:00"/>
        <d v="2024-01-21T00:00:00"/>
        <d v="2024-01-26T00:00:00"/>
        <d v="2024-01-28T00:00:00"/>
        <d v="2024-01-31T00:00:00"/>
        <d v="2024-02-02T00:00:00"/>
        <d v="2024-02-04T00:00:00"/>
        <d v="2024-02-06T00:00:00"/>
        <d v="2024-02-07T00:00:00"/>
        <d v="2024-02-20T00:00:00"/>
        <d v="2024-03-01T00:00:00"/>
        <d v="2024-03-11T00:00:00"/>
        <d v="2024-03-20T00:00:00"/>
        <d v="2024-04-08T00:00:00"/>
        <d v="2024-04-23T00:00:00"/>
        <d v="2024-04-27T00:00:00"/>
        <d v="2024-04-28T00:00:00"/>
        <d v="2024-05-03T00:00:00"/>
        <d v="2024-05-22T00:00:00"/>
        <d v="2024-05-27T00:00:00"/>
        <d v="2024-06-04T00:00:00"/>
        <d v="2024-06-10T00:00:00"/>
        <d v="2024-06-13T00:00:00"/>
        <d v="2024-06-12T00:00:00"/>
        <d v="2024-06-14T00:00:00"/>
        <d v="2024-07-02T00:00:00"/>
        <d v="2024-07-06T00:00:00"/>
        <d v="2024-07-12T00:00:00"/>
        <d v="2024-07-14T00:00:00"/>
        <d v="2024-07-18T00:00:00"/>
        <d v="2024-07-20T00:00:00"/>
        <d v="2024-08-01T00:00:00"/>
        <d v="2024-08-02T00:00:00"/>
        <d v="2024-08-06T00:00:00"/>
        <d v="2024-08-07T00:00:00"/>
        <d v="2024-08-10T00:00:00"/>
        <d v="2024-08-13T00:00:00"/>
        <d v="2024-09-04T00:00:00"/>
        <d v="2024-09-11T00:00:00"/>
        <d v="2024-09-12T00:00:00"/>
        <d v="2024-09-16T00:00:00"/>
        <d v="2024-09-18T00:00:00"/>
        <d v="2024-09-21T00:00:00"/>
        <d v="2024-09-22T00:00:00"/>
        <d v="2024-10-01T00:00:00"/>
        <d v="2024-10-02T00:00:00"/>
        <d v="2024-10-15T00:00:00"/>
        <d v="2024-10-21T00:00:00"/>
        <d v="2024-10-23T00:00:00"/>
        <d v="2024-11-19T00:00:00"/>
        <d v="2024-11-20T00:00:00"/>
        <d v="2024-12-13T00:00:00"/>
        <d v="2024-12-28T00:00:00"/>
        <d v="2024-12-29T00:00:00"/>
        <d v="2024-12-30T00:00:00"/>
        <d v="2024-12-31T00:00:00"/>
        <d v="2023-09-02T00:00:00"/>
        <d v="2022-02-14T00:00:00"/>
        <d v="2022-02-06T00:00:00"/>
        <d v="2022-02-07T00:00:00"/>
        <d v="2022-02-16T00:00:00"/>
        <d v="2022-02-23T00:00:00"/>
        <d v="2022-02-26T00:00:00"/>
        <d v="2022-02-28T00:00:00"/>
        <d v="2022-03-09T00:00:00"/>
        <d v="2022-03-27T00:00:00"/>
        <d v="2022-03-30T00:00:00"/>
        <d v="2022-04-04T00:00:00"/>
        <d v="2022-04-20T00:00:00"/>
        <d v="2022-04-22T00:00:00"/>
        <d v="2022-05-07T00:00:00"/>
        <d v="2022-05-12T00:00:00"/>
        <d v="2022-06-01T00:00:00"/>
        <d v="2022-06-03T00:00:00"/>
        <d v="2022-06-05T00:00:00"/>
        <d v="2022-06-07T00:00:00"/>
        <d v="2022-06-19T00:00:00"/>
        <d v="2022-06-24T00:00:00"/>
        <d v="2022-06-27T00:00:00"/>
        <d v="2022-07-04T00:00:00"/>
        <d v="2022-07-11T00:00:00"/>
        <d v="2022-07-18T00:00:00"/>
        <d v="2022-07-20T00:00:00"/>
        <d v="2022-08-11T00:00:00"/>
        <d v="2022-08-18T00:00:00"/>
        <d v="2022-08-20T00:00:00"/>
        <d v="2022-09-29T00:00:00"/>
        <d v="2022-10-15T00:00:00"/>
        <d v="2022-10-25T00:00:00"/>
        <d v="2022-10-27T00:00:00"/>
        <d v="2022-11-21T00:00:00"/>
        <d v="2022-12-07T00:00:00"/>
        <d v="2022-12-14T00:00:00"/>
        <d v="2022-12-18T00:00:00"/>
        <d v="2022-12-23T00:00:00"/>
        <d v="2022-12-29T00:00:00"/>
        <d v="2023-01-26T00:00:00"/>
        <d v="2023-01-28T00:00:00"/>
        <d v="2023-02-02T00:00:00"/>
        <d v="2023-01-30T00:00:00"/>
        <d v="2023-02-20T00:00:00"/>
        <d v="2023-02-21T00:00:00"/>
        <d v="2023-03-03T00:00:00"/>
        <d v="2023-03-06T00:00:00"/>
        <d v="2023-03-22T00:00:00"/>
        <d v="2023-03-23T00:00:00"/>
        <d v="2023-03-24T00:00:00"/>
        <d v="2023-04-02T00:00:00"/>
        <d v="2023-04-08T00:00:00"/>
        <d v="2023-04-29T00:00:00"/>
        <d v="2023-05-04T00:00:00"/>
        <d v="2023-05-14T00:00:00"/>
        <d v="2023-05-16T00:00:00"/>
        <d v="2023-05-24T00:00:00"/>
        <d v="2023-05-31T00:00:00"/>
        <d v="2023-06-07T00:00:00"/>
        <d v="2023-06-28T00:00:00"/>
        <d v="2023-07-20T00:00:00"/>
        <d v="2023-08-01T00:00:00"/>
        <d v="2023-08-07T00:00:00"/>
        <d v="2023-08-26T00:00:00"/>
        <d v="2023-09-30T00:00:00"/>
        <d v="2023-10-22T00:00:00"/>
        <d v="2023-10-24T00:00:00"/>
        <d v="2023-10-27T00:00:00"/>
        <d v="2023-10-28T00:00:00"/>
        <d v="2023-10-29T00:00:00"/>
        <d v="2023-11-02T00:00:00"/>
        <d v="2023-11-08T00:00:00"/>
        <d v="2023-11-16T00:00:00"/>
        <d v="2023-12-08T00:00:00"/>
        <d v="2024-01-01T00:00:00"/>
        <d v="2024-01-22T00:00:00"/>
        <d v="2024-01-27T00:00:00"/>
        <d v="2024-02-16T00:00:00"/>
        <d v="2024-02-26T00:00:00"/>
        <d v="2024-03-10T00:00:00"/>
        <d v="2024-11-03T00:00:00"/>
        <d v="2024-03-18T00:00:00"/>
        <d v="2024-03-19T00:00:00"/>
        <d v="2024-03-25T00:00:00"/>
        <d v="2024-04-01T00:00:00"/>
        <d v="2024-04-21T00:00:00"/>
        <d v="2024-04-24T00:00:00"/>
        <d v="2024-05-09T00:00:00"/>
        <d v="2024-05-19T00:00:00"/>
        <d v="2024-05-20T00:00:00"/>
        <d v="2024-05-26T00:00:00"/>
        <d v="2024-05-29T00:00:00"/>
        <d v="2024-06-01T00:00:00"/>
        <d v="2024-06-07T00:00:00"/>
        <d v="2024-07-05T00:00:00"/>
        <d v="2024-07-11T00:00:00"/>
        <d v="2024-07-16T00:00:00"/>
        <d v="2024-07-27T00:00:00"/>
        <d v="2024-07-28T00:00:00"/>
        <d v="2024-08-17T00:00:00"/>
        <d v="2024-08-24T00:00:00"/>
        <d v="2024-08-28T00:00:00"/>
        <d v="2024-09-07T00:00:00"/>
        <d v="2024-09-15T00:00:00"/>
        <d v="2024-09-20T00:00:00"/>
        <d v="2024-09-23T00:00:00"/>
        <d v="2024-09-28T00:00:00"/>
        <d v="2024-09-29T00:00:00"/>
        <d v="2024-02-10T00:00:00"/>
        <d v="2024-10-11T00:00:00"/>
        <d v="2024-10-25T00:00:00"/>
        <d v="2024-10-29T00:00:00"/>
        <d v="2024-11-01T00:00:00"/>
        <d v="2024-11-15T00:00:00"/>
        <d v="2024-11-18T00:00:00"/>
        <d v="2024-12-09T00:00:00"/>
        <d v="2024-12-21T00:00:00"/>
      </sharedItems>
      <fieldGroup par="27"/>
    </cacheField>
    <cacheField name="Ship Date" numFmtId="14">
      <sharedItems containsSemiMixedTypes="0" containsNonDate="0" containsDate="1" containsString="0" minDate="2022-01-03T00:00:00" maxDate="2025-01-04T00:00:00"/>
    </cacheField>
    <cacheField name="Ship Mode" numFmtId="0">
      <sharedItems/>
    </cacheField>
    <cacheField name="First Name" numFmtId="0">
      <sharedItems/>
    </cacheField>
    <cacheField name="Last Name" numFmtId="0">
      <sharedItems/>
    </cacheField>
    <cacheField name="Email" numFmtId="0">
      <sharedItems/>
    </cacheField>
    <cacheField name="Phone" numFmtId="0">
      <sharedItems containsMixedTypes="1" containsNumber="1" containsInteger="1" minValue="0" maxValue="9079880742"/>
    </cacheField>
    <cacheField name="Segment" numFmtId="0">
      <sharedItems count="3">
        <s v="Consumer"/>
        <s v="Corporate"/>
        <s v="Home Office"/>
      </sharedItems>
    </cacheField>
    <cacheField name="Region" numFmtId="0">
      <sharedItems count="4">
        <s v="East"/>
        <s v="West"/>
        <s v="North"/>
        <s v="South"/>
      </sharedItems>
    </cacheField>
    <cacheField name="State" numFmtId="0">
      <sharedItems count="28">
        <s v="Onitsha"/>
        <s v="Enugu"/>
        <s v="Ilorin"/>
        <s v="Abuja"/>
        <s v="Kano"/>
        <s v="Akure"/>
        <s v="Port Harcourt"/>
        <s v="Osogbo"/>
        <s v="Awka"/>
        <s v="Ado-Ekiti"/>
        <s v="Kaduna"/>
        <s v="Benin City"/>
        <s v="Sokoto"/>
        <s v="Abia"/>
        <s v="Owerri"/>
        <s v="Katsina   "/>
        <s v="Warri"/>
        <s v="Aba"/>
        <s v="Ibadan"/>
        <s v="Abeokuta"/>
        <s v="Katsina"/>
        <s v="  Kano"/>
        <s v="Lagos"/>
        <s v="Awka   "/>
        <s v="Warri   "/>
        <s v="  Port Harcourt"/>
        <s v="  Owerri"/>
        <s v="  Onitsha"/>
      </sharedItems>
    </cacheField>
    <cacheField name="Category" numFmtId="0">
      <sharedItems count="9">
        <s v="Office Supplies"/>
        <s v="Clothing"/>
        <s v="Technology"/>
        <s v="Furniture"/>
        <s v="Food &amp; Beverages"/>
        <s v="Office Supply"/>
        <s v="Food&amp;Beverages" u="1"/>
        <s v="Food&amp; Beverages" u="1"/>
        <s v="Food &amp;Beverages" u="1"/>
      </sharedItems>
    </cacheField>
    <cacheField name="Sub-Category" numFmtId="0">
      <sharedItems/>
    </cacheField>
    <cacheField name="Product Name" numFmtId="0">
      <sharedItems count="145">
        <s v="Brown Kraft Envelopes"/>
        <s v="Crossbody Bag"/>
        <s v="Laptop Backpack"/>
        <s v="C5 Envelopes"/>
        <s v="Xiaomi Redmi 12"/>
        <s v="Conference Table"/>
        <s v="T-Shirt 3-Pack"/>
        <s v="Wardrobe 3-Door"/>
        <s v="Office Desk 120cm"/>
        <s v="Dining Table 6-Seater"/>
        <s v="Men's Chinos"/>
        <s v="Wallet Genuine Leather"/>
        <s v="Ankara Print Shirt"/>
        <s v="Women's Palazzo"/>
        <s v="Joggers"/>
        <s v="Highlighters Set"/>
        <s v="Plastic Drawers"/>
        <s v="Wristwatch"/>
        <s v="Filing Cabinet"/>
        <s v="Sunflower Oil 3L"/>
        <s v="HP LaserJet Pro"/>
        <s v="Dell Inspiron 15"/>
        <s v="Tecno Spark 10"/>
        <s v="Pepper Mix 200g"/>
        <s v="Sunglasses UV400"/>
        <s v="Palm Oil 4L"/>
        <s v="Study Table"/>
        <s v="Men's Polo Shirt"/>
        <s v="Pilot G2 Gel Pens"/>
        <s v="Price Tag Labels"/>
        <s v="Lenovo IdeaPad 3"/>
        <s v="Women's Heels"/>
        <s v="Graph Paper Pad"/>
        <s v="Clipboard"/>
        <s v="Belt Leather"/>
        <s v="Whiteboard  Markers"/>
        <s v="Samsung Tab A8"/>
        <s v="Staedtler HB Pencils"/>
        <s v="Gaming Chair"/>
        <s v="Silk Scarf"/>
        <s v="Acrylic Paint Kit"/>
        <s v="Vegetable Oil 5L"/>
        <s v="Digestive Biscuits"/>
        <s v="Groundnut Oil 3L"/>
        <s v="A3 Paper Ream"/>
        <s v="Maggi Cubes 100pk"/>
        <s v="Plantain Chips 200g"/>
        <s v="3-Shelf Display"/>
        <s v="Jeans Straight Cut"/>
        <s v="Expanding File"/>
        <s v="Amazon Fire HD 10"/>
        <s v="3-Seater Sofa"/>
        <s v="Leather Loafers"/>
        <s v="Formal Trousers"/>
        <s v="iPhone 13"/>
        <s v="Canon PIXMA G3411"/>
        <s v="Men's Oxford Shoes"/>
        <s v="Corporate Shirt"/>
        <s v="Coca-Cola 24-Pack"/>
        <s v="Tomato Paste 400g"/>
        <s v="Garri 10kg"/>
        <s v="Rice 25kg Bag"/>
        <s v="Metal Bookcase"/>
        <s v="A4 Paper 500 Sheets"/>
        <s v="Pringles Multipack"/>
        <s v="Ring Binder A4"/>
        <s v="Infinix Note 30"/>
        <s v="Whiteboard Markers"/>
        <s v="Stapler + Staples"/>
        <s v="Energy Drink 4-Pack"/>
        <s v="Executive Chair"/>
        <s v="iPad 10th Gen"/>
        <s v="Fruit Juice 1L"/>
        <s v="Round Stickers"/>
        <s v="Soy Sauce 500ml"/>
        <s v="Craft Scissors"/>
        <s v="Asus VivoBook 14"/>
        <s v="Bubble Mailers"/>
        <s v="Coloured Pencils 24"/>
        <s v="Bic Ballpoint Pack"/>
        <s v="Chin Chin 500g"/>
        <s v="L-Shaped Sectional"/>
        <s v="Popcorn 6-Pack"/>
        <s v="Lenovo Tab M10"/>
        <s v="Corner Bookshelf"/>
        <s v="Sunglasses UV400   "/>
        <s v="Malta Guinness 12-Pack"/>
        <s v="Sneakers Unisex"/>
        <s v="Acer Aspire 5"/>
        <s v="Cardboard A4"/>
        <s v="Mesh Office Chair"/>
        <s v="Recliner Chair"/>
        <s v="4-Drawer Cabinet"/>
        <s v="Huawei MatePad"/>
        <s v="Paper Clips Box"/>
        <s v="Visitor Chair"/>
        <s v="Watercolour Set"/>
        <s v="Oats 1kg"/>
        <s v="Lever Arch File"/>
        <s v="2-Seater Loveseat"/>
        <s v="Samsung Galaxy A54"/>
        <s v="Water 5L x6"/>
        <s v="Colour Coding Dots"/>
        <s v="Tote Bag"/>
        <s v="Brother HL-L2350DW"/>
        <s v="5-Shelf Bookcase"/>
        <s v="Sticky Notes Pack"/>
        <s v="Storage Box Set"/>
        <s v="Plastic  Drawers"/>
        <s v="Rubber Bands 100g"/>
        <s v="Binder Clips Asst."/>
        <s v="Gym Duffel Bag"/>
        <s v="Document Folder"/>
        <s v="Address Labels A4"/>
        <s v="Epson EcoTank"/>
        <s v="Drawing Pins Box"/>
        <s v="Salt 1kg [DISCONTINUED]"/>
        <s v="Semolina 5kg"/>
        <s v="Wall-Mounted Shelf"/>
        <s v="Coconut Oil 1L"/>
        <s v="Standing Desk"/>
        <s v="HP Pavilion 15"/>
        <s v="Sandals"/>
        <s v="A4 Envelopes 50pk"/>
        <s v="Salt 1kg"/>
        <s v="Padded Envelopes"/>
        <s v="Craft Scissors   "/>
        <s v="HP DeskJet 2710"/>
        <s v="Ottoman Footstool"/>
        <s v="Beans 5kg"/>
        <s v="File Folder Labels"/>
        <s v="Women's Blouse"/>
        <s v="Sketch Pad A3"/>
        <s v="Bar Stool"/>
        <s v="Study Table - N/A"/>
        <s v="Garri  10kg"/>
        <s v="Joggers   "/>
        <s v="Wall-Mounted Shelf ???"/>
        <s v="Ottoman  Footstool"/>
        <s v="Maggi Cubes 100pk ???"/>
        <s v="Watercolour  Set"/>
        <s v="Paper Clips Box [DISCONTINUED]"/>
        <s v="Binder Clips Asst. [DISCONTINUED]"/>
        <s v="  Salt 1kg"/>
        <s v="Briefcase"/>
      </sharedItems>
    </cacheField>
    <cacheField name="Quantity" numFmtId="0">
      <sharedItems containsSemiMixedTypes="0" containsString="0" containsNumber="1" containsInteger="1" minValue="-5" maxValue="20"/>
    </cacheField>
    <cacheField name="Unit Price (₦)" numFmtId="0">
      <sharedItems containsSemiMixedTypes="0" containsString="0" containsNumber="1" minValue="399.31" maxValue="445765.12"/>
    </cacheField>
    <cacheField name="Discount (%)" numFmtId="0">
      <sharedItems containsSemiMixedTypes="0" containsString="0" containsNumber="1" containsInteger="1" minValue="-10" maxValue="200"/>
    </cacheField>
    <cacheField name="Discount Amount (₦)" numFmtId="43">
      <sharedItems containsSemiMixedTypes="0" containsString="0" containsNumber="1" minValue="0" maxValue="1626740.16"/>
    </cacheField>
    <cacheField name="Sales (₦)" numFmtId="43">
      <sharedItems containsSemiMixedTypes="0" containsString="0" containsNumber="1" minValue="433.34" maxValue="7037782.5899999999"/>
    </cacheField>
    <cacheField name="Profit (₦)" numFmtId="43">
      <sharedItems containsSemiMixedTypes="0" containsString="0" containsNumber="1" minValue="-628161.81999999995" maxValue="2220302.06"/>
    </cacheField>
    <cacheField name="Category_titleCase" numFmtId="0">
      <sharedItems/>
    </cacheField>
    <cacheField name="ABS(Absolute Value)" numFmtId="0">
      <sharedItems containsSemiMixedTypes="0" containsString="0" containsNumber="1" minValue="6.06" maxValue="2220302.06"/>
    </cacheField>
    <cacheField name="Order Classification" numFmtId="0">
      <sharedItems/>
    </cacheField>
    <cacheField name="Nested If Condition" numFmtId="0">
      <sharedItems/>
    </cacheField>
    <cacheField name="Discount Decision" numFmtId="0">
      <sharedItems/>
    </cacheField>
    <cacheField name="Months (Order Date)" numFmtId="0" databaseField="0">
      <fieldGroup base="1">
        <rangePr groupBy="months" startDate="2022-01-01T00:00:00" endDate="2025-01-01T00:00:00"/>
        <groupItems count="14">
          <s v="&lt;01/01/2022"/>
          <s v="Jan"/>
          <s v="Feb"/>
          <s v="Mar"/>
          <s v="Apr"/>
          <s v="May"/>
          <s v="Jun"/>
          <s v="Jul"/>
          <s v="Aug"/>
          <s v="Sep"/>
          <s v="Oct"/>
          <s v="Nov"/>
          <s v="Dec"/>
          <s v="&gt;01/01/2025"/>
        </groupItems>
      </fieldGroup>
    </cacheField>
    <cacheField name="Quarters (Order Date)" numFmtId="0" databaseField="0">
      <fieldGroup base="1">
        <rangePr groupBy="quarters" startDate="2022-01-01T00:00:00" endDate="2025-01-01T00:00:00"/>
        <groupItems count="6">
          <s v="&lt;01/01/2022"/>
          <s v="Qtr1"/>
          <s v="Qtr2"/>
          <s v="Qtr3"/>
          <s v="Qtr4"/>
          <s v="&gt;01/01/2025"/>
        </groupItems>
      </fieldGroup>
    </cacheField>
    <cacheField name="Years (Order Date)" numFmtId="0" databaseField="0">
      <fieldGroup base="1">
        <rangePr groupBy="years" startDate="2022-01-01T00:00:00" endDate="2025-01-01T00:00:00"/>
        <groupItems count="6">
          <s v="&lt;01/01/2022"/>
          <s v="2022"/>
          <s v="2023"/>
          <s v="2024"/>
          <s v="2025"/>
          <s v="&gt;01/01/2025"/>
        </groupItems>
      </fieldGroup>
    </cacheField>
  </cacheFields>
  <extLst>
    <ext xmlns:x14="http://schemas.microsoft.com/office/spreadsheetml/2009/9/main" uri="{725AE2AE-9491-48be-B2B4-4EB974FC3084}">
      <x14:pivotCacheDefinition pivotCacheId="19690587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9">
  <r>
    <s v="ORD-10858"/>
    <x v="0"/>
    <d v="2022-01-06T00:00:00"/>
    <s v="Standard Class"/>
    <s v="Ayo"/>
    <s v="Adeleke"/>
    <s v="ayo.adeleke@gmail.com"/>
    <n v="8161000159"/>
    <x v="0"/>
    <x v="0"/>
    <x v="0"/>
    <x v="0"/>
    <s v="Envelopes"/>
    <x v="0"/>
    <n v="6"/>
    <n v="18354.330000000002"/>
    <n v="0"/>
    <n v="0"/>
    <n v="110125.98"/>
    <n v="-12981.35"/>
    <s v="Office Supplies"/>
    <n v="12981.35"/>
    <s v="Small"/>
    <s v="Small"/>
    <s v="No Discount"/>
  </r>
  <r>
    <s v="ORD-10441"/>
    <x v="1"/>
    <d v="2022-01-20T00:00:00"/>
    <s v="Standard Class"/>
    <s v="Bola"/>
    <s v="Okonkwo"/>
    <s v="bola.okonkwo@yahoo.com"/>
    <n v="9079004743"/>
    <x v="1"/>
    <x v="0"/>
    <x v="1"/>
    <x v="1"/>
    <s v="Bags"/>
    <x v="1"/>
    <n v="10"/>
    <n v="33214.19"/>
    <n v="10"/>
    <n v="33214.19"/>
    <n v="298927.71000000002"/>
    <n v="79035.7"/>
    <s v="Clothing"/>
    <n v="79035.7"/>
    <s v="Small"/>
    <s v="Small"/>
    <s v="No Discount"/>
  </r>
  <r>
    <s v="ORD-10505"/>
    <x v="2"/>
    <d v="2022-01-29T00:00:00"/>
    <s v="Standard Class"/>
    <s v="Bola"/>
    <s v="Obi"/>
    <s v="bola.obi@yahoo.com"/>
    <n v="7038788747"/>
    <x v="1"/>
    <x v="1"/>
    <x v="2"/>
    <x v="1"/>
    <s v="Bags"/>
    <x v="2"/>
    <n v="8"/>
    <n v="5549.59"/>
    <n v="20"/>
    <n v="8879.34"/>
    <n v="35517.379999999997"/>
    <n v="-2338.6999999999998"/>
    <s v="Clothing"/>
    <n v="2338.6999999999998"/>
    <s v="Small"/>
    <s v="Small"/>
    <s v="No Discount"/>
  </r>
  <r>
    <s v="ORD-10382"/>
    <x v="3"/>
    <d v="2022-02-21T00:00:00"/>
    <s v="Standard Class"/>
    <s v="Ronke"/>
    <s v="Tinubu"/>
    <s v="ronke.tinubu@outlook.com"/>
    <n v="7066751103"/>
    <x v="0"/>
    <x v="2"/>
    <x v="3"/>
    <x v="0"/>
    <s v="Envelopes"/>
    <x v="3"/>
    <n v="17"/>
    <n v="16813.46"/>
    <n v="25"/>
    <n v="71457.210000000006"/>
    <n v="214371.61"/>
    <n v="25114.44"/>
    <s v="Office Supplies"/>
    <n v="25114.44"/>
    <s v="Large"/>
    <s v="Large"/>
    <s v="No Discount"/>
  </r>
  <r>
    <s v="ORD-10832"/>
    <x v="4"/>
    <d v="2022-02-23T00:00:00"/>
    <s v="Standard Class"/>
    <s v="Yemi"/>
    <s v="Abubakar"/>
    <s v="yemi.abubakar@gmail.com"/>
    <n v="8107264416"/>
    <x v="2"/>
    <x v="1"/>
    <x v="3"/>
    <x v="2"/>
    <s v="Phones"/>
    <x v="4"/>
    <n v="3"/>
    <n v="363633.82"/>
    <n v="0"/>
    <n v="0"/>
    <n v="1090901.46"/>
    <n v="-157322.01"/>
    <s v="Technology"/>
    <n v="157322.01"/>
    <s v="Small"/>
    <s v="Small"/>
    <s v="No Discount"/>
  </r>
  <r>
    <s v="ORD-10852"/>
    <x v="5"/>
    <d v="2022-02-24T00:00:00"/>
    <s v="Standard Class"/>
    <s v="Zainab"/>
    <s v="Sanusi"/>
    <s v="zainab.sanusi@gmail.com"/>
    <n v="8034674225"/>
    <x v="0"/>
    <x v="0"/>
    <x v="0"/>
    <x v="3"/>
    <s v="Tables"/>
    <x v="5"/>
    <n v="11"/>
    <n v="94100.43"/>
    <n v="15"/>
    <n v="155265.71"/>
    <n v="879839.02"/>
    <n v="267099.63"/>
    <s v="Furniture"/>
    <n v="267099.63"/>
    <s v="Small"/>
    <s v="Small"/>
    <s v="No Discount"/>
  </r>
  <r>
    <s v="ORD-10959"/>
    <x v="6"/>
    <d v="2022-03-09T00:00:00"/>
    <s v="Standard Class"/>
    <s v="Chisom"/>
    <s v="Adeyemi"/>
    <s v="chisom.adeyemi@gmail.com"/>
    <n v="8064194751"/>
    <x v="2"/>
    <x v="2"/>
    <x v="4"/>
    <x v="1"/>
    <s v="Shirts"/>
    <x v="6"/>
    <n v="18"/>
    <n v="35696.94"/>
    <n v="10"/>
    <n v="64254.49"/>
    <n v="578290.43000000005"/>
    <n v="-66880.13"/>
    <s v="Clothing"/>
    <n v="66880.13"/>
    <s v="Large"/>
    <s v="Large"/>
    <s v="No Discount"/>
  </r>
  <r>
    <s v="ORD-10160"/>
    <x v="7"/>
    <d v="2022-03-11T00:00:00"/>
    <s v="Standard Class"/>
    <s v="Nike"/>
    <s v="Adeleke"/>
    <s v="nike.adeleke@outlook.com"/>
    <n v="8135843084"/>
    <x v="0"/>
    <x v="1"/>
    <x v="5"/>
    <x v="3"/>
    <s v="Storage"/>
    <x v="7"/>
    <n v="16"/>
    <n v="135713.14000000001"/>
    <n v="25"/>
    <n v="542852.56000000006"/>
    <n v="1628557.68"/>
    <n v="254842.55"/>
    <s v="Furniture"/>
    <n v="254842.55"/>
    <s v="Large"/>
    <s v="Large"/>
    <s v="Offer Discount"/>
  </r>
  <r>
    <s v="ORD-10364"/>
    <x v="8"/>
    <d v="2022-03-23T00:00:00"/>
    <s v="Standard Class"/>
    <s v="Wale"/>
    <s v="Tinubu"/>
    <s v="wale.tinubu@gmail.com"/>
    <n v="8141768424"/>
    <x v="0"/>
    <x v="3"/>
    <x v="6"/>
    <x v="3"/>
    <s v="Tables"/>
    <x v="8"/>
    <n v="2"/>
    <n v="37626.83"/>
    <n v="10"/>
    <n v="7525.37"/>
    <n v="67728.289999999994"/>
    <n v="23193.11"/>
    <s v="Furniture"/>
    <n v="23193.11"/>
    <s v="Small"/>
    <s v="Small"/>
    <s v="No Discount"/>
  </r>
  <r>
    <s v="ORD-10035"/>
    <x v="9"/>
    <d v="2022-03-29T00:00:00"/>
    <s v="Standard Class"/>
    <s v="Hauwa"/>
    <s v="Nwosu"/>
    <s v="hauwa.nwosu@gmail.com"/>
    <n v="9053556551"/>
    <x v="0"/>
    <x v="2"/>
    <x v="3"/>
    <x v="3"/>
    <s v="Tables"/>
    <x v="9"/>
    <n v="19"/>
    <n v="123146.92"/>
    <n v="5"/>
    <n v="116989.57"/>
    <n v="2222801.91"/>
    <n v="286786.77"/>
    <s v="Furniture"/>
    <n v="286786.77"/>
    <s v="Large"/>
    <s v="Large"/>
    <s v="Offer Discount"/>
  </r>
  <r>
    <s v="ORD-10296"/>
    <x v="10"/>
    <d v="2022-04-06T00:00:00"/>
    <s v="Standard Class"/>
    <s v="Fatima"/>
    <s v="Lawal"/>
    <s v="fatima.lawal@gmail.com"/>
    <n v="8132796087"/>
    <x v="2"/>
    <x v="2"/>
    <x v="4"/>
    <x v="1"/>
    <s v="Trousers"/>
    <x v="10"/>
    <n v="13"/>
    <n v="3368.14"/>
    <n v="20"/>
    <n v="8757.16"/>
    <n v="35028.660000000003"/>
    <n v="5796.99"/>
    <s v="Clothing"/>
    <n v="5796.99"/>
    <s v="Small"/>
    <s v="Small"/>
    <s v="No Discount"/>
  </r>
  <r>
    <s v="ORD-10166"/>
    <x v="11"/>
    <d v="2022-04-10T00:00:00"/>
    <s v="Standard Class"/>
    <s v="Adebayo"/>
    <s v="Okonkwo"/>
    <s v="adebayo.okonkwo@gmail.com"/>
    <n v="8033650523"/>
    <x v="2"/>
    <x v="1"/>
    <x v="7"/>
    <x v="1"/>
    <s v="Bags"/>
    <x v="2"/>
    <n v="14"/>
    <n v="44649.04"/>
    <n v="5"/>
    <n v="31254.33"/>
    <n v="593832.23"/>
    <n v="265690.3"/>
    <s v="Clothing"/>
    <n v="265690.3"/>
    <s v="Small"/>
    <s v="Medium"/>
    <s v="No Discount"/>
  </r>
  <r>
    <s v="ORD-10092"/>
    <x v="12"/>
    <d v="2022-04-14T00:00:00"/>
    <s v="Standard Class"/>
    <s v="Amara"/>
    <s v="Okonkwo"/>
    <s v="chibundo.tinubu@hotmail.com"/>
    <n v="8062859886"/>
    <x v="1"/>
    <x v="0"/>
    <x v="0"/>
    <x v="1"/>
    <s v="Accessories"/>
    <x v="11"/>
    <n v="17"/>
    <n v="2706.72"/>
    <n v="5"/>
    <n v="2300.71"/>
    <n v="43713.53"/>
    <n v="12289.04"/>
    <s v="Clothing"/>
    <n v="12289.04"/>
    <s v="Large"/>
    <s v="Large"/>
    <s v="No Discount"/>
  </r>
  <r>
    <s v="ORD-10221"/>
    <x v="13"/>
    <d v="2022-04-14T00:00:00"/>
    <s v="Standard Class"/>
    <s v="Amara"/>
    <s v="Adeleke"/>
    <s v="N/A"/>
    <n v="7068454356"/>
    <x v="2"/>
    <x v="0"/>
    <x v="8"/>
    <x v="1"/>
    <s v="Shirts"/>
    <x v="12"/>
    <n v="5"/>
    <n v="12867.75"/>
    <n v="5"/>
    <n v="3216.94"/>
    <n v="61121.81"/>
    <n v="16326.57"/>
    <s v="Clothing"/>
    <n v="16326.57"/>
    <s v="Small"/>
    <s v="Small"/>
    <s v="No Discount"/>
  </r>
  <r>
    <s v="ORD-10971"/>
    <x v="13"/>
    <d v="2022-04-15T00:00:00"/>
    <s v="Standard Class"/>
    <s v="Hauwa"/>
    <s v="Danjuma"/>
    <s v="hauwa.danjuma@gmail.com"/>
    <n v="9074321723"/>
    <x v="1"/>
    <x v="1"/>
    <x v="9"/>
    <x v="1"/>
    <s v="Trousers"/>
    <x v="13"/>
    <n v="11"/>
    <n v="19414.759999999998"/>
    <n v="5"/>
    <n v="10678.12"/>
    <n v="202884.24"/>
    <n v="-25659.439999999999"/>
    <s v="Clothing"/>
    <n v="25659.439999999999"/>
    <s v="Small"/>
    <s v="Small"/>
    <s v="No Discount"/>
  </r>
  <r>
    <s v="ORD-10563"/>
    <x v="14"/>
    <d v="2022-04-24T00:00:00"/>
    <s v="Standard Class"/>
    <s v="Ibrahim"/>
    <s v="Eze"/>
    <s v="ibrahim.eze@hotmail.com"/>
    <n v="8162690500"/>
    <x v="0"/>
    <x v="2"/>
    <x v="10"/>
    <x v="1"/>
    <s v="Trousers"/>
    <x v="14"/>
    <n v="12"/>
    <n v="42778.11"/>
    <n v="10"/>
    <n v="51333.73"/>
    <n v="462003.59"/>
    <n v="15067.79"/>
    <s v="Clothing"/>
    <n v="15067.79"/>
    <s v="Small"/>
    <s v="Small"/>
    <s v="No Discount"/>
  </r>
  <r>
    <s v="ORD-10621"/>
    <x v="15"/>
    <d v="2022-04-25T00:00:00"/>
    <s v="Standard Class"/>
    <s v="Emeka"/>
    <s v="Bello"/>
    <s v="emeka.bello@gmail.com"/>
    <n v="8162258998"/>
    <x v="2"/>
    <x v="3"/>
    <x v="11"/>
    <x v="0"/>
    <s v="Pens &amp; Pencils"/>
    <x v="15"/>
    <n v="13"/>
    <n v="19894.88"/>
    <n v="10"/>
    <n v="25863.34"/>
    <n v="232770.1"/>
    <n v="62661.45"/>
    <s v="Office Supplies"/>
    <n v="62661.45"/>
    <s v="Small"/>
    <s v="Small"/>
    <s v="No Discount"/>
  </r>
  <r>
    <s v="ORD-10127"/>
    <x v="16"/>
    <d v="2022-05-09T00:00:00"/>
    <s v="Standard Class"/>
    <s v="Kunle"/>
    <s v="Adeleke"/>
    <s v="kunle.adeleke@outlook.com"/>
    <n v="7064019585"/>
    <x v="1"/>
    <x v="2"/>
    <x v="12"/>
    <x v="3"/>
    <s v="Storage"/>
    <x v="16"/>
    <n v="13"/>
    <n v="178771.33"/>
    <n v="20"/>
    <n v="464805.46"/>
    <n v="1859221.83"/>
    <n v="691206.94"/>
    <s v="Furniture"/>
    <n v="691206.94"/>
    <s v="Small"/>
    <s v="Small"/>
    <s v="No Discount"/>
  </r>
  <r>
    <s v="ORD-10456"/>
    <x v="17"/>
    <d v="2022-05-10T00:00:00"/>
    <s v="Standard Class"/>
    <s v="Tobi"/>
    <s v="Tinubu"/>
    <s v="tobi.tinubu@outlook.com"/>
    <n v="8061800824"/>
    <x v="2"/>
    <x v="0"/>
    <x v="13"/>
    <x v="2"/>
    <s v="Accessories"/>
    <x v="17"/>
    <n v="1"/>
    <n v="264009.34999999998"/>
    <n v="20"/>
    <n v="52801.87"/>
    <n v="211207.48"/>
    <n v="11275.98"/>
    <s v="Technology"/>
    <n v="11275.98"/>
    <s v="Small"/>
    <s v="Small"/>
    <s v="No Discount"/>
  </r>
  <r>
    <s v="ORD-10782"/>
    <x v="18"/>
    <d v="2022-05-10T00:00:00"/>
    <s v="Standard Class"/>
    <s v="Kemi"/>
    <s v="Okafor"/>
    <s v="kemi.okafor@hotmail.com"/>
    <n v="8033688598"/>
    <x v="2"/>
    <x v="3"/>
    <x v="6"/>
    <x v="3"/>
    <s v="Storage"/>
    <x v="18"/>
    <n v="13"/>
    <n v="119126.56"/>
    <n v="5"/>
    <n v="77432.259999999995"/>
    <n v="1471213.02"/>
    <n v="-1259.3900000000001"/>
    <s v="Furniture"/>
    <n v="1259.3900000000001"/>
    <s v="Small"/>
    <s v="Small"/>
    <s v="No Discount"/>
  </r>
  <r>
    <s v="ORD-10567"/>
    <x v="19"/>
    <d v="2022-05-11T00:00:00"/>
    <s v="Standard Class"/>
    <s v="Ikenna"/>
    <s v="Sanusi"/>
    <s v="ikenna.sanusi@gmail.com"/>
    <n v="8108344141"/>
    <x v="1"/>
    <x v="0"/>
    <x v="0"/>
    <x v="4"/>
    <s v="Cooking Oil"/>
    <x v="19"/>
    <n v="-1"/>
    <n v="6301.17"/>
    <n v="10"/>
    <n v="8191.52"/>
    <n v="73723.69"/>
    <n v="-1905.41"/>
    <s v="Food &amp; Beverages"/>
    <n v="1905.41"/>
    <s v="Small"/>
    <s v="Small"/>
    <s v="No Discount"/>
  </r>
  <r>
    <s v="ORD-10173"/>
    <x v="16"/>
    <d v="2022-05-12T00:00:00"/>
    <s v="Standard Class"/>
    <s v="Dayo"/>
    <s v="Eze"/>
    <s v="dayo.eze@hotmail.com"/>
    <n v="7067749095"/>
    <x v="0"/>
    <x v="2"/>
    <x v="3"/>
    <x v="2"/>
    <s v="Printers"/>
    <x v="20"/>
    <n v="9"/>
    <n v="282980.46999999997"/>
    <n v="0"/>
    <n v="0"/>
    <n v="2546824.23"/>
    <n v="91543.38"/>
    <s v="Technology"/>
    <n v="91543.38"/>
    <s v="Small"/>
    <s v="Small"/>
    <s v="No Discount"/>
  </r>
  <r>
    <s v="ORD-10070"/>
    <x v="19"/>
    <d v="2022-05-13T00:00:00"/>
    <s v="Standard Class"/>
    <s v="Ikenna"/>
    <s v="Ogundipe"/>
    <s v="ikenna.ogundipe@gmail.com"/>
    <n v="8148441741"/>
    <x v="2"/>
    <x v="0"/>
    <x v="14"/>
    <x v="2"/>
    <s v="Laptops"/>
    <x v="21"/>
    <n v="3"/>
    <n v="279609.38"/>
    <n v="0"/>
    <n v="0"/>
    <n v="838828.14"/>
    <n v="12590.47"/>
    <s v="Technology"/>
    <n v="12590.47"/>
    <s v="Small"/>
    <s v="Small"/>
    <s v="No Discount"/>
  </r>
  <r>
    <s v="ORD-10587"/>
    <x v="20"/>
    <d v="2022-05-20T00:00:00"/>
    <s v="Standard Class"/>
    <s v="Deola"/>
    <s v="Okonkwo"/>
    <s v="deola.okonkwo@outlook.com"/>
    <n v="8134384399"/>
    <x v="2"/>
    <x v="0"/>
    <x v="0"/>
    <x v="2"/>
    <s v="Phones"/>
    <x v="22"/>
    <n v="19"/>
    <n v="51992.12"/>
    <n v="0"/>
    <n v="0"/>
    <n v="987850.28"/>
    <n v="185956.49"/>
    <s v="Technology"/>
    <n v="185956.49"/>
    <s v="Large"/>
    <s v="Large"/>
    <s v="No Discount"/>
  </r>
  <r>
    <s v="ORD-10886"/>
    <x v="21"/>
    <d v="2022-05-23T00:00:00"/>
    <s v="Standard Class"/>
    <s v="Tobi"/>
    <s v="Sanusi"/>
    <s v="tobi.sanusi@hotmail.com"/>
    <n v="8155648826"/>
    <x v="1"/>
    <x v="1"/>
    <x v="9"/>
    <x v="4"/>
    <s v="Condiments"/>
    <x v="23"/>
    <n v="2"/>
    <n v="1833.76"/>
    <n v="15"/>
    <n v="550.13"/>
    <n v="3117.39"/>
    <n v="707.23"/>
    <s v="Food &amp; Beverages"/>
    <n v="707.23"/>
    <s v="Small"/>
    <s v="Small"/>
    <s v="No Discount"/>
  </r>
  <r>
    <s v="ORD-10057"/>
    <x v="22"/>
    <d v="2022-05-27T00:00:00"/>
    <s v="Standard Class"/>
    <s v="Nike"/>
    <s v="Abubakar"/>
    <s v="nike.abubakar@gmail.com"/>
    <n v="7062651601"/>
    <x v="2"/>
    <x v="0"/>
    <x v="14"/>
    <x v="2"/>
    <s v="Accessories"/>
    <x v="24"/>
    <n v="1"/>
    <n v="316890.51"/>
    <n v="0"/>
    <n v="0"/>
    <n v="316890.51"/>
    <n v="14141.18"/>
    <s v="Technology"/>
    <n v="14141.18"/>
    <s v="Small"/>
    <s v="Small"/>
    <s v="No Discount"/>
  </r>
  <r>
    <s v="ORD-10298"/>
    <x v="23"/>
    <d v="2022-06-01T00:00:00"/>
    <s v="Standard Class"/>
    <s v="Tunde"/>
    <s v="Nwosu"/>
    <s v="tunde.nwosu@gmail.com"/>
    <n v="8064875838"/>
    <x v="1"/>
    <x v="2"/>
    <x v="15"/>
    <x v="4"/>
    <s v="Cooking Oil"/>
    <x v="25"/>
    <n v="8"/>
    <n v="1787.02"/>
    <n v="0"/>
    <n v="0"/>
    <n v="14296.16"/>
    <n v="2645.56"/>
    <s v="Food &amp; Beverages"/>
    <n v="2645.56"/>
    <s v="Small"/>
    <s v="Small"/>
    <s v="No Discount"/>
  </r>
  <r>
    <s v="ORD-10523"/>
    <x v="24"/>
    <d v="2022-06-01T00:00:00"/>
    <s v="Standard Class"/>
    <s v="Ronke"/>
    <s v="Ogundipe"/>
    <s v="ronke.ogundipe@outlook.com"/>
    <n v="9018230134"/>
    <x v="0"/>
    <x v="3"/>
    <x v="16"/>
    <x v="3"/>
    <s v="Tables"/>
    <x v="26"/>
    <n v="5"/>
    <n v="40060.81"/>
    <n v="5"/>
    <n v="10015.200000000001"/>
    <n v="190288.85"/>
    <n v="26998.71"/>
    <s v="Furniture"/>
    <n v="26998.71"/>
    <s v="Small"/>
    <s v="Small"/>
    <s v="No Discount"/>
  </r>
  <r>
    <s v="ORD-10435"/>
    <x v="23"/>
    <d v="2022-06-02T00:00:00"/>
    <s v="Standard Class"/>
    <s v="Sade"/>
    <s v="Olawale"/>
    <s v="sade.olawale@outlook.com"/>
    <n v="8105027876"/>
    <x v="1"/>
    <x v="2"/>
    <x v="3"/>
    <x v="1"/>
    <s v="Shirts"/>
    <x v="27"/>
    <n v="6"/>
    <n v="38650.870000000003"/>
    <n v="15"/>
    <n v="34785.78"/>
    <n v="197119.44"/>
    <n v="62623.96"/>
    <s v="Clothing"/>
    <n v="62623.96"/>
    <s v="Small"/>
    <s v="Small"/>
    <s v="No Discount"/>
  </r>
  <r>
    <s v="ORD-10494"/>
    <x v="25"/>
    <d v="2022-06-03T00:00:00"/>
    <s v="Standard Class"/>
    <s v="Emeka"/>
    <s v="Otedola"/>
    <s v="emeka.otedola@yahoo.com"/>
    <n v="7034299177"/>
    <x v="0"/>
    <x v="0"/>
    <x v="0"/>
    <x v="0"/>
    <s v="Pens &amp; Pencils"/>
    <x v="28"/>
    <n v="9"/>
    <n v="18757.68"/>
    <n v="5"/>
    <n v="8440.9599999999991"/>
    <n v="160378.16"/>
    <n v="43845.08"/>
    <s v="Office Supplies"/>
    <n v="43845.08"/>
    <s v="Small"/>
    <s v="Small"/>
    <s v="No Discount"/>
  </r>
  <r>
    <s v="ORD-10273"/>
    <x v="26"/>
    <d v="2022-06-18T00:00:00"/>
    <s v="Standard Class"/>
    <s v="Ayo"/>
    <s v="Okonkwo"/>
    <s v="ayo.okonkwo@gmail.com"/>
    <n v="8039091518"/>
    <x v="0"/>
    <x v="0"/>
    <x v="0"/>
    <x v="0"/>
    <s v="Labels"/>
    <x v="29"/>
    <n v="19"/>
    <n v="12562.34"/>
    <n v="10"/>
    <n v="23868.45"/>
    <n v="214816.01"/>
    <n v="31037.31"/>
    <s v="Office Supplies"/>
    <n v="31037.31"/>
    <s v="Large"/>
    <s v="Large"/>
    <s v="No Discount"/>
  </r>
  <r>
    <s v="ORD-10417"/>
    <x v="27"/>
    <d v="2022-06-18T00:00:00"/>
    <s v="Standard Class"/>
    <s v="Deola"/>
    <s v="Eze"/>
    <s v="deola.eze@gmail.com"/>
    <n v="7067097414"/>
    <x v="0"/>
    <x v="2"/>
    <x v="12"/>
    <x v="2"/>
    <s v="Accessories"/>
    <x v="24"/>
    <n v="19"/>
    <n v="117677.9"/>
    <n v="25"/>
    <n v="558970.03"/>
    <n v="1676910.07"/>
    <n v="687132.8"/>
    <s v="Technology"/>
    <n v="687132.8"/>
    <s v="Large"/>
    <s v="Large"/>
    <s v="Offer Discount"/>
  </r>
  <r>
    <s v="ORD-10835"/>
    <x v="28"/>
    <d v="2022-06-18T00:00:00"/>
    <s v="Standard Class"/>
    <s v="Musa"/>
    <s v="Chukwu"/>
    <s v="musa.chukwu@yahoo.com"/>
    <n v="8154176691"/>
    <x v="0"/>
    <x v="2"/>
    <x v="12"/>
    <x v="2"/>
    <s v="Laptops"/>
    <x v="30"/>
    <n v="11"/>
    <n v="96365.9"/>
    <n v="5"/>
    <n v="53001.25"/>
    <n v="1007023.65"/>
    <n v="-52914.92"/>
    <s v="Technology"/>
    <n v="52914.92"/>
    <s v="Small"/>
    <s v="Small"/>
    <s v="No Discount"/>
  </r>
  <r>
    <s v="ORD-10915"/>
    <x v="29"/>
    <d v="2022-06-23T00:00:00"/>
    <s v="Standard Class"/>
    <s v="Ayo"/>
    <s v="Okonkwo"/>
    <s v="ayo.okonkwo@yahoo.com"/>
    <n v="9023851025"/>
    <x v="0"/>
    <x v="0"/>
    <x v="17"/>
    <x v="1"/>
    <s v="Bags"/>
    <x v="2"/>
    <n v="10"/>
    <n v="13495.2"/>
    <n v="25"/>
    <n v="33738"/>
    <n v="101214"/>
    <n v="-10828.89"/>
    <s v="Clothing"/>
    <n v="10828.89"/>
    <s v="Small"/>
    <s v="Small"/>
    <s v="No Discount"/>
  </r>
  <r>
    <s v="ORD-10076"/>
    <x v="30"/>
    <d v="2022-06-24T00:00:00"/>
    <s v="Standard Class"/>
    <s v="Olumide"/>
    <s v="Sowore"/>
    <s v="olumide.sowore@hotmail.com"/>
    <n v="8148416270"/>
    <x v="2"/>
    <x v="3"/>
    <x v="18"/>
    <x v="1"/>
    <s v="Shoes"/>
    <x v="31"/>
    <n v="4"/>
    <n v="34462.559999999998"/>
    <n v="10"/>
    <n v="13785.02"/>
    <n v="124065.22"/>
    <n v="13392.61"/>
    <s v="Clothing"/>
    <n v="13392.61"/>
    <s v="Small"/>
    <s v="Small"/>
    <s v="No Discount"/>
  </r>
  <r>
    <s v="ORD-10434"/>
    <x v="31"/>
    <d v="2022-06-24T00:00:00"/>
    <s v="Standard Class"/>
    <s v="Kunle"/>
    <s v="Fashola"/>
    <s v="kunle.fashola@outlook.com"/>
    <n v="9051097397"/>
    <x v="0"/>
    <x v="2"/>
    <x v="3"/>
    <x v="0"/>
    <s v="Paper"/>
    <x v="32"/>
    <n v="11"/>
    <n v="23796.95"/>
    <n v="0"/>
    <n v="0"/>
    <n v="261766.45"/>
    <n v="-6067.72"/>
    <s v="Office Supplies"/>
    <n v="6067.72"/>
    <s v="Small"/>
    <s v="Small"/>
    <s v="No Discount"/>
  </r>
  <r>
    <s v="ORD-10972"/>
    <x v="27"/>
    <d v="2022-06-29T00:00:00"/>
    <s v="Standard Class"/>
    <s v="Chisom"/>
    <s v="Olawale"/>
    <s v="chisom.olawale@gmail.com"/>
    <n v="8149400075"/>
    <x v="2"/>
    <x v="1"/>
    <x v="19"/>
    <x v="1"/>
    <s v="Accessories"/>
    <x v="11"/>
    <n v="1"/>
    <n v="40348.43"/>
    <n v="0"/>
    <n v="0"/>
    <n v="40348.43"/>
    <n v="-999.75"/>
    <s v="Clothing"/>
    <n v="999.75"/>
    <s v="Small"/>
    <s v="Small"/>
    <s v="No Discount"/>
  </r>
  <r>
    <s v="ORD-10266"/>
    <x v="32"/>
    <d v="2022-07-12T00:00:00"/>
    <s v="Standard Class"/>
    <s v="Kunle_Alakija"/>
    <s v="Olawale"/>
    <s v="kunle.alakija@hotmail.com"/>
    <n v="8062075091"/>
    <x v="1"/>
    <x v="2"/>
    <x v="10"/>
    <x v="0"/>
    <s v="Binders"/>
    <x v="33"/>
    <n v="2"/>
    <n v="2460.9699999999998"/>
    <n v="15"/>
    <n v="738.29"/>
    <n v="4183.6499999999996"/>
    <n v="1708.65"/>
    <s v="Office Supplies"/>
    <n v="1708.65"/>
    <s v="Small"/>
    <s v="Small"/>
    <s v="No Discount"/>
  </r>
  <r>
    <s v="ORD-10502"/>
    <x v="32"/>
    <d v="2022-07-13T00:00:00"/>
    <s v="Standard Class"/>
    <s v="Yemi"/>
    <s v="Olawale"/>
    <s v="adebayo.adebayo@outlook.com"/>
    <n v="7063938131"/>
    <x v="1"/>
    <x v="1"/>
    <x v="5"/>
    <x v="1"/>
    <s v="Trousers"/>
    <x v="13"/>
    <n v="14"/>
    <n v="40698.480000000003"/>
    <n v="20"/>
    <n v="113955.74"/>
    <n v="455822.98"/>
    <n v="36830.04"/>
    <s v="Clothing"/>
    <n v="36830.04"/>
    <s v="Small"/>
    <s v="Medium"/>
    <s v="No Discount"/>
  </r>
  <r>
    <s v="ORD-10936"/>
    <x v="33"/>
    <d v="2022-07-18T00:00:00"/>
    <s v="Standard Class"/>
    <s v="Yemi"/>
    <s v="Sanusi"/>
    <s v="yemi.sanusi@gmail.com"/>
    <n v="8147058725"/>
    <x v="0"/>
    <x v="0"/>
    <x v="1"/>
    <x v="1"/>
    <s v="Accessories"/>
    <x v="34"/>
    <n v="19"/>
    <n v="13364.14"/>
    <n v="25"/>
    <n v="63479.66"/>
    <n v="190439"/>
    <n v="73702.69"/>
    <s v="Clothing"/>
    <n v="73702.69"/>
    <s v="Large"/>
    <s v="Large"/>
    <s v="No Discount"/>
  </r>
  <r>
    <s v="ORD-10225"/>
    <x v="34"/>
    <d v="2022-07-19T00:00:00"/>
    <s v="Standard Class"/>
    <s v="Chidi"/>
    <s v="Lawal"/>
    <s v="chidi.lawal@yahoo.com"/>
    <n v="9073860721"/>
    <x v="2"/>
    <x v="0"/>
    <x v="14"/>
    <x v="0"/>
    <s v="Pens &amp; Pencils"/>
    <x v="35"/>
    <n v="9"/>
    <n v="23899.68"/>
    <n v="0"/>
    <n v="0"/>
    <n v="215097.12"/>
    <n v="15825.4"/>
    <s v="Office Supplies"/>
    <n v="15825.4"/>
    <s v="Small"/>
    <s v="Small"/>
    <s v="No Discount"/>
  </r>
  <r>
    <s v="ORD-10065"/>
    <x v="35"/>
    <d v="2022-07-25T00:00:00"/>
    <s v="Standard Class"/>
    <s v="Bukola"/>
    <s v="Okafor"/>
    <s v="unknown"/>
    <n v="8147224540"/>
    <x v="1"/>
    <x v="2"/>
    <x v="3"/>
    <x v="4"/>
    <s v="Cooking Oil"/>
    <x v="19"/>
    <n v="5"/>
    <n v="6015.47"/>
    <n v="15"/>
    <n v="4511.6000000000004"/>
    <n v="25565.75"/>
    <n v="6211.28"/>
    <s v="Food &amp; Beverages"/>
    <n v="6211.28"/>
    <s v="Small"/>
    <s v="Small"/>
    <s v="No Discount"/>
  </r>
  <r>
    <s v="ORD-10506"/>
    <x v="36"/>
    <d v="2022-07-31T00:00:00"/>
    <s v="Standard Class"/>
    <s v="Nike"/>
    <s v="Bello"/>
    <s v="nike.bello@hotmail.com"/>
    <n v="8102301665"/>
    <x v="0"/>
    <x v="0"/>
    <x v="0"/>
    <x v="2"/>
    <s v="Tablets"/>
    <x v="36"/>
    <n v="6"/>
    <n v="206686.23"/>
    <n v="5"/>
    <n v="62005.87"/>
    <n v="1178111.51"/>
    <n v="328277.67"/>
    <s v="Technology"/>
    <n v="328277.67"/>
    <s v="Small"/>
    <s v="Small"/>
    <s v="No Discount"/>
  </r>
  <r>
    <s v="ORD-10224"/>
    <x v="37"/>
    <d v="2022-08-03T00:00:00"/>
    <s v="Standard Class"/>
    <s v="Zainab"/>
    <s v="Fashola"/>
    <s v="zainab.fashola@outlook.com"/>
    <n v="8168789281"/>
    <x v="0"/>
    <x v="1"/>
    <x v="2"/>
    <x v="2"/>
    <s v="Laptops"/>
    <x v="30"/>
    <n v="10"/>
    <n v="395251.1"/>
    <n v="10"/>
    <n v="395251.1"/>
    <n v="3557259.9"/>
    <n v="1177302.42"/>
    <s v="Technology"/>
    <n v="1177302.42"/>
    <s v="Small"/>
    <s v="Small"/>
    <s v="No Discount"/>
  </r>
  <r>
    <s v="ORD-10609"/>
    <x v="38"/>
    <d v="2022-08-05T00:00:00"/>
    <s v="Standard Class"/>
    <s v="Adebayo"/>
    <s v="Alakija"/>
    <s v="adebayo.alakija@gmail.com"/>
    <n v="8063379602"/>
    <x v="0"/>
    <x v="0"/>
    <x v="1"/>
    <x v="0"/>
    <s v="Pens &amp; Pencils"/>
    <x v="37"/>
    <n v="16"/>
    <n v="2773.04"/>
    <n v="10"/>
    <n v="4436.8599999999997"/>
    <n v="39931.78"/>
    <n v="15878.13"/>
    <s v="Office Supplies"/>
    <n v="15878.13"/>
    <s v="Large"/>
    <s v="Large"/>
    <s v="No Discount"/>
  </r>
  <r>
    <s v="ORD-10169"/>
    <x v="38"/>
    <d v="2022-08-07T00:00:00"/>
    <s v="Standard Class"/>
    <s v="Uchenna"/>
    <s v="Eze"/>
    <s v="unknown"/>
    <n v="7063233823"/>
    <x v="0"/>
    <x v="3"/>
    <x v="16"/>
    <x v="3"/>
    <s v="Chairs"/>
    <x v="38"/>
    <n v="20"/>
    <n v="104886.09"/>
    <n v="0"/>
    <n v="0"/>
    <n v="2097721.7999999998"/>
    <n v="239265.42"/>
    <s v="Furniture"/>
    <n v="239265.42"/>
    <s v="Large"/>
    <s v="Large"/>
    <s v="Offer Discount"/>
  </r>
  <r>
    <s v="ORD-10444"/>
    <x v="39"/>
    <d v="2022-08-07T00:00:00"/>
    <s v="Standard Class"/>
    <s v="Chibundo"/>
    <s v="Lawal"/>
    <s v="chibundo.lawal@hotmail.com"/>
    <n v="9015878387"/>
    <x v="1"/>
    <x v="1"/>
    <x v="19"/>
    <x v="2"/>
    <s v="Accessories"/>
    <x v="39"/>
    <n v="19"/>
    <n v="226453.92"/>
    <n v="20"/>
    <n v="860524.9"/>
    <n v="3442099.58"/>
    <n v="-37369.25"/>
    <s v="Technology"/>
    <n v="37369.25"/>
    <s v="Large"/>
    <s v="Large"/>
    <s v="Offer Discount"/>
  </r>
  <r>
    <s v="ORD-10351"/>
    <x v="40"/>
    <d v="2022-08-23T00:00:00"/>
    <s v="Standard Class"/>
    <s v="Lanre"/>
    <s v="Atiku"/>
    <s v="lanre.atiku@yahoo.com"/>
    <n v="9078493596"/>
    <x v="1"/>
    <x v="0"/>
    <x v="17"/>
    <x v="0"/>
    <s v="Art Supplies"/>
    <x v="40"/>
    <n v="8"/>
    <n v="6900.69"/>
    <n v="20"/>
    <n v="11041.1"/>
    <n v="44164.42"/>
    <n v="-1833.46"/>
    <s v="Office Supplies"/>
    <n v="1833.46"/>
    <s v="Small"/>
    <s v="Small"/>
    <s v="No Discount"/>
  </r>
  <r>
    <s v="ORD-10655"/>
    <x v="41"/>
    <d v="2022-08-24T00:00:00"/>
    <s v="Standard Class"/>
    <s v="Tobi"/>
    <s v="Tinubu"/>
    <s v="tobi.tinubu@gmail.com"/>
    <n v="8036671458"/>
    <x v="2"/>
    <x v="0"/>
    <x v="14"/>
    <x v="0"/>
    <s v="Shoes"/>
    <x v="31"/>
    <n v="2"/>
    <n v="16385.27"/>
    <n v="0"/>
    <n v="0"/>
    <n v="32770.54"/>
    <n v="-899.88"/>
    <s v="Office Supplies"/>
    <n v="899.88"/>
    <s v="Small"/>
    <s v="Small"/>
    <s v="No Discount"/>
  </r>
  <r>
    <s v="ORD-10860"/>
    <x v="42"/>
    <d v="2022-08-24T00:00:00"/>
    <s v="Standard Class"/>
    <s v="Hauwa"/>
    <s v="Fashola"/>
    <s v="hauwa.fashola@outlook.com"/>
    <n v="8161378476"/>
    <x v="0"/>
    <x v="2"/>
    <x v="12"/>
    <x v="4"/>
    <s v="Cooking Oil"/>
    <x v="41"/>
    <n v="5"/>
    <n v="5932.04"/>
    <n v="5"/>
    <n v="1483.01"/>
    <n v="28177.19"/>
    <n v="-3125"/>
    <s v="Food &amp; Beverages"/>
    <n v="3125"/>
    <s v="Small"/>
    <s v="Small"/>
    <s v="No Discount"/>
  </r>
  <r>
    <s v="ORD-10763"/>
    <x v="42"/>
    <d v="2022-08-25T00:00:00"/>
    <s v="Standard Class"/>
    <s v="Dayo"/>
    <s v="Lawal"/>
    <s v="dayo.lawal@gmail.com"/>
    <n v="9058859233"/>
    <x v="2"/>
    <x v="2"/>
    <x v="4"/>
    <x v="4"/>
    <s v="Snacks"/>
    <x v="42"/>
    <n v="14"/>
    <n v="6206.79"/>
    <n v="10"/>
    <n v="8689.51"/>
    <n v="78205.55"/>
    <n v="10122.07"/>
    <s v="Food &amp; Beverages"/>
    <n v="10122.07"/>
    <s v="Small"/>
    <s v="Medium"/>
    <s v="No Discount"/>
  </r>
  <r>
    <s v="ORD-10956"/>
    <x v="43"/>
    <d v="2022-08-31T00:00:00"/>
    <s v="Standard Class"/>
    <s v="Ngozi"/>
    <s v="Abubakar"/>
    <s v="ngozi.abubakar@gmail.com"/>
    <n v="8159041683"/>
    <x v="1"/>
    <x v="1"/>
    <x v="9"/>
    <x v="1"/>
    <s v="Accessories"/>
    <x v="24"/>
    <n v="6"/>
    <n v="4271.76"/>
    <n v="25"/>
    <n v="6407.64"/>
    <n v="19222.919999999998"/>
    <n v="7217.81"/>
    <s v="Clothing"/>
    <n v="7217.81"/>
    <s v="Small"/>
    <s v="Small"/>
    <s v="No Discount"/>
  </r>
  <r>
    <s v="ORD-10024"/>
    <x v="43"/>
    <d v="2022-09-01T00:00:00"/>
    <s v="Standard Class"/>
    <s v="Fatima"/>
    <s v="Danjuma"/>
    <s v="fatima.danjuma@outlook.com"/>
    <n v="8032818692"/>
    <x v="1"/>
    <x v="1"/>
    <x v="9"/>
    <x v="4"/>
    <s v="Cooking Oil"/>
    <x v="43"/>
    <n v="11"/>
    <n v="5909.8"/>
    <n v="15"/>
    <n v="9751.17"/>
    <n v="55256.63"/>
    <n v="11809.74"/>
    <s v="Food &amp; Beverages"/>
    <n v="11809.74"/>
    <s v="Small"/>
    <s v="Small"/>
    <s v="No Discount"/>
  </r>
  <r>
    <s v="ORD-10980"/>
    <x v="44"/>
    <d v="2022-09-01T00:00:00"/>
    <s v="Standard Class"/>
    <s v="Gbenga"/>
    <s v="Otedola"/>
    <s v="gbenga.otedola@gmail.com"/>
    <n v="9029855180"/>
    <x v="2"/>
    <x v="0"/>
    <x v="17"/>
    <x v="1"/>
    <s v="Trousers"/>
    <x v="14"/>
    <n v="16"/>
    <n v="14832.93"/>
    <n v="25"/>
    <n v="59331.72"/>
    <n v="177995.16"/>
    <n v="51973.67"/>
    <s v="Clothing"/>
    <n v="51973.67"/>
    <s v="Large"/>
    <s v="Large"/>
    <s v="No Discount"/>
  </r>
  <r>
    <s v="ORD-10611"/>
    <x v="45"/>
    <d v="2022-09-05T00:00:00"/>
    <s v="Standard Class"/>
    <s v="Obinna"/>
    <s v="Sanusi"/>
    <s v="obinna.sanusi@gmail.com"/>
    <n v="8109753488"/>
    <x v="2"/>
    <x v="3"/>
    <x v="6"/>
    <x v="0"/>
    <s v="Paper"/>
    <x v="44"/>
    <n v="18"/>
    <n v="15349.71"/>
    <n v="0"/>
    <n v="0"/>
    <n v="276294.78000000003"/>
    <n v="44427.360000000001"/>
    <s v="Office Supplies"/>
    <n v="44427.360000000001"/>
    <s v="Large"/>
    <s v="Large"/>
    <s v="No Discount"/>
  </r>
  <r>
    <s v="ORD-10804"/>
    <x v="46"/>
    <d v="2022-09-11T00:00:00"/>
    <s v="Standard Class"/>
    <s v="Nike"/>
    <s v="Bello"/>
    <s v="nike.bello@outlook.com"/>
    <n v="9074026890"/>
    <x v="2"/>
    <x v="1"/>
    <x v="19"/>
    <x v="4"/>
    <s v="Condiments"/>
    <x v="45"/>
    <n v="16"/>
    <n v="7231.78"/>
    <n v="5"/>
    <n v="5785.42"/>
    <n v="109923.06"/>
    <n v="23314.9"/>
    <s v="Food &amp; Beverages"/>
    <n v="23314.9"/>
    <s v="Large"/>
    <s v="Large"/>
    <s v="No Discount"/>
  </r>
  <r>
    <s v="ORD-10729"/>
    <x v="47"/>
    <d v="2022-09-22T00:00:00"/>
    <s v="Standard Class"/>
    <s v="Wale"/>
    <s v="Ogundipe"/>
    <s v="wale.ogundipe@outlook.com"/>
    <n v="7038684482"/>
    <x v="0"/>
    <x v="3"/>
    <x v="18"/>
    <x v="4"/>
    <s v="Snacks"/>
    <x v="46"/>
    <n v="2"/>
    <n v="4681.83"/>
    <n v="0"/>
    <n v="0"/>
    <n v="9363.66"/>
    <n v="430.29"/>
    <s v="Food &amp; Beverages"/>
    <n v="430.29"/>
    <s v="Small"/>
    <s v="Small"/>
    <s v="No Discount"/>
  </r>
  <r>
    <s v="ORD-10622"/>
    <x v="47"/>
    <d v="2022-09-23T00:00:00"/>
    <s v="Standard Class"/>
    <s v="Seun"/>
    <s v="Buhari"/>
    <s v="seun.buhari@hotmail.com"/>
    <n v="9078495720"/>
    <x v="1"/>
    <x v="3"/>
    <x v="6"/>
    <x v="2"/>
    <s v="Printers"/>
    <x v="20"/>
    <n v="16"/>
    <n v="119627.7"/>
    <n v="20"/>
    <n v="382808.64"/>
    <n v="1531234.56"/>
    <n v="667326.82999999996"/>
    <s v="Technology"/>
    <n v="667326.82999999996"/>
    <s v="Large"/>
    <s v="Large"/>
    <s v="Offer Discount"/>
  </r>
  <r>
    <s v="ORD-10766"/>
    <x v="48"/>
    <d v="2022-09-25T00:00:00"/>
    <s v="Standard Class"/>
    <s v="Tunde"/>
    <s v="Osei"/>
    <s v="tunde.osei@outlook.com"/>
    <n v="8134503204"/>
    <x v="2"/>
    <x v="2"/>
    <x v="20"/>
    <x v="3"/>
    <s v="Bookcases"/>
    <x v="47"/>
    <n v="9"/>
    <n v="80976.789999999994"/>
    <n v="5"/>
    <n v="36439.56"/>
    <n v="692351.55"/>
    <n v="285097.46000000002"/>
    <s v="Furniture"/>
    <n v="285097.46000000002"/>
    <s v="Small"/>
    <s v="Small"/>
    <s v="No Discount"/>
  </r>
  <r>
    <s v="ORD-10537"/>
    <x v="49"/>
    <d v="2022-10-03T00:00:00"/>
    <s v="Standard Class"/>
    <s v="Lanre"/>
    <s v="Lawal"/>
    <s v="lanre.lawal@gmail.com"/>
    <n v="8036101515"/>
    <x v="1"/>
    <x v="3"/>
    <x v="6"/>
    <x v="1"/>
    <s v="Trousers"/>
    <x v="48"/>
    <n v="16"/>
    <n v="7915.12"/>
    <n v="10"/>
    <n v="12664.19"/>
    <n v="113977.73"/>
    <n v="44261.07"/>
    <s v="Clothing"/>
    <n v="44261.07"/>
    <s v="Large"/>
    <s v="Large"/>
    <s v="No Discount"/>
  </r>
  <r>
    <s v="ORD-10608"/>
    <x v="50"/>
    <d v="2022-10-03T00:00:00"/>
    <s v="Standard Class"/>
    <s v="Obinna"/>
    <s v="Adeyemi"/>
    <s v="obinna.adeyemi@yahoo.com"/>
    <n v="9074720435"/>
    <x v="1"/>
    <x v="2"/>
    <x v="20"/>
    <x v="0"/>
    <s v="Binders"/>
    <x v="49"/>
    <n v="13"/>
    <n v="21091.19"/>
    <n v="10"/>
    <n v="27418.55"/>
    <n v="246766.92"/>
    <n v="60594.76"/>
    <s v="Office Supplies"/>
    <n v="60594.76"/>
    <s v="Small"/>
    <s v="Small"/>
    <s v="No Discount"/>
  </r>
  <r>
    <s v="ORD-10492"/>
    <x v="51"/>
    <d v="2022-10-08T00:00:00"/>
    <s v="Standard Class"/>
    <s v="Nike"/>
    <s v="Fashola"/>
    <s v="nike.fashola@outlook.com"/>
    <n v="8131690263"/>
    <x v="2"/>
    <x v="0"/>
    <x v="17"/>
    <x v="1"/>
    <s v="Accessories"/>
    <x v="11"/>
    <n v="15"/>
    <n v="16464.080000000002"/>
    <n v="20"/>
    <n v="49392.24"/>
    <n v="197568.96"/>
    <n v="21634.47"/>
    <s v="Clothing"/>
    <n v="21634.47"/>
    <s v="Large"/>
    <s v="Large"/>
    <s v="No Discount"/>
  </r>
  <r>
    <s v="ORD-10932"/>
    <x v="52"/>
    <d v="2022-10-14T00:00:00"/>
    <s v="Standard Class"/>
    <s v="Wale"/>
    <s v="Otedola"/>
    <s v="wale.otedola@outlook.com"/>
    <n v="8061544925"/>
    <x v="2"/>
    <x v="2"/>
    <x v="20"/>
    <x v="0"/>
    <s v="Binders"/>
    <x v="33"/>
    <n v="14"/>
    <n v="13658.5"/>
    <n v="10"/>
    <n v="19121.900000000001"/>
    <n v="172097.1"/>
    <n v="-21793.81"/>
    <s v="Office Supplies"/>
    <n v="21793.81"/>
    <s v="Small"/>
    <s v="Medium"/>
    <s v="No Discount"/>
  </r>
  <r>
    <s v="ORD-10063"/>
    <x v="53"/>
    <d v="2022-10-22T00:00:00"/>
    <s v="Standard Class"/>
    <s v="Ikenna"/>
    <s v="Lawal"/>
    <s v="ikenna.lawal@outlook.com"/>
    <n v="8067619862"/>
    <x v="1"/>
    <x v="0"/>
    <x v="1"/>
    <x v="2"/>
    <s v="Tablets"/>
    <x v="50"/>
    <n v="14"/>
    <n v="68761.100000000006"/>
    <n v="10"/>
    <n v="82513.320000000007"/>
    <n v="742619.88"/>
    <n v="149070.59"/>
    <s v="Technology"/>
    <n v="149070.59"/>
    <s v="Small"/>
    <s v="Medium"/>
    <s v="No Discount"/>
  </r>
  <r>
    <s v="ORD-10515"/>
    <x v="54"/>
    <d v="2022-10-23T00:00:00"/>
    <s v="Standard Class"/>
    <s v="Kemi"/>
    <s v="Musa!!"/>
    <s v="kemi.musa@yahoo.com"/>
    <n v="9054428815"/>
    <x v="0"/>
    <x v="1"/>
    <x v="19"/>
    <x v="3"/>
    <s v="Sofas"/>
    <x v="51"/>
    <n v="15"/>
    <n v="81313.25"/>
    <n v="10"/>
    <n v="121969.88"/>
    <n v="1097728.8700000001"/>
    <n v="-56538.21"/>
    <s v="Furniture"/>
    <n v="56538.21"/>
    <s v="Large"/>
    <s v="Large"/>
    <s v="No Discount"/>
  </r>
  <r>
    <s v="ORD-10181"/>
    <x v="55"/>
    <d v="2022-10-26T00:00:00"/>
    <s v="Standard Class"/>
    <s v="Sade"/>
    <s v="Adeleke"/>
    <s v="sade.adeleke@yahoo.com"/>
    <n v="8039720112"/>
    <x v="1"/>
    <x v="3"/>
    <x v="16"/>
    <x v="1"/>
    <s v="Shoes"/>
    <x v="52"/>
    <n v="3"/>
    <n v="43905.86"/>
    <n v="0"/>
    <n v="0"/>
    <n v="131717.57999999999"/>
    <n v="20186.599999999999"/>
    <s v="Clothing"/>
    <n v="20186.599999999999"/>
    <s v="Small"/>
    <s v="Small"/>
    <s v="No Discount"/>
  </r>
  <r>
    <s v="ORD-10633"/>
    <x v="56"/>
    <d v="2022-11-07T00:00:00"/>
    <s v="Standard Class"/>
    <s v="Zainab"/>
    <s v="Sowore"/>
    <s v="zainab.sowore@yahoo.com"/>
    <n v="7039352238"/>
    <x v="1"/>
    <x v="1"/>
    <x v="19"/>
    <x v="2"/>
    <s v="Phones"/>
    <x v="4"/>
    <n v="14"/>
    <n v="337340.41"/>
    <n v="10"/>
    <n v="472276.57"/>
    <n v="4250489.17"/>
    <n v="-111428.65"/>
    <s v="Technology"/>
    <n v="111428.65"/>
    <s v="Small"/>
    <s v="Medium"/>
    <s v="No Discount"/>
  </r>
  <r>
    <s v="ORD-10672"/>
    <x v="57"/>
    <d v="2022-11-12T00:00:00"/>
    <s v="Standard Class"/>
    <s v="Sade"/>
    <s v="Musa"/>
    <s v="sade.musa@yahoo.com"/>
    <n v="9059447259"/>
    <x v="1"/>
    <x v="0"/>
    <x v="0"/>
    <x v="4"/>
    <s v="Condiments"/>
    <x v="23"/>
    <n v="4"/>
    <n v="4450.05"/>
    <n v="-10"/>
    <n v="4450.05"/>
    <n v="13350.15"/>
    <n v="4391.18"/>
    <s v="Food &amp; Beverages"/>
    <n v="4391.18"/>
    <s v="Small"/>
    <s v="Small"/>
    <s v="No Discount"/>
  </r>
  <r>
    <s v="ORD-10391"/>
    <x v="58"/>
    <d v="2022-11-19T00:00:00"/>
    <s v="Standard Class"/>
    <s v="Gbenga_Tinubu"/>
    <s v="Musa"/>
    <s v="gbenga.tinubu@hotmail.com"/>
    <n v="8065826621"/>
    <x v="0"/>
    <x v="1"/>
    <x v="2"/>
    <x v="1"/>
    <s v="Trousers"/>
    <x v="53"/>
    <n v="8"/>
    <n v="40992.11"/>
    <n v="0"/>
    <n v="0"/>
    <n v="327936.88"/>
    <n v="-25706.05"/>
    <s v="Clothing"/>
    <n v="25706.05"/>
    <s v="Small"/>
    <s v="Small"/>
    <s v="No Discount"/>
  </r>
  <r>
    <s v="ORD-10833"/>
    <x v="59"/>
    <d v="2022-11-24T00:00:00"/>
    <s v="Standard Class"/>
    <s v="Adaeze"/>
    <s v="Sule"/>
    <s v="user@@domain.com"/>
    <n v="9053046457"/>
    <x v="2"/>
    <x v="2"/>
    <x v="3"/>
    <x v="2"/>
    <s v="Phones"/>
    <x v="54"/>
    <n v="3"/>
    <n v="414330.94"/>
    <n v="0"/>
    <n v="0"/>
    <n v="1242992.82"/>
    <n v="-118056.56"/>
    <s v="Technology"/>
    <n v="118056.56"/>
    <s v="Small"/>
    <s v="Small"/>
    <s v="No Discount"/>
  </r>
  <r>
    <s v="ORD-10954"/>
    <x v="60"/>
    <d v="2022-11-25T00:00:00"/>
    <s v="Standard Class"/>
    <s v="Tunde"/>
    <s v="Okafor"/>
    <s v="tunde.okafor@hotmail.com"/>
    <n v="8068291687"/>
    <x v="0"/>
    <x v="3"/>
    <x v="16"/>
    <x v="3"/>
    <s v="Tables"/>
    <x v="26"/>
    <n v="18"/>
    <n v="130755.89"/>
    <n v="25"/>
    <n v="588401.51"/>
    <n v="1765204.51"/>
    <n v="741350.81"/>
    <s v="Furniture"/>
    <n v="741350.81"/>
    <s v="Large"/>
    <s v="Large"/>
    <s v="Offer Discount"/>
  </r>
  <r>
    <s v="ORD-10671"/>
    <x v="61"/>
    <d v="2022-12-02T00:00:00"/>
    <s v="Standard Class"/>
    <s v="Emeka"/>
    <s v="Eze"/>
    <s v="emeka.eze@yahoo.com"/>
    <n v="9051428411"/>
    <x v="1"/>
    <x v="0"/>
    <x v="14"/>
    <x v="2"/>
    <s v="Printers"/>
    <x v="55"/>
    <n v="17"/>
    <n v="366494.88"/>
    <n v="25"/>
    <n v="1557603.24"/>
    <n v="4672809.72"/>
    <n v="1495674.28"/>
    <s v="Technology"/>
    <n v="1495674.28"/>
    <s v="Large"/>
    <s v="Large"/>
    <s v="Offer Discount"/>
  </r>
  <r>
    <s v="ORD-10768"/>
    <x v="62"/>
    <d v="2022-12-06T00:00:00"/>
    <s v="Standard Class"/>
    <s v="Bola"/>
    <s v="Sanusi"/>
    <s v="bola.sanusi@outlook.com"/>
    <n v="9016316357"/>
    <x v="0"/>
    <x v="2"/>
    <x v="4"/>
    <x v="1"/>
    <s v="Trousers"/>
    <x v="13"/>
    <n v="17"/>
    <n v="44361.54"/>
    <n v="10"/>
    <n v="75414.62"/>
    <n v="678731.56"/>
    <n v="92841.91"/>
    <s v="Clothing"/>
    <n v="92841.91"/>
    <s v="Large"/>
    <s v="Large"/>
    <s v="No Discount"/>
  </r>
  <r>
    <s v="ORD-10036"/>
    <x v="63"/>
    <d v="2022-12-09T00:00:00"/>
    <s v="Standard Class"/>
    <s v="Yemi"/>
    <s v="Danjuma"/>
    <s v="spaces in@email.com"/>
    <n v="8167296605"/>
    <x v="0"/>
    <x v="0"/>
    <x v="17"/>
    <x v="1"/>
    <s v="Trousers"/>
    <x v="10"/>
    <n v="8"/>
    <n v="27460.21"/>
    <n v="0"/>
    <n v="0"/>
    <n v="219681.68"/>
    <n v="58944.07"/>
    <s v="Clothing"/>
    <n v="58944.07"/>
    <s v="Small"/>
    <s v="Small"/>
    <s v="No Discount"/>
  </r>
  <r>
    <s v="ORD-10630"/>
    <x v="64"/>
    <d v="2022-12-14T00:00:00"/>
    <s v="Standard Class"/>
    <s v="Adaeze"/>
    <s v="Fashola"/>
    <s v="adaeze.fashola@yahoo.com"/>
    <n v="8038962478"/>
    <x v="1"/>
    <x v="3"/>
    <x v="18"/>
    <x v="1"/>
    <s v="Shoes"/>
    <x v="56"/>
    <n v="9"/>
    <n v="9633.15"/>
    <n v="0"/>
    <n v="0"/>
    <n v="86698.35"/>
    <n v="-4123.8"/>
    <s v="Clothing"/>
    <n v="4123.8"/>
    <s v="Small"/>
    <s v="Small"/>
    <s v="No Discount"/>
  </r>
  <r>
    <s v="ORD-10208"/>
    <x v="65"/>
    <d v="2022-12-28T00:00:00"/>
    <s v="Standard Class"/>
    <s v="Musa"/>
    <s v="Gambo"/>
    <s v="musa.gambo@gmail.com"/>
    <n v="8131554840"/>
    <x v="2"/>
    <x v="1"/>
    <x v="2"/>
    <x v="1"/>
    <s v="Shirts"/>
    <x v="57"/>
    <n v="9"/>
    <n v="32299.26"/>
    <n v="10"/>
    <n v="29069.33"/>
    <n v="261624.01"/>
    <n v="90025.81"/>
    <s v="Clothing"/>
    <n v="90025.81"/>
    <s v="Small"/>
    <s v="Small"/>
    <s v="No Discount"/>
  </r>
  <r>
    <s v="ORD-10261"/>
    <x v="66"/>
    <d v="2023-01-07T00:00:00"/>
    <s v="Standard Class"/>
    <s v="Ayo"/>
    <s v="Alakija"/>
    <s v="ayo.alakija@gmail.com"/>
    <n v="9029915915"/>
    <x v="2"/>
    <x v="1"/>
    <x v="2"/>
    <x v="4"/>
    <s v="Drinks"/>
    <x v="58"/>
    <n v="5"/>
    <n v="4013.26"/>
    <n v="25"/>
    <n v="5016.58"/>
    <n v="15049.72"/>
    <n v="5214.92"/>
    <s v="Food &amp; Beverages"/>
    <n v="5214.92"/>
    <s v="Small"/>
    <s v="Small"/>
    <s v="No Discount"/>
  </r>
  <r>
    <s v="ORD-10405"/>
    <x v="67"/>
    <d v="2023-01-10T00:00:00"/>
    <s v="Standard Class"/>
    <s v="Deola"/>
    <s v="Sowore"/>
    <s v="deola.sowore@outlook.com"/>
    <n v="8106079345"/>
    <x v="1"/>
    <x v="2"/>
    <x v="4"/>
    <x v="4"/>
    <s v="Condiments"/>
    <x v="59"/>
    <n v="17"/>
    <n v="6153.32"/>
    <n v="20"/>
    <n v="20921.29"/>
    <n v="83685.149999999994"/>
    <n v="27251.14"/>
    <s v="Food &amp; Beverages"/>
    <n v="27251.14"/>
    <s v="Large"/>
    <s v="Large"/>
    <s v="No Discount"/>
  </r>
  <r>
    <s v="ORD-10368"/>
    <x v="68"/>
    <d v="2023-01-12T00:00:00"/>
    <s v="Standard Class"/>
    <s v="Ayo"/>
    <s v="Musa"/>
    <s v="ayo.musa@outlook.com"/>
    <n v="7038026061"/>
    <x v="2"/>
    <x v="3"/>
    <x v="18"/>
    <x v="2"/>
    <s v="Printers"/>
    <x v="55"/>
    <n v="17"/>
    <n v="98477.74"/>
    <n v="0"/>
    <n v="0"/>
    <n v="1674121.58"/>
    <n v="370571.1"/>
    <s v="Technology"/>
    <n v="370571.1"/>
    <s v="Large"/>
    <s v="Large"/>
    <s v="Offer Discount"/>
  </r>
  <r>
    <s v="ORD-10984"/>
    <x v="69"/>
    <d v="2023-01-20T00:00:00"/>
    <s v="Standard Class"/>
    <s v="Nike"/>
    <s v="Buhari"/>
    <s v="nike.buhari@yahoo.com"/>
    <n v="9028212098"/>
    <x v="0"/>
    <x v="3"/>
    <x v="18"/>
    <x v="2"/>
    <s v="Accessories"/>
    <x v="11"/>
    <n v="2"/>
    <n v="43307.01"/>
    <n v="15"/>
    <n v="12992.1"/>
    <n v="73621.919999999998"/>
    <n v="16442.04"/>
    <s v="Technology"/>
    <n v="16442.04"/>
    <s v="Small"/>
    <s v="Small"/>
    <s v="No Discount"/>
  </r>
  <r>
    <s v="ORD-10311"/>
    <x v="70"/>
    <d v="2023-01-23T00:00:00"/>
    <s v="Standard Class"/>
    <s v="Dayo"/>
    <s v="Fashola"/>
    <s v="dayo.fashola@gmail.com"/>
    <n v="8035150551"/>
    <x v="1"/>
    <x v="2"/>
    <x v="3"/>
    <x v="4"/>
    <s v="Grains"/>
    <x v="60"/>
    <n v="6"/>
    <n v="4072.48"/>
    <n v="0"/>
    <n v="0"/>
    <n v="24434.880000000001"/>
    <n v="1418.88"/>
    <s v="Food &amp; Beverages"/>
    <n v="1418.88"/>
    <s v="Small"/>
    <s v="Small"/>
    <s v="No Discount"/>
  </r>
  <r>
    <s v="ORD-10717"/>
    <x v="71"/>
    <d v="2023-01-26T00:00:00"/>
    <s v="Standard Class"/>
    <s v="Gbenga"/>
    <s v="Adeyemi"/>
    <s v="gbenga.adeyemi@hotmail.com"/>
    <n v="8154123258"/>
    <x v="1"/>
    <x v="1"/>
    <x v="7"/>
    <x v="2"/>
    <s v="Accessories"/>
    <x v="11"/>
    <n v="19"/>
    <n v="213553.87"/>
    <n v="15"/>
    <n v="608628.53"/>
    <n v="3448895"/>
    <n v="995257.68"/>
    <s v="Technology"/>
    <n v="995257.68"/>
    <s v="Large"/>
    <s v="Large"/>
    <s v="Offer Discount"/>
  </r>
  <r>
    <s v="ORD-10207"/>
    <x v="72"/>
    <d v="2023-01-28T00:00:00"/>
    <s v="Standard Class"/>
    <s v="Ibrahim"/>
    <s v="Gambo"/>
    <s v="unknown"/>
    <n v="9019127895"/>
    <x v="2"/>
    <x v="1"/>
    <x v="9"/>
    <x v="4"/>
    <s v="Grains"/>
    <x v="61"/>
    <n v="6"/>
    <n v="4267.58"/>
    <n v="110"/>
    <n v="0"/>
    <n v="25605.48"/>
    <n v="939.05"/>
    <s v="Food &amp; Beverages"/>
    <n v="939.05"/>
    <s v="Small"/>
    <s v="Small"/>
    <s v="No Discount"/>
  </r>
  <r>
    <s v="ORD-10482"/>
    <x v="73"/>
    <d v="2023-02-07T00:00:00"/>
    <s v="Standard Class"/>
    <s v="Dayo"/>
    <s v="Chukwu"/>
    <s v="dayo.chukwu@outlook.com"/>
    <n v="7069076540"/>
    <x v="2"/>
    <x v="2"/>
    <x v="20"/>
    <x v="4"/>
    <s v="Cooking Oil"/>
    <x v="25"/>
    <n v="2"/>
    <n v="2172.27"/>
    <n v="0"/>
    <n v="0"/>
    <n v="4344.54"/>
    <n v="-318.85000000000002"/>
    <s v="Food &amp; Beverages"/>
    <n v="318.85000000000002"/>
    <s v="Small"/>
    <s v="Small"/>
    <s v="No Discount"/>
  </r>
  <r>
    <s v="ORD-10604"/>
    <x v="74"/>
    <d v="2023-02-13T00:00:00"/>
    <s v="Standard Class"/>
    <s v="Bola"/>
    <s v="Adebayo"/>
    <s v="bola.adebayo@hotmail.com"/>
    <n v="7067640565"/>
    <x v="1"/>
    <x v="1"/>
    <x v="9"/>
    <x v="2"/>
    <s v="Tablets"/>
    <x v="36"/>
    <n v="9"/>
    <n v="235788.95"/>
    <n v="10"/>
    <n v="212210.06"/>
    <n v="1909890.49"/>
    <n v="65772.83"/>
    <s v="Technology"/>
    <n v="65772.83"/>
    <s v="Small"/>
    <s v="Small"/>
    <s v="No Discount"/>
  </r>
  <r>
    <s v="ORD-10792"/>
    <x v="75"/>
    <d v="2023-02-16T00:00:00"/>
    <s v="Standard Class"/>
    <s v="Sade"/>
    <s v="Obi"/>
    <s v="sade.obi@hotmail.com"/>
    <n v="8035418616"/>
    <x v="2"/>
    <x v="3"/>
    <x v="16"/>
    <x v="3"/>
    <s v="Bookcases"/>
    <x v="62"/>
    <n v="5"/>
    <n v="68853.539999999994"/>
    <n v="15"/>
    <n v="51640.15"/>
    <n v="292627.55"/>
    <n v="-25699.83"/>
    <s v="Furniture"/>
    <n v="25699.83"/>
    <s v="Small"/>
    <s v="Small"/>
    <s v="No Discount"/>
  </r>
  <r>
    <s v="ORD-10150"/>
    <x v="76"/>
    <d v="2023-02-20T00:00:00"/>
    <s v="Standard Class"/>
    <s v="Taiwo"/>
    <s v="Okonkwo"/>
    <s v="taiwo.okonkwo@hotmail.com"/>
    <n v="9014517316"/>
    <x v="1"/>
    <x v="0"/>
    <x v="14"/>
    <x v="1"/>
    <s v="Shoes"/>
    <x v="56"/>
    <n v="14"/>
    <n v="37215.519999999997"/>
    <n v="20"/>
    <n v="104203.46"/>
    <n v="416813.82"/>
    <n v="-27715"/>
    <s v="Clothing"/>
    <n v="27715"/>
    <s v="Small"/>
    <s v="Medium"/>
    <s v="No Discount"/>
  </r>
  <r>
    <s v="ORD-10290"/>
    <x v="77"/>
    <d v="2023-02-20T00:00:00"/>
    <s v="Standard Class"/>
    <s v="Yemi"/>
    <s v="Dangote"/>
    <s v="yemi.dangote@yahoo.com"/>
    <n v="8147528399"/>
    <x v="2"/>
    <x v="1"/>
    <x v="2"/>
    <x v="0"/>
    <s v="Pens &amp; Pencils"/>
    <x v="37"/>
    <n v="2"/>
    <n v="15914.52"/>
    <n v="25"/>
    <n v="7957.26"/>
    <n v="23871.78"/>
    <n v="3880.5"/>
    <s v="Office Supplies"/>
    <n v="3880.5"/>
    <s v="Small"/>
    <s v="Small"/>
    <s v="No Discount"/>
  </r>
  <r>
    <s v="ORD-10450"/>
    <x v="78"/>
    <d v="2023-03-04T00:00:00"/>
    <s v="Standard Class"/>
    <s v="Aisha"/>
    <s v="Atiku"/>
    <s v="missing@"/>
    <n v="9018407441"/>
    <x v="2"/>
    <x v="2"/>
    <x v="10"/>
    <x v="4"/>
    <s v="Cooking Oil"/>
    <x v="41"/>
    <n v="12"/>
    <n v="1488.08"/>
    <n v="10"/>
    <n v="1785.7"/>
    <n v="16071.26"/>
    <n v="5488.28"/>
    <s v="Food &amp; Beverages"/>
    <n v="5488.28"/>
    <s v="Small"/>
    <s v="Small"/>
    <s v="No Discount"/>
  </r>
  <r>
    <s v="ORD-10542"/>
    <x v="79"/>
    <d v="2023-03-06T00:00:00"/>
    <s v="Standard Class"/>
    <s v="Fatima"/>
    <s v="Lawal"/>
    <s v="fatima.lawal@yahoo.com"/>
    <n v="8038503322"/>
    <x v="2"/>
    <x v="1"/>
    <x v="19"/>
    <x v="0"/>
    <s v="Paper"/>
    <x v="63"/>
    <n v="7"/>
    <n v="3655.99"/>
    <n v="0"/>
    <n v="0"/>
    <n v="25591.93"/>
    <n v="-2490.29"/>
    <s v="Office Supplies"/>
    <n v="2490.29"/>
    <s v="Small"/>
    <s v="Small"/>
    <s v="No Discount"/>
  </r>
  <r>
    <s v="ORD-10336"/>
    <x v="80"/>
    <d v="2023-03-07T00:00:00"/>
    <s v="Standard Class"/>
    <s v="Taiwo"/>
    <s v="Osei"/>
    <s v="taiwo.osei@outlook.com"/>
    <n v="8105752443"/>
    <x v="2"/>
    <x v="2"/>
    <x v="21"/>
    <x v="4"/>
    <s v="Snacks"/>
    <x v="64"/>
    <n v="20"/>
    <n v="848.57"/>
    <n v="10"/>
    <n v="1697.14"/>
    <n v="15274.26"/>
    <n v="2663.01"/>
    <s v="Food &amp; Beverages"/>
    <n v="2663.01"/>
    <s v="Large"/>
    <s v="Large"/>
    <s v="No Discount"/>
  </r>
  <r>
    <s v="ORD-10045"/>
    <x v="81"/>
    <d v="2023-03-08T00:00:00"/>
    <s v="Standard Class"/>
    <s v="Tobi"/>
    <s v="Sowore"/>
    <s v="tobi.sowore@gmail.com"/>
    <n v="8105024269"/>
    <x v="2"/>
    <x v="2"/>
    <x v="20"/>
    <x v="3"/>
    <s v="Sofas"/>
    <x v="51"/>
    <n v="14"/>
    <n v="34923.61"/>
    <n v="20"/>
    <n v="97786.11"/>
    <n v="391144.43"/>
    <n v="103114.54"/>
    <s v="Furniture"/>
    <n v="103114.54"/>
    <s v="Small"/>
    <s v="Medium"/>
    <s v="No Discount"/>
  </r>
  <r>
    <s v="ORD-10067"/>
    <x v="82"/>
    <d v="2023-03-16T00:00:00"/>
    <s v="Standard Class"/>
    <s v="Ngozi"/>
    <s v="Sule"/>
    <s v="ngozi.sule@outlook.com"/>
    <n v="8133112652"/>
    <x v="1"/>
    <x v="3"/>
    <x v="22"/>
    <x v="4"/>
    <s v="Snacks"/>
    <x v="42"/>
    <n v="18"/>
    <n v="6689.6"/>
    <n v="5"/>
    <n v="6020.64"/>
    <n v="114392.16"/>
    <n v="23087.75"/>
    <s v="Food &amp; Beverages"/>
    <n v="23087.75"/>
    <s v="Large"/>
    <s v="Large"/>
    <s v="No Discount"/>
  </r>
  <r>
    <s v="ORD-10680"/>
    <x v="83"/>
    <d v="2023-03-16T00:00:00"/>
    <s v="Standard Class"/>
    <s v="Ronke"/>
    <s v="Chukwu"/>
    <s v="ronke.chukwu@outlook.com"/>
    <n v="8066827492"/>
    <x v="0"/>
    <x v="0"/>
    <x v="0"/>
    <x v="0"/>
    <s v="Binders"/>
    <x v="65"/>
    <n v="16"/>
    <n v="7552.16"/>
    <n v="20"/>
    <n v="24166.91"/>
    <n v="96667.65"/>
    <n v="-1529.28"/>
    <s v="Office Supplies"/>
    <n v="1529.28"/>
    <s v="Large"/>
    <s v="Large"/>
    <s v="No Discount"/>
  </r>
  <r>
    <s v="ORD-10809"/>
    <x v="84"/>
    <d v="2023-03-21T00:00:00"/>
    <s v="Standard Class"/>
    <s v="Adebayo"/>
    <s v="Adeyemi"/>
    <s v="adebayo.adeyemi@yahoo.com"/>
    <n v="9016373918"/>
    <x v="1"/>
    <x v="3"/>
    <x v="6"/>
    <x v="2"/>
    <s v="Phones"/>
    <x v="66"/>
    <n v="20"/>
    <n v="104930.57"/>
    <n v="0"/>
    <n v="0"/>
    <n v="2098611.4"/>
    <n v="-257834.71"/>
    <s v="Technology"/>
    <n v="257834.71"/>
    <s v="Large"/>
    <s v="Large"/>
    <s v="Offer Discount"/>
  </r>
  <r>
    <s v="ORD-10612"/>
    <x v="85"/>
    <d v="2023-03-26T00:00:00"/>
    <s v="Standard Class"/>
    <s v="Chisom"/>
    <s v="Okafor"/>
    <s v="chisom.okafor@yahoo.com"/>
    <n v="8063123664"/>
    <x v="1"/>
    <x v="3"/>
    <x v="18"/>
    <x v="0"/>
    <s v="Pens &amp; Pencils"/>
    <x v="67"/>
    <n v="3"/>
    <n v="5381.32"/>
    <n v="10"/>
    <n v="1614.4"/>
    <n v="14529.56"/>
    <n v="3993.45"/>
    <s v="Office Supplies"/>
    <n v="3993.45"/>
    <s v="Small"/>
    <s v="Small"/>
    <s v="No Discount"/>
  </r>
  <r>
    <s v="ORD-10232"/>
    <x v="86"/>
    <d v="2023-04-05T00:00:00"/>
    <s v="Standard Class"/>
    <s v="Adaeze"/>
    <s v="Adebayo"/>
    <s v="adaeze.adebayo@outlook.com"/>
    <n v="8159757456"/>
    <x v="0"/>
    <x v="0"/>
    <x v="14"/>
    <x v="0"/>
    <s v="Fasteners"/>
    <x v="68"/>
    <n v="6"/>
    <n v="1621.56"/>
    <n v="20"/>
    <n v="1945.87"/>
    <n v="7783.49"/>
    <n v="3993.45"/>
    <s v="Office Supplies"/>
    <n v="3993.45"/>
    <s v="Small"/>
    <s v="Small"/>
    <s v="No Discount"/>
  </r>
  <r>
    <s v="ORD-10818"/>
    <x v="87"/>
    <d v="2023-04-10T00:00:00"/>
    <s v="Standard Class"/>
    <s v="Kehinde"/>
    <s v="Otedola"/>
    <s v="kehinde.otedola@gmail.com"/>
    <n v="8038993139"/>
    <x v="2"/>
    <x v="2"/>
    <x v="12"/>
    <x v="4"/>
    <s v="Cooking Oil"/>
    <x v="43"/>
    <n v="13"/>
    <n v="5579.2"/>
    <n v="20"/>
    <n v="14505.92"/>
    <n v="58023.68"/>
    <n v="22985.77"/>
    <s v="Food &amp; Beverages"/>
    <n v="22985.77"/>
    <s v="Small"/>
    <s v="Small"/>
    <s v="No Discount"/>
  </r>
  <r>
    <s v="ORD-10669"/>
    <x v="88"/>
    <d v="2023-04-17T00:00:00"/>
    <s v="Standard Class"/>
    <s v="Tobi"/>
    <s v="Chukwu"/>
    <s v="tobi.chukwu@gmail.com"/>
    <n v="9076927978"/>
    <x v="1"/>
    <x v="1"/>
    <x v="9"/>
    <x v="4"/>
    <s v="Drinks"/>
    <x v="69"/>
    <n v="4"/>
    <n v="2107.17"/>
    <n v="0"/>
    <n v="0"/>
    <n v="8428.68"/>
    <n v="1299.3900000000001"/>
    <s v="Food &amp; Beverages"/>
    <n v="1299.3900000000001"/>
    <s v="Small"/>
    <s v="Small"/>
    <s v="No Discount"/>
  </r>
  <r>
    <s v="ORD-10177"/>
    <x v="89"/>
    <d v="2023-04-18T00:00:00"/>
    <s v="Standard Class"/>
    <s v="Emeka"/>
    <s v="Lawal"/>
    <s v="unknown"/>
    <n v="8131771442"/>
    <x v="2"/>
    <x v="0"/>
    <x v="1"/>
    <x v="1"/>
    <s v="Shoes"/>
    <x v="52"/>
    <n v="6"/>
    <n v="41569.74"/>
    <n v="0"/>
    <n v="0"/>
    <n v="249418.44"/>
    <n v="45324.04"/>
    <s v="Clothing"/>
    <n v="45324.04"/>
    <s v="Small"/>
    <s v="Small"/>
    <s v="No Discount"/>
  </r>
  <r>
    <s v="ORD-10659"/>
    <x v="90"/>
    <d v="2023-04-19T00:00:00"/>
    <s v="Standard Class"/>
    <s v="Bukola"/>
    <s v="Danjuma"/>
    <s v="bukola.danjuma@gmail.com"/>
    <n v="9021249956"/>
    <x v="0"/>
    <x v="3"/>
    <x v="18"/>
    <x v="3"/>
    <s v="Chairs"/>
    <x v="70"/>
    <n v="15"/>
    <n v="17744.59"/>
    <n v="0"/>
    <n v="0"/>
    <n v="266168.84999999998"/>
    <n v="5205.62"/>
    <s v="Furniture"/>
    <n v="5205.62"/>
    <s v="Large"/>
    <s v="Large"/>
    <s v="No Discount"/>
  </r>
  <r>
    <s v="ORD-10011"/>
    <x v="91"/>
    <d v="2023-04-23T00:00:00"/>
    <s v="Standard Class"/>
    <s v="Chidi"/>
    <s v="Musa"/>
    <s v="chidi.musa@gmail.com"/>
    <s v="+234 803 123 4567"/>
    <x v="1"/>
    <x v="3"/>
    <x v="22"/>
    <x v="2"/>
    <s v="Tablets"/>
    <x v="71"/>
    <n v="9"/>
    <n v="238657.91"/>
    <n v="20"/>
    <n v="429584.24"/>
    <n v="1718336.95"/>
    <n v="-36871.93"/>
    <s v="Technology"/>
    <n v="36871.93"/>
    <s v="Small"/>
    <s v="Small"/>
    <s v="No Discount"/>
  </r>
  <r>
    <s v="ORD-10940"/>
    <x v="92"/>
    <d v="2023-04-24T00:00:00"/>
    <s v="Standard Class"/>
    <s v="Emeka"/>
    <s v="Atiku"/>
    <s v="emeka.atiku@gmail.com"/>
    <n v="9077622282"/>
    <x v="0"/>
    <x v="2"/>
    <x v="10"/>
    <x v="3"/>
    <s v="Tables"/>
    <x v="26"/>
    <n v="19"/>
    <n v="173016.77"/>
    <n v="0"/>
    <n v="0"/>
    <n v="3287318.63"/>
    <n v="792611.31"/>
    <s v="Furniture"/>
    <n v="792611.31"/>
    <s v="Large"/>
    <s v="Large"/>
    <s v="Offer Discount"/>
  </r>
  <r>
    <s v="ORD-10512"/>
    <x v="93"/>
    <d v="2023-04-27T00:00:00"/>
    <s v="Standard Class"/>
    <s v="Ayo"/>
    <s v="Buhari"/>
    <s v="ayo.buhari@gmail.com"/>
    <n v="8164966072"/>
    <x v="2"/>
    <x v="3"/>
    <x v="6"/>
    <x v="1"/>
    <s v="Trousers"/>
    <x v="48"/>
    <n v="5"/>
    <n v="5413.75"/>
    <n v="10"/>
    <n v="2706.88"/>
    <n v="24361.87"/>
    <n v="3635.67"/>
    <s v="Clothing"/>
    <n v="3635.67"/>
    <s v="Small"/>
    <s v="Small"/>
    <s v="No Discount"/>
  </r>
  <r>
    <s v="ORD-10681"/>
    <x v="94"/>
    <d v="2023-04-27T00:00:00"/>
    <s v="Standard Class"/>
    <s v="Seun"/>
    <s v="Bello"/>
    <s v="seun.bello@yahoo.com"/>
    <n v="8159534539"/>
    <x v="1"/>
    <x v="3"/>
    <x v="11"/>
    <x v="3"/>
    <s v="Chairs"/>
    <x v="38"/>
    <n v="18"/>
    <n v="163237.1"/>
    <n v="25"/>
    <n v="734566.95"/>
    <n v="2203700.85"/>
    <n v="725888.48"/>
    <s v="Furniture"/>
    <n v="725888.48"/>
    <s v="Large"/>
    <s v="Large"/>
    <s v="Offer Discount"/>
  </r>
  <r>
    <s v="ORD-10016"/>
    <x v="95"/>
    <d v="2023-05-05T00:00:00"/>
    <s v="Standard Class"/>
    <s v="Bola"/>
    <s v="Danjuma"/>
    <s v="bola.danjuma@yahoo.com"/>
    <n v="9051666754"/>
    <x v="0"/>
    <x v="2"/>
    <x v="10"/>
    <x v="4"/>
    <s v="Drinks"/>
    <x v="72"/>
    <n v="19"/>
    <n v="5361.77"/>
    <n v="25"/>
    <n v="25468.41"/>
    <n v="76405.22"/>
    <n v="3042.6"/>
    <s v="Food &amp; Beverages"/>
    <n v="3042.6"/>
    <s v="Large"/>
    <s v="Large"/>
    <s v="No Discount"/>
  </r>
  <r>
    <s v="ORD-10254"/>
    <x v="96"/>
    <d v="2023-05-11T00:00:00"/>
    <s v="Standard Class"/>
    <s v="Dayo"/>
    <s v="Okafor"/>
    <s v="dayo.okafor@hotmail.com"/>
    <n v="8104005557"/>
    <x v="1"/>
    <x v="2"/>
    <x v="12"/>
    <x v="4"/>
    <s v="Condiments"/>
    <x v="45"/>
    <n v="16"/>
    <n v="5966.58"/>
    <n v="10"/>
    <n v="9546.5300000000007"/>
    <n v="85918.75"/>
    <n v="-10804.12"/>
    <s v="Food &amp; Beverages"/>
    <n v="10804.12"/>
    <s v="Large"/>
    <s v="Large"/>
    <s v="No Discount"/>
  </r>
  <r>
    <s v="ORD-10957"/>
    <x v="97"/>
    <d v="2023-05-15T00:00:00"/>
    <s v="Standard Class"/>
    <s v="Adaeze"/>
    <s v="Dangote"/>
    <s v="adaeze.dangote@gmail.com"/>
    <n v="8165381205"/>
    <x v="0"/>
    <x v="3"/>
    <x v="18"/>
    <x v="0"/>
    <s v="Labels"/>
    <x v="73"/>
    <n v="2"/>
    <n v="20788.7"/>
    <n v="15"/>
    <n v="6236.61"/>
    <n v="35340.79"/>
    <n v="5099.8500000000004"/>
    <s v="Office Supplies"/>
    <n v="5099.8500000000004"/>
    <s v="Small"/>
    <s v="Small"/>
    <s v="No Discount"/>
  </r>
  <r>
    <s v="ORD-10209"/>
    <x v="98"/>
    <d v="2023-05-18T00:00:00"/>
    <s v="Standard Class"/>
    <s v="Wale"/>
    <s v="Alakija"/>
    <s v="wale.alakija@hotmail.com"/>
    <n v="8108962169"/>
    <x v="2"/>
    <x v="1"/>
    <x v="19"/>
    <x v="4"/>
    <s v="Condiments"/>
    <x v="74"/>
    <n v="9"/>
    <n v="2950.72"/>
    <n v="0"/>
    <n v="0"/>
    <n v="26556.48"/>
    <n v="558.79"/>
    <s v="Food &amp; Beverages"/>
    <n v="558.79"/>
    <s v="Small"/>
    <s v="Small"/>
    <s v="No Discount"/>
  </r>
  <r>
    <s v="ORD-10713"/>
    <x v="99"/>
    <d v="2023-05-28T00:00:00"/>
    <s v="Standard Class"/>
    <s v="Musa"/>
    <s v="Atiku"/>
    <s v="musa.atiku@yahoo.com"/>
    <n v="8161894817"/>
    <x v="1"/>
    <x v="3"/>
    <x v="11"/>
    <x v="1"/>
    <s v="Shoes"/>
    <x v="31"/>
    <n v="19"/>
    <n v="13995.43"/>
    <n v="10"/>
    <n v="26591.32"/>
    <n v="239321.85"/>
    <n v="23546.799999999999"/>
    <s v="Clothing"/>
    <n v="23546.799999999999"/>
    <s v="Large"/>
    <s v="Large"/>
    <s v="No Discount"/>
  </r>
  <r>
    <s v="ORD-10890"/>
    <x v="100"/>
    <d v="2023-05-28T00:00:00"/>
    <s v="Standard Class"/>
    <s v="Zainab"/>
    <s v="Abubakar"/>
    <s v="zainab.abubakar@hotmail.com"/>
    <n v="9053779020"/>
    <x v="0"/>
    <x v="0"/>
    <x v="14"/>
    <x v="3"/>
    <s v="Tables"/>
    <x v="26"/>
    <n v="8"/>
    <n v="26470.55"/>
    <n v="10"/>
    <n v="21176.44"/>
    <n v="190587.96"/>
    <n v="23546.799999999999"/>
    <s v="Furniture"/>
    <n v="23546.799999999999"/>
    <s v="Small"/>
    <s v="Small"/>
    <s v="No Discount"/>
  </r>
  <r>
    <s v="ORD-10250"/>
    <x v="101"/>
    <d v="2023-06-03T00:00:00"/>
    <s v="Standard Class"/>
    <s v="Musa"/>
    <s v="Atiku"/>
    <s v="musa.atiku@hotmail.com"/>
    <n v="7036991787"/>
    <x v="2"/>
    <x v="2"/>
    <x v="3"/>
    <x v="3"/>
    <s v="Tables"/>
    <x v="8"/>
    <n v="8"/>
    <n v="57043.59"/>
    <n v="5"/>
    <n v="8556.5400000000009"/>
    <n v="162574.23000000001"/>
    <n v="6612.15"/>
    <s v="Furniture"/>
    <n v="6612.15"/>
    <s v="Small"/>
    <s v="Small"/>
    <s v="No Discount"/>
  </r>
  <r>
    <s v="ORD-10034"/>
    <x v="102"/>
    <d v="2023-06-25T00:00:00"/>
    <s v="Standard Class"/>
    <s v="Chisom"/>
    <s v="Nwosu"/>
    <s v="chisom.nwosu@hotmail.com"/>
    <n v="7036662319"/>
    <x v="0"/>
    <x v="3"/>
    <x v="16"/>
    <x v="1"/>
    <s v="Shoes"/>
    <x v="52"/>
    <n v="3"/>
    <n v="12847.68"/>
    <n v="20"/>
    <n v="7708.61"/>
    <n v="30834.43"/>
    <n v="-4266.5600000000004"/>
    <s v="Clothing"/>
    <n v="4266.5600000000004"/>
    <s v="Small"/>
    <s v="Small"/>
    <s v="No Discount"/>
  </r>
  <r>
    <s v="ORD-10123"/>
    <x v="103"/>
    <d v="2023-06-27T00:00:00"/>
    <s v="Standard Class"/>
    <s v="Hauwa"/>
    <s v="Adeleke"/>
    <s v="hauwa.adeleke@gmail.com"/>
    <n v="8146147356"/>
    <x v="2"/>
    <x v="0"/>
    <x v="8"/>
    <x v="3"/>
    <s v="Storage"/>
    <x v="7"/>
    <n v="10"/>
    <n v="166774.23000000001"/>
    <n v="0"/>
    <n v="0"/>
    <n v="1667742.3"/>
    <n v="388962.19"/>
    <s v="Furniture"/>
    <n v="388962.19"/>
    <s v="Small"/>
    <s v="Small"/>
    <s v="No Discount"/>
  </r>
  <r>
    <s v="ORD-10638"/>
    <x v="103"/>
    <d v="2023-06-27T00:00:00"/>
    <s v="Standard Class"/>
    <s v="Deola"/>
    <s v="Eze"/>
    <s v="deola.eze@yahoo.com"/>
    <n v="9058311783"/>
    <x v="1"/>
    <x v="1"/>
    <x v="5"/>
    <x v="0"/>
    <s v="Art Supplies"/>
    <x v="75"/>
    <n v="7"/>
    <n v="3909.82"/>
    <n v="10"/>
    <n v="2736.87"/>
    <n v="24631.87"/>
    <n v="-1689.39"/>
    <s v="Office Supplies"/>
    <n v="1689.39"/>
    <s v="Small"/>
    <s v="Small"/>
    <s v="No Discount"/>
  </r>
  <r>
    <s v="ORD-10623"/>
    <x v="104"/>
    <d v="2023-07-02T00:00:00"/>
    <s v="Standard Class"/>
    <s v="Sade"/>
    <s v="Adebayo"/>
    <s v="sade.adebayo@yahoo.com"/>
    <n v="9074454281"/>
    <x v="0"/>
    <x v="0"/>
    <x v="14"/>
    <x v="2"/>
    <s v="Laptops"/>
    <x v="76"/>
    <n v="1"/>
    <n v="41216.11"/>
    <n v="5"/>
    <n v="2060.81"/>
    <n v="39155.300000000003"/>
    <n v="5125.05"/>
    <s v="Technology"/>
    <n v="5125.05"/>
    <s v="Small"/>
    <s v="Small"/>
    <s v="No Discount"/>
  </r>
  <r>
    <s v="ORD-10106"/>
    <x v="105"/>
    <d v="2023-07-03T00:00:00"/>
    <s v="Standard Class"/>
    <s v="Kehinde"/>
    <s v="Ogundipe"/>
    <s v="kehinde.ogundipe@gmail.com"/>
    <n v="8145859883"/>
    <x v="0"/>
    <x v="2"/>
    <x v="4"/>
    <x v="0"/>
    <s v="Envelopes"/>
    <x v="77"/>
    <n v="13"/>
    <n v="20214.86"/>
    <n v="10"/>
    <n v="26279.32"/>
    <n v="236513.86"/>
    <n v="28884.61"/>
    <s v="Office Supplies"/>
    <n v="28884.61"/>
    <s v="Small"/>
    <s v="Small"/>
    <s v="No Discount"/>
  </r>
  <r>
    <s v="ORD-10546"/>
    <x v="106"/>
    <d v="2023-07-12T00:00:00"/>
    <s v="Standard Class"/>
    <s v="Uchenna"/>
    <s v="Danjuma"/>
    <s v="uchenna.danjuma@yahoo.com"/>
    <n v="7063575158"/>
    <x v="0"/>
    <x v="3"/>
    <x v="6"/>
    <x v="0"/>
    <s v="Art Supplies"/>
    <x v="78"/>
    <n v="20"/>
    <n v="9784.08"/>
    <n v="5"/>
    <n v="9784.08"/>
    <n v="185897.52"/>
    <n v="-19237.650000000001"/>
    <s v="Office Supplies"/>
    <n v="19237.650000000001"/>
    <s v="Large"/>
    <s v="Large"/>
    <s v="No Discount"/>
  </r>
  <r>
    <s v="ORD-10708"/>
    <x v="107"/>
    <d v="2023-07-19T00:00:00"/>
    <s v="Standard Class"/>
    <s v="Femi"/>
    <s v="Tinubu"/>
    <s v="femi.tinubu@hotmail.com"/>
    <n v="7061736811"/>
    <x v="2"/>
    <x v="0"/>
    <x v="17"/>
    <x v="0"/>
    <s v="Pens &amp; Pencils"/>
    <x v="79"/>
    <n v="1"/>
    <n v="24292.95"/>
    <n v="20"/>
    <n v="4858.59"/>
    <n v="19434.36"/>
    <n v="8713.18"/>
    <s v="Office Supplies"/>
    <n v="8713.18"/>
    <s v="Small"/>
    <s v="Small"/>
    <s v="No Discount"/>
  </r>
  <r>
    <s v="ORD-10535"/>
    <x v="108"/>
    <d v="2023-07-23T00:00:00"/>
    <s v="Standard Class"/>
    <s v="Ibrahim"/>
    <s v="Sanusi"/>
    <s v="ibrahim.sanusi@outlook.com"/>
    <n v="9017320122"/>
    <x v="2"/>
    <x v="0"/>
    <x v="8"/>
    <x v="2"/>
    <s v="Tablets"/>
    <x v="36"/>
    <n v="7"/>
    <n v="375129.84"/>
    <n v="5"/>
    <n v="131295.44"/>
    <n v="2494613.44"/>
    <n v="674155.43"/>
    <s v="Technology"/>
    <n v="674155.43"/>
    <s v="Small"/>
    <s v="Small"/>
    <s v="No Discount"/>
  </r>
  <r>
    <s v="ORD-10597"/>
    <x v="108"/>
    <d v="2023-07-23T00:00:00"/>
    <s v="Standard Class"/>
    <s v="Sade"/>
    <s v="Eze"/>
    <s v="sade.eze@hotmail.com"/>
    <n v="8038041764"/>
    <x v="0"/>
    <x v="3"/>
    <x v="13"/>
    <x v="4"/>
    <s v="Snacks"/>
    <x v="80"/>
    <n v="2"/>
    <n v="1717.4"/>
    <n v="0"/>
    <n v="0"/>
    <n v="3434.8"/>
    <n v="1329.18"/>
    <s v="Food &amp; Beverages"/>
    <n v="1329.18"/>
    <s v="Small"/>
    <s v="Small"/>
    <s v="No Discount"/>
  </r>
  <r>
    <s v="ORD-10634"/>
    <x v="108"/>
    <d v="2023-07-23T00:00:00"/>
    <s v="Standard Class"/>
    <s v="Ronke"/>
    <s v="Adeyemi"/>
    <s v="ronke.adeyemi@outlook.com"/>
    <n v="9076852648"/>
    <x v="1"/>
    <x v="2"/>
    <x v="10"/>
    <x v="0"/>
    <s v="Envelopes"/>
    <x v="3"/>
    <n v="9"/>
    <n v="10723.71"/>
    <n v="10"/>
    <n v="9651.34"/>
    <n v="86862.05"/>
    <n v="-3097.19"/>
    <s v="Office Supplies"/>
    <n v="3097.19"/>
    <s v="Small"/>
    <s v="Small"/>
    <s v="No Discount"/>
  </r>
  <r>
    <s v="ORD-10770"/>
    <x v="109"/>
    <d v="2023-07-24T00:00:00"/>
    <s v="Standard Class"/>
    <s v="Emeka"/>
    <s v="Okafor"/>
    <s v="emeka.okafor@yahoo.com"/>
    <n v="8101155591"/>
    <x v="1"/>
    <x v="2"/>
    <x v="12"/>
    <x v="3"/>
    <s v="Sofas"/>
    <x v="81"/>
    <n v="16"/>
    <n v="32117.9"/>
    <n v="0"/>
    <n v="0"/>
    <n v="513886.4"/>
    <n v="-58218.77"/>
    <s v="Furniture"/>
    <n v="58218.77"/>
    <s v="Large"/>
    <s v="Large"/>
    <s v="No Discount"/>
  </r>
  <r>
    <s v="ORD-10952"/>
    <x v="110"/>
    <d v="2023-07-24T00:00:00"/>
    <s v="Standard Class"/>
    <s v="Fatima"/>
    <s v="Gambo"/>
    <s v="fatima.gambo@yahoo.com"/>
    <n v="8131758400"/>
    <x v="2"/>
    <x v="2"/>
    <x v="4"/>
    <x v="3"/>
    <s v="Tables"/>
    <x v="5"/>
    <n v="10"/>
    <n v="41994.879999999997"/>
    <n v="20"/>
    <n v="83989.759999999995"/>
    <n v="335959.03999999998"/>
    <n v="-38042.29"/>
    <s v="Furniture"/>
    <n v="38042.29"/>
    <s v="Small"/>
    <s v="Small"/>
    <s v="No Discount"/>
  </r>
  <r>
    <s v="ORD-10068"/>
    <x v="111"/>
    <d v="2023-07-28T00:00:00"/>
    <s v="Standard Class"/>
    <s v="Kemi"/>
    <s v="Otedola"/>
    <s v="kemi.otedola@outlook.com"/>
    <n v="9023927575"/>
    <x v="0"/>
    <x v="3"/>
    <x v="11"/>
    <x v="2"/>
    <s v="Laptops"/>
    <x v="30"/>
    <n v="8"/>
    <n v="21464.240000000002"/>
    <n v="10"/>
    <n v="17171.39"/>
    <n v="154542.53"/>
    <n v="-21718.07"/>
    <s v="Technology"/>
    <n v="21718.07"/>
    <s v="Small"/>
    <s v="Small"/>
    <s v="No Discount"/>
  </r>
  <r>
    <s v="ORD-10074"/>
    <x v="112"/>
    <d v="2023-07-31T00:00:00"/>
    <s v="Standard Class"/>
    <s v="Oluwaseun"/>
    <s v="Lawal"/>
    <s v="oluwaseun.lawal@gmail.com"/>
    <n v="9055487028"/>
    <x v="1"/>
    <x v="0"/>
    <x v="8"/>
    <x v="2"/>
    <s v="Phones"/>
    <x v="22"/>
    <n v="10"/>
    <n v="320673.96999999997"/>
    <n v="10"/>
    <n v="320673.96999999997"/>
    <n v="2886065.73"/>
    <n v="174936.14"/>
    <s v="Technology"/>
    <n v="174936.14"/>
    <s v="Small"/>
    <s v="Small"/>
    <s v="No Discount"/>
  </r>
  <r>
    <s v="ORD-10991"/>
    <x v="113"/>
    <d v="2023-07-31T00:00:00"/>
    <s v="Standard Class"/>
    <s v="Nike"/>
    <s v="Tinubu"/>
    <s v="nike.tinubu@gmail.com"/>
    <n v="8036392076"/>
    <x v="2"/>
    <x v="2"/>
    <x v="12"/>
    <x v="2"/>
    <s v="Accessories"/>
    <x v="39"/>
    <n v="17"/>
    <n v="351539.63"/>
    <n v="5"/>
    <n v="298808.69"/>
    <n v="5677365.0199999996"/>
    <n v="2118249.8199999998"/>
    <s v="Technology"/>
    <n v="2118249.8199999998"/>
    <s v="Large"/>
    <s v="Large"/>
    <s v="Offer Discount"/>
  </r>
  <r>
    <s v="ORD-10510"/>
    <x v="112"/>
    <d v="2023-08-01T00:00:00"/>
    <s v="Standard Class"/>
    <s v="Emeka"/>
    <s v="Musa"/>
    <s v="emeka.musa@yahoo.com"/>
    <n v="7066058905"/>
    <x v="0"/>
    <x v="3"/>
    <x v="16"/>
    <x v="4"/>
    <s v="Cooking Oil"/>
    <x v="41"/>
    <n v="19"/>
    <n v="5786.49"/>
    <n v="0"/>
    <n v="0"/>
    <n v="109943.31"/>
    <n v="127.98"/>
    <s v="Food &amp; Beverages"/>
    <n v="127.98"/>
    <s v="Large"/>
    <s v="Large"/>
    <s v="No Discount"/>
  </r>
  <r>
    <s v="ORD-10454"/>
    <x v="114"/>
    <d v="2023-08-02T00:00:00"/>
    <s v="Standard Class"/>
    <s v="Ikenna"/>
    <s v="Fashola"/>
    <s v="ikenna.fashola@yahoo.com"/>
    <n v="8158417942"/>
    <x v="1"/>
    <x v="0"/>
    <x v="17"/>
    <x v="0"/>
    <s v="Art Supplies"/>
    <x v="78"/>
    <n v="10"/>
    <n v="19497.310000000001"/>
    <n v="0"/>
    <n v="0"/>
    <n v="194973.1"/>
    <n v="-24921.05"/>
    <s v="Office Supplies"/>
    <n v="24921.05"/>
    <s v="Small"/>
    <s v="Small"/>
    <s v="No Discount"/>
  </r>
  <r>
    <s v="ORD-10142"/>
    <x v="115"/>
    <d v="2023-08-03T00:00:00"/>
    <s v="Standard Class"/>
    <s v="Fatima"/>
    <s v="Lawal"/>
    <s v="fatima.lawal@outlook.com"/>
    <n v="8034475536"/>
    <x v="0"/>
    <x v="1"/>
    <x v="7"/>
    <x v="4"/>
    <s v="Snacks"/>
    <x v="82"/>
    <n v="10"/>
    <n v="7452.34"/>
    <n v="0"/>
    <n v="0"/>
    <n v="74523.399999999994"/>
    <n v="14038.34"/>
    <s v="Food &amp; Beverages"/>
    <n v="14038.34"/>
    <s v="Small"/>
    <s v="Small"/>
    <s v="No Discount"/>
  </r>
  <r>
    <s v="ORD-10875"/>
    <x v="113"/>
    <d v="2023-08-03T00:00:00"/>
    <s v="Standard Class"/>
    <s v="Taiwo"/>
    <s v="Obi"/>
    <s v="taiwo.obi@hotmail.com"/>
    <s v="00000000000"/>
    <x v="1"/>
    <x v="2"/>
    <x v="12"/>
    <x v="2"/>
    <s v="Tablets"/>
    <x v="83"/>
    <n v="17"/>
    <n v="221462.1"/>
    <n v="5"/>
    <n v="188242.79"/>
    <n v="3576612.91"/>
    <n v="1409077.27"/>
    <s v="Technology"/>
    <n v="1409077.27"/>
    <s v="Large"/>
    <s v="Large"/>
    <s v="Offer Discount"/>
  </r>
  <r>
    <s v="ORD-10043"/>
    <x v="116"/>
    <d v="2023-08-14T00:00:00"/>
    <s v="Standard Class"/>
    <s v="Kunle"/>
    <s v="Fashola"/>
    <s v="kunle.fashola@outlook.com"/>
    <n v="8101861958"/>
    <x v="0"/>
    <x v="3"/>
    <x v="16"/>
    <x v="0"/>
    <s v="Art Supplies"/>
    <x v="78"/>
    <n v="3"/>
    <n v="3295.13"/>
    <n v="15"/>
    <n v="1482.81"/>
    <n v="8402.58"/>
    <n v="1218.78"/>
    <s v="Office Supplies"/>
    <n v="1218.78"/>
    <s v="Small"/>
    <s v="Small"/>
    <s v="No Discount"/>
  </r>
  <r>
    <s v="ORD-10584"/>
    <x v="117"/>
    <d v="2023-08-16T00:00:00"/>
    <s v="Standard Class"/>
    <s v="Seun"/>
    <s v="Adeleke"/>
    <s v="seun.adeleke@gmail.com"/>
    <n v="9053912192"/>
    <x v="2"/>
    <x v="0"/>
    <x v="14"/>
    <x v="4"/>
    <s v="Snacks"/>
    <x v="42"/>
    <n v="14"/>
    <n v="3352.21"/>
    <n v="20"/>
    <n v="9386.19"/>
    <n v="37544.75"/>
    <n v="6851.67"/>
    <s v="Food &amp; Beverages"/>
    <n v="6851.67"/>
    <s v="Small"/>
    <s v="Medium"/>
    <s v="No Discount"/>
  </r>
  <r>
    <s v="ORD-10687"/>
    <x v="118"/>
    <d v="2023-08-20T00:00:00"/>
    <s v="Standard Class"/>
    <s v="Olumide"/>
    <s v="Osei"/>
    <s v="olumide.osei@yahoo.com"/>
    <n v="9078128056"/>
    <x v="0"/>
    <x v="0"/>
    <x v="1"/>
    <x v="2"/>
    <s v="Phones"/>
    <x v="66"/>
    <n v="4"/>
    <n v="430997.25"/>
    <n v="10"/>
    <n v="172398.9"/>
    <n v="1551590.1"/>
    <n v="416107.21"/>
    <s v="Technology"/>
    <n v="416107.21"/>
    <s v="Small"/>
    <s v="Small"/>
    <s v="No Discount"/>
  </r>
  <r>
    <s v="ORD-10810"/>
    <x v="119"/>
    <d v="2023-08-23T00:00:00"/>
    <s v="Standard Class"/>
    <s v="Hauwa"/>
    <s v="Sowore"/>
    <s v="unknown"/>
    <n v="8107541701"/>
    <x v="2"/>
    <x v="1"/>
    <x v="2"/>
    <x v="3"/>
    <s v="Bookcases"/>
    <x v="84"/>
    <n v="5"/>
    <n v="15698.17"/>
    <n v="5"/>
    <n v="3924.54"/>
    <n v="74566.31"/>
    <n v="16632.63"/>
    <s v="Furniture"/>
    <n v="16632.63"/>
    <s v="Small"/>
    <s v="Small"/>
    <s v="No Discount"/>
  </r>
  <r>
    <s v="ORD-10247"/>
    <x v="120"/>
    <d v="2023-08-24T00:00:00"/>
    <s v="Standard Class"/>
    <s v="Deola"/>
    <s v="Musa"/>
    <s v="deola.musa@outlook.com"/>
    <n v="9028342987"/>
    <x v="2"/>
    <x v="2"/>
    <x v="3"/>
    <x v="1"/>
    <s v="Bags"/>
    <x v="2"/>
    <n v="18"/>
    <n v="22381.47"/>
    <n v="5"/>
    <n v="20143.32"/>
    <n v="382723.14"/>
    <n v="-26090.67"/>
    <s v="Clothing"/>
    <n v="26090.67"/>
    <s v="Large"/>
    <s v="Large"/>
    <s v="No Discount"/>
  </r>
  <r>
    <s v="ORD-10636"/>
    <x v="121"/>
    <d v="2023-09-01T00:00:00"/>
    <s v="Standard Class"/>
    <s v="Adebayo"/>
    <s v="Adeleke"/>
    <s v="adebayo.adeleke@yahoo.com"/>
    <n v="8163070908"/>
    <x v="1"/>
    <x v="0"/>
    <x v="14"/>
    <x v="2"/>
    <s v="Accessories"/>
    <x v="17"/>
    <n v="12"/>
    <n v="17214.259999999998"/>
    <n v="0"/>
    <n v="0"/>
    <n v="206571.12"/>
    <n v="-24800.68"/>
    <s v="Technology"/>
    <n v="24800.68"/>
    <s v="Small"/>
    <s v="Small"/>
    <s v="No Discount"/>
  </r>
  <r>
    <s v="ORD-10868"/>
    <x v="122"/>
    <d v="2023-09-03T00:00:00"/>
    <s v="Standard Class"/>
    <s v="Ibrahim"/>
    <s v="Adeyemi"/>
    <s v="ibrahim.adeyemi@gmail.com"/>
    <n v="8065251915"/>
    <x v="0"/>
    <x v="3"/>
    <x v="22"/>
    <x v="1"/>
    <s v="Shirts"/>
    <x v="6"/>
    <n v="13"/>
    <n v="42629.61"/>
    <n v="0"/>
    <n v="0"/>
    <n v="554184.93000000005"/>
    <n v="148904.56"/>
    <s v="Clothing"/>
    <n v="148904.56"/>
    <s v="Small"/>
    <s v="Small"/>
    <s v="No Discount"/>
  </r>
  <r>
    <s v="ORD-10794"/>
    <x v="123"/>
    <d v="2023-09-06T00:00:00"/>
    <s v="Standard Class"/>
    <s v="Amara"/>
    <s v="Lawal"/>
    <s v="amara.lawal@hotmail.com"/>
    <n v="8038364357"/>
    <x v="0"/>
    <x v="1"/>
    <x v="2"/>
    <x v="1"/>
    <s v="Accessories"/>
    <x v="11"/>
    <n v="7"/>
    <n v="44930.02"/>
    <n v="15"/>
    <n v="47176.52"/>
    <n v="267333.62"/>
    <n v="-10256.299999999999"/>
    <s v="Clothing"/>
    <n v="10256.299999999999"/>
    <s v="Small"/>
    <s v="Small"/>
    <s v="No Discount"/>
  </r>
  <r>
    <s v="ORD-10639"/>
    <x v="124"/>
    <d v="2023-09-09T00:00:00"/>
    <s v="Standard Class"/>
    <s v="Obinna"/>
    <s v="Lawal"/>
    <s v="bukola.adeyemi@hotmail.com"/>
    <n v="9028329845"/>
    <x v="1"/>
    <x v="3"/>
    <x v="11"/>
    <x v="2"/>
    <s v="Phones"/>
    <x v="4"/>
    <n v="11"/>
    <n v="207227.08"/>
    <n v="25"/>
    <n v="569874.47"/>
    <n v="1709623.41"/>
    <n v="702531.94"/>
    <s v="Technology"/>
    <n v="702531.94"/>
    <s v="Small"/>
    <s v="Small"/>
    <s v="No Discount"/>
  </r>
  <r>
    <s v="ORD-10495"/>
    <x v="125"/>
    <d v="2023-09-13T00:00:00"/>
    <s v="Standard Class"/>
    <s v="Obinna"/>
    <s v="Sule"/>
    <s v="obinna.sule@hotmail.com"/>
    <n v="7061199493"/>
    <x v="1"/>
    <x v="3"/>
    <x v="13"/>
    <x v="1"/>
    <s v="Accessories"/>
    <x v="85"/>
    <n v="8"/>
    <n v="39215.040000000001"/>
    <n v="5"/>
    <n v="15686.02"/>
    <n v="298034.3"/>
    <n v="84642.2"/>
    <s v="Clothing"/>
    <n v="84642.2"/>
    <s v="Small"/>
    <s v="Small"/>
    <s v="No Discount"/>
  </r>
  <r>
    <s v="ORD-10103"/>
    <x v="126"/>
    <d v="2023-10-04T00:00:00"/>
    <s v="Standard Class"/>
    <s v="Kunle"/>
    <s v="Dangote"/>
    <s v="kunle.dangote@hotmail.com"/>
    <n v="9027869154"/>
    <x v="0"/>
    <x v="3"/>
    <x v="6"/>
    <x v="4"/>
    <s v="Drinks"/>
    <x v="86"/>
    <n v="3"/>
    <n v="7787.32"/>
    <n v="20"/>
    <n v="4672.3900000000003"/>
    <n v="18689.57"/>
    <n v="2420.3000000000002"/>
    <s v="Food &amp; Beverages"/>
    <n v="2420.3000000000002"/>
    <s v="Small"/>
    <s v="Small"/>
    <s v="No Discount"/>
  </r>
  <r>
    <s v="ORD-10533"/>
    <x v="127"/>
    <d v="2023-10-04T00:00:00"/>
    <s v="Standard Class"/>
    <s v="Lanre"/>
    <s v="Otedola"/>
    <s v="lanre.otedola@yahoo.com"/>
    <n v="8037512001"/>
    <x v="2"/>
    <x v="0"/>
    <x v="14"/>
    <x v="1"/>
    <s v="Shoes"/>
    <x v="87"/>
    <n v="5"/>
    <n v="36293.279999999999"/>
    <n v="25"/>
    <n v="45366.6"/>
    <n v="136099.79999999999"/>
    <n v="33786.19"/>
    <s v="Clothing"/>
    <n v="33786.19"/>
    <s v="Small"/>
    <s v="Small"/>
    <s v="No Discount"/>
  </r>
  <r>
    <s v="ORD-10082"/>
    <x v="128"/>
    <d v="2023-10-06T00:00:00"/>
    <s v="Standard Class"/>
    <s v="Olumide"/>
    <s v="Adeleke"/>
    <s v="olumide.adeleke@gmail.com"/>
    <n v="7035816353"/>
    <x v="2"/>
    <x v="2"/>
    <x v="3"/>
    <x v="2"/>
    <s v="Laptops"/>
    <x v="88"/>
    <n v="13"/>
    <n v="273424.71999999997"/>
    <n v="20"/>
    <n v="710904.27"/>
    <n v="2843617.09"/>
    <n v="563598.21"/>
    <s v="Technology"/>
    <n v="563598.21"/>
    <s v="Small"/>
    <s v="Small"/>
    <s v="No Discount"/>
  </r>
  <r>
    <s v="ORD-10751"/>
    <x v="129"/>
    <d v="2023-10-21T00:00:00"/>
    <s v="Standard Class"/>
    <s v="Musa"/>
    <s v="Sanusi"/>
    <s v="musa.sanusi@gmail.com"/>
    <n v="8142398988"/>
    <x v="0"/>
    <x v="1"/>
    <x v="5"/>
    <x v="1"/>
    <s v="Trousers"/>
    <x v="10"/>
    <n v="7"/>
    <n v="25321.86"/>
    <n v="20"/>
    <n v="35450.6"/>
    <n v="141802.42000000001"/>
    <n v="4250.75"/>
    <s v="Clothing"/>
    <n v="4250.75"/>
    <s v="Small"/>
    <s v="Small"/>
    <s v="No Discount"/>
  </r>
  <r>
    <s v="ORD-10197"/>
    <x v="130"/>
    <d v="2023-10-22T00:00:00"/>
    <s v="Standard Class"/>
    <s v="Yemi"/>
    <s v="Musa"/>
    <s v="yemi.musa@outlook.com"/>
    <n v="8107299138"/>
    <x v="1"/>
    <x v="2"/>
    <x v="4"/>
    <x v="3"/>
    <s v="Chairs"/>
    <x v="38"/>
    <n v="3"/>
    <n v="169995.47"/>
    <n v="10"/>
    <n v="50998.64"/>
    <n v="458987.77"/>
    <n v="94743.49"/>
    <s v="Furniture"/>
    <n v="94743.49"/>
    <s v="Small"/>
    <s v="Small"/>
    <s v="No Discount"/>
  </r>
  <r>
    <s v="ORD-10468"/>
    <x v="131"/>
    <d v="2023-10-22T00:00:00"/>
    <s v="Standard Class"/>
    <s v="Taiwo"/>
    <s v="Ogundipe"/>
    <s v="taiwo.ogundipe@gmail.com"/>
    <n v="8141484969"/>
    <x v="1"/>
    <x v="1"/>
    <x v="19"/>
    <x v="1"/>
    <s v="Trousers"/>
    <x v="10"/>
    <n v="19"/>
    <n v="13573.87"/>
    <n v="0"/>
    <n v="0"/>
    <n v="257903.53"/>
    <n v="-570.05999999999995"/>
    <s v="Clothing"/>
    <n v="570.05999999999995"/>
    <s v="Large"/>
    <s v="Large"/>
    <s v="No Discount"/>
  </r>
  <r>
    <s v="ORD-10467"/>
    <x v="132"/>
    <d v="2023-10-24T00:00:00"/>
    <s v="Standard Class"/>
    <s v="Chibundo"/>
    <s v="Osei"/>
    <s v="chibundo.osei@outlook.com"/>
    <n v="7063029477"/>
    <x v="1"/>
    <x v="2"/>
    <x v="3"/>
    <x v="2"/>
    <s v="Phones"/>
    <x v="54"/>
    <n v="19"/>
    <n v="342178.18"/>
    <n v="5"/>
    <n v="325069.27"/>
    <n v="257903.53"/>
    <n v="900430.71"/>
    <s v="Technology"/>
    <n v="900430.71"/>
    <s v="Large"/>
    <s v="Large"/>
    <s v="Offer Discount"/>
  </r>
  <r>
    <s v="ORD-10806"/>
    <x v="133"/>
    <d v="2023-10-27T00:00:00"/>
    <s v="Standard Class"/>
    <s v="Bukola"/>
    <s v="Tinubu"/>
    <s v="bukola.tinubu@yahoo.com"/>
    <n v="8166374017"/>
    <x v="0"/>
    <x v="1"/>
    <x v="9"/>
    <x v="3"/>
    <s v="Storage"/>
    <x v="18"/>
    <n v="14"/>
    <n v="58388.97"/>
    <n v="15"/>
    <n v="122616.84"/>
    <n v="694828.74"/>
    <n v="77183.87"/>
    <s v="Furniture"/>
    <n v="77183.87"/>
    <s v="Small"/>
    <s v="Medium"/>
    <s v="No Discount"/>
  </r>
  <r>
    <s v="ORD-10793"/>
    <x v="134"/>
    <d v="2023-11-01T00:00:00"/>
    <s v="Standard Class"/>
    <s v="Olumide"/>
    <s v="Gambo"/>
    <s v="olumide.gambo@gmail.com"/>
    <n v="8133600666"/>
    <x v="2"/>
    <x v="0"/>
    <x v="8"/>
    <x v="0"/>
    <s v="Paper"/>
    <x v="89"/>
    <n v="8"/>
    <n v="5999.48"/>
    <n v="5"/>
    <n v="2399.79"/>
    <n v="45596.05"/>
    <n v="17102.240000000002"/>
    <s v="Office Supplies"/>
    <n v="17102.240000000002"/>
    <s v="Small"/>
    <s v="Small"/>
    <s v="No Discount"/>
  </r>
  <r>
    <s v="ORD-10009"/>
    <x v="134"/>
    <d v="2023-11-03T00:00:00"/>
    <s v="Standard Class"/>
    <s v="Amara"/>
    <s v="Bello"/>
    <s v="amara.bello@outlook.com"/>
    <n v="8036159230"/>
    <x v="2"/>
    <x v="3"/>
    <x v="6"/>
    <x v="3"/>
    <s v="Chairs"/>
    <x v="90"/>
    <n v="3"/>
    <n v="159017.65"/>
    <n v="0"/>
    <n v="0"/>
    <n v="477052.95"/>
    <n v="137937.26"/>
    <s v="Furniture"/>
    <n v="137937.26"/>
    <s v="Small"/>
    <s v="Small"/>
    <s v="No Discount"/>
  </r>
  <r>
    <s v="ORD-10020"/>
    <x v="135"/>
    <d v="2023-11-21T00:00:00"/>
    <s v="Standard Class"/>
    <s v="Tobi"/>
    <s v="Adeyemi"/>
    <s v="tobi.adeyemi@hotmail.com"/>
    <n v="8158175395"/>
    <x v="0"/>
    <x v="1"/>
    <x v="7"/>
    <x v="4"/>
    <s v="Drinks"/>
    <x v="58"/>
    <n v="5"/>
    <n v="879.38"/>
    <n v="25"/>
    <n v="1099.22"/>
    <n v="3297.68"/>
    <n v="-423.37"/>
    <s v="Food &amp; Beverages"/>
    <n v="423.37"/>
    <s v="Small"/>
    <s v="Small"/>
    <s v="No Discount"/>
  </r>
  <r>
    <s v="ORD-10973"/>
    <x v="136"/>
    <d v="2023-11-25T00:00:00"/>
    <s v="Standard Class"/>
    <s v="Bola"/>
    <s v="Otedola"/>
    <s v="bola.otedola@yahoo.com"/>
    <n v="8039789075"/>
    <x v="2"/>
    <x v="2"/>
    <x v="4"/>
    <x v="2"/>
    <s v="Phones"/>
    <x v="66"/>
    <n v="16"/>
    <n v="160225.60000000001"/>
    <n v="10"/>
    <n v="256360.95999999999"/>
    <n v="2307248.64"/>
    <n v="663464.79"/>
    <s v="Technology"/>
    <n v="663464.79"/>
    <s v="Large"/>
    <s v="Large"/>
    <s v="Offer Discount"/>
  </r>
  <r>
    <s v="ORD-10087"/>
    <x v="137"/>
    <d v="2023-11-27T00:00:00"/>
    <s v="Standard Class"/>
    <s v="Deola"/>
    <s v="Olawale"/>
    <s v="deola.olawale@yahoo.com"/>
    <n v="8104034091"/>
    <x v="2"/>
    <x v="2"/>
    <x v="20"/>
    <x v="4"/>
    <s v="Snacks"/>
    <x v="82"/>
    <n v="-2"/>
    <n v="636.42999999999995"/>
    <n v="5"/>
    <n v="381.86"/>
    <n v="7255.3"/>
    <n v="3132.5"/>
    <s v="Food &amp; Beverages"/>
    <n v="3132.5"/>
    <s v="Small"/>
    <s v="Small"/>
    <s v="No Discount"/>
  </r>
  <r>
    <s v="ORD-10193"/>
    <x v="137"/>
    <d v="2023-11-28T00:00:00"/>
    <s v="Standard Class"/>
    <s v="Chisom"/>
    <s v="Okafor"/>
    <s v="chisom.okafor@yahoo.com"/>
    <n v="9018329435"/>
    <x v="2"/>
    <x v="0"/>
    <x v="14"/>
    <x v="4"/>
    <s v="Shoes"/>
    <x v="31"/>
    <n v="18"/>
    <n v="32408.87"/>
    <n v="10"/>
    <n v="58335.97"/>
    <n v="525023.68999999994"/>
    <n v="-8430.66"/>
    <s v="Food &amp; Beverages"/>
    <n v="8430.66"/>
    <s v="Large"/>
    <s v="Large"/>
    <s v="No Discount"/>
  </r>
  <r>
    <s v="ORD-10488"/>
    <x v="138"/>
    <d v="2023-12-01T00:00:00"/>
    <s v="Standard Class"/>
    <s v="Gbenga"/>
    <s v="Fashola"/>
    <s v="gbenga.fashola@yahoo.com"/>
    <n v="7037247000"/>
    <x v="2"/>
    <x v="3"/>
    <x v="16"/>
    <x v="3"/>
    <s v="Sofas"/>
    <x v="91"/>
    <n v="3"/>
    <n v="159646.17000000001"/>
    <n v="0"/>
    <n v="0"/>
    <n v="478938.51"/>
    <n v="-30336.28"/>
    <s v="Furniture"/>
    <n v="30336.28"/>
    <s v="Small"/>
    <s v="Small"/>
    <s v="No Discount"/>
  </r>
  <r>
    <s v="ORD-10778"/>
    <x v="139"/>
    <d v="2023-12-02T00:00:00"/>
    <s v="Standard Class"/>
    <s v="Tunde"/>
    <s v="Sule"/>
    <s v="tunde.sule@outlook.com"/>
    <n v="7061426375"/>
    <x v="1"/>
    <x v="1"/>
    <x v="9"/>
    <x v="4"/>
    <s v="Snacks"/>
    <x v="42"/>
    <n v="15"/>
    <n v="2048.86"/>
    <n v="0"/>
    <n v="0"/>
    <n v="30732.9"/>
    <n v="-2392.04"/>
    <s v="Food &amp; Beverages"/>
    <n v="2392.04"/>
    <s v="Large"/>
    <s v="Large"/>
    <s v="No Discount"/>
  </r>
  <r>
    <s v="ORD-10624"/>
    <x v="140"/>
    <d v="2023-12-05T00:00:00"/>
    <s v="Standard Class"/>
    <s v="Lanre"/>
    <s v="Buhari"/>
    <s v="lanre.buhari@outlook.com"/>
    <n v="9026231562"/>
    <x v="1"/>
    <x v="1"/>
    <x v="2"/>
    <x v="1"/>
    <s v="Trousers"/>
    <x v="48"/>
    <n v="5"/>
    <n v="6543.4"/>
    <n v="5"/>
    <n v="1635.85"/>
    <n v="31081.15"/>
    <n v="12433.03"/>
    <s v="Clothing"/>
    <n v="12433.03"/>
    <s v="Small"/>
    <s v="Small"/>
    <s v="No Discount"/>
  </r>
  <r>
    <s v="ORD-10941"/>
    <x v="141"/>
    <d v="2023-12-07T00:00:00"/>
    <s v="Standard Class"/>
    <s v="Olumide"/>
    <s v="Okafor"/>
    <s v="olumide.okafor@yahoo.com"/>
    <n v="9013067693"/>
    <x v="1"/>
    <x v="2"/>
    <x v="4"/>
    <x v="0"/>
    <s v="Pens &amp; Pencils"/>
    <x v="67"/>
    <n v="17"/>
    <n v="9778.75"/>
    <n v="10"/>
    <n v="16623.88"/>
    <n v="149614.87"/>
    <n v="17362.37"/>
    <s v="Office Supplies"/>
    <n v="17362.37"/>
    <s v="Large"/>
    <s v="Large"/>
    <s v="No Discount"/>
  </r>
  <r>
    <s v="ORD-10748"/>
    <x v="139"/>
    <d v="2023-12-09T00:00:00"/>
    <s v="Standard Class"/>
    <s v="Gbenga"/>
    <s v="Nwosu"/>
    <s v="gbenga.nwosu@yahoo.com"/>
    <n v="8105669360"/>
    <x v="2"/>
    <x v="1"/>
    <x v="19"/>
    <x v="4"/>
    <s v="Drinks"/>
    <x v="86"/>
    <n v="15"/>
    <n v="3045.06"/>
    <n v="0"/>
    <n v="0"/>
    <n v="45675.9"/>
    <n v="16168.64"/>
    <s v="Food &amp; Beverages"/>
    <n v="16168.64"/>
    <s v="Large"/>
    <s v="Large"/>
    <s v="No Discount"/>
  </r>
  <r>
    <s v="ORD-10759"/>
    <x v="139"/>
    <d v="2023-12-10T00:00:00"/>
    <s v="Standard Class"/>
    <s v="Bukola"/>
    <s v="Adebayo"/>
    <s v="bukola.adebayo@hotmail.com"/>
    <n v="8162862787"/>
    <x v="0"/>
    <x v="1"/>
    <x v="19"/>
    <x v="1"/>
    <s v="Trousers"/>
    <x v="10"/>
    <n v="14"/>
    <n v="15955.46"/>
    <n v="0"/>
    <n v="0"/>
    <n v="223376.44"/>
    <n v="83625.52"/>
    <s v="Clothing"/>
    <n v="83625.52"/>
    <s v="Small"/>
    <s v="Medium"/>
    <s v="No Discount"/>
  </r>
  <r>
    <s v="ORD-10037"/>
    <x v="142"/>
    <d v="2023-12-21T00:00:00"/>
    <s v="Standard Class"/>
    <s v="Uchenna"/>
    <s v="Musa"/>
    <s v="uchenna.musa@outlook.com"/>
    <n v="8038047416"/>
    <x v="0"/>
    <x v="0"/>
    <x v="8"/>
    <x v="1"/>
    <s v="Shirts"/>
    <x v="6"/>
    <n v="15"/>
    <n v="43313.87"/>
    <n v="0"/>
    <n v="0"/>
    <n v="649708.05000000005"/>
    <n v="72307.490000000005"/>
    <s v="Clothing"/>
    <n v="72307.490000000005"/>
    <s v="Large"/>
    <s v="Large"/>
    <s v="No Discount"/>
  </r>
  <r>
    <s v="ORD-10788"/>
    <x v="142"/>
    <d v="2023-12-21T00:00:00"/>
    <s v="Standard Class"/>
    <s v="Adebayo"/>
    <s v="Danjuma"/>
    <s v="adebayo.danjuma@gmail.com"/>
    <n v="7068244357"/>
    <x v="2"/>
    <x v="1"/>
    <x v="5"/>
    <x v="2"/>
    <s v="Phones"/>
    <x v="4"/>
    <n v="11"/>
    <n v="93620.89"/>
    <n v="0"/>
    <n v="0"/>
    <n v="1029829.79"/>
    <n v="26122.77"/>
    <s v="Technology"/>
    <n v="26122.77"/>
    <s v="Small"/>
    <s v="Small"/>
    <s v="No Discount"/>
  </r>
  <r>
    <s v="ORD-10191"/>
    <x v="143"/>
    <d v="2023-12-28T00:00:00"/>
    <s v="Standard Class"/>
    <s v="Kehinde"/>
    <s v="Nwosu"/>
    <s v="kehinde.nwosu@hotmail.com"/>
    <n v="8156185050"/>
    <x v="2"/>
    <x v="0"/>
    <x v="17"/>
    <x v="3"/>
    <s v="Storage"/>
    <x v="92"/>
    <n v="8"/>
    <n v="23524.27"/>
    <n v="5"/>
    <n v="9409.7099999999991"/>
    <n v="178784.45"/>
    <n v="-24679.98"/>
    <s v="Furniture"/>
    <n v="24679.98"/>
    <s v="Small"/>
    <s v="Small"/>
    <s v="No Discount"/>
  </r>
  <r>
    <s v="ORD-10919"/>
    <x v="144"/>
    <d v="2024-01-22T00:00:00"/>
    <s v="Standard Class"/>
    <s v="Ikenna"/>
    <s v="Nwosu"/>
    <s v="ikenna.nwosu@outlook.com"/>
    <n v="8061820610"/>
    <x v="1"/>
    <x v="0"/>
    <x v="0"/>
    <x v="2"/>
    <s v="Tablets"/>
    <x v="93"/>
    <n v="16"/>
    <n v="96154.68"/>
    <n v="20"/>
    <n v="307694.98"/>
    <n v="1230779.8999999999"/>
    <n v="301538.21000000002"/>
    <s v="Technology"/>
    <n v="301538.21000000002"/>
    <s v="Large"/>
    <s v="Large"/>
    <s v="Offer Discount"/>
  </r>
  <r>
    <s v="ORD-10963"/>
    <x v="145"/>
    <d v="2024-01-27T00:00:00"/>
    <s v="Standard Class"/>
    <s v="Aisha"/>
    <s v="Sule"/>
    <s v="aisha.sule@hotmail.com"/>
    <n v="9011702514"/>
    <x v="1"/>
    <x v="3"/>
    <x v="11"/>
    <x v="4"/>
    <s v="Drinks"/>
    <x v="72"/>
    <n v="7"/>
    <n v="708.38"/>
    <n v="5"/>
    <n v="247.93"/>
    <n v="4710.7299999999996"/>
    <n v="452.75"/>
    <s v="Food &amp; Beverages"/>
    <n v="452.75"/>
    <s v="Small"/>
    <s v="Small"/>
    <s v="No Discount"/>
  </r>
  <r>
    <s v="ORD-10969"/>
    <x v="146"/>
    <d v="2024-01-31T00:00:00"/>
    <s v="Standard Class"/>
    <s v="Taiwo"/>
    <s v="Obi"/>
    <s v="taiwo.obi@yahoo.com"/>
    <n v="8035621002"/>
    <x v="2"/>
    <x v="2"/>
    <x v="10"/>
    <x v="0"/>
    <s v="Fasteners"/>
    <x v="94"/>
    <n v="2"/>
    <n v="11909.23"/>
    <n v="10"/>
    <n v="2381.85"/>
    <n v="21436.61"/>
    <n v="-2732.64"/>
    <s v="Office Supplies"/>
    <n v="2732.64"/>
    <s v="Small"/>
    <s v="Small"/>
    <s v="No Discount"/>
  </r>
  <r>
    <s v="ORD-10620"/>
    <x v="147"/>
    <d v="2024-02-10T00:00:00"/>
    <s v="Standard Class"/>
    <s v="Amara"/>
    <s v="Abubakar"/>
    <s v="amara.abubakar@gmail.com"/>
    <n v="8031174416"/>
    <x v="2"/>
    <x v="1"/>
    <x v="5"/>
    <x v="3"/>
    <s v="Chairs"/>
    <x v="95"/>
    <n v="14"/>
    <n v="156158.87"/>
    <n v="5"/>
    <n v="109311.21"/>
    <n v="2076912.97"/>
    <n v="-99453.24"/>
    <s v="Furniture"/>
    <n v="99453.24"/>
    <s v="Small"/>
    <s v="Medium"/>
    <s v="No Discount"/>
  </r>
  <r>
    <s v="ORD-10526"/>
    <x v="148"/>
    <d v="2024-02-16T00:00:00"/>
    <s v="Standard Class"/>
    <s v="Wale"/>
    <s v="Sanusi"/>
    <s v="wale.sanusi@outlook.com"/>
    <n v="9058205036"/>
    <x v="0"/>
    <x v="2"/>
    <x v="4"/>
    <x v="0"/>
    <s v="Pens &amp; Pencils"/>
    <x v="28"/>
    <n v="8"/>
    <n v="24986.41"/>
    <n v="10"/>
    <n v="19989.13"/>
    <n v="179902.15"/>
    <n v="44804.09"/>
    <s v="Office Supplies"/>
    <n v="44804.09"/>
    <s v="Small"/>
    <s v="Small"/>
    <s v="No Discount"/>
  </r>
  <r>
    <s v="ORD-10525"/>
    <x v="149"/>
    <d v="2024-02-18T00:00:00"/>
    <s v="Standard Class"/>
    <s v="Femi"/>
    <s v="Musa"/>
    <s v="femi.musa@outlook.com"/>
    <n v="8034938956"/>
    <x v="1"/>
    <x v="3"/>
    <x v="22"/>
    <x v="1"/>
    <s v="Bags"/>
    <x v="2"/>
    <n v="9"/>
    <n v="2408.7800000000002"/>
    <n v="0"/>
    <n v="0"/>
    <n v="21679.02"/>
    <n v="5402.27"/>
    <s v="Clothing"/>
    <n v="5402.27"/>
    <s v="Small"/>
    <s v="Small"/>
    <s v="No Discount"/>
  </r>
  <r>
    <s v="ORD-10900"/>
    <x v="150"/>
    <d v="2024-02-18T00:00:00"/>
    <s v="Standard Class"/>
    <s v="Chidi"/>
    <s v="Eze"/>
    <s v="chidi.eze@hotmail.com"/>
    <n v="8159220106"/>
    <x v="0"/>
    <x v="3"/>
    <x v="6"/>
    <x v="1"/>
    <s v="Accessories"/>
    <x v="11"/>
    <n v="17"/>
    <n v="33228.1"/>
    <n v="20"/>
    <n v="112975.54"/>
    <n v="451902.16"/>
    <n v="193081.05"/>
    <s v="Clothing"/>
    <n v="193081.05"/>
    <s v="Large"/>
    <s v="Large"/>
    <s v="No Discount"/>
  </r>
  <r>
    <s v="ORD-10004"/>
    <x v="151"/>
    <d v="2024-02-25T00:00:00"/>
    <s v="Standard Class"/>
    <s v="Adebayo"/>
    <s v="Tinubu"/>
    <s v="adebayo.tinubu@outlook.com"/>
    <n v="8107210606"/>
    <x v="0"/>
    <x v="0"/>
    <x v="1"/>
    <x v="0"/>
    <s v="Binders"/>
    <x v="33"/>
    <n v="3"/>
    <n v="17694.599999999999"/>
    <n v="0"/>
    <n v="0"/>
    <n v="53083.8"/>
    <n v="9049.93"/>
    <s v="Office Supplies"/>
    <n v="9049.93"/>
    <s v="Small"/>
    <s v="Small"/>
    <s v="No Discount"/>
  </r>
  <r>
    <s v="ORD-10769"/>
    <x v="151"/>
    <d v="2024-02-26T00:00:00"/>
    <s v="Standard Class"/>
    <s v="Ikenna"/>
    <s v="Lawal"/>
    <s v="ikenna.lawal@gmail.com"/>
    <n v="7037046381"/>
    <x v="0"/>
    <x v="2"/>
    <x v="13"/>
    <x v="0"/>
    <s v="Art Supplies"/>
    <x v="96"/>
    <n v="10"/>
    <n v="11136.65"/>
    <n v="5"/>
    <n v="5568.32"/>
    <n v="105798.18"/>
    <n v="47590.55"/>
    <s v="Office Supplies"/>
    <n v="47590.55"/>
    <s v="Small"/>
    <s v="Small"/>
    <s v="No Discount"/>
  </r>
  <r>
    <s v="ORD-10032"/>
    <x v="152"/>
    <d v="2024-02-27T00:00:00"/>
    <s v="Standard Class"/>
    <s v="Chidi"/>
    <s v="Adebayo"/>
    <s v="chidi.adebayo@outlook.com"/>
    <n v="9027542890"/>
    <x v="1"/>
    <x v="3"/>
    <x v="16"/>
    <x v="1"/>
    <s v="Accessories"/>
    <x v="11"/>
    <n v="8"/>
    <n v="36394.33"/>
    <n v="20"/>
    <n v="58230.93"/>
    <n v="232923.71"/>
    <n v="-4273.46"/>
    <s v="Clothing"/>
    <n v="4273.46"/>
    <s v="Small"/>
    <s v="Small"/>
    <s v="No Discount"/>
  </r>
  <r>
    <s v="ORD-10730"/>
    <x v="153"/>
    <d v="2024-02-27T00:00:00"/>
    <s v="Standard Class"/>
    <s v="Adaeze"/>
    <s v="Tinubu"/>
    <s v="adaeze.tinubu@outlook.com"/>
    <s v="803 1234567"/>
    <x v="2"/>
    <x v="2"/>
    <x v="10"/>
    <x v="2"/>
    <s v="Phones"/>
    <x v="22"/>
    <n v="3"/>
    <n v="328893.37"/>
    <n v="15"/>
    <n v="148002.01999999999"/>
    <n v="838678.09"/>
    <n v="359873.44"/>
    <s v="Technology"/>
    <n v="359873.44"/>
    <s v="Small"/>
    <s v="Small"/>
    <s v="No Discount"/>
  </r>
  <r>
    <s v="ORD-10216"/>
    <x v="154"/>
    <d v="2024-02-28T00:00:00"/>
    <s v="Standard Class"/>
    <s v="Chibundo"/>
    <s v="Adeleke"/>
    <s v="chibundo.adeleke@yahoo.com"/>
    <n v="8104360419"/>
    <x v="0"/>
    <x v="2"/>
    <x v="12"/>
    <x v="0"/>
    <s v="Envelopes"/>
    <x v="3"/>
    <n v="15"/>
    <n v="22374.71"/>
    <n v="0"/>
    <n v="0"/>
    <n v="335620.65"/>
    <n v="13367.8"/>
    <s v="Office Supplies"/>
    <n v="13367.8"/>
    <s v="Large"/>
    <s v="Large"/>
    <s v="No Discount"/>
  </r>
  <r>
    <s v="ORD-10589"/>
    <x v="153"/>
    <d v="2024-03-01T00:00:00"/>
    <s v="Standard Class"/>
    <s v="Lanre"/>
    <s v="Lawal"/>
    <s v="lanre.lawal@gmail.com"/>
    <n v="8163704873"/>
    <x v="0"/>
    <x v="2"/>
    <x v="20"/>
    <x v="3"/>
    <s v="Storage"/>
    <x v="92"/>
    <n v="3"/>
    <n v="160255.07"/>
    <n v="5"/>
    <n v="24038.26"/>
    <n v="456726.95"/>
    <n v="173849.11"/>
    <s v="Furniture"/>
    <n v="173849.11"/>
    <s v="Small"/>
    <s v="Small"/>
    <s v="No Discount"/>
  </r>
  <r>
    <s v="ORD-10187"/>
    <x v="155"/>
    <d v="2024-03-02T00:00:00"/>
    <s v="Standard Class"/>
    <s v="Fatima"/>
    <s v="Adebayo"/>
    <s v="fatima.adebayo@yahoo.com"/>
    <n v="8105613428"/>
    <x v="1"/>
    <x v="1"/>
    <x v="5"/>
    <x v="0"/>
    <s v="Envelopes"/>
    <x v="77"/>
    <n v="20"/>
    <n v="1348.91"/>
    <n v="5"/>
    <n v="1348.91"/>
    <n v="25629.29"/>
    <n v="6109.18"/>
    <s v="Office Supplies"/>
    <n v="6109.18"/>
    <s v="Large"/>
    <s v="Large"/>
    <s v="No Discount"/>
  </r>
  <r>
    <s v="ORD-10219"/>
    <x v="156"/>
    <d v="2024-03-03T00:00:00"/>
    <s v="Standard Class"/>
    <s v="Aisha"/>
    <s v="Musa"/>
    <s v="aisha.musa@gmail.com"/>
    <n v="8165879280"/>
    <x v="0"/>
    <x v="0"/>
    <x v="17"/>
    <x v="1"/>
    <s v="Accessories"/>
    <x v="11"/>
    <n v="14"/>
    <n v="24537.06"/>
    <n v="0"/>
    <n v="0"/>
    <n v="343518.84"/>
    <n v="19113.29"/>
    <s v="Clothing"/>
    <n v="19113.29"/>
    <s v="Small"/>
    <s v="Medium"/>
    <s v="No Discount"/>
  </r>
  <r>
    <s v="ORD-10776"/>
    <x v="157"/>
    <d v="2024-03-04T00:00:00"/>
    <s v="Standard Class"/>
    <s v="Musa"/>
    <s v="Adeyemi"/>
    <s v="musa.adeyemi@gmail.com"/>
    <n v="8101572338"/>
    <x v="2"/>
    <x v="0"/>
    <x v="0"/>
    <x v="3"/>
    <s v="Tables"/>
    <x v="9"/>
    <n v="19"/>
    <n v="63475.57"/>
    <n v="20"/>
    <n v="241207.17"/>
    <n v="964828.66"/>
    <n v="135372.13"/>
    <s v="Furniture"/>
    <n v="135372.13"/>
    <s v="Large"/>
    <s v="Large"/>
    <s v="No Discount"/>
  </r>
  <r>
    <s v="ORD-10814"/>
    <x v="158"/>
    <d v="2024-03-11T00:00:00"/>
    <s v="Standard Class"/>
    <s v="Sade"/>
    <s v="Buhari"/>
    <s v="sade.buhari@gmail.com"/>
    <n v="8138314004"/>
    <x v="0"/>
    <x v="2"/>
    <x v="4"/>
    <x v="4"/>
    <s v="Grains"/>
    <x v="97"/>
    <n v="15"/>
    <n v="5985.27"/>
    <n v="0"/>
    <n v="0"/>
    <n v="89779.05"/>
    <n v="22240.61"/>
    <s v="Food &amp; Beverages"/>
    <n v="22240.61"/>
    <s v="Large"/>
    <s v="Large"/>
    <s v="No Discount"/>
  </r>
  <r>
    <s v="ORD-10894"/>
    <x v="159"/>
    <d v="2024-03-14T00:00:00"/>
    <s v="Standard Class"/>
    <s v="Uchenna"/>
    <s v="Olawale"/>
    <s v="uchenna.olawale@gmail.com"/>
    <n v="8148319762"/>
    <x v="2"/>
    <x v="2"/>
    <x v="12"/>
    <x v="1"/>
    <s v="Bags"/>
    <x v="2"/>
    <n v="12"/>
    <n v="20806.580000000002"/>
    <n v="5"/>
    <n v="12483.95"/>
    <n v="237195.01"/>
    <n v="2721.33"/>
    <s v="Clothing"/>
    <n v="2721.33"/>
    <s v="Small"/>
    <s v="Small"/>
    <s v="No Discount"/>
  </r>
  <r>
    <s v="ORD-10408"/>
    <x v="160"/>
    <d v="2024-03-19T00:00:00"/>
    <s v="Standard Class"/>
    <s v="Wale"/>
    <s v="Danjuma"/>
    <s v="wale.danjuma@hotmail.com"/>
    <n v="9056918393"/>
    <x v="0"/>
    <x v="1"/>
    <x v="9"/>
    <x v="0"/>
    <s v="Pens &amp; Pencils"/>
    <x v="79"/>
    <n v="2"/>
    <n v="1189.5999999999999"/>
    <n v="0"/>
    <n v="0"/>
    <n v="2379.1999999999998"/>
    <n v="837.86"/>
    <s v="Office Supplies"/>
    <n v="837.86"/>
    <s v="Small"/>
    <s v="Small"/>
    <s v="No Discount"/>
  </r>
  <r>
    <s v="ORD-10282"/>
    <x v="161"/>
    <d v="2024-03-29T00:00:00"/>
    <s v="Standard Class"/>
    <s v="Yemi"/>
    <s v="Chukwu"/>
    <s v="yemi.chukwu@yahoo.com"/>
    <n v="8067540534"/>
    <x v="0"/>
    <x v="1"/>
    <x v="9"/>
    <x v="0"/>
    <s v="Binders"/>
    <x v="98"/>
    <n v="15"/>
    <n v="18571.03"/>
    <n v="0"/>
    <n v="0"/>
    <n v="278565.45"/>
    <n v="-19843.259999999998"/>
    <s v="Office Supplies"/>
    <n v="19843.259999999998"/>
    <s v="Large"/>
    <s v="Large"/>
    <s v="No Discount"/>
  </r>
  <r>
    <s v="ORD-10749"/>
    <x v="162"/>
    <d v="2024-04-01T00:00:00"/>
    <s v="Standard Class"/>
    <s v="Adaeze"/>
    <s v="Dangote"/>
    <s v="adaeze.dangote@gmail.com"/>
    <n v="8169971681"/>
    <x v="1"/>
    <x v="3"/>
    <x v="18"/>
    <x v="4"/>
    <s v="Drinks"/>
    <x v="58"/>
    <n v="17"/>
    <n v="3739.07"/>
    <n v="5"/>
    <n v="3178.21"/>
    <n v="60385.98"/>
    <n v="-192.31"/>
    <s v="Food &amp; Beverages"/>
    <n v="192.31"/>
    <s v="Large"/>
    <s v="Large"/>
    <s v="No Discount"/>
  </r>
  <r>
    <s v="ORD-10781"/>
    <x v="163"/>
    <d v="2024-04-07T00:00:00"/>
    <s v="Standard Class"/>
    <s v="Chidinma"/>
    <s v="Dangote"/>
    <s v="chidinma.dangote@hotmail.com"/>
    <n v="8148851806"/>
    <x v="1"/>
    <x v="1"/>
    <x v="2"/>
    <x v="0"/>
    <s v="Binders"/>
    <x v="33"/>
    <n v="9"/>
    <n v="508.66"/>
    <n v="25"/>
    <n v="1144.49"/>
    <n v="3433.45"/>
    <n v="861.36"/>
    <s v="Office Supplies"/>
    <n v="861.36"/>
    <s v="Small"/>
    <s v="Small"/>
    <s v="No Discount"/>
  </r>
  <r>
    <s v="ORD-10130"/>
    <x v="164"/>
    <d v="2024-04-11T00:00:00"/>
    <s v="Standard Class"/>
    <s v="Zainab"/>
    <s v="Otedola"/>
    <s v="double@@gmail.com"/>
    <n v="9021946973"/>
    <x v="2"/>
    <x v="2"/>
    <x v="10"/>
    <x v="3"/>
    <s v="Sofas"/>
    <x v="99"/>
    <n v="19"/>
    <n v="48275.78"/>
    <n v="10"/>
    <n v="91723.98"/>
    <n v="825515.84"/>
    <n v="162201.39000000001"/>
    <s v="Furniture"/>
    <n v="162201.39000000001"/>
    <s v="Large"/>
    <s v="Large"/>
    <s v="No Discount"/>
  </r>
  <r>
    <s v="ORD-10079"/>
    <x v="165"/>
    <d v="2024-04-14T00:00:00"/>
    <s v="Standard Class"/>
    <s v="Chisom"/>
    <s v="Adeyemi"/>
    <s v="chisom.adeyemi@hotmail.com"/>
    <n v="8037070880"/>
    <x v="1"/>
    <x v="1"/>
    <x v="5"/>
    <x v="2"/>
    <s v="Accessories"/>
    <x v="34"/>
    <n v="19"/>
    <n v="120842.67"/>
    <n v="15"/>
    <n v="344401.61"/>
    <n v="1951609.12"/>
    <n v="320800.68"/>
    <s v="Technology"/>
    <n v="320800.68"/>
    <s v="Large"/>
    <s v="Large"/>
    <s v="Offer Discount"/>
  </r>
  <r>
    <s v="ORD-10253"/>
    <x v="165"/>
    <d v="2024-04-15T00:00:00"/>
    <s v="Standard Class"/>
    <s v="Emeka"/>
    <s v="Otedola"/>
    <s v="emeka.otedola@outlook.com"/>
    <n v="8158920589"/>
    <x v="0"/>
    <x v="2"/>
    <x v="4"/>
    <x v="3"/>
    <s v="Bookcases"/>
    <x v="84"/>
    <n v="19"/>
    <n v="46408.74"/>
    <n v="10"/>
    <n v="88176.61"/>
    <n v="793589.45"/>
    <n v="-55290.36"/>
    <s v="Furniture"/>
    <n v="55290.36"/>
    <s v="Large"/>
    <s v="Large"/>
    <s v="No Discount"/>
  </r>
  <r>
    <s v="ORD-10742"/>
    <x v="166"/>
    <d v="2024-04-20T00:00:00"/>
    <s v="Standard Class"/>
    <s v="Chidinma"/>
    <s v="Musa"/>
    <s v="chidinma.musa@hotmail.com"/>
    <n v="8163029740"/>
    <x v="2"/>
    <x v="2"/>
    <x v="4"/>
    <x v="4"/>
    <s v="Condiments"/>
    <x v="59"/>
    <n v="2"/>
    <n v="3676.61"/>
    <n v="10"/>
    <n v="735.32"/>
    <n v="6617.9"/>
    <n v="2230.2199999999998"/>
    <s v="Food &amp; Beverages"/>
    <n v="2230.2199999999998"/>
    <s v="Small"/>
    <s v="Small"/>
    <s v="No Discount"/>
  </r>
  <r>
    <s v="ORD-10817"/>
    <x v="167"/>
    <d v="2024-04-24T00:00:00"/>
    <s v="Standard Class"/>
    <s v="Ayo"/>
    <s v="Atiku"/>
    <s v="ayo.atiku@yahoo.com"/>
    <n v="9016396496"/>
    <x v="2"/>
    <x v="2"/>
    <x v="4"/>
    <x v="0"/>
    <s v="Paper"/>
    <x v="44"/>
    <n v="8"/>
    <n v="22587.23"/>
    <n v="0"/>
    <n v="0"/>
    <n v="180697.84"/>
    <n v="14225.99"/>
    <s v="Office Supplies"/>
    <n v="14225.99"/>
    <s v="Small"/>
    <s v="Small"/>
    <s v="No Discount"/>
  </r>
  <r>
    <s v="ORD-10603"/>
    <x v="168"/>
    <d v="2024-04-27T00:00:00"/>
    <s v="Standard Class"/>
    <s v="Ikenna"/>
    <s v="Atiku"/>
    <s v="@nodomain.com"/>
    <n v="9078450817"/>
    <x v="2"/>
    <x v="2"/>
    <x v="4"/>
    <x v="4"/>
    <s v="Condiments"/>
    <x v="59"/>
    <n v="14"/>
    <n v="5441.37"/>
    <n v="5"/>
    <n v="3808.96"/>
    <n v="72370.22"/>
    <n v="-1177.6400000000001"/>
    <s v="Food &amp; Beverages"/>
    <n v="1177.6400000000001"/>
    <s v="Small"/>
    <s v="Medium"/>
    <s v="No Discount"/>
  </r>
  <r>
    <s v="ORD-10090"/>
    <x v="169"/>
    <d v="2024-05-04T00:00:00"/>
    <s v="Standard Class"/>
    <s v="Ikenna"/>
    <s v="Dangote"/>
    <s v="ikenna.dangote@outlook.com"/>
    <s v="080"/>
    <x v="1"/>
    <x v="3"/>
    <x v="16"/>
    <x v="2"/>
    <s v="Tablets"/>
    <x v="36"/>
    <n v="4"/>
    <n v="27261.58"/>
    <n v="10"/>
    <n v="10904.63"/>
    <n v="72370.22"/>
    <n v="31879.21"/>
    <s v="Technology"/>
    <n v="31879.21"/>
    <s v="Small"/>
    <s v="Small"/>
    <s v="No Discount"/>
  </r>
  <r>
    <s v="ORD-10619"/>
    <x v="170"/>
    <d v="2024-05-07T00:00:00"/>
    <s v="Standard Class"/>
    <s v="Femi"/>
    <s v="Osei"/>
    <s v="femi.osei@outlook.com"/>
    <n v="7062338271"/>
    <x v="1"/>
    <x v="2"/>
    <x v="4"/>
    <x v="4"/>
    <s v="Grains"/>
    <x v="97"/>
    <n v="13"/>
    <n v="5014.87"/>
    <n v="10"/>
    <n v="6519.33"/>
    <n v="58673.98"/>
    <n v="15717.24"/>
    <s v="Food &amp; Beverages"/>
    <n v="15717.24"/>
    <s v="Small"/>
    <s v="Small"/>
    <s v="No Discount"/>
  </r>
  <r>
    <s v="ORD-10939"/>
    <x v="171"/>
    <d v="2024-05-17T00:00:00"/>
    <s v="Standard Class"/>
    <s v="Deola"/>
    <s v="Sanusi"/>
    <s v="deola.sanusi@gmail.com"/>
    <n v="8067803915"/>
    <x v="0"/>
    <x v="0"/>
    <x v="17"/>
    <x v="4"/>
    <s v="Snacks"/>
    <x v="80"/>
    <n v="19"/>
    <n v="5623.01"/>
    <n v="0"/>
    <n v="0"/>
    <n v="106837.19"/>
    <n v="36182.31"/>
    <s v="Food &amp; Beverages"/>
    <n v="36182.31"/>
    <s v="Large"/>
    <s v="Large"/>
    <s v="No Discount"/>
  </r>
  <r>
    <s v="ORD-10508"/>
    <x v="172"/>
    <d v="2024-05-18T00:00:00"/>
    <s v="Standard Class"/>
    <s v="Chidi"/>
    <s v="Osei"/>
    <s v="chidi.osei@yahoo.com"/>
    <n v="9072059841"/>
    <x v="0"/>
    <x v="3"/>
    <x v="18"/>
    <x v="4"/>
    <s v="Chairs"/>
    <x v="90"/>
    <n v="2"/>
    <n v="132529.98000000001"/>
    <n v="15"/>
    <n v="39758.99"/>
    <n v="225300.97"/>
    <n v="35484.92"/>
    <s v="Food &amp; Beverages"/>
    <n v="35484.92"/>
    <s v="Small"/>
    <s v="Small"/>
    <s v="No Discount"/>
  </r>
  <r>
    <s v="ORD-10086"/>
    <x v="173"/>
    <d v="2024-05-24T00:00:00"/>
    <s v="Standard Class"/>
    <s v="Amara"/>
    <s v="Adebayo"/>
    <s v="amara.adebayo@outlook.com"/>
    <n v="8104593556"/>
    <x v="2"/>
    <x v="0"/>
    <x v="0"/>
    <x v="0"/>
    <s v="Art Supplies"/>
    <x v="78"/>
    <n v="5"/>
    <n v="5204.13"/>
    <n v="0"/>
    <n v="0"/>
    <n v="26020.65"/>
    <n v="-2698.37"/>
    <s v="Office Supplies"/>
    <n v="2698.37"/>
    <s v="Small"/>
    <s v="Small"/>
    <s v="No Discount"/>
  </r>
  <r>
    <s v="ORD-10573"/>
    <x v="174"/>
    <d v="2024-05-29T00:00:00"/>
    <s v="Standard Class"/>
    <s v="Adebayo"/>
    <s v="Tinubu"/>
    <s v="adebayo.tinubu@hotmail.com"/>
    <n v="8069837877"/>
    <x v="0"/>
    <x v="3"/>
    <x v="22"/>
    <x v="3"/>
    <s v="Chairs"/>
    <x v="38"/>
    <n v="13"/>
    <n v="25153.55"/>
    <n v="0"/>
    <n v="0"/>
    <n v="326996.15000000002"/>
    <n v="-27460.71"/>
    <s v="Furniture"/>
    <n v="27460.71"/>
    <s v="Small"/>
    <s v="Small"/>
    <s v="No Discount"/>
  </r>
  <r>
    <s v="ORD-10837"/>
    <x v="175"/>
    <d v="2024-06-04T00:00:00"/>
    <s v="Standard Class"/>
    <s v="Olumide"/>
    <s v="Okonkwo"/>
    <s v="olumide.okonkwo@gmail.com"/>
    <n v="7037064624"/>
    <x v="2"/>
    <x v="1"/>
    <x v="7"/>
    <x v="4"/>
    <s v="Drinks"/>
    <x v="69"/>
    <n v="11"/>
    <n v="2320.77"/>
    <n v="20"/>
    <n v="5105.6899999999996"/>
    <n v="20422.78"/>
    <n v="1324.78"/>
    <s v="Food &amp; Beverages"/>
    <n v="1324.78"/>
    <s v="Small"/>
    <s v="Small"/>
    <s v="No Discount"/>
  </r>
  <r>
    <s v="ORD-10048"/>
    <x v="176"/>
    <d v="2024-06-10T00:00:00"/>
    <s v="Standard Class"/>
    <s v="Deola"/>
    <s v="Chukwu"/>
    <s v="deola.chukwu@gmail.com"/>
    <n v="8064840714"/>
    <x v="0"/>
    <x v="1"/>
    <x v="5"/>
    <x v="4"/>
    <s v="Condiments"/>
    <x v="59"/>
    <n v="-1"/>
    <n v="7996.71"/>
    <n v="0"/>
    <n v="0"/>
    <n v="71970.39"/>
    <n v="22157.19"/>
    <s v="Food &amp; Beverages"/>
    <n v="22157.19"/>
    <s v="Small"/>
    <s v="Small"/>
    <s v="No Discount"/>
  </r>
  <r>
    <s v="ORD-10820"/>
    <x v="176"/>
    <d v="2024-06-10T00:00:00"/>
    <s v="Standard Class"/>
    <s v="Seun"/>
    <s v="Adeleke"/>
    <s v="seun.adeleke@hotmail.com"/>
    <n v="7064808186"/>
    <x v="2"/>
    <x v="3"/>
    <x v="11"/>
    <x v="4"/>
    <s v="Trousers"/>
    <x v="14"/>
    <n v="13"/>
    <n v="10948.34"/>
    <n v="15"/>
    <n v="21349.26"/>
    <n v="120979.16"/>
    <n v="45993.02"/>
    <s v="Food &amp; Beverages"/>
    <n v="45993.02"/>
    <s v="Small"/>
    <s v="Small"/>
    <s v="No Discount"/>
  </r>
  <r>
    <s v="ORD-10182"/>
    <x v="177"/>
    <d v="2024-06-15T00:00:00"/>
    <s v="Standard Class"/>
    <s v="Hauwa"/>
    <s v="Eze"/>
    <s v="hauwa.eze@outlook.com"/>
    <n v="8036284972"/>
    <x v="2"/>
    <x v="1"/>
    <x v="19"/>
    <x v="1"/>
    <s v="Shoes"/>
    <x v="87"/>
    <n v="8"/>
    <n v="21468.59"/>
    <n v="0"/>
    <n v="0"/>
    <n v="171748.72"/>
    <n v="71470.28"/>
    <s v="Clothing"/>
    <n v="71470.28"/>
    <s v="Small"/>
    <s v="Small"/>
    <s v="No Discount"/>
  </r>
  <r>
    <s v="ORD-10760"/>
    <x v="178"/>
    <d v="2024-06-22T00:00:00"/>
    <s v="Standard Class"/>
    <s v="Chisom"/>
    <s v="Danjuma"/>
    <s v="chisom.danjuma@outlook.com"/>
    <n v="8159909162"/>
    <x v="0"/>
    <x v="0"/>
    <x v="8"/>
    <x v="0"/>
    <s v="Fasteners"/>
    <x v="68"/>
    <n v="3"/>
    <n v="3941.46"/>
    <n v="10"/>
    <n v="1182.44"/>
    <n v="10641.94"/>
    <n v="4515.59"/>
    <s v="Office Supplies"/>
    <n v="4515.59"/>
    <s v="Small"/>
    <s v="Small"/>
    <s v="No Discount"/>
  </r>
  <r>
    <s v="ORD-10359"/>
    <x v="179"/>
    <d v="2024-06-30T00:00:00"/>
    <s v="Standard Class"/>
    <s v="Yemi"/>
    <s v="Adeleke"/>
    <s v="yemi.adeleke@gmail.com"/>
    <n v="8065204309"/>
    <x v="2"/>
    <x v="1"/>
    <x v="2"/>
    <x v="1"/>
    <s v="Shirts"/>
    <x v="6"/>
    <n v="1"/>
    <n v="8400.73"/>
    <n v="0"/>
    <n v="0"/>
    <n v="8400.73"/>
    <n v="2089.8000000000002"/>
    <s v="Clothing"/>
    <n v="2089.8000000000002"/>
    <s v="Small"/>
    <s v="Small"/>
    <s v="No Discount"/>
  </r>
  <r>
    <s v="ORD-10752"/>
    <x v="180"/>
    <d v="2024-07-01T00:00:00"/>
    <s v="Standard Class"/>
    <s v="Lanre"/>
    <s v="Sule"/>
    <s v="N/A"/>
    <n v="8035223626"/>
    <x v="1"/>
    <x v="2"/>
    <x v="20"/>
    <x v="1"/>
    <s v="Accessories"/>
    <x v="17"/>
    <n v="6"/>
    <n v="23182.02"/>
    <n v="10"/>
    <n v="13909.21"/>
    <n v="125182.91"/>
    <n v="19325.21"/>
    <s v="Clothing"/>
    <n v="19325.21"/>
    <s v="Small"/>
    <s v="Small"/>
    <s v="No Discount"/>
  </r>
  <r>
    <s v="ORD-10695"/>
    <x v="181"/>
    <d v="2024-07-21T00:00:00"/>
    <s v="Standard Class"/>
    <s v="Kehinde"/>
    <s v="Okonkwo"/>
    <s v="kehinde.okonkwo@hotmail.com"/>
    <n v="9024894252"/>
    <x v="2"/>
    <x v="1"/>
    <x v="7"/>
    <x v="1"/>
    <s v="Shoes"/>
    <x v="52"/>
    <n v="10"/>
    <n v="26215.59"/>
    <n v="10"/>
    <n v="26215.59"/>
    <n v="235940.31"/>
    <n v="-15038.19"/>
    <s v="Clothing"/>
    <n v="15038.19"/>
    <s v="Small"/>
    <s v="Small"/>
    <s v="No Discount"/>
  </r>
  <r>
    <s v="ORD-10485"/>
    <x v="182"/>
    <d v="2024-07-24T00:00:00"/>
    <s v="Standard Class"/>
    <s v="Wale"/>
    <s v="Abubakar"/>
    <s v="wale.abubakar@gmail.com"/>
    <n v="9074741740"/>
    <x v="0"/>
    <x v="1"/>
    <x v="7"/>
    <x v="3"/>
    <s v="Storage"/>
    <x v="7"/>
    <n v="16"/>
    <n v="44659.82"/>
    <n v="10"/>
    <n v="71455.710000000006"/>
    <n v="643101.41"/>
    <n v="215029.18"/>
    <s v="Furniture"/>
    <n v="215029.18"/>
    <s v="Large"/>
    <s v="Large"/>
    <s v="No Discount"/>
  </r>
  <r>
    <s v="ORD-10481"/>
    <x v="183"/>
    <d v="2024-07-25T00:00:00"/>
    <s v="Standard Class"/>
    <s v="Adebayo_Sule"/>
    <s v="Abubakar"/>
    <s v="adebayo.sule@hotmail.com"/>
    <n v="9052699161"/>
    <x v="2"/>
    <x v="1"/>
    <x v="2"/>
    <x v="0"/>
    <s v="Fasteners"/>
    <x v="68"/>
    <n v="11"/>
    <n v="11624.88"/>
    <n v="5"/>
    <n v="6393.68"/>
    <n v="121480"/>
    <n v="-10349.620000000001"/>
    <s v="Office Supplies"/>
    <n v="10349.620000000001"/>
    <s v="Small"/>
    <s v="Small"/>
    <s v="No Discount"/>
  </r>
  <r>
    <s v="ORD-10287"/>
    <x v="184"/>
    <d v="2024-07-29T00:00:00"/>
    <s v="Standard Class"/>
    <s v="Femi"/>
    <s v="Obi"/>
    <s v="femi.obi@hotmail.com"/>
    <n v="8136379509"/>
    <x v="1"/>
    <x v="3"/>
    <x v="18"/>
    <x v="2"/>
    <s v="Phones"/>
    <x v="100"/>
    <n v="1"/>
    <n v="436826.55"/>
    <n v="0"/>
    <n v="0"/>
    <n v="436826.55"/>
    <n v="189320.44"/>
    <s v="Technology"/>
    <n v="189320.44"/>
    <s v="Small"/>
    <s v="Small"/>
    <s v="No Discount"/>
  </r>
  <r>
    <s v="ORD-10334"/>
    <x v="185"/>
    <d v="2024-08-06T00:00:00"/>
    <s v="Standard Class"/>
    <s v="Ronke"/>
    <s v="Bello"/>
    <s v="ronke.bello@gmail.com"/>
    <n v="8161738700"/>
    <x v="2"/>
    <x v="3"/>
    <x v="18"/>
    <x v="4"/>
    <s v="Drinks"/>
    <x v="101"/>
    <n v="2"/>
    <n v="3894.94"/>
    <n v="0"/>
    <n v="0"/>
    <n v="7789.88"/>
    <n v="1264.6600000000001"/>
    <s v="Food &amp; Beverages"/>
    <n v="1264.6600000000001"/>
    <s v="Small"/>
    <s v="Small"/>
    <s v="No Discount"/>
  </r>
  <r>
    <s v="ORD-10909"/>
    <x v="186"/>
    <d v="2024-08-06T00:00:00"/>
    <s v="Standard Class"/>
    <s v="Ayo"/>
    <s v="Atiku"/>
    <s v="ayo.atiku@outlook.com"/>
    <n v="8038867277"/>
    <x v="0"/>
    <x v="3"/>
    <x v="16"/>
    <x v="0"/>
    <s v="Labels"/>
    <x v="102"/>
    <n v="11"/>
    <n v="13924.17"/>
    <n v="10"/>
    <n v="15316.59"/>
    <n v="137849.28"/>
    <n v="22886.49"/>
    <s v="Office Supplies"/>
    <n v="22886.49"/>
    <s v="Small"/>
    <s v="Small"/>
    <s v="No Discount"/>
  </r>
  <r>
    <s v="ORD-10534"/>
    <x v="187"/>
    <d v="2024-08-08T00:00:00"/>
    <s v="Standard Class"/>
    <s v="Seun"/>
    <s v="Gambo"/>
    <s v="seun.gambo@outlook.com"/>
    <n v="8034672603"/>
    <x v="1"/>
    <x v="3"/>
    <x v="22"/>
    <x v="1"/>
    <s v="Bags"/>
    <x v="103"/>
    <n v="5"/>
    <n v="27863.01"/>
    <n v="0"/>
    <n v="0"/>
    <n v="139315.04999999999"/>
    <n v="29162.57"/>
    <s v="Clothing"/>
    <n v="29162.57"/>
    <s v="Small"/>
    <s v="Small"/>
    <s v="No Discount"/>
  </r>
  <r>
    <s v="ORD-10995"/>
    <x v="188"/>
    <d v="2024-08-13T00:00:00"/>
    <s v="Standard Class"/>
    <s v="Ibrahim"/>
    <s v="Lawal"/>
    <s v="ibrahim.lawal@yahoo.com"/>
    <n v="9072705514"/>
    <x v="1"/>
    <x v="1"/>
    <x v="19"/>
    <x v="2"/>
    <s v="Printers"/>
    <x v="55"/>
    <n v="4"/>
    <n v="15202.03"/>
    <n v="5"/>
    <n v="3040.41"/>
    <n v="57767.71"/>
    <n v="17342.02"/>
    <s v="Technology"/>
    <n v="17342.02"/>
    <s v="Small"/>
    <s v="Small"/>
    <s v="No Discount"/>
  </r>
  <r>
    <s v="ORD-10646"/>
    <x v="188"/>
    <d v="2024-08-16T00:00:00"/>
    <s v="Standard Class"/>
    <s v="Oluwaseun"/>
    <s v="Okafor"/>
    <s v="oluwaseun.okafor@gmail.com"/>
    <n v="8168668568"/>
    <x v="2"/>
    <x v="1"/>
    <x v="5"/>
    <x v="2"/>
    <s v="Printers"/>
    <x v="104"/>
    <n v="10"/>
    <n v="19793.55"/>
    <n v="200"/>
    <n v="0"/>
    <n v="197935.5"/>
    <n v="46923.66"/>
    <s v="Technology"/>
    <n v="46923.66"/>
    <s v="Small"/>
    <s v="Small"/>
    <s v="No Discount"/>
  </r>
  <r>
    <s v="ORD-10398"/>
    <x v="189"/>
    <d v="2024-08-23T00:00:00"/>
    <s v="Standard Class"/>
    <s v="Tobi"/>
    <s v="Adeleke"/>
    <s v="tobi.adeleke@gmail.com"/>
    <n v="8161172342"/>
    <x v="2"/>
    <x v="2"/>
    <x v="20"/>
    <x v="2"/>
    <s v="Laptops"/>
    <x v="88"/>
    <n v="7"/>
    <n v="104349.52"/>
    <n v="0"/>
    <n v="0"/>
    <n v="730446.64"/>
    <n v="184335.8"/>
    <s v="Technology"/>
    <n v="184335.8"/>
    <s v="Small"/>
    <s v="Small"/>
    <s v="No Discount"/>
  </r>
  <r>
    <s v="ORD-10375"/>
    <x v="190"/>
    <d v="2024-08-26T00:00:00"/>
    <s v="Standard Class"/>
    <s v="Oluwaseun"/>
    <s v="Dangote"/>
    <s v="oluwaseun.dangote@hotmail.com"/>
    <n v="8142644153"/>
    <x v="0"/>
    <x v="2"/>
    <x v="12"/>
    <x v="1"/>
    <s v="Bags"/>
    <x v="103"/>
    <n v="1"/>
    <n v="5572.94"/>
    <n v="15"/>
    <n v="835.94"/>
    <n v="4737"/>
    <n v="1989.35"/>
    <s v="Clothing"/>
    <n v="1989.35"/>
    <s v="Small"/>
    <s v="Small"/>
    <s v="No Discount"/>
  </r>
  <r>
    <s v="ORD-10490"/>
    <x v="190"/>
    <d v="2024-08-26T00:00:00"/>
    <s v="Standard Class"/>
    <s v="Aisha"/>
    <s v="Dangote"/>
    <s v="aisha.dangote@hotmail.com"/>
    <n v="9029542262"/>
    <x v="2"/>
    <x v="1"/>
    <x v="2"/>
    <x v="0"/>
    <s v="Envelopes"/>
    <x v="3"/>
    <n v="11"/>
    <n v="11874.55"/>
    <n v="10"/>
    <n v="13062"/>
    <n v="117558.05"/>
    <n v="19430.63"/>
    <s v="Office Supplies"/>
    <n v="19430.63"/>
    <s v="Small"/>
    <s v="Small"/>
    <s v="No Discount"/>
  </r>
  <r>
    <s v="ORD-10626"/>
    <x v="191"/>
    <d v="2024-09-10T00:00:00"/>
    <s v="Standard Class"/>
    <s v="Obinna"/>
    <s v="Chukwu"/>
    <s v="obinna.chukwu@gmail.com"/>
    <n v="8152410406"/>
    <x v="1"/>
    <x v="1"/>
    <x v="2"/>
    <x v="0"/>
    <s v="Envelopes"/>
    <x v="77"/>
    <n v="17"/>
    <n v="4190.1899999999996"/>
    <n v="15"/>
    <n v="10684.98"/>
    <n v="60548.25"/>
    <n v="9370.2099999999991"/>
    <s v="Office Supplies"/>
    <n v="9370.2099999999991"/>
    <s v="Large"/>
    <s v="Large"/>
    <s v="No Discount"/>
  </r>
  <r>
    <s v="ORD-10879"/>
    <x v="192"/>
    <d v="2024-09-10T00:00:00"/>
    <s v="Standard Class"/>
    <s v="Kehinde"/>
    <s v="Adeyemi"/>
    <s v="kehinde.adeyemi@yahoo.com"/>
    <n v="9077937523"/>
    <x v="0"/>
    <x v="3"/>
    <x v="6"/>
    <x v="0"/>
    <s v="Binders"/>
    <x v="33"/>
    <n v="17"/>
    <n v="10456.59"/>
    <n v="0"/>
    <n v="0"/>
    <n v="146392.26"/>
    <n v="54516.66"/>
    <s v="Office Supplies"/>
    <n v="54516.66"/>
    <s v="Large"/>
    <s v="Large"/>
    <s v="No Discount"/>
  </r>
  <r>
    <s v="ORD-10396"/>
    <x v="193"/>
    <d v="2024-09-16T00:00:00"/>
    <s v="Standard Class"/>
    <s v="Gbenga"/>
    <s v="Obi"/>
    <s v="gbenga.obi@outlook.com"/>
    <n v="8108414487"/>
    <x v="0"/>
    <x v="2"/>
    <x v="4"/>
    <x v="4"/>
    <s v="Condiments"/>
    <x v="74"/>
    <n v="10"/>
    <n v="1626"/>
    <n v="0"/>
    <n v="0"/>
    <n v="16260"/>
    <n v="4823.95"/>
    <s v="Food &amp; Beverages"/>
    <n v="4823.95"/>
    <s v="Small"/>
    <s v="Small"/>
    <s v="No Discount"/>
  </r>
  <r>
    <s v="ORD-10530"/>
    <x v="194"/>
    <d v="2024-09-20T00:00:00"/>
    <s v="Standard Class"/>
    <s v="Hauwa"/>
    <s v="Nwosu"/>
    <s v="hauwa.nwosu@yahoo.com"/>
    <n v="9022500416"/>
    <x v="1"/>
    <x v="1"/>
    <x v="2"/>
    <x v="2"/>
    <s v="Accessories"/>
    <x v="34"/>
    <n v="11"/>
    <n v="84702.35"/>
    <n v="15"/>
    <n v="139758.88"/>
    <n v="791966.97"/>
    <n v="245339.72"/>
    <s v="Technology"/>
    <n v="245339.72"/>
    <s v="Small"/>
    <s v="Small"/>
    <s v="No Discount"/>
  </r>
  <r>
    <s v="ORD-10497"/>
    <x v="195"/>
    <d v="2024-10-27T00:00:00"/>
    <s v="Standard Class"/>
    <s v="Adaeze"/>
    <s v="Abubakar"/>
    <s v="adaeze.abubakar@hotmail.com"/>
    <n v="7067767404"/>
    <x v="2"/>
    <x v="3"/>
    <x v="11"/>
    <x v="4"/>
    <s v="Grains"/>
    <x v="60"/>
    <n v="19"/>
    <n v="4819.55"/>
    <n v="0"/>
    <n v="0"/>
    <n v="91571.45"/>
    <n v="36929.53"/>
    <s v="Food &amp; Beverages"/>
    <n v="36929.53"/>
    <s v="Large"/>
    <s v="Large"/>
    <s v="No Discount"/>
  </r>
  <r>
    <s v="ORD-10543"/>
    <x v="196"/>
    <d v="2024-11-09T00:00:00"/>
    <s v="Standard Class"/>
    <s v="Uchenna"/>
    <s v="Otedola"/>
    <s v="uchenna.otedola@yahoo.com"/>
    <n v="7061001435"/>
    <x v="0"/>
    <x v="0"/>
    <x v="1"/>
    <x v="3"/>
    <s v="Bookcases"/>
    <x v="105"/>
    <n v="17"/>
    <n v="170748.91"/>
    <n v="10"/>
    <n v="290273.15000000002"/>
    <n v="2612458.3199999998"/>
    <n v="641344.27"/>
    <s v="Furniture"/>
    <n v="641344.27"/>
    <s v="Large"/>
    <s v="Large"/>
    <s v="Offer Discount"/>
  </r>
  <r>
    <s v="ORD-10850"/>
    <x v="197"/>
    <d v="2024-11-18T00:00:00"/>
    <s v="Standard Class"/>
    <s v="Kemi"/>
    <s v="Sanusi"/>
    <s v="kemi.sanusi@gmail.com"/>
    <n v="8063347324"/>
    <x v="2"/>
    <x v="0"/>
    <x v="8"/>
    <x v="3"/>
    <s v="Chairs"/>
    <x v="38"/>
    <n v="8"/>
    <n v="36101.660000000003"/>
    <n v="0"/>
    <n v="0"/>
    <n v="288813.28000000003"/>
    <n v="87451.43"/>
    <s v="Furniture"/>
    <n v="87451.43"/>
    <s v="Small"/>
    <s v="Small"/>
    <s v="No Discount"/>
  </r>
  <r>
    <s v="ORD-10958"/>
    <x v="198"/>
    <d v="2024-12-02T00:00:00"/>
    <s v="Standard Class"/>
    <s v="Ayo"/>
    <s v="Fashola"/>
    <s v="ayo.fashola@gmail.com"/>
    <n v="7062344809"/>
    <x v="0"/>
    <x v="3"/>
    <x v="18"/>
    <x v="0"/>
    <s v="Envelopes"/>
    <x v="77"/>
    <n v="11"/>
    <n v="17192.8"/>
    <n v="0"/>
    <n v="0"/>
    <n v="189120.8"/>
    <n v="-24611.49"/>
    <s v="Office Supplies"/>
    <n v="24611.49"/>
    <s v="Small"/>
    <s v="Small"/>
    <s v="No Discount"/>
  </r>
  <r>
    <s v="ORD-10301"/>
    <x v="198"/>
    <d v="2024-12-02T00:00:00"/>
    <s v="Standard Class"/>
    <s v="Gbenga"/>
    <s v="Okonkwo"/>
    <s v="gbenga.okonkwo@outlook.com"/>
    <n v="8134604128"/>
    <x v="1"/>
    <x v="2"/>
    <x v="4"/>
    <x v="0"/>
    <s v="Paper"/>
    <x v="106"/>
    <n v="17"/>
    <n v="23018.25"/>
    <n v="25"/>
    <n v="97827.56"/>
    <n v="293482.69"/>
    <n v="56466.34"/>
    <s v="Office Supplies"/>
    <n v="56466.34"/>
    <s v="Large"/>
    <s v="Large"/>
    <s v="No Discount"/>
  </r>
  <r>
    <s v="ORD-10401"/>
    <x v="199"/>
    <d v="2024-12-06T00:00:00"/>
    <s v="Standard Class"/>
    <s v="Wale"/>
    <s v="Buhari"/>
    <s v="wale.buhari@outlook.com"/>
    <n v="9015836389"/>
    <x v="1"/>
    <x v="0"/>
    <x v="1"/>
    <x v="4"/>
    <s v="Drinks"/>
    <x v="58"/>
    <n v="4"/>
    <n v="2826.49"/>
    <n v="15"/>
    <n v="1695.89"/>
    <n v="9610.07"/>
    <n v="193.8"/>
    <s v="Food &amp; Beverages"/>
    <n v="193.8"/>
    <s v="Small"/>
    <s v="Small"/>
    <s v="No Discount"/>
  </r>
  <r>
    <s v="ORD-10318"/>
    <x v="200"/>
    <d v="2024-12-07T00:00:00"/>
    <s v="Standard Class"/>
    <s v="Olumide"/>
    <s v="Fashola"/>
    <s v="olumide.fashola@gmail.com"/>
    <n v="8139702386"/>
    <x v="1"/>
    <x v="1"/>
    <x v="7"/>
    <x v="4"/>
    <s v="Cooking Oil"/>
    <x v="41"/>
    <n v="17"/>
    <n v="4594.3"/>
    <n v="0"/>
    <n v="0"/>
    <n v="78103.100000000006"/>
    <n v="-2818.72"/>
    <s v="Food &amp; Beverages"/>
    <n v="2818.72"/>
    <s v="Large"/>
    <s v="Large"/>
    <s v="No Discount"/>
  </r>
  <r>
    <s v="ORD-10222"/>
    <x v="201"/>
    <d v="2024-12-08T00:00:00"/>
    <s v="Standard Class"/>
    <s v="Ayo"/>
    <s v="Alakija"/>
    <s v="ayo.alakija@yahoo.com"/>
    <n v="7062760168"/>
    <x v="1"/>
    <x v="2"/>
    <x v="3"/>
    <x v="4"/>
    <s v="Condiments"/>
    <x v="59"/>
    <n v="4"/>
    <n v="2476.84"/>
    <n v="110"/>
    <n v="1981.47"/>
    <n v="7925.89"/>
    <n v="-244.21"/>
    <s v="Food &amp; Beverages"/>
    <n v="244.21"/>
    <s v="Small"/>
    <s v="Small"/>
    <s v="No Discount"/>
  </r>
  <r>
    <s v="ORD-10222"/>
    <x v="201"/>
    <d v="2024-12-08T00:00:00"/>
    <s v="Standard Class"/>
    <s v="Ayo"/>
    <s v="Alakija"/>
    <s v="ayo.alakija@yahoo.com"/>
    <s v="080312345678901"/>
    <x v="1"/>
    <x v="2"/>
    <x v="3"/>
    <x v="4"/>
    <s v="Condiments"/>
    <x v="59"/>
    <n v="4"/>
    <n v="2476.84"/>
    <n v="20"/>
    <n v="1981.47"/>
    <n v="7925.89"/>
    <n v="-244.21"/>
    <s v="Food &amp; Beverages"/>
    <n v="244.21"/>
    <s v="Small"/>
    <s v="Small"/>
    <s v="No Discount"/>
  </r>
  <r>
    <s v="ORD-10507"/>
    <x v="202"/>
    <d v="2024-12-11T00:00:00"/>
    <s v="Standard Class"/>
    <s v="Chidinma"/>
    <s v="Obi"/>
    <s v="chidinma.obi@outlook.com"/>
    <n v="8141879382"/>
    <x v="2"/>
    <x v="3"/>
    <x v="16"/>
    <x v="4"/>
    <s v="Drinks"/>
    <x v="58"/>
    <n v="7"/>
    <n v="6247.55"/>
    <n v="5"/>
    <n v="2186.64"/>
    <n v="41546.21"/>
    <n v="3107.11"/>
    <s v="Food &amp; Beverages"/>
    <n v="3107.11"/>
    <s v="Small"/>
    <s v="Small"/>
    <s v="No Discount"/>
  </r>
  <r>
    <s v="ORD-10964"/>
    <x v="203"/>
    <d v="2024-12-18T00:00:00"/>
    <s v="Standard Class"/>
    <s v="Kemi"/>
    <s v="Musa"/>
    <s v="kemi.musa@gmail.com"/>
    <n v="8161788304"/>
    <x v="1"/>
    <x v="1"/>
    <x v="9"/>
    <x v="2"/>
    <s v="Accessories"/>
    <x v="17"/>
    <n v="4"/>
    <n v="378180.72"/>
    <n v="25"/>
    <n v="378180.72"/>
    <n v="1134542.1599999999"/>
    <n v="452842.23999999999"/>
    <s v="Technology"/>
    <n v="452842.23999999999"/>
    <s v="Small"/>
    <s v="Small"/>
    <s v="No Discount"/>
  </r>
  <r>
    <s v="ORD-10172"/>
    <x v="204"/>
    <d v="2024-12-22T00:00:00"/>
    <s v="Standard Class"/>
    <s v="Uchenna"/>
    <s v="Osei"/>
    <s v="uchenna.osei@yahoo.com"/>
    <n v="7068060918"/>
    <x v="2"/>
    <x v="3"/>
    <x v="16"/>
    <x v="0"/>
    <s v="Labels"/>
    <x v="73"/>
    <n v="3"/>
    <n v="19186.79"/>
    <n v="0"/>
    <n v="0"/>
    <n v="57560.37"/>
    <n v="11651.26"/>
    <s v="Office Supplies"/>
    <n v="11651.26"/>
    <s v="Small"/>
    <s v="Small"/>
    <s v="No Discount"/>
  </r>
  <r>
    <s v="ORD-10476"/>
    <x v="205"/>
    <d v="2025-01-03T00:00:00"/>
    <s v="Standard Class"/>
    <s v="Taiwo"/>
    <s v="Fashola"/>
    <s v="taiwo.fashola@gmail.com"/>
    <n v="7061870113"/>
    <x v="2"/>
    <x v="0"/>
    <x v="0"/>
    <x v="0"/>
    <s v="Envelopes"/>
    <x v="0"/>
    <n v="17"/>
    <n v="7213.87"/>
    <n v="20"/>
    <n v="24527.16"/>
    <n v="98108.63"/>
    <n v="14455.8"/>
    <s v="Office Supplies"/>
    <n v="14455.8"/>
    <s v="Large"/>
    <s v="Large"/>
    <s v="No Discount"/>
  </r>
  <r>
    <s v="ORD-10780"/>
    <x v="205"/>
    <d v="2025-01-03T00:00:00"/>
    <s v="Standard Class"/>
    <s v="Bukola"/>
    <s v="Abubakar"/>
    <s v="bukola.abubakar@yahoo.com"/>
    <n v="7033663379"/>
    <x v="2"/>
    <x v="3"/>
    <x v="6"/>
    <x v="2"/>
    <s v="Phones"/>
    <x v="4"/>
    <n v="5"/>
    <n v="113422.01"/>
    <n v="25"/>
    <n v="141777.51"/>
    <n v="425332.54"/>
    <n v="176647.07"/>
    <s v="Technology"/>
    <n v="176647.07"/>
    <s v="Small"/>
    <s v="Small"/>
    <s v="No Discount"/>
  </r>
  <r>
    <s v="ORD-10316"/>
    <x v="206"/>
    <d v="2025-01-03T00:00:00"/>
    <s v="Standard Class"/>
    <s v="Dayo"/>
    <s v="Lawal"/>
    <s v="dayo.lawal@hotmail.com"/>
    <n v="9017273997"/>
    <x v="1"/>
    <x v="3"/>
    <x v="22"/>
    <x v="3"/>
    <s v="Storage"/>
    <x v="107"/>
    <n v="6"/>
    <n v="89501.67"/>
    <n v="5"/>
    <n v="26850.5"/>
    <n v="510159.52"/>
    <n v="-7262.71"/>
    <s v="Furniture"/>
    <n v="7262.71"/>
    <s v="Small"/>
    <s v="Small"/>
    <s v="No Discount"/>
  </r>
  <r>
    <s v="ORD-10268"/>
    <x v="0"/>
    <d v="2022-01-04T00:00:00"/>
    <s v="Second Class"/>
    <s v="Sade"/>
    <s v="Chukwu"/>
    <s v="sade.chukwu@hotmail.com"/>
    <n v="7037629401"/>
    <x v="1"/>
    <x v="3"/>
    <x v="22"/>
    <x v="1"/>
    <s v="Accessories"/>
    <x v="24"/>
    <n v="3"/>
    <n v="24262.94"/>
    <n v="0"/>
    <n v="0"/>
    <n v="72788.820000000007"/>
    <n v="13084.2"/>
    <s v="Clothing"/>
    <n v="13084.2"/>
    <s v="Small"/>
    <s v="Small"/>
    <s v="No Discount"/>
  </r>
  <r>
    <s v="ORD-10470"/>
    <x v="207"/>
    <d v="2022-01-05T00:00:00"/>
    <s v="Second Class"/>
    <s v="Kunle"/>
    <s v="Chukwu"/>
    <s v="kunle.chukwu@outlook.com"/>
    <n v="8037377917"/>
    <x v="1"/>
    <x v="1"/>
    <x v="9"/>
    <x v="0"/>
    <s v="Art Supplies"/>
    <x v="40"/>
    <n v="17"/>
    <n v="14836.4"/>
    <n v="10"/>
    <n v="25221.88"/>
    <n v="226996.92"/>
    <n v="-27854.6"/>
    <s v="Office Supplies"/>
    <n v="27854.6"/>
    <s v="Large"/>
    <s v="Large"/>
    <s v="No Discount"/>
  </r>
  <r>
    <s v="ORD-10867"/>
    <x v="207"/>
    <d v="2022-01-07T00:00:00"/>
    <s v="Second Class"/>
    <s v="Yemi"/>
    <s v="Sanusi"/>
    <s v="email.com"/>
    <n v="8066143155"/>
    <x v="2"/>
    <x v="1"/>
    <x v="2"/>
    <x v="3"/>
    <s v="Storage"/>
    <x v="108"/>
    <n v="18"/>
    <n v="149939.9"/>
    <n v="0"/>
    <n v="0"/>
    <n v="2698918.2"/>
    <n v="1136056.56"/>
    <s v="Furniture"/>
    <n v="1136056.56"/>
    <s v="Large"/>
    <s v="Large"/>
    <s v="Offer Discount"/>
  </r>
  <r>
    <s v="ORD-10528"/>
    <x v="208"/>
    <d v="2022-01-12T00:00:00"/>
    <s v="Second Class"/>
    <s v="Chisom"/>
    <s v="Okonkwo"/>
    <s v="chisom.okonkwo@outlook.com"/>
    <n v="8031767629"/>
    <x v="1"/>
    <x v="1"/>
    <x v="9"/>
    <x v="0"/>
    <s v="Fasteners"/>
    <x v="109"/>
    <n v="16"/>
    <n v="6222.19"/>
    <n v="15"/>
    <n v="14933.26"/>
    <n v="84621.78"/>
    <n v="24838.42"/>
    <s v="Office Supplies"/>
    <n v="24838.42"/>
    <s v="Large"/>
    <s v="Large"/>
    <s v="No Discount"/>
  </r>
  <r>
    <s v="ORD-10652"/>
    <x v="209"/>
    <d v="2022-01-15T00:00:00"/>
    <s v="Second Class"/>
    <s v="Chibundo"/>
    <s v="Danjuma"/>
    <s v="chibundo.danjuma@gmail.com"/>
    <n v="7034108891"/>
    <x v="0"/>
    <x v="2"/>
    <x v="10"/>
    <x v="4"/>
    <s v="Cooking Oil"/>
    <x v="25"/>
    <n v="19"/>
    <n v="6709.5"/>
    <n v="20"/>
    <n v="25496.1"/>
    <n v="101984.4"/>
    <n v="15349.69"/>
    <s v="Food &amp; Beverages"/>
    <n v="15349.69"/>
    <s v="Large"/>
    <s v="Large"/>
    <s v="No Discount"/>
  </r>
  <r>
    <s v="ORD-10486"/>
    <x v="210"/>
    <d v="2022-01-18T00:00:00"/>
    <s v="Second Class"/>
    <s v="Chidi"/>
    <s v="Musa"/>
    <s v="INVALID"/>
    <n v="8032932555"/>
    <x v="1"/>
    <x v="1"/>
    <x v="2"/>
    <x v="3"/>
    <s v="Bookcases"/>
    <x v="84"/>
    <n v="19"/>
    <n v="41437.39"/>
    <n v="10"/>
    <n v="78731.039999999994"/>
    <n v="708579.37"/>
    <n v="-87620.87"/>
    <s v="Furniture"/>
    <n v="87620.87"/>
    <s v="Large"/>
    <s v="Large"/>
    <s v="No Discount"/>
  </r>
  <r>
    <s v="ORD-10538"/>
    <x v="211"/>
    <d v="2022-01-23T00:00:00"/>
    <s v="Second Class"/>
    <s v="Kehinde"/>
    <s v="Bello"/>
    <s v="kehinde.bello@yahoo.com"/>
    <n v="7068165734"/>
    <x v="2"/>
    <x v="3"/>
    <x v="18"/>
    <x v="3"/>
    <s v="Chairs"/>
    <x v="70"/>
    <n v="16"/>
    <n v="69160.42"/>
    <n v="0"/>
    <n v="0"/>
    <n v="1106566.72"/>
    <n v="461480.28"/>
    <s v="Furniture"/>
    <n v="461480.28"/>
    <s v="Large"/>
    <s v="Large"/>
    <s v="Offer Discount"/>
  </r>
  <r>
    <s v="ORD-10568"/>
    <x v="211"/>
    <d v="2022-01-24T00:00:00"/>
    <s v="Second Class"/>
    <s v="Adebayo"/>
    <s v="Dangote"/>
    <s v="adebayo.dangote@outlook.com"/>
    <n v="8164696630"/>
    <x v="2"/>
    <x v="2"/>
    <x v="10"/>
    <x v="0"/>
    <s v="Fasteners"/>
    <x v="110"/>
    <n v="6"/>
    <n v="14027.7"/>
    <n v="5"/>
    <n v="4208.3100000000004"/>
    <n v="79957.89"/>
    <n v="-9805.44"/>
    <s v="Office Supplies"/>
    <n v="9805.44"/>
    <s v="Small"/>
    <s v="Small"/>
    <s v="No Discount"/>
  </r>
  <r>
    <s v="ORD-10905"/>
    <x v="212"/>
    <d v="2022-01-26T00:00:00"/>
    <s v="Second Class"/>
    <s v="Seun"/>
    <s v="Atiku"/>
    <s v="unknown"/>
    <n v="8031414120"/>
    <x v="1"/>
    <x v="0"/>
    <x v="0"/>
    <x v="4"/>
    <s v="Snacks"/>
    <x v="46"/>
    <n v="15"/>
    <n v="3158.75"/>
    <n v="15"/>
    <n v="7107.19"/>
    <n v="40274.06"/>
    <n v="2030.8"/>
    <s v="Food &amp; Beverages"/>
    <n v="2030.8"/>
    <s v="Large"/>
    <s v="Large"/>
    <s v="No Discount"/>
  </r>
  <r>
    <s v="ORD-10521"/>
    <x v="213"/>
    <d v="2022-01-29T00:00:00"/>
    <s v="Second Class"/>
    <s v="Sade"/>
    <s v="Tinubu"/>
    <s v="sade.tinubu@hotmail.com"/>
    <n v="7062348021"/>
    <x v="0"/>
    <x v="3"/>
    <x v="11"/>
    <x v="4"/>
    <s v="Snacks"/>
    <x v="82"/>
    <n v="14"/>
    <n v="1576.84"/>
    <n v="10"/>
    <n v="2207.58"/>
    <n v="19868.18"/>
    <n v="5267.1"/>
    <s v="Food &amp; Beverages"/>
    <n v="5267.1"/>
    <s v="Small"/>
    <s v="Medium"/>
    <s v="No Discount"/>
  </r>
  <r>
    <s v="ORD-10926"/>
    <x v="214"/>
    <d v="2022-02-04T00:00:00"/>
    <s v="Second Class"/>
    <s v="Oluwaseun"/>
    <s v="Musa"/>
    <s v="oluwaseun.musa@outlook.com"/>
    <n v="9075120422"/>
    <x v="2"/>
    <x v="0"/>
    <x v="0"/>
    <x v="1"/>
    <s v="Shirts"/>
    <x v="27"/>
    <n v="9"/>
    <n v="7584.73"/>
    <n v="0"/>
    <n v="0"/>
    <n v="68262.570000000007"/>
    <n v="16688.439999999999"/>
    <s v="Clothing"/>
    <n v="16688.439999999999"/>
    <s v="Small"/>
    <s v="Small"/>
    <s v="No Discount"/>
  </r>
  <r>
    <s v="ORD-10903"/>
    <x v="215"/>
    <d v="2022-02-06T00:00:00"/>
    <s v="Second Class"/>
    <s v="Olumide"/>
    <s v="Chukwu"/>
    <s v="olumide.chukwu@hotmail.com"/>
    <n v="7068824038"/>
    <x v="0"/>
    <x v="0"/>
    <x v="14"/>
    <x v="1"/>
    <s v="Shoes"/>
    <x v="31"/>
    <n v="14"/>
    <n v="21921.87"/>
    <n v="0"/>
    <n v="0"/>
    <n v="306906.18"/>
    <n v="-853.32"/>
    <s v="Clothing"/>
    <n v="853.32"/>
    <s v="Small"/>
    <s v="Medium"/>
    <s v="No Discount"/>
  </r>
  <r>
    <s v="ORD-10982"/>
    <x v="216"/>
    <d v="2022-02-07T00:00:00"/>
    <s v="Second Class"/>
    <s v="Olumide"/>
    <s v="Chukwu"/>
    <s v="olumide.chukwu@yahoo.com"/>
    <n v="7068058810"/>
    <x v="1"/>
    <x v="2"/>
    <x v="3"/>
    <x v="4"/>
    <s v="Condiments"/>
    <x v="23"/>
    <n v="10"/>
    <n v="6995.77"/>
    <n v="25"/>
    <n v="17489.43"/>
    <n v="52468.27"/>
    <n v="12332.65"/>
    <s v="Food &amp; Beverages"/>
    <n v="12332.65"/>
    <s v="Small"/>
    <s v="Small"/>
    <s v="No Discount"/>
  </r>
  <r>
    <s v="ORD-10618"/>
    <x v="217"/>
    <d v="2022-02-17T00:00:00"/>
    <s v="Second Class"/>
    <s v="Amara"/>
    <s v="Tinubu"/>
    <s v="amara.tinubu@gmail.com"/>
    <n v="8145770866"/>
    <x v="1"/>
    <x v="0"/>
    <x v="8"/>
    <x v="3"/>
    <s v="Storage"/>
    <x v="92"/>
    <n v="17"/>
    <n v="162082.68"/>
    <n v="0"/>
    <n v="0"/>
    <n v="2755405.56"/>
    <n v="144476.72"/>
    <s v="Furniture"/>
    <n v="144476.72"/>
    <s v="Large"/>
    <s v="Large"/>
    <s v="Offer Discount"/>
  </r>
  <r>
    <s v="ORD-10910"/>
    <x v="3"/>
    <d v="2022-02-19T00:00:00"/>
    <s v="Second Class"/>
    <s v="Kunle"/>
    <s v="Chukwu"/>
    <s v="kunle.chukwu@outlook.com"/>
    <n v="8156042710"/>
    <x v="0"/>
    <x v="0"/>
    <x v="8"/>
    <x v="1"/>
    <s v="Bags"/>
    <x v="2"/>
    <n v="10"/>
    <n v="42940.32"/>
    <n v="10"/>
    <n v="42940.32"/>
    <n v="386462.88"/>
    <n v="-33275.199999999997"/>
    <s v="Clothing"/>
    <n v="33275.199999999997"/>
    <s v="Small"/>
    <s v="Small"/>
    <s v="No Discount"/>
  </r>
  <r>
    <s v="ORD-10576"/>
    <x v="5"/>
    <d v="2022-02-22T00:00:00"/>
    <s v="Second Class"/>
    <s v="Oluwaseun"/>
    <s v="Olawale"/>
    <s v="oluwaseun.olawale@yahoo.com"/>
    <n v="7035812480"/>
    <x v="0"/>
    <x v="1"/>
    <x v="2"/>
    <x v="3"/>
    <s v="Storage"/>
    <x v="92"/>
    <n v="4"/>
    <n v="92593.14"/>
    <n v="5"/>
    <n v="18518.63"/>
    <n v="351853.93"/>
    <n v="-31300.31"/>
    <s v="Furniture"/>
    <n v="31300.31"/>
    <s v="Small"/>
    <s v="Small"/>
    <s v="No Discount"/>
  </r>
  <r>
    <s v="ORD-10953"/>
    <x v="218"/>
    <d v="2022-03-09T00:00:00"/>
    <s v="Second Class"/>
    <s v="Ibrahim"/>
    <s v="Adebayo"/>
    <s v="ibrahim.adebayo@outlook.com"/>
    <n v="8038244779"/>
    <x v="2"/>
    <x v="1"/>
    <x v="2"/>
    <x v="3"/>
    <s v="Chairs"/>
    <x v="90"/>
    <n v="1"/>
    <n v="89481.57"/>
    <n v="0"/>
    <n v="0"/>
    <n v="89481.57"/>
    <n v="6686.19"/>
    <s v="Furniture"/>
    <n v="6686.19"/>
    <s v="Small"/>
    <s v="Small"/>
    <s v="No Discount"/>
  </r>
  <r>
    <s v="ORD-10513"/>
    <x v="219"/>
    <d v="2022-03-22T00:00:00"/>
    <s v="Second Class"/>
    <s v="Deola"/>
    <s v="Fashola"/>
    <s v="deola.fashola@outlook.com"/>
    <n v="8105666187"/>
    <x v="1"/>
    <x v="3"/>
    <x v="18"/>
    <x v="0"/>
    <s v="Fasteners"/>
    <x v="68"/>
    <n v="14"/>
    <n v="13261.39"/>
    <n v="10"/>
    <n v="18565.95"/>
    <n v="167093.51"/>
    <n v="50183.29"/>
    <s v="Office Supplies"/>
    <n v="50183.29"/>
    <s v="Small"/>
    <s v="Medium"/>
    <s v="No Discount"/>
  </r>
  <r>
    <s v="ORD-10243"/>
    <x v="220"/>
    <d v="2022-03-28T00:00:00"/>
    <s v="Second Class"/>
    <s v="Chisom"/>
    <s v="Olawale"/>
    <s v="chisom.olawale@gmail.com"/>
    <n v="7065304875"/>
    <x v="0"/>
    <x v="0"/>
    <x v="14"/>
    <x v="4"/>
    <s v="Grains"/>
    <x v="61"/>
    <n v="12"/>
    <n v="7317.29"/>
    <n v="25"/>
    <n v="21951.87"/>
    <n v="65855.61"/>
    <n v="21843.65"/>
    <s v="Food &amp; Beverages"/>
    <n v="21843.65"/>
    <s v="Small"/>
    <s v="Small"/>
    <s v="No Discount"/>
  </r>
  <r>
    <s v="ORD-10203"/>
    <x v="221"/>
    <d v="2022-04-02T00:00:00"/>
    <s v="Second Class"/>
    <s v="Sade"/>
    <s v="Sowore"/>
    <s v="sade.sowore@hotmail.com"/>
    <n v="8133480985"/>
    <x v="0"/>
    <x v="3"/>
    <x v="18"/>
    <x v="4"/>
    <s v="Grains"/>
    <x v="60"/>
    <n v="3"/>
    <n v="7313.19"/>
    <n v="0"/>
    <n v="0"/>
    <n v="21939.57"/>
    <n v="1817.9"/>
    <s v="Food &amp; Beverages"/>
    <n v="1817.9"/>
    <s v="Small"/>
    <s v="Small"/>
    <s v="No Discount"/>
  </r>
  <r>
    <s v="ORD-10899"/>
    <x v="222"/>
    <d v="2022-04-14T00:00:00"/>
    <s v="Second Class"/>
    <s v="Seun"/>
    <s v="Lawal"/>
    <s v="seun.lawal@yahoo.com"/>
    <n v="8137160440"/>
    <x v="0"/>
    <x v="2"/>
    <x v="12"/>
    <x v="4"/>
    <s v="Grains"/>
    <x v="97"/>
    <n v="6"/>
    <n v="2192.5700000000002"/>
    <n v="0"/>
    <n v="0"/>
    <n v="13155.42"/>
    <n v="3657.97"/>
    <s v="Food &amp; Beverages"/>
    <n v="3657.97"/>
    <s v="Small"/>
    <s v="Small"/>
    <s v="No Discount"/>
  </r>
  <r>
    <s v="ORD-10914"/>
    <x v="223"/>
    <d v="2022-04-19T00:00:00"/>
    <s v="Second Class"/>
    <s v="Kunle"/>
    <s v="Adeyemi"/>
    <s v="kunle.adeyemi@gmail.com"/>
    <n v="8105889267"/>
    <x v="2"/>
    <x v="1"/>
    <x v="19"/>
    <x v="0"/>
    <s v="Fasteners"/>
    <x v="110"/>
    <n v="3"/>
    <n v="16818.43"/>
    <n v="0"/>
    <n v="0"/>
    <n v="13155.42"/>
    <n v="-2566.5100000000002"/>
    <s v="Office Supplies"/>
    <n v="2566.5100000000002"/>
    <s v="Small"/>
    <s v="Small"/>
    <s v="No Discount"/>
  </r>
  <r>
    <s v="ORD-10992"/>
    <x v="224"/>
    <d v="2022-04-19T00:00:00"/>
    <s v="Second Class"/>
    <s v="Uchenna"/>
    <s v="Abubakar"/>
    <s v="uchenna.abubakar@outlook.com"/>
    <n v="8161282157"/>
    <x v="2"/>
    <x v="1"/>
    <x v="5"/>
    <x v="1"/>
    <s v="Bags"/>
    <x v="111"/>
    <n v="13"/>
    <n v="27749.94"/>
    <n v="0"/>
    <n v="0"/>
    <n v="360749.22"/>
    <n v="-41518.92"/>
    <s v="Clothing"/>
    <n v="41518.92"/>
    <s v="Small"/>
    <s v="Small"/>
    <s v="No Discount"/>
  </r>
  <r>
    <s v="ORD-10289"/>
    <x v="225"/>
    <d v="2022-04-22T00:00:00"/>
    <s v="Second Class"/>
    <s v="Ikenna"/>
    <s v="Musa"/>
    <s v="ikenna.musa@hotmail.com"/>
    <n v="8104224451"/>
    <x v="0"/>
    <x v="2"/>
    <x v="13"/>
    <x v="0"/>
    <s v="Art Supplies"/>
    <x v="78"/>
    <n v="4"/>
    <n v="20792.18"/>
    <n v="5"/>
    <n v="4158.4399999999996"/>
    <n v="79010.28"/>
    <n v="6390.25"/>
    <s v="Office Supplies"/>
    <n v="6390.25"/>
    <s v="Small"/>
    <s v="Small"/>
    <s v="No Discount"/>
  </r>
  <r>
    <s v="ORD-10464"/>
    <x v="226"/>
    <d v="2022-04-24T00:00:00"/>
    <s v="Second Class"/>
    <s v="Ronke"/>
    <s v="Nwosu"/>
    <s v="ronke.nwosu@hotmail.com"/>
    <n v="8151313131"/>
    <x v="0"/>
    <x v="2"/>
    <x v="20"/>
    <x v="2"/>
    <s v="Printers"/>
    <x v="55"/>
    <n v="9"/>
    <n v="433633.89"/>
    <n v="5"/>
    <n v="195135.25"/>
    <n v="3707569.76"/>
    <n v="-10484.950000000001"/>
    <s v="Technology"/>
    <n v="10484.950000000001"/>
    <s v="Small"/>
    <s v="Small"/>
    <s v="No Discount"/>
  </r>
  <r>
    <s v="ORD-10274"/>
    <x v="227"/>
    <d v="2022-04-26T00:00:00"/>
    <s v="Second Class"/>
    <s v="Oluwaseun"/>
    <s v="Sanusi"/>
    <s v="oluwaseun.sanusi@gmail.com"/>
    <n v="8156826541"/>
    <x v="0"/>
    <x v="0"/>
    <x v="14"/>
    <x v="1"/>
    <s v="Trousers"/>
    <x v="53"/>
    <n v="17"/>
    <n v="43989.81"/>
    <n v="20"/>
    <n v="149565.35"/>
    <n v="598261.42000000004"/>
    <n v="23565.97"/>
    <s v="Clothing"/>
    <n v="23565.97"/>
    <s v="Large"/>
    <s v="Large"/>
    <s v="No Discount"/>
  </r>
  <r>
    <s v="ORD-10326"/>
    <x v="228"/>
    <d v="2022-05-03T00:00:00"/>
    <s v="Second Class"/>
    <s v="Kehinde"/>
    <s v="Atiku"/>
    <s v="kehinde.atiku@gmail.com"/>
    <n v="8145818203"/>
    <x v="0"/>
    <x v="1"/>
    <x v="9"/>
    <x v="1"/>
    <s v="Accessories"/>
    <x v="17"/>
    <n v="19"/>
    <n v="13165.38"/>
    <n v="10"/>
    <n v="25014.22"/>
    <n v="225128"/>
    <n v="91461.23"/>
    <s v="Clothing"/>
    <n v="91461.23"/>
    <s v="Large"/>
    <s v="Large"/>
    <s v="No Discount"/>
  </r>
  <r>
    <s v="ORD-10365"/>
    <x v="229"/>
    <d v="2022-05-14T00:00:00"/>
    <s v="Second Class"/>
    <s v="Bola"/>
    <s v="Sanusi"/>
    <s v="bola.sanusi@yahoo.com"/>
    <n v="8064399754"/>
    <x v="2"/>
    <x v="2"/>
    <x v="12"/>
    <x v="1"/>
    <s v="Shoes"/>
    <x v="52"/>
    <n v="19"/>
    <n v="15942.1"/>
    <n v="25"/>
    <n v="75724.98"/>
    <n v="227174.92"/>
    <n v="-15357.56"/>
    <s v="Clothing"/>
    <n v="15357.56"/>
    <s v="Large"/>
    <s v="Large"/>
    <s v="No Discount"/>
  </r>
  <r>
    <s v="ORD-10653"/>
    <x v="230"/>
    <d v="2022-05-22T00:00:00"/>
    <s v="Second Class"/>
    <s v="Oluwaseun"/>
    <s v="Tinubu"/>
    <s v="oluwaseun.tinubu@hotmail.com"/>
    <n v="8032188961"/>
    <x v="2"/>
    <x v="0"/>
    <x v="8"/>
    <x v="4"/>
    <s v="Drinks"/>
    <x v="86"/>
    <n v="10"/>
    <n v="6324.38"/>
    <n v="0"/>
    <n v="0"/>
    <n v="63243.8"/>
    <n v="-5011.66"/>
    <s v="Food &amp; Beverages"/>
    <n v="5011.66"/>
    <s v="Small"/>
    <s v="Small"/>
    <s v="No Discount"/>
  </r>
  <r>
    <s v="ORD-10138"/>
    <x v="231"/>
    <d v="2022-05-25T00:00:00"/>
    <s v="Second Class"/>
    <s v="Seun"/>
    <s v="Okonkwo"/>
    <s v="unknown"/>
    <n v="8158650572"/>
    <x v="2"/>
    <x v="1"/>
    <x v="2"/>
    <x v="0"/>
    <s v="Paper"/>
    <x v="32"/>
    <n v="20"/>
    <n v="16124.35"/>
    <n v="20"/>
    <n v="64497.4"/>
    <n v="257989.6"/>
    <n v="63354.66"/>
    <s v="Office Supplies"/>
    <n v="63354.66"/>
    <s v="Large"/>
    <s v="Large"/>
    <s v="No Discount"/>
  </r>
  <r>
    <s v="ORD-10297"/>
    <x v="232"/>
    <d v="2022-05-29T00:00:00"/>
    <s v="Second Class"/>
    <s v="Ibrahim"/>
    <s v="Tinubu"/>
    <s v="ibrahim.tinubu@hotmail.com"/>
    <n v="8032341452"/>
    <x v="1"/>
    <x v="0"/>
    <x v="1"/>
    <x v="1"/>
    <s v="Shirts"/>
    <x v="57"/>
    <n v="14"/>
    <n v="25994.86"/>
    <n v="10"/>
    <n v="36392.800000000003"/>
    <n v="327535.24"/>
    <n v="106956.55"/>
    <s v="Clothing"/>
    <n v="106956.55"/>
    <s v="Small"/>
    <s v="Medium"/>
    <s v="No Discount"/>
  </r>
  <r>
    <s v="ORD-10047"/>
    <x v="25"/>
    <d v="2022-05-30T00:00:00"/>
    <s v="Second Class"/>
    <s v="Aisha"/>
    <s v="Sule"/>
    <s v="aisha.sule@outlook.com"/>
    <n v="9055842082"/>
    <x v="1"/>
    <x v="3"/>
    <x v="18"/>
    <x v="1"/>
    <s v="Shirts"/>
    <x v="6"/>
    <n v="13"/>
    <n v="31613.15"/>
    <n v="10"/>
    <n v="41097.1"/>
    <n v="369873.85"/>
    <n v="55585.87"/>
    <s v="Clothing"/>
    <n v="55585.87"/>
    <s v="Small"/>
    <s v="Small"/>
    <s v="No Discount"/>
  </r>
  <r>
    <s v="ORD-10479"/>
    <x v="233"/>
    <d v="2022-06-04T00:00:00"/>
    <s v="Second Class"/>
    <s v="Ayo"/>
    <s v="Fashola"/>
    <s v="ayo.fashola@gmail.com"/>
    <n v="9078490291"/>
    <x v="2"/>
    <x v="2"/>
    <x v="3"/>
    <x v="4"/>
    <s v="Drinks"/>
    <x v="58"/>
    <n v="2"/>
    <n v="7803.85"/>
    <n v="15"/>
    <n v="2341.16"/>
    <n v="13266.54"/>
    <n v="503.7"/>
    <s v="Food &amp; Beverages"/>
    <n v="503.7"/>
    <s v="Small"/>
    <s v="Small"/>
    <s v="No Discount"/>
  </r>
  <r>
    <s v="ORD-10081"/>
    <x v="234"/>
    <d v="2022-06-07T00:00:00"/>
    <s v="Second Class"/>
    <s v="Wale"/>
    <s v="Fashola"/>
    <s v="wale.fashola@hotmail.com"/>
    <n v="9076422534"/>
    <x v="0"/>
    <x v="0"/>
    <x v="0"/>
    <x v="0"/>
    <s v="Binders"/>
    <x v="112"/>
    <n v="15"/>
    <n v="2173.0100000000002"/>
    <n v="10"/>
    <n v="3259.51"/>
    <n v="29335.64"/>
    <n v="9616.16"/>
    <s v="Office Supplies"/>
    <n v="9616.16"/>
    <s v="Large"/>
    <s v="Large"/>
    <s v="No Discount"/>
  </r>
  <r>
    <s v="ORD-10703"/>
    <x v="235"/>
    <d v="2022-06-13T00:00:00"/>
    <s v="Second Class"/>
    <s v="Seun"/>
    <s v="Bello"/>
    <s v="seun.bello@yahoo.com"/>
    <n v="8163991801"/>
    <x v="2"/>
    <x v="1"/>
    <x v="7"/>
    <x v="0"/>
    <s v="Labels"/>
    <x v="113"/>
    <n v="17"/>
    <n v="3604.25"/>
    <n v="15"/>
    <n v="9190.84"/>
    <n v="52081.41"/>
    <n v="2504.91"/>
    <s v="Office Supplies"/>
    <n v="2504.91"/>
    <s v="Large"/>
    <s v="Large"/>
    <s v="No Discount"/>
  </r>
  <r>
    <s v="ORD-10574"/>
    <x v="27"/>
    <d v="2022-06-25T00:00:00"/>
    <s v="Second Class"/>
    <s v="Seun"/>
    <s v="Tinubu"/>
    <s v="seun.tinubu@gmail.com"/>
    <n v="9021157641"/>
    <x v="0"/>
    <x v="2"/>
    <x v="4"/>
    <x v="2"/>
    <s v="Printers"/>
    <x v="114"/>
    <n v="3"/>
    <n v="385933.29"/>
    <n v="5"/>
    <n v="57889.99"/>
    <n v="1099909.8799999999"/>
    <n v="-73102.149999999994"/>
    <s v="Technology"/>
    <n v="73102.149999999994"/>
    <s v="Small"/>
    <s v="Small"/>
    <s v="No Discount"/>
  </r>
  <r>
    <s v="ORD-10556"/>
    <x v="236"/>
    <d v="2022-06-28T00:00:00"/>
    <s v="Second Class"/>
    <s v="Dayo"/>
    <s v="Okafor"/>
    <s v="dayo.okafor@hotmail.com"/>
    <n v="8069177419"/>
    <x v="1"/>
    <x v="2"/>
    <x v="13"/>
    <x v="2"/>
    <s v="Phones"/>
    <x v="22"/>
    <n v="13"/>
    <n v="113351.43"/>
    <n v="10"/>
    <n v="147356.85999999999"/>
    <n v="1326211.73"/>
    <n v="39217.370000000003"/>
    <s v="Technology"/>
    <n v="39217.370000000003"/>
    <s v="Small"/>
    <s v="Small"/>
    <s v="No Discount"/>
  </r>
  <r>
    <s v="ORD-10637"/>
    <x v="237"/>
    <d v="2022-07-01T00:00:00"/>
    <s v="Second Class"/>
    <s v="Femi"/>
    <s v="Okafor"/>
    <s v="femi.okafor@yahoo.com"/>
    <n v="7062354222"/>
    <x v="1"/>
    <x v="3"/>
    <x v="11"/>
    <x v="0"/>
    <s v="Binders"/>
    <x v="65"/>
    <n v="12"/>
    <n v="12092.86"/>
    <n v="5"/>
    <n v="7255.72"/>
    <n v="137858.6"/>
    <n v="46461.86"/>
    <s v="Office Supplies"/>
    <n v="46461.86"/>
    <s v="Small"/>
    <s v="Small"/>
    <s v="No Discount"/>
  </r>
  <r>
    <s v="ORD-10876"/>
    <x v="237"/>
    <d v="2022-07-01T00:00:00"/>
    <s v="Second Class"/>
    <s v="Fatima"/>
    <s v="Sowore"/>
    <s v="fatima.sowore@yahoo.com"/>
    <n v="8147263217"/>
    <x v="0"/>
    <x v="3"/>
    <x v="22"/>
    <x v="4"/>
    <s v="Grains"/>
    <x v="97"/>
    <n v="6"/>
    <n v="814.51"/>
    <n v="15"/>
    <n v="733.06"/>
    <n v="4154"/>
    <n v="-334.36"/>
    <s v="Food &amp; Beverages"/>
    <n v="334.36"/>
    <s v="Small"/>
    <s v="Small"/>
    <s v="No Discount"/>
  </r>
  <r>
    <s v="ORD-10284"/>
    <x v="238"/>
    <d v="2022-07-07T00:00:00"/>
    <s v="Second Class"/>
    <s v="Gbenga"/>
    <s v="Adebayo"/>
    <s v="gbenga.adebayo@hotmail.com"/>
    <n v="8163612506"/>
    <x v="1"/>
    <x v="0"/>
    <x v="17"/>
    <x v="0"/>
    <s v="Paper"/>
    <x v="63"/>
    <n v="5"/>
    <n v="13321.25"/>
    <n v="10"/>
    <n v="6660.62"/>
    <n v="59945.63"/>
    <n v="1322.24"/>
    <s v="Office Supplies"/>
    <n v="1322.24"/>
    <s v="Small"/>
    <s v="Small"/>
    <s v="No Discount"/>
  </r>
  <r>
    <s v="ORD-10376"/>
    <x v="239"/>
    <d v="2022-07-08T00:00:00"/>
    <s v="Second Class"/>
    <s v="Kunle"/>
    <s v="Sowore"/>
    <s v="kunle.sowore@outlook.com"/>
    <n v="8108705487"/>
    <x v="1"/>
    <x v="3"/>
    <x v="11"/>
    <x v="4"/>
    <s v="Condiments"/>
    <x v="59"/>
    <n v="15"/>
    <n v="7818.44"/>
    <n v="0"/>
    <n v="0"/>
    <n v="117276.6"/>
    <n v="43922.36"/>
    <s v="Food &amp; Beverages"/>
    <n v="43922.36"/>
    <s v="Large"/>
    <s v="Large"/>
    <s v="No Discount"/>
  </r>
  <r>
    <s v="ORD-10773"/>
    <x v="240"/>
    <d v="2022-07-12T00:00:00"/>
    <s v="Second Class"/>
    <s v="Tunde"/>
    <s v="Bello"/>
    <s v="tunde.bello@hotmail.com"/>
    <n v="8147963833"/>
    <x v="1"/>
    <x v="2"/>
    <x v="4"/>
    <x v="4"/>
    <s v="Cooking Oil"/>
    <x v="25"/>
    <n v="1"/>
    <n v="6898.25"/>
    <n v="10"/>
    <n v="689.83"/>
    <n v="6208.42"/>
    <n v="842.77"/>
    <s v="Food &amp; Beverages"/>
    <n v="842.77"/>
    <s v="Small"/>
    <s v="Small"/>
    <s v="No Discount"/>
  </r>
  <r>
    <s v="ORD-10934"/>
    <x v="241"/>
    <d v="2022-07-13T00:00:00"/>
    <s v="Second Class"/>
    <s v="Ronke"/>
    <s v="Alakija"/>
    <s v="ronke.alakija@gmail.com"/>
    <n v="7032902103"/>
    <x v="1"/>
    <x v="2"/>
    <x v="3"/>
    <x v="2"/>
    <s v="Tablets"/>
    <x v="83"/>
    <n v="4"/>
    <n v="153465.60000000001"/>
    <n v="0"/>
    <n v="0"/>
    <n v="613862.40000000002"/>
    <n v="120223"/>
    <s v="Technology"/>
    <n v="120223"/>
    <s v="Small"/>
    <s v="Small"/>
    <s v="No Discount"/>
  </r>
  <r>
    <s v="ORD-10693"/>
    <x v="242"/>
    <d v="2022-07-20T00:00:00"/>
    <s v="Second Class"/>
    <s v="Lanre"/>
    <s v="Sule"/>
    <s v="lanre.sule@hotmail.com"/>
    <n v="8136237674"/>
    <x v="0"/>
    <x v="1"/>
    <x v="19"/>
    <x v="0"/>
    <s v="Envelopes"/>
    <x v="3"/>
    <n v="10"/>
    <n v="18715.34"/>
    <n v="10"/>
    <n v="18715.34"/>
    <n v="168438.06"/>
    <n v="21112.6"/>
    <s v="Office Supplies"/>
    <n v="21112.6"/>
    <s v="Small"/>
    <s v="Small"/>
    <s v="No Discount"/>
  </r>
  <r>
    <s v="ORD-10796"/>
    <x v="243"/>
    <d v="2022-07-22T00:00:00"/>
    <s v="Second Class"/>
    <s v="Kunle"/>
    <s v="Otedola"/>
    <s v="kunle.otedola@outlook.com"/>
    <n v="8064822259"/>
    <x v="2"/>
    <x v="3"/>
    <x v="6"/>
    <x v="0"/>
    <s v="Fasteners"/>
    <x v="115"/>
    <n v="8"/>
    <n v="20616.400000000001"/>
    <n v="20"/>
    <n v="32986.239999999998"/>
    <n v="131944.95999999999"/>
    <n v="1514.74"/>
    <s v="Office Supplies"/>
    <n v="1514.74"/>
    <s v="Small"/>
    <s v="Small"/>
    <s v="No Discount"/>
  </r>
  <r>
    <s v="ORD-10891"/>
    <x v="36"/>
    <d v="2022-07-28T00:00:00"/>
    <s v="Second Class"/>
    <s v="Chibundo"/>
    <s v="Obi"/>
    <s v="chibundo.obi@hotmail.com"/>
    <n v="8143523050"/>
    <x v="0"/>
    <x v="1"/>
    <x v="5"/>
    <x v="1"/>
    <s v="Accessories"/>
    <x v="39"/>
    <n v="9"/>
    <n v="2990.14"/>
    <n v="5"/>
    <n v="1345.56"/>
    <n v="25565.7"/>
    <n v="9691.5400000000009"/>
    <s v="Clothing"/>
    <n v="9691.5400000000009"/>
    <s v="Small"/>
    <s v="Small"/>
    <s v="No Discount"/>
  </r>
  <r>
    <s v="ORD-10395"/>
    <x v="244"/>
    <d v="2022-08-01T00:00:00"/>
    <s v="Second Class"/>
    <s v="Seun"/>
    <s v="Dangote"/>
    <s v="seun.dangote@yahoo.com"/>
    <n v="8034161109"/>
    <x v="1"/>
    <x v="1"/>
    <x v="5"/>
    <x v="4"/>
    <s v="Condiments"/>
    <x v="116"/>
    <n v="18"/>
    <n v="6814.74"/>
    <n v="0"/>
    <n v="0"/>
    <n v="122665.32"/>
    <n v="12316.55"/>
    <s v="Food &amp; Beverages"/>
    <n v="12316.55"/>
    <s v="Large"/>
    <s v="Large"/>
    <s v="No Discount"/>
  </r>
  <r>
    <s v="ORD-10183"/>
    <x v="245"/>
    <d v="2022-08-08T00:00:00"/>
    <s v="Second Class"/>
    <s v="Olumide"/>
    <s v="Fashola"/>
    <s v="olumide.fashola@outlook.com"/>
    <n v="7063025626"/>
    <x v="0"/>
    <x v="3"/>
    <x v="6"/>
    <x v="4"/>
    <s v="Grains"/>
    <x v="117"/>
    <n v="15"/>
    <n v="3779.76"/>
    <n v="10"/>
    <n v="5669.64"/>
    <n v="51026.76"/>
    <n v="18445.63"/>
    <s v="Food &amp; Beverages"/>
    <n v="18445.63"/>
    <s v="Large"/>
    <s v="Large"/>
    <s v="No Discount"/>
  </r>
  <r>
    <s v="ORD-10945"/>
    <x v="246"/>
    <d v="2022-08-17T00:00:00"/>
    <s v="Second Class"/>
    <s v="Uchenna"/>
    <s v="Dangote"/>
    <s v="uchenna.dangote@outlook.com"/>
    <n v="9012658169"/>
    <x v="0"/>
    <x v="1"/>
    <x v="5"/>
    <x v="0"/>
    <s v="Art Supplies"/>
    <x v="75"/>
    <n v="15"/>
    <n v="20086.8"/>
    <n v="0"/>
    <n v="0"/>
    <n v="261128.4"/>
    <n v="-29303.66"/>
    <s v="Office Supplies"/>
    <n v="29303.66"/>
    <s v="Large"/>
    <s v="Large"/>
    <s v="No Discount"/>
  </r>
  <r>
    <s v="ORD-10628"/>
    <x v="41"/>
    <d v="2022-08-19T00:00:00"/>
    <s v="Second Class"/>
    <s v="Gbenga"/>
    <s v="Dangote"/>
    <s v="bola.adeleke@gmail.com"/>
    <n v="9055465729"/>
    <x v="2"/>
    <x v="2"/>
    <x v="4"/>
    <x v="3"/>
    <s v="Chairs"/>
    <x v="38"/>
    <n v="8"/>
    <n v="25377.5"/>
    <n v="15"/>
    <n v="30453"/>
    <n v="172567"/>
    <n v="14693.19"/>
    <s v="Furniture"/>
    <n v="14693.19"/>
    <s v="Small"/>
    <s v="Small"/>
    <s v="No Discount"/>
  </r>
  <r>
    <s v="ORD-10379"/>
    <x v="247"/>
    <d v="2022-08-26T00:00:00"/>
    <s v="Second Class"/>
    <s v="Gbenga"/>
    <s v="Kunle"/>
    <s v="kunle.atiku@yahoo.com"/>
    <n v="9024782209"/>
    <x v="1"/>
    <x v="3"/>
    <x v="18"/>
    <x v="0"/>
    <s v="Pens &amp; Pencils"/>
    <x v="28"/>
    <n v="14"/>
    <n v="12837.37"/>
    <n v="10"/>
    <n v="17972.32"/>
    <n v="161750.85999999999"/>
    <n v="-18977.259999999998"/>
    <s v="Office Supplies"/>
    <n v="18977.259999999998"/>
    <s v="Small"/>
    <s v="Medium"/>
    <s v="No Discount"/>
  </r>
  <r>
    <s v="ORD-10554"/>
    <x v="248"/>
    <d v="2022-09-03T00:00:00"/>
    <s v="Second Class"/>
    <s v="Gbenga"/>
    <s v="Sanusi"/>
    <s v="gbenga.sanusi@outlook.com"/>
    <n v="8164574653"/>
    <x v="2"/>
    <x v="2"/>
    <x v="3"/>
    <x v="2"/>
    <s v="Printers"/>
    <x v="104"/>
    <n v="10"/>
    <n v="109596.49"/>
    <n v="25"/>
    <n v="273991.23"/>
    <n v="821973.67"/>
    <n v="283939.65000000002"/>
    <s v="Technology"/>
    <n v="283939.65000000002"/>
    <s v="Small"/>
    <s v="Small"/>
    <s v="No Discount"/>
  </r>
  <r>
    <s v="ORD-10582"/>
    <x v="45"/>
    <d v="2022-09-03T00:00:00"/>
    <s v="Second Class"/>
    <s v="Seun"/>
    <s v="Olawale"/>
    <s v="seun.olawale@gmail.com"/>
    <n v="9018125430"/>
    <x v="2"/>
    <x v="3"/>
    <x v="22"/>
    <x v="0"/>
    <s v="Paper"/>
    <x v="63"/>
    <n v="3"/>
    <n v="16737.310000000001"/>
    <n v="20"/>
    <n v="10042.39"/>
    <n v="40169.54"/>
    <n v="14158.25"/>
    <s v="Office Supplies"/>
    <n v="14158.25"/>
    <s v="Small"/>
    <s v="Small"/>
    <s v="No Discount"/>
  </r>
  <r>
    <s v="ORD-10175"/>
    <x v="249"/>
    <d v="2022-09-05T00:00:00"/>
    <s v="Second Class"/>
    <s v="Kemi"/>
    <s v="Obi"/>
    <s v="kemi.obi@gmail.com"/>
    <n v="8109328426"/>
    <x v="2"/>
    <x v="2"/>
    <x v="3"/>
    <x v="0"/>
    <s v="Labels"/>
    <x v="102"/>
    <n v="9"/>
    <n v="19683.18"/>
    <n v="0"/>
    <n v="0"/>
    <n v="177148.62"/>
    <n v="12953.4"/>
    <s v="Office Supplies"/>
    <n v="12953.4"/>
    <s v="Small"/>
    <s v="Small"/>
    <s v="No Discount"/>
  </r>
  <r>
    <s v="ORD-10418"/>
    <x v="250"/>
    <d v="2022-09-12T00:00:00"/>
    <s v="Second Class"/>
    <s v="Adaeze"/>
    <s v="Gambo"/>
    <s v="adaeze.gambo@hotmail.com"/>
    <n v="9024958384"/>
    <x v="0"/>
    <x v="0"/>
    <x v="14"/>
    <x v="1"/>
    <s v="Trousers"/>
    <x v="13"/>
    <n v="7"/>
    <n v="6593"/>
    <n v="10"/>
    <n v="4615.1000000000004"/>
    <n v="41535.9"/>
    <n v="4722.0200000000004"/>
    <s v="Clothing"/>
    <n v="4722.0200000000004"/>
    <s v="Small"/>
    <s v="Small"/>
    <s v="No Discount"/>
  </r>
  <r>
    <s v="ORD-10844"/>
    <x v="48"/>
    <d v="2022-09-22T00:00:00"/>
    <s v="Second Class"/>
    <s v="Kehinde"/>
    <s v="Abubakar"/>
    <s v="kehinde.abubakar@yahoo.com"/>
    <n v="8035179188"/>
    <x v="1"/>
    <x v="0"/>
    <x v="8"/>
    <x v="1"/>
    <s v="Accessories"/>
    <x v="39"/>
    <n v="11"/>
    <n v="40293.949999999997"/>
    <n v="25"/>
    <n v="110808.36"/>
    <n v="332425.09000000003"/>
    <n v="125801.92"/>
    <s v="Clothing"/>
    <n v="125801.92"/>
    <s v="Small"/>
    <s v="Small"/>
    <s v="No Discount"/>
  </r>
  <r>
    <s v="ORD-10104"/>
    <x v="251"/>
    <d v="2022-09-26T00:00:00"/>
    <s v="Second Class"/>
    <s v="Dayo"/>
    <s v="Lawal"/>
    <s v="dayo.lawal@gmail.com"/>
    <n v="8033083077"/>
    <x v="2"/>
    <x v="0"/>
    <x v="0"/>
    <x v="4"/>
    <s v="Snacks"/>
    <x v="80"/>
    <n v="11"/>
    <n v="1567.86"/>
    <n v="5"/>
    <n v="862.32"/>
    <n v="16384.14"/>
    <n v="943.95"/>
    <s v="Food &amp; Beverages"/>
    <n v="943.95"/>
    <s v="Small"/>
    <s v="Small"/>
    <s v="No Discount"/>
  </r>
  <r>
    <s v="ORD-10192"/>
    <x v="50"/>
    <d v="2022-09-29T00:00:00"/>
    <s v="Second Class"/>
    <s v="Fatima"/>
    <s v="Sule"/>
    <s v="fatima.sule@outlook.com"/>
    <n v="8031367637"/>
    <x v="1"/>
    <x v="1"/>
    <x v="19"/>
    <x v="3"/>
    <s v="Sofas"/>
    <x v="81"/>
    <n v="17"/>
    <n v="141191.04000000001"/>
    <n v="10"/>
    <n v="240024.77"/>
    <n v="2160222.91"/>
    <n v="920979.17"/>
    <s v="Furniture"/>
    <n v="920979.17"/>
    <s v="Large"/>
    <s v="Large"/>
    <s v="Offer Discount"/>
  </r>
  <r>
    <s v="ORD-10442"/>
    <x v="252"/>
    <d v="2022-10-07T00:00:00"/>
    <s v="Second Class"/>
    <s v="Musa"/>
    <s v="Bello"/>
    <s v="musa.bello@gmail.com"/>
    <n v="9014157826"/>
    <x v="0"/>
    <x v="1"/>
    <x v="7"/>
    <x v="2"/>
    <s v="Phones"/>
    <x v="66"/>
    <n v="8"/>
    <n v="297151.09999999998"/>
    <n v="15"/>
    <n v="356581.32"/>
    <n v="2020627.48"/>
    <n v="717835.64"/>
    <s v="Technology"/>
    <n v="717835.64"/>
    <s v="Small"/>
    <s v="Small"/>
    <s v="No Discount"/>
  </r>
  <r>
    <s v="ORD-10828"/>
    <x v="252"/>
    <d v="2022-10-09T00:00:00"/>
    <s v="Second Class"/>
    <s v="Gbenga"/>
    <s v="Sowore"/>
    <s v="gbenga.sowore@hotmail.com"/>
    <n v="8102861798"/>
    <x v="0"/>
    <x v="2"/>
    <x v="3"/>
    <x v="3"/>
    <s v="Bookcases"/>
    <x v="118"/>
    <n v="3"/>
    <n v="130362.21"/>
    <n v="10"/>
    <n v="39108.660000000003"/>
    <n v="351977.97"/>
    <n v="74509.350000000006"/>
    <s v="Furniture"/>
    <n v="74509.350000000006"/>
    <s v="Small"/>
    <s v="Small"/>
    <s v="No Discount"/>
  </r>
  <r>
    <s v="ORD-10865"/>
    <x v="253"/>
    <d v="2022-10-16T00:00:00"/>
    <s v="Second Class"/>
    <s v="Ikenna"/>
    <s v="Musa"/>
    <s v="ikenna.musa@hotmail.com"/>
    <n v="8069411821"/>
    <x v="1"/>
    <x v="3"/>
    <x v="6"/>
    <x v="4"/>
    <s v="Drinks"/>
    <x v="69"/>
    <n v="1"/>
    <n v="1099.3800000000001"/>
    <n v="10"/>
    <n v="109.94"/>
    <n v="989.44"/>
    <n v="406.37"/>
    <s v="Food &amp; Beverages"/>
    <n v="406.37"/>
    <s v="Small"/>
    <s v="Small"/>
    <s v="No Discount"/>
  </r>
  <r>
    <s v="ORD-10874"/>
    <x v="253"/>
    <d v="2022-10-16T00:00:00"/>
    <s v="Second Class"/>
    <s v="Deola"/>
    <s v="Danjuma"/>
    <s v="deola.danjuma@gmail.com"/>
    <n v="8149323942"/>
    <x v="0"/>
    <x v="1"/>
    <x v="19"/>
    <x v="0"/>
    <s v="Art Supplies"/>
    <x v="78"/>
    <n v="17"/>
    <n v="1003.17"/>
    <n v="10"/>
    <n v="1705.39"/>
    <n v="15348.5"/>
    <n v="3543.96"/>
    <s v="Office Supplies"/>
    <n v="3543.96"/>
    <s v="Large"/>
    <s v="Large"/>
    <s v="No Discount"/>
  </r>
  <r>
    <s v="ORD-10700"/>
    <x v="54"/>
    <d v="2022-10-21T00:00:00"/>
    <s v="Second Class"/>
    <s v="Ronke"/>
    <s v="Sowore"/>
    <s v="unknown"/>
    <n v="9027228596"/>
    <x v="2"/>
    <x v="0"/>
    <x v="8"/>
    <x v="4"/>
    <s v="Condiments"/>
    <x v="74"/>
    <n v="7"/>
    <n v="3935.25"/>
    <n v="10"/>
    <n v="2754.68"/>
    <n v="24792.07"/>
    <n v="10071.719999999999"/>
    <s v="Food &amp; Beverages"/>
    <n v="10071.719999999999"/>
    <s v="Small"/>
    <s v="Small"/>
    <s v="No Discount"/>
  </r>
  <r>
    <s v="ORD-10136"/>
    <x v="254"/>
    <d v="2022-10-29T00:00:00"/>
    <s v="Second Class"/>
    <s v="Tobi"/>
    <s v="Otedola"/>
    <s v="tobi.otedola@hotmail.com"/>
    <n v="8163557039"/>
    <x v="2"/>
    <x v="1"/>
    <x v="19"/>
    <x v="3"/>
    <s v="Bookcases"/>
    <x v="47"/>
    <n v="8"/>
    <n v="73332.44"/>
    <n v="20"/>
    <n v="117331.9"/>
    <n v="469327.62"/>
    <n v="84659.91"/>
    <s v="Furniture"/>
    <n v="84659.91"/>
    <s v="Small"/>
    <s v="Small"/>
    <s v="No Discount"/>
  </r>
  <r>
    <s v="ORD-10180"/>
    <x v="255"/>
    <d v="2022-10-31T00:00:00"/>
    <s v="Second Class"/>
    <s v="Chibundo"/>
    <s v="Okonkwo"/>
    <s v="chibundo.okonkwo@yahoo.com"/>
    <n v="8156812025"/>
    <x v="2"/>
    <x v="1"/>
    <x v="2"/>
    <x v="2"/>
    <s v="Tablets"/>
    <x v="71"/>
    <n v="13"/>
    <n v="345134.18"/>
    <n v="10"/>
    <n v="448674.43"/>
    <n v="4038069.91"/>
    <n v="-353858.44"/>
    <s v="Technology"/>
    <n v="353858.44"/>
    <s v="Small"/>
    <s v="Small"/>
    <s v="No Discount"/>
  </r>
  <r>
    <s v="ORD-10028"/>
    <x v="256"/>
    <d v="2022-11-01T00:00:00"/>
    <s v="Second Class"/>
    <s v="Emeka"/>
    <s v="Abubakar"/>
    <s v="emeka.abubakar@hotmail.com"/>
    <n v="9052221854"/>
    <x v="0"/>
    <x v="3"/>
    <x v="11"/>
    <x v="1"/>
    <s v="Bags"/>
    <x v="1"/>
    <n v="13"/>
    <n v="10360.719999999999"/>
    <n v="20"/>
    <n v="26937.87"/>
    <n v="107751.49"/>
    <n v="9675.19"/>
    <s v="Clothing"/>
    <n v="9675.19"/>
    <s v="Small"/>
    <s v="Small"/>
    <s v="No Discount"/>
  </r>
  <r>
    <s v="ORD-10746"/>
    <x v="257"/>
    <d v="2022-11-02T00:00:00"/>
    <s v="Second Class"/>
    <s v="Nike"/>
    <s v="Lawal"/>
    <s v="nike.lawal@hotmail.com"/>
    <n v="8164823830"/>
    <x v="2"/>
    <x v="0"/>
    <x v="0"/>
    <x v="2"/>
    <s v="Phones"/>
    <x v="4"/>
    <n v="19"/>
    <n v="146786.10999999999"/>
    <n v="0"/>
    <n v="0"/>
    <n v="2788936.09"/>
    <n v="15765.03"/>
    <s v="Technology"/>
    <n v="15765.03"/>
    <s v="Large"/>
    <s v="Large"/>
    <s v="Offer Discount"/>
  </r>
  <r>
    <s v="ORD-10922"/>
    <x v="56"/>
    <d v="2022-11-03T00:00:00"/>
    <s v="Second Class"/>
    <s v="Dayo"/>
    <s v="Chukwu"/>
    <s v="dayo.chukwu@hotmail.com"/>
    <n v="8154299424"/>
    <x v="0"/>
    <x v="1"/>
    <x v="9"/>
    <x v="1"/>
    <s v="Shirts"/>
    <x v="6"/>
    <n v="19"/>
    <n v="43458.13"/>
    <n v="25"/>
    <n v="206426.12"/>
    <n v="619278.35"/>
    <n v="14934.5"/>
    <s v="Clothing"/>
    <n v="14934.5"/>
    <s v="Large"/>
    <s v="Large"/>
    <s v="No Discount"/>
  </r>
  <r>
    <s v="ORD-10825"/>
    <x v="255"/>
    <d v="2022-11-08T00:00:00"/>
    <s v="Second Class"/>
    <s v="Gbenga"/>
    <s v="Gambo"/>
    <s v="gbenga.gambo@gmail.com"/>
    <n v="7036293212"/>
    <x v="1"/>
    <x v="2"/>
    <x v="3"/>
    <x v="4"/>
    <s v="Cooking Oil"/>
    <x v="119"/>
    <n v="6"/>
    <n v="2907.38"/>
    <n v="10"/>
    <n v="1744.43"/>
    <n v="15699.85"/>
    <n v="501.52"/>
    <s v="Food &amp; Beverages"/>
    <n v="501.52"/>
    <s v="Small"/>
    <s v="Small"/>
    <s v="No Discount"/>
  </r>
  <r>
    <s v="ORD-10889"/>
    <x v="258"/>
    <d v="2022-11-10T00:00:00"/>
    <s v="Second Class"/>
    <s v="Taiwo"/>
    <s v="Danjuma"/>
    <s v="taiwo.danjuma@outlook.com"/>
    <n v="9024688845"/>
    <x v="1"/>
    <x v="0"/>
    <x v="8"/>
    <x v="3"/>
    <s v="Storage"/>
    <x v="18"/>
    <n v="1"/>
    <n v="101174.34"/>
    <n v="0"/>
    <n v="0"/>
    <n v="101174.34"/>
    <n v="-9641.24"/>
    <s v="Furniture"/>
    <n v="9641.24"/>
    <s v="Small"/>
    <s v="Small"/>
    <s v="No Discount"/>
  </r>
  <r>
    <s v="ORD-10352"/>
    <x v="58"/>
    <d v="2022-11-16T00:00:00"/>
    <s v="Second Class"/>
    <s v="Chibundo"/>
    <s v="Buhari"/>
    <s v="chibundo.buhari@hotmail.com"/>
    <n v="8138385078"/>
    <x v="0"/>
    <x v="2"/>
    <x v="3"/>
    <x v="3"/>
    <s v="Tables"/>
    <x v="120"/>
    <n v="12"/>
    <n v="134310.10999999999"/>
    <n v="0"/>
    <n v="0"/>
    <n v="1611721.32"/>
    <n v="379329.34"/>
    <s v="Furniture"/>
    <n v="379329.34"/>
    <s v="Small"/>
    <s v="Small"/>
    <s v="No Discount"/>
  </r>
  <r>
    <s v="ORD-10155"/>
    <x v="259"/>
    <d v="2022-11-28T00:00:00"/>
    <s v="Second Class"/>
    <s v="Taiwo"/>
    <s v="Ogundipe"/>
    <s v="taiwo.ogundipe@hotmail.com"/>
    <n v="8137795568"/>
    <x v="2"/>
    <x v="3"/>
    <x v="18"/>
    <x v="3"/>
    <s v="Tables"/>
    <x v="9"/>
    <n v="20"/>
    <n v="76040.17"/>
    <n v="5"/>
    <n v="76040.17"/>
    <n v="1444763.23"/>
    <n v="173003.18"/>
    <s v="Furniture"/>
    <n v="173003.18"/>
    <s v="Large"/>
    <s v="Large"/>
    <s v="Offer Discount"/>
  </r>
  <r>
    <s v="ORD-10249"/>
    <x v="260"/>
    <d v="2022-11-29T00:00:00"/>
    <s v="Second Class"/>
    <s v="Zainab"/>
    <s v="Alakija"/>
    <s v="zainab.alakija@outlook.com"/>
    <n v="8132923047"/>
    <x v="1"/>
    <x v="0"/>
    <x v="0"/>
    <x v="3"/>
    <s v="Sofas"/>
    <x v="51"/>
    <n v="18"/>
    <n v="154438.69"/>
    <n v="20"/>
    <n v="555979.28"/>
    <n v="2223917.14"/>
    <n v="526634.05000000005"/>
    <s v="Furniture"/>
    <n v="526634.05000000005"/>
    <s v="Large"/>
    <s v="Large"/>
    <s v="Offer Discount"/>
  </r>
  <r>
    <s v="ORD-10384"/>
    <x v="261"/>
    <d v="2022-11-30T00:00:00"/>
    <s v="Second Class"/>
    <s v="Bola"/>
    <s v="Adeleke"/>
    <s v="bola.adeleke@outlook.com"/>
    <n v="9053121873"/>
    <x v="0"/>
    <x v="0"/>
    <x v="0"/>
    <x v="1"/>
    <s v="Shoes"/>
    <x v="87"/>
    <n v="18"/>
    <n v="9933.35"/>
    <n v="0"/>
    <n v="0"/>
    <n v="178800.3"/>
    <n v="44580.63"/>
    <s v="Clothing"/>
    <n v="44580.63"/>
    <s v="Large"/>
    <s v="Large"/>
    <s v="No Discount"/>
  </r>
  <r>
    <s v="ORD-10602"/>
    <x v="62"/>
    <d v="2022-12-05T00:00:00"/>
    <s v="Second Class"/>
    <s v="Oluwaseun"/>
    <s v="Olawale"/>
    <s v="oluwaseun.olawale@outlook.com"/>
    <n v="8038339925"/>
    <x v="1"/>
    <x v="1"/>
    <x v="5"/>
    <x v="0"/>
    <s v="Fasteners"/>
    <x v="115"/>
    <n v="4"/>
    <n v="23478.59"/>
    <n v="0"/>
    <n v="0"/>
    <n v="93914.36"/>
    <n v="31326.44"/>
    <s v="Office Supplies"/>
    <n v="31326.44"/>
    <s v="Small"/>
    <s v="Small"/>
    <s v="No Discount"/>
  </r>
  <r>
    <s v="ORD-10645"/>
    <x v="262"/>
    <d v="2022-12-21T00:00:00"/>
    <s v="Second Class"/>
    <s v="Bukola"/>
    <s v="Nwosu"/>
    <s v="bukola.nwosu@hotmail.com"/>
    <n v="8145865999"/>
    <x v="0"/>
    <x v="2"/>
    <x v="10"/>
    <x v="0"/>
    <s v="Fasteners"/>
    <x v="68"/>
    <n v="16"/>
    <n v="23997.74"/>
    <n v="10"/>
    <n v="38396.379999999997"/>
    <n v="345567.46"/>
    <n v="86606.05"/>
    <s v="Office Supplies"/>
    <n v="86606.05"/>
    <s v="Large"/>
    <s v="Large"/>
    <s v="No Discount"/>
  </r>
  <r>
    <s v="ORD-10345"/>
    <x v="65"/>
    <d v="2022-12-26T00:00:00"/>
    <s v="Second Class"/>
    <s v="Kemi"/>
    <s v="Nwosu"/>
    <s v="unknown"/>
    <n v="8037044627"/>
    <x v="1"/>
    <x v="1"/>
    <x v="5"/>
    <x v="1"/>
    <s v="Trousers"/>
    <x v="14"/>
    <n v="5"/>
    <n v="44890.61"/>
    <n v="0"/>
    <n v="0"/>
    <n v="224453.05"/>
    <n v="-32105.39"/>
    <s v="Clothing"/>
    <n v="32105.39"/>
    <s v="Small"/>
    <s v="Small"/>
    <s v="No Discount"/>
  </r>
  <r>
    <s v="ORD-10345"/>
    <x v="65"/>
    <d v="2022-12-26T00:00:00"/>
    <s v="Second Class"/>
    <s v="Kemi"/>
    <s v="Nwosu"/>
    <s v="unknown"/>
    <n v="8037044627"/>
    <x v="1"/>
    <x v="1"/>
    <x v="5"/>
    <x v="1"/>
    <s v="Trousers"/>
    <x v="14"/>
    <n v="5"/>
    <n v="44890.61"/>
    <n v="0"/>
    <n v="0"/>
    <n v="224453.05"/>
    <n v="-32105.39"/>
    <s v="Clothing"/>
    <n v="32105.39"/>
    <s v="Small"/>
    <s v="Small"/>
    <s v="No Discount"/>
  </r>
  <r>
    <s v="ORD-10279"/>
    <x v="263"/>
    <d v="2022-12-28T00:00:00"/>
    <s v="Second Class"/>
    <s v="Obinna"/>
    <s v="Osei"/>
    <s v="obinna.osei@hotmail.com"/>
    <n v="9028498243"/>
    <x v="2"/>
    <x v="2"/>
    <x v="3"/>
    <x v="2"/>
    <s v="Accessories"/>
    <x v="11"/>
    <n v="5"/>
    <n v="139637.76000000001"/>
    <n v="0"/>
    <n v="0"/>
    <n v="698188.80000000005"/>
    <n v="163619.42000000001"/>
    <s v="Technology"/>
    <n v="163619.42000000001"/>
    <s v="Small"/>
    <s v="Small"/>
    <s v="No Discount"/>
  </r>
  <r>
    <s v="ORD-10961"/>
    <x v="264"/>
    <d v="2022-12-30T00:00:00"/>
    <s v="Second Class"/>
    <s v="Ibrahim"/>
    <s v="Osei"/>
    <s v="dayo.alakija@gmail.com"/>
    <n v="7037366035"/>
    <x v="0"/>
    <x v="1"/>
    <x v="9"/>
    <x v="1"/>
    <s v="Shirts"/>
    <x v="12"/>
    <n v="1"/>
    <n v="20691.669999999998"/>
    <n v="0"/>
    <n v="0"/>
    <n v="20691.669999999998"/>
    <n v="4335.46"/>
    <s v="Clothing"/>
    <n v="4335.46"/>
    <s v="Small"/>
    <s v="Small"/>
    <s v="No Discount"/>
  </r>
  <r>
    <s v="ORD-10857"/>
    <x v="265"/>
    <d v="2023-01-10T00:00:00"/>
    <s v="Second Class"/>
    <s v="Ibrahim"/>
    <s v="Sanusi"/>
    <s v="ibrahim.sanusi@hotmail.com"/>
    <n v="9016492169"/>
    <x v="0"/>
    <x v="2"/>
    <x v="3"/>
    <x v="1"/>
    <s v="Bags"/>
    <x v="1"/>
    <n v="16"/>
    <n v="34415.919999999998"/>
    <n v="20"/>
    <n v="110130.94"/>
    <n v="440523.78"/>
    <n v="82156.77"/>
    <s v="Clothing"/>
    <n v="82156.77"/>
    <s v="Large"/>
    <s v="Large"/>
    <s v="No Discount"/>
  </r>
  <r>
    <s v="ORD-10678"/>
    <x v="266"/>
    <d v="2023-01-16T00:00:00"/>
    <s v="Second Class"/>
    <s v="Lanre"/>
    <s v="Gambo"/>
    <s v="lanre.gambo@gmail.com"/>
    <n v="8101130589"/>
    <x v="1"/>
    <x v="1"/>
    <x v="7"/>
    <x v="4"/>
    <s v="Condiments"/>
    <x v="74"/>
    <n v="15"/>
    <n v="5489.08"/>
    <n v="15"/>
    <n v="12350.43"/>
    <n v="69985.77"/>
    <n v="2957.75"/>
    <s v="Food &amp; Beverages"/>
    <n v="2957.75"/>
    <s v="Large"/>
    <s v="Large"/>
    <s v="No Discount"/>
  </r>
  <r>
    <s v="ORD-10761"/>
    <x v="267"/>
    <d v="2023-01-17T00:00:00"/>
    <s v="Second Class"/>
    <s v="Adebayo"/>
    <s v="Abubakar"/>
    <s v="adebayo.abubakar@hotmail.com"/>
    <n v="7036587015"/>
    <x v="2"/>
    <x v="0"/>
    <x v="14"/>
    <x v="3"/>
    <s v="Bookcases"/>
    <x v="118"/>
    <n v="1"/>
    <n v="111822.11"/>
    <n v="0"/>
    <n v="0"/>
    <n v="111822.11"/>
    <n v="-8776.44"/>
    <s v="Furniture"/>
    <n v="8776.44"/>
    <s v="Small"/>
    <s v="Small"/>
    <s v="No Discount"/>
  </r>
  <r>
    <s v="ORD-10524"/>
    <x v="268"/>
    <d v="2023-01-19T00:00:00"/>
    <s v="Second Class"/>
    <s v="Ngozi"/>
    <s v="Atiku"/>
    <s v="ngozi.atiku@yahoo.com"/>
    <n v="9024219293"/>
    <x v="2"/>
    <x v="2"/>
    <x v="12"/>
    <x v="0"/>
    <s v="Art Supplies"/>
    <x v="78"/>
    <n v="20"/>
    <n v="11297.9"/>
    <n v="0"/>
    <n v="0"/>
    <n v="225958"/>
    <n v="83834.3"/>
    <s v="Office Supplies"/>
    <n v="83834.3"/>
    <s v="Large"/>
    <s v="Large"/>
    <s v="No Discount"/>
  </r>
  <r>
    <s v="ORD-10347"/>
    <x v="268"/>
    <d v="2023-01-20T00:00:00"/>
    <s v="Second Class"/>
    <s v="Deola"/>
    <s v="Okonkwo"/>
    <s v="deola.okonkwo@hotmail.com"/>
    <n v="8034972005"/>
    <x v="1"/>
    <x v="1"/>
    <x v="5"/>
    <x v="4"/>
    <s v="Grains"/>
    <x v="97"/>
    <n v="19"/>
    <n v="7434.55"/>
    <n v="10"/>
    <n v="14125.65"/>
    <n v="127130.8"/>
    <n v="-16517.2"/>
    <s v="Food &amp; Beverages"/>
    <n v="16517.2"/>
    <s v="Large"/>
    <s v="Large"/>
    <s v="No Discount"/>
  </r>
  <r>
    <s v="ORD-10937"/>
    <x v="269"/>
    <d v="2023-01-20T00:00:00"/>
    <s v="Second Class"/>
    <s v="Kehinde"/>
    <s v="Obi"/>
    <s v="kehinde.obi@gmail.com"/>
    <n v="9071282620"/>
    <x v="1"/>
    <x v="3"/>
    <x v="22"/>
    <x v="1"/>
    <s v="Trousers"/>
    <x v="13"/>
    <n v="17"/>
    <n v="9282.89"/>
    <n v="5"/>
    <n v="7890.46"/>
    <n v="149918.67000000001"/>
    <n v="66532.12"/>
    <s v="Clothing"/>
    <n v="66532.12"/>
    <s v="Large"/>
    <s v="Large"/>
    <s v="No Discount"/>
  </r>
  <r>
    <s v="ORD-10233"/>
    <x v="72"/>
    <d v="2023-01-23T00:00:00"/>
    <s v="Second Class"/>
    <s v="Ikenna"/>
    <s v="Nwosu"/>
    <s v="ikenna.nwosu@hotmail.com"/>
    <n v="8034197381"/>
    <x v="1"/>
    <x v="1"/>
    <x v="19"/>
    <x v="0"/>
    <s v="Paper"/>
    <x v="89"/>
    <n v="19"/>
    <n v="1639.26"/>
    <n v="0"/>
    <n v="0"/>
    <n v="31145.94"/>
    <n v="9757.6200000000008"/>
    <s v="Office Supplies"/>
    <n v="9757.6200000000008"/>
    <s v="Large"/>
    <s v="Large"/>
    <s v="No Discount"/>
  </r>
  <r>
    <s v="ORD-10013"/>
    <x v="270"/>
    <d v="2023-01-30T00:00:00"/>
    <s v="Second Class"/>
    <s v="Olumide"/>
    <s v="Okafor"/>
    <s v="olumide.okafor@hotmail.com"/>
    <n v="8105673212"/>
    <x v="0"/>
    <x v="0"/>
    <x v="1"/>
    <x v="1"/>
    <s v="Trousers"/>
    <x v="10"/>
    <n v="18"/>
    <n v="21054.62"/>
    <n v="0"/>
    <n v="0"/>
    <n v="378983.16"/>
    <n v="-45344.2"/>
    <s v="Clothing"/>
    <n v="45344.2"/>
    <s v="Large"/>
    <s v="Large"/>
    <s v="No Discount"/>
  </r>
  <r>
    <s v="ORD-10565"/>
    <x v="271"/>
    <d v="2023-02-05T00:00:00"/>
    <s v="Second Class"/>
    <s v="Olumide"/>
    <s v="Bello"/>
    <s v="olumide.bello@gmail.com"/>
    <n v="8156752873"/>
    <x v="2"/>
    <x v="2"/>
    <x v="4"/>
    <x v="0"/>
    <s v="Fasteners"/>
    <x v="109"/>
    <n v="7"/>
    <n v="24746.29"/>
    <n v="25"/>
    <n v="43306.01"/>
    <n v="129918.02"/>
    <n v="36696.86"/>
    <s v="Office Supplies"/>
    <n v="36696.86"/>
    <s v="Small"/>
    <s v="Small"/>
    <s v="No Discount"/>
  </r>
  <r>
    <s v="ORD-10269"/>
    <x v="272"/>
    <d v="2023-02-07T00:00:00"/>
    <s v="Second Class"/>
    <s v="Ikenna"/>
    <s v="Danjuma"/>
    <s v="ikenna.danjuma@gmail.com"/>
    <n v="8163936596"/>
    <x v="1"/>
    <x v="0"/>
    <x v="17"/>
    <x v="1"/>
    <s v="Accessories"/>
    <x v="34"/>
    <n v="17"/>
    <n v="26021.119999999999"/>
    <n v="10"/>
    <n v="44235.9"/>
    <n v="398123.14"/>
    <n v="21490.5"/>
    <s v="Clothing"/>
    <n v="21490.5"/>
    <s v="Large"/>
    <s v="Large"/>
    <s v="No Discount"/>
  </r>
  <r>
    <s v="ORD-10355"/>
    <x v="273"/>
    <d v="2023-02-09T00:00:00"/>
    <s v="Second Class"/>
    <s v="Adaeze"/>
    <s v="Sowore"/>
    <s v="adaeze.sowore@yahoo.com"/>
    <n v="7031177469"/>
    <x v="2"/>
    <x v="1"/>
    <x v="5"/>
    <x v="2"/>
    <s v="Laptops"/>
    <x v="121"/>
    <n v="17"/>
    <n v="193893.21"/>
    <n v="0"/>
    <n v="0"/>
    <n v="3296184.57"/>
    <n v="861292.14"/>
    <s v="Technology"/>
    <n v="861292.14"/>
    <s v="Large"/>
    <s v="Large"/>
    <s v="Offer Discount"/>
  </r>
  <r>
    <s v="ORD-10651"/>
    <x v="74"/>
    <d v="2023-02-09T00:00:00"/>
    <s v="Second Class"/>
    <s v="Wale"/>
    <s v="Fashola"/>
    <s v="wale.fashola@outlook.com"/>
    <n v="8134375454"/>
    <x v="0"/>
    <x v="1"/>
    <x v="5"/>
    <x v="3"/>
    <s v="Storage"/>
    <x v="7"/>
    <n v="7"/>
    <n v="147091.62"/>
    <n v="0"/>
    <n v="0"/>
    <n v="1029641.34"/>
    <n v="205171.24"/>
    <s v="Furniture"/>
    <n v="205171.24"/>
    <s v="Small"/>
    <s v="Small"/>
    <s v="No Discount"/>
  </r>
  <r>
    <s v="ORD-10598"/>
    <x v="75"/>
    <d v="2023-02-15T00:00:00"/>
    <s v="Second Class"/>
    <s v="Chibundo"/>
    <s v="Sanusi"/>
    <s v="chibundo.sanusi@hotmail.com"/>
    <n v="8153695916"/>
    <x v="1"/>
    <x v="1"/>
    <x v="7"/>
    <x v="1"/>
    <s v="Shoes"/>
    <x v="122"/>
    <n v="1"/>
    <n v="18732.93"/>
    <n v="25"/>
    <n v="4683.2299999999996"/>
    <n v="14049.7"/>
    <n v="4493.7"/>
    <s v="Clothing"/>
    <n v="4493.7"/>
    <s v="Small"/>
    <s v="Small"/>
    <s v="No Discount"/>
  </r>
  <r>
    <s v="ORD-10558"/>
    <x v="77"/>
    <d v="2023-02-16T00:00:00"/>
    <s v="Second Class"/>
    <s v="Femi"/>
    <s v="Bello"/>
    <s v="unknown"/>
    <n v="8149314244"/>
    <x v="0"/>
    <x v="1"/>
    <x v="7"/>
    <x v="3"/>
    <s v="Bookcases"/>
    <x v="84"/>
    <n v="13"/>
    <n v="94319.679999999993"/>
    <n v="0"/>
    <n v="0"/>
    <n v="1226155.8400000001"/>
    <n v="-103193.68"/>
    <s v="Furniture"/>
    <n v="103193.68"/>
    <s v="Small"/>
    <s v="Small"/>
    <s v="No Discount"/>
  </r>
  <r>
    <s v="ORD-10720"/>
    <x v="274"/>
    <d v="2023-02-18T00:00:00"/>
    <s v="Second Class"/>
    <s v="Gbenga"/>
    <s v="Eze"/>
    <s v="gbenga.eze@gmail.com"/>
    <n v="8104962502"/>
    <x v="0"/>
    <x v="1"/>
    <x v="16"/>
    <x v="3"/>
    <s v="Storage"/>
    <x v="92"/>
    <n v="5"/>
    <n v="132551.10999999999"/>
    <n v="25"/>
    <n v="165688.89000000001"/>
    <n v="497066.66"/>
    <n v="177652.14"/>
    <s v="Furniture"/>
    <n v="177652.14"/>
    <s v="Small"/>
    <s v="Small"/>
    <s v="No Discount"/>
  </r>
  <r>
    <s v="ORD-10236"/>
    <x v="275"/>
    <d v="2023-02-19T00:00:00"/>
    <s v="Second Class"/>
    <s v="Gbenga"/>
    <s v="Eze"/>
    <s v="ayo.obi@outlook.com"/>
    <n v="9076793064"/>
    <x v="1"/>
    <x v="0"/>
    <x v="8"/>
    <x v="3"/>
    <s v="Tables"/>
    <x v="120"/>
    <n v="11"/>
    <n v="101308.53"/>
    <n v="0"/>
    <n v="0"/>
    <n v="1114393.83"/>
    <n v="341522.72"/>
    <s v="Furniture"/>
    <n v="341522.72"/>
    <s v="Small"/>
    <s v="Small"/>
    <s v="No Discount"/>
  </r>
  <r>
    <s v="ORD-10856"/>
    <x v="76"/>
    <d v="2023-02-19T00:00:00"/>
    <s v="Second Class"/>
    <s v="Gbenga"/>
    <s v="Gambo"/>
    <s v="gbenga.gambo@yahoo.com"/>
    <n v="9056089714"/>
    <x v="2"/>
    <x v="1"/>
    <x v="19"/>
    <x v="0"/>
    <s v="Envelopes"/>
    <x v="123"/>
    <n v="8"/>
    <n v="16371.84"/>
    <n v="10"/>
    <n v="13097.47"/>
    <n v="117877.25"/>
    <n v="-2347.69"/>
    <s v="Office Supplies"/>
    <n v="2347.69"/>
    <s v="Small"/>
    <s v="Small"/>
    <s v="No Discount"/>
  </r>
  <r>
    <s v="ORD-10484"/>
    <x v="274"/>
    <d v="2023-02-20T00:00:00"/>
    <s v="Second Class"/>
    <s v="Musa"/>
    <s v="Sule"/>
    <s v="musa.sule@gmail.com"/>
    <n v="7034176859"/>
    <x v="1"/>
    <x v="2"/>
    <x v="12"/>
    <x v="1"/>
    <s v="Bags"/>
    <x v="1"/>
    <n v="19"/>
    <n v="31773.8"/>
    <n v="10"/>
    <n v="60370.22"/>
    <n v="543331.98"/>
    <n v="119349.33"/>
    <s v="Clothing"/>
    <n v="119349.33"/>
    <s v="Large"/>
    <s v="Large"/>
    <s v="No Discount"/>
  </r>
  <r>
    <s v="ORD-10670"/>
    <x v="276"/>
    <d v="2023-02-26T00:00:00"/>
    <s v="Second Class"/>
    <s v="Kehinde"/>
    <s v="Adebayo"/>
    <s v="kehinde.adebayo@hotmail.com"/>
    <n v="8068155068"/>
    <x v="0"/>
    <x v="2"/>
    <x v="20"/>
    <x v="0"/>
    <s v="Binders"/>
    <x v="65"/>
    <n v="12"/>
    <n v="8500.24"/>
    <n v="10"/>
    <n v="10200.290000000001"/>
    <n v="91802.59"/>
    <n v="39939.57"/>
    <s v="Office Supplies"/>
    <n v="39939.57"/>
    <s v="Small"/>
    <s v="Small"/>
    <s v="No Discount"/>
  </r>
  <r>
    <s v="ORD-10309"/>
    <x v="276"/>
    <d v="2023-02-27T00:00:00"/>
    <s v="Second Class"/>
    <s v="Ronke"/>
    <s v="Buhari"/>
    <s v="N/A"/>
    <n v="8159103837"/>
    <x v="0"/>
    <x v="2"/>
    <x v="3"/>
    <x v="4"/>
    <s v="Snacks"/>
    <x v="42"/>
    <n v="17"/>
    <n v="3199.87"/>
    <n v="0"/>
    <n v="0"/>
    <n v="54397.79"/>
    <n v="178.09"/>
    <s v="Food &amp; Beverages"/>
    <n v="178.09"/>
    <s v="Large"/>
    <s v="Large"/>
    <s v="No Discount"/>
  </r>
  <r>
    <s v="ORD-10696"/>
    <x v="81"/>
    <d v="2023-03-01T00:00:00"/>
    <s v="Second Class"/>
    <s v="Lanre"/>
    <s v="Abubakar"/>
    <s v="lanre.abubakar@gmail.com"/>
    <n v="8107764490"/>
    <x v="2"/>
    <x v="1"/>
    <x v="4"/>
    <x v="4"/>
    <s v="Cooking Oil"/>
    <x v="19"/>
    <n v="19"/>
    <n v="5867.35"/>
    <n v="5"/>
    <n v="5573.98"/>
    <n v="105905.67"/>
    <n v="-12141.05"/>
    <s v="Food &amp; Beverages"/>
    <n v="12141.05"/>
    <s v="Large"/>
    <s v="Large"/>
    <s v="No Discount"/>
  </r>
  <r>
    <s v="ORD-10156"/>
    <x v="277"/>
    <d v="2023-03-02T00:00:00"/>
    <s v="Second Class"/>
    <s v="Tunde"/>
    <s v="Danjuma"/>
    <s v="tunde.danjuma@gmail.com"/>
    <n v="9024136665"/>
    <x v="0"/>
    <x v="1"/>
    <x v="5"/>
    <x v="0"/>
    <s v="Pens &amp; Pencils"/>
    <x v="37"/>
    <n v="9"/>
    <n v="11709.99"/>
    <n v="20"/>
    <n v="21077.98"/>
    <n v="84311.93"/>
    <n v="14048.81"/>
    <s v="Office Supplies"/>
    <n v="14048.81"/>
    <s v="Small"/>
    <s v="Small"/>
    <s v="No Discount"/>
  </r>
  <r>
    <s v="ORD-10514"/>
    <x v="277"/>
    <d v="2023-03-03T00:00:00"/>
    <s v="Second Class"/>
    <s v="Ngozi"/>
    <s v="Sowore"/>
    <s v="ngozi.sowore@yahoo.com"/>
    <n v="9024731991"/>
    <x v="1"/>
    <x v="3"/>
    <x v="11"/>
    <x v="4"/>
    <s v="Cooking Oil"/>
    <x v="19"/>
    <n v="9"/>
    <n v="2776.6"/>
    <n v="0"/>
    <n v="0"/>
    <n v="41649"/>
    <n v="-4632.6099999999997"/>
    <s v="Food &amp; Beverages"/>
    <n v="4632.6099999999997"/>
    <s v="Small"/>
    <s v="Small"/>
    <s v="No Discount"/>
  </r>
  <r>
    <s v="ORD-10509"/>
    <x v="79"/>
    <d v="2023-03-06T00:00:00"/>
    <s v="Second Class"/>
    <s v="Ikenna"/>
    <s v="Ogundipe"/>
    <s v="ikenna.ogundipe@gmail.com"/>
    <n v="8134586633"/>
    <x v="2"/>
    <x v="0"/>
    <x v="17"/>
    <x v="2"/>
    <s v="Tablets"/>
    <x v="83"/>
    <n v="13"/>
    <n v="90525.38"/>
    <n v="10"/>
    <n v="117682.99"/>
    <n v="1059146.95"/>
    <n v="-151258.01999999999"/>
    <s v="Technology"/>
    <n v="151258.01999999999"/>
    <s v="Small"/>
    <s v="Small"/>
    <s v="No Discount"/>
  </r>
  <r>
    <s v="ORD-10834"/>
    <x v="278"/>
    <d v="2023-03-10T00:00:00"/>
    <s v="Second Class"/>
    <s v="Sade"/>
    <s v="Olawale"/>
    <s v="sade.olawale@outlook.com"/>
    <n v="9079880742"/>
    <x v="1"/>
    <x v="2"/>
    <x v="4"/>
    <x v="3"/>
    <s v="Storage"/>
    <x v="18"/>
    <n v="16"/>
    <n v="129816.87"/>
    <n v="0"/>
    <n v="0"/>
    <n v="2077069.92"/>
    <n v="273189.27"/>
    <s v="Furniture"/>
    <n v="273189.27"/>
    <s v="Large"/>
    <s v="Large"/>
    <s v="Offer Discount"/>
  </r>
  <r>
    <s v="ORD-10970"/>
    <x v="279"/>
    <d v="2023-03-22T00:00:00"/>
    <s v="Second Class"/>
    <s v="Obinna"/>
    <s v="Nwosu"/>
    <s v="obinna.nwosu@outlook.com"/>
    <n v="9056286061"/>
    <x v="0"/>
    <x v="2"/>
    <x v="3"/>
    <x v="2"/>
    <s v="Accessories"/>
    <x v="24"/>
    <n v="4"/>
    <n v="365916.67"/>
    <n v="0"/>
    <n v="0"/>
    <n v="1463666.68"/>
    <n v="-136494.32999999999"/>
    <s v="Technology"/>
    <n v="136494.32999999999"/>
    <s v="Small"/>
    <s v="Small"/>
    <s v="No Discount"/>
  </r>
  <r>
    <s v="ORD-10840"/>
    <x v="85"/>
    <d v="2023-03-24T00:00:00"/>
    <s v="Second Class"/>
    <s v="Amara"/>
    <s v="Olawale"/>
    <s v="amara.olawale@hotmail.com"/>
    <n v="8105544781"/>
    <x v="2"/>
    <x v="3"/>
    <x v="18"/>
    <x v="0"/>
    <s v="Binders"/>
    <x v="65"/>
    <n v="6"/>
    <n v="12684.4"/>
    <n v="10"/>
    <n v="7610.64"/>
    <n v="68495.759999999995"/>
    <n v="23827.41"/>
    <s v="Office Supplies"/>
    <n v="23827.41"/>
    <s v="Small"/>
    <s v="Small"/>
    <s v="No Discount"/>
  </r>
  <r>
    <s v="ORD-10124"/>
    <x v="280"/>
    <d v="2023-03-28T00:00:00"/>
    <s v="Second Class"/>
    <s v="Kunle"/>
    <s v="Okafor"/>
    <s v="kunle.okafor@hotmail.com"/>
    <n v="9017268384"/>
    <x v="2"/>
    <x v="0"/>
    <x v="17"/>
    <x v="1"/>
    <s v="Accessories"/>
    <x v="39"/>
    <n v="7"/>
    <n v="34566.07"/>
    <n v="5"/>
    <n v="12098.12"/>
    <n v="229864.37"/>
    <n v="59352.160000000003"/>
    <s v="Clothing"/>
    <n v="59352.160000000003"/>
    <s v="Small"/>
    <s v="Small"/>
    <s v="No Discount"/>
  </r>
  <r>
    <s v="ORD-10895"/>
    <x v="280"/>
    <d v="2023-03-30T00:00:00"/>
    <s v="Second Class"/>
    <s v="Ronke"/>
    <s v="Alakija"/>
    <s v="ronke.alakija@yahoo.com"/>
    <n v="8031608900"/>
    <x v="0"/>
    <x v="1"/>
    <x v="14"/>
    <x v="1"/>
    <s v="Shoes"/>
    <x v="56"/>
    <n v="3"/>
    <n v="34710.54"/>
    <n v="0"/>
    <n v="0"/>
    <n v="104131.62"/>
    <n v="-9848.14"/>
    <s v="Clothing"/>
    <n v="9848.14"/>
    <s v="Small"/>
    <s v="Small"/>
    <s v="No Discount"/>
  </r>
  <r>
    <s v="ORD-10210"/>
    <x v="281"/>
    <d v="2023-04-04T00:00:00"/>
    <s v="Second Class"/>
    <s v="Zainab"/>
    <s v="Sowore"/>
    <s v="unknown"/>
    <n v="8167870390"/>
    <x v="0"/>
    <x v="1"/>
    <x v="19"/>
    <x v="4"/>
    <s v="Drinks"/>
    <x v="58"/>
    <n v="5"/>
    <n v="3950.55"/>
    <n v="0"/>
    <n v="0"/>
    <n v="19752.75"/>
    <n v="4161.6099999999997"/>
    <s v="Food &amp; Beverages"/>
    <n v="4161.6099999999997"/>
    <s v="Small"/>
    <s v="Small"/>
    <s v="No Discount"/>
  </r>
  <r>
    <s v="ORD-10532"/>
    <x v="282"/>
    <d v="2023-04-07T00:00:00"/>
    <s v="Second Class"/>
    <s v="Bola"/>
    <s v="Eze"/>
    <s v="bola.eze@gmail.com"/>
    <n v="8062495511"/>
    <x v="1"/>
    <x v="1"/>
    <x v="9"/>
    <x v="0"/>
    <s v="Fasteners"/>
    <x v="115"/>
    <n v="4"/>
    <n v="23461.66"/>
    <n v="10"/>
    <n v="9384.66"/>
    <n v="84461.98"/>
    <n v="-6212.14"/>
    <s v="Office Supplies"/>
    <n v="6212.14"/>
    <s v="Small"/>
    <s v="Small"/>
    <s v="No Discount"/>
  </r>
  <r>
    <s v="ORD-10775"/>
    <x v="283"/>
    <d v="2023-04-13T00:00:00"/>
    <s v="Second Class"/>
    <s v="Fatima"/>
    <s v="Atiku"/>
    <s v="fatima.atiku@outlook.com"/>
    <n v="7038753576"/>
    <x v="0"/>
    <x v="0"/>
    <x v="8"/>
    <x v="4"/>
    <s v="Condiments"/>
    <x v="124"/>
    <n v="9"/>
    <n v="4744.1899999999996"/>
    <n v="0"/>
    <n v="0"/>
    <n v="42697.71"/>
    <n v="1996.82"/>
    <s v="Food &amp; Beverages"/>
    <n v="1996.82"/>
    <s v="Small"/>
    <s v="Small"/>
    <s v="No Discount"/>
  </r>
  <r>
    <s v="ORD-10397"/>
    <x v="284"/>
    <d v="2023-04-14T00:00:00"/>
    <s v="Second Class"/>
    <s v="Kemi"/>
    <s v="Nwosu"/>
    <s v="kemi.nwosu@yahoo.com"/>
    <n v="8068127046"/>
    <x v="0"/>
    <x v="2"/>
    <x v="10"/>
    <x v="2"/>
    <s v="Laptops"/>
    <x v="121"/>
    <n v="14"/>
    <n v="351991.15"/>
    <n v="0"/>
    <n v="0"/>
    <n v="4927876.0999999996"/>
    <n v="-158625.4"/>
    <s v="Technology"/>
    <n v="158625.4"/>
    <s v="Small"/>
    <s v="Medium"/>
    <s v="No Discount"/>
  </r>
  <r>
    <s v="ORD-10561"/>
    <x v="285"/>
    <d v="2023-04-18T00:00:00"/>
    <s v="Second Class"/>
    <s v="Kemi"/>
    <s v="Olawale"/>
    <s v="kemi.olawale@gmail.com"/>
    <n v="8164224201"/>
    <x v="2"/>
    <x v="3"/>
    <x v="6"/>
    <x v="3"/>
    <s v="Storage"/>
    <x v="92"/>
    <n v="3"/>
    <n v="114032.39"/>
    <n v="0"/>
    <n v="0"/>
    <n v="342097.17"/>
    <n v="26755.96"/>
    <s v="Furniture"/>
    <n v="26755.96"/>
    <s v="Small"/>
    <s v="Small"/>
    <s v="No Discount"/>
  </r>
  <r>
    <s v="ORD-10981"/>
    <x v="286"/>
    <d v="2023-04-29T00:00:00"/>
    <s v="Second Class"/>
    <s v="Uchenna"/>
    <s v="Alakija"/>
    <s v="uchenna.alakija@gmail.com"/>
    <n v="8032719240"/>
    <x v="0"/>
    <x v="3"/>
    <x v="16"/>
    <x v="0"/>
    <s v="Envelopes"/>
    <x v="123"/>
    <n v="2"/>
    <n v="15339.21"/>
    <n v="25"/>
    <n v="7669.6"/>
    <n v="23008.82"/>
    <n v="1632.38"/>
    <s v="Office Supplies"/>
    <n v="1632.38"/>
    <s v="Small"/>
    <s v="Small"/>
    <s v="No Discount"/>
  </r>
  <r>
    <s v="ORD-10022"/>
    <x v="287"/>
    <d v="2023-05-03T00:00:00"/>
    <s v="Second Class"/>
    <s v="Fatima"/>
    <s v="Ogundipe"/>
    <s v="fatima.ogundipe@gmail.com"/>
    <n v="8106573147"/>
    <x v="2"/>
    <x v="1"/>
    <x v="9"/>
    <x v="1"/>
    <s v="Trousers"/>
    <x v="14"/>
    <n v="4"/>
    <n v="8845.51"/>
    <n v="15"/>
    <n v="5307.31"/>
    <n v="30074.73"/>
    <n v="11226.9"/>
    <s v="Clothing"/>
    <n v="11226.9"/>
    <s v="Small"/>
    <s v="Small"/>
    <s v="No Discount"/>
  </r>
  <r>
    <s v="ORD-10190"/>
    <x v="288"/>
    <d v="2023-05-13T00:00:00"/>
    <s v="Second Class"/>
    <s v="Bukola"/>
    <s v="Gambo"/>
    <s v="bukola.gambo@gmail.com"/>
    <n v="9024681115"/>
    <x v="0"/>
    <x v="3"/>
    <x v="18"/>
    <x v="4"/>
    <s v="Cooking Oil"/>
    <x v="43"/>
    <n v="6"/>
    <n v="7501.09"/>
    <n v="0"/>
    <n v="0"/>
    <n v="30074.73"/>
    <n v="-363.17"/>
    <s v="Food &amp; Beverages"/>
    <n v="363.17"/>
    <s v="Small"/>
    <s v="Small"/>
    <s v="No Discount"/>
  </r>
  <r>
    <s v="ORD-10989"/>
    <x v="289"/>
    <d v="2023-05-13T00:00:00"/>
    <s v="Second Class"/>
    <s v="Gbenga"/>
    <s v="Lawal"/>
    <s v="gbenga.lawal@outlook.com"/>
    <n v="9071680518"/>
    <x v="2"/>
    <x v="0"/>
    <x v="14"/>
    <x v="2"/>
    <s v="Phones"/>
    <x v="66"/>
    <n v="1"/>
    <n v="342264.79"/>
    <n v="0"/>
    <n v="0"/>
    <n v="342264.79"/>
    <n v="85781.759999999995"/>
    <s v="Technology"/>
    <n v="85781.759999999995"/>
    <s v="Small"/>
    <s v="Small"/>
    <s v="No Discount"/>
  </r>
  <r>
    <s v="ORD-10118"/>
    <x v="290"/>
    <d v="2023-05-15T00:00:00"/>
    <s v="Second Class"/>
    <s v="Ronke"/>
    <s v="Abubakar"/>
    <s v="ronke.abubakar@yahoo.com"/>
    <n v="8032681042"/>
    <x v="0"/>
    <x v="0"/>
    <x v="0"/>
    <x v="1"/>
    <s v="Shoes"/>
    <x v="52"/>
    <n v="5"/>
    <n v="6323.43"/>
    <n v="0"/>
    <n v="0"/>
    <n v="31617.15"/>
    <n v="13554.63"/>
    <s v="Clothing"/>
    <n v="13554.63"/>
    <s v="Small"/>
    <s v="Small"/>
    <s v="No Discount"/>
  </r>
  <r>
    <s v="ORD-10116"/>
    <x v="100"/>
    <d v="2023-05-24T00:00:00"/>
    <s v="Second Class"/>
    <s v="Taiwo"/>
    <s v="Eze"/>
    <s v="taiwo.eze@yahoo.com"/>
    <n v="8165848684"/>
    <x v="1"/>
    <x v="0"/>
    <x v="8"/>
    <x v="3"/>
    <s v="Storage"/>
    <x v="16"/>
    <n v="18"/>
    <n v="90526.19"/>
    <n v="10"/>
    <n v="162947.14000000001"/>
    <n v="1466524.28"/>
    <n v="33251.42"/>
    <s v="Furniture"/>
    <n v="33251.42"/>
    <s v="Large"/>
    <s v="Large"/>
    <s v="Offer Discount"/>
  </r>
  <r>
    <s v="ORD-10516"/>
    <x v="291"/>
    <d v="2023-05-29T00:00:00"/>
    <s v="Second Class"/>
    <s v="Nike"/>
    <s v="Danjuma"/>
    <s v="nike.danjuma@hotmail.com"/>
    <n v="9074378948"/>
    <x v="1"/>
    <x v="3"/>
    <x v="18"/>
    <x v="0"/>
    <s v="Art Supplies"/>
    <x v="78"/>
    <n v="12"/>
    <n v="2460.39"/>
    <n v="15"/>
    <n v="4428.7"/>
    <n v="25095.98"/>
    <n v="1923.12"/>
    <s v="Office Supplies"/>
    <n v="1923.12"/>
    <s v="Small"/>
    <s v="Small"/>
    <s v="No Discount"/>
  </r>
  <r>
    <s v="ORD-10911"/>
    <x v="291"/>
    <d v="2023-05-29T00:00:00"/>
    <s v="Second Class"/>
    <s v="Seun"/>
    <s v="Bello"/>
    <s v="seun.bello@outlook.com"/>
    <n v="7067708381"/>
    <x v="0"/>
    <x v="3"/>
    <x v="6"/>
    <x v="1"/>
    <s v="Accessories"/>
    <x v="17"/>
    <n v="8"/>
    <n v="14860.63"/>
    <n v="0"/>
    <n v="0"/>
    <n v="118885.04"/>
    <n v="26610.62"/>
    <s v="Clothing"/>
    <n v="26610.62"/>
    <s v="Small"/>
    <s v="Small"/>
    <s v="No Discount"/>
  </r>
  <r>
    <s v="ORD-10357"/>
    <x v="292"/>
    <d v="2023-06-07T00:00:00"/>
    <s v="Second Class"/>
    <s v="Adebayo"/>
    <s v="Sowore"/>
    <s v="adebayo.sowore@gmail.com"/>
    <n v="9078607523"/>
    <x v="2"/>
    <x v="3"/>
    <x v="22"/>
    <x v="0"/>
    <s v="Art Supplies"/>
    <x v="78"/>
    <n v="11"/>
    <n v="17459.43"/>
    <n v="10"/>
    <n v="19205.37"/>
    <n v="172848.36"/>
    <n v="-9129.92"/>
    <s v="Office Supplies"/>
    <n v="9129.92"/>
    <s v="Small"/>
    <s v="Small"/>
    <s v="No Discount"/>
  </r>
  <r>
    <s v="ORD-10420"/>
    <x v="292"/>
    <d v="2023-06-08T00:00:00"/>
    <s v="Second Class"/>
    <s v="Chidinma"/>
    <s v="Eze"/>
    <s v="chidinma.eze@outlook.com"/>
    <n v="9023047722"/>
    <x v="2"/>
    <x v="2"/>
    <x v="4"/>
    <x v="4"/>
    <s v="Snacks"/>
    <x v="82"/>
    <n v="13"/>
    <n v="3291.23"/>
    <n v="10"/>
    <n v="4278.6000000000004"/>
    <n v="38507.39"/>
    <n v="1175.74"/>
    <s v="Food &amp; Beverages"/>
    <n v="1175.74"/>
    <s v="Small"/>
    <s v="Small"/>
    <s v="No Discount"/>
  </r>
  <r>
    <s v="ORD-10025"/>
    <x v="293"/>
    <d v="2023-06-09T00:00:00"/>
    <s v="Second Class"/>
    <s v="Oluwaseun"/>
    <s v="Okonkwo"/>
    <s v="oluwaseun.okonkwo@yahoo.com"/>
    <n v="7038235969"/>
    <x v="2"/>
    <x v="2"/>
    <x v="12"/>
    <x v="2"/>
    <s v="Tablets"/>
    <x v="50"/>
    <n v="4"/>
    <n v="151553.31"/>
    <n v="10"/>
    <n v="60621.32"/>
    <n v="38507.39"/>
    <n v="84170.38"/>
    <s v="Technology"/>
    <n v="84170.38"/>
    <s v="Small"/>
    <s v="Small"/>
    <s v="No Discount"/>
  </r>
  <r>
    <s v="ORD-10933"/>
    <x v="294"/>
    <d v="2023-06-17T00:00:00"/>
    <s v="Second Class"/>
    <s v="Seun"/>
    <s v="Chukwu"/>
    <s v="seun.chukwu@outlook.com"/>
    <n v="8037912713"/>
    <x v="1"/>
    <x v="2"/>
    <x v="4"/>
    <x v="2"/>
    <s v="Printers"/>
    <x v="114"/>
    <n v="10"/>
    <n v="47673.57"/>
    <n v="10"/>
    <n v="47673.57"/>
    <n v="429062.13"/>
    <n v="40384.410000000003"/>
    <s v="Technology"/>
    <n v="40384.410000000003"/>
    <s v="Small"/>
    <s v="Small"/>
    <s v="No Discount"/>
  </r>
  <r>
    <s v="ORD-10549"/>
    <x v="295"/>
    <d v="2023-06-18T00:00:00"/>
    <s v="Second Class"/>
    <s v="Dayo"/>
    <s v="Obi"/>
    <s v="dayo.obi@yahoo.com"/>
    <n v="9073120109"/>
    <x v="2"/>
    <x v="1"/>
    <x v="5"/>
    <x v="3"/>
    <s v="Storage"/>
    <x v="7"/>
    <n v="2"/>
    <n v="134492.65"/>
    <n v="10"/>
    <n v="26898.53"/>
    <n v="242086.77"/>
    <n v="66453.17"/>
    <s v="Furniture"/>
    <n v="66453.17"/>
    <s v="Small"/>
    <s v="Small"/>
    <s v="No Discount"/>
  </r>
  <r>
    <s v="ORD-10430"/>
    <x v="296"/>
    <d v="2023-06-21T00:00:00"/>
    <s v="Second Class"/>
    <s v="Chisom"/>
    <s v="Adeleke"/>
    <s v="chisom.adeleke@yahoo.com"/>
    <n v="8145714408"/>
    <x v="1"/>
    <x v="0"/>
    <x v="8"/>
    <x v="0"/>
    <s v="Envelopes"/>
    <x v="125"/>
    <n v="9"/>
    <n v="22618.42"/>
    <n v="10"/>
    <n v="20356.580000000002"/>
    <n v="183209.2"/>
    <n v="29347.11"/>
    <s v="Office Supplies"/>
    <n v="29347.11"/>
    <s v="Small"/>
    <s v="Small"/>
    <s v="No Discount"/>
  </r>
  <r>
    <s v="ORD-10675"/>
    <x v="296"/>
    <d v="2023-06-22T00:00:00"/>
    <s v="Second Class"/>
    <s v="Adaeze"/>
    <s v="Osei"/>
    <s v="adaeze.osei@gmail.com"/>
    <n v="8067853539"/>
    <x v="2"/>
    <x v="1"/>
    <x v="9"/>
    <x v="1"/>
    <s v="Accessories"/>
    <x v="24"/>
    <n v="7"/>
    <n v="26768.51"/>
    <n v="0"/>
    <n v="0"/>
    <n v="187379.57"/>
    <n v="70425.38"/>
    <s v="Clothing"/>
    <n v="70425.38"/>
    <s v="Small"/>
    <s v="Small"/>
    <s v="No Discount"/>
  </r>
  <r>
    <s v="ORD-10422"/>
    <x v="297"/>
    <d v="2023-06-24T00:00:00"/>
    <s v="Second Class"/>
    <s v="Tunde"/>
    <s v="Adebayo"/>
    <s v="tunde.adebayo@hotmail.com"/>
    <n v="9056482263"/>
    <x v="0"/>
    <x v="0"/>
    <x v="14"/>
    <x v="1"/>
    <s v="Shirts"/>
    <x v="27"/>
    <n v="6"/>
    <n v="29579.03"/>
    <n v="20"/>
    <n v="35494.839999999997"/>
    <n v="141979.34"/>
    <n v="46088.14"/>
    <s v="Clothing"/>
    <n v="46088.14"/>
    <s v="Small"/>
    <s v="Small"/>
    <s v="No Discount"/>
  </r>
  <r>
    <s v="ORD-10999"/>
    <x v="297"/>
    <d v="2023-06-24T00:00:00"/>
    <s v="Second Class"/>
    <s v="Chibundo"/>
    <s v="Adeyemi"/>
    <s v="chibundo.adeyemi@outlook.com"/>
    <n v="9019242744"/>
    <x v="2"/>
    <x v="3"/>
    <x v="13"/>
    <x v="4"/>
    <s v="Cooking Oil"/>
    <x v="25"/>
    <n v="8"/>
    <n v="6135.66"/>
    <n v="25"/>
    <n v="12271.32"/>
    <n v="36813.96"/>
    <n v="-153.97"/>
    <s v="Food &amp; Beverages"/>
    <n v="153.97"/>
    <s v="Small"/>
    <s v="Small"/>
    <s v="No Discount"/>
  </r>
  <r>
    <s v="ORD-10286"/>
    <x v="298"/>
    <d v="2023-06-26T00:00:00"/>
    <s v="Second Class"/>
    <s v="Oluwaseun"/>
    <s v="Tinubu"/>
    <s v="oluwaseun.tinubu@yahoo.com"/>
    <n v="8155561139"/>
    <x v="1"/>
    <x v="3"/>
    <x v="16"/>
    <x v="0"/>
    <s v="Fasteners"/>
    <x v="115"/>
    <n v="14"/>
    <n v="20315.810000000001"/>
    <n v="5"/>
    <n v="14221.07"/>
    <n v="270200.27"/>
    <n v="97836.6"/>
    <s v="Office Supplies"/>
    <n v="97836.6"/>
    <s v="Small"/>
    <s v="Medium"/>
    <s v="No Discount"/>
  </r>
  <r>
    <s v="ORD-10425"/>
    <x v="299"/>
    <d v="2023-06-26T00:00:00"/>
    <s v="Second Class"/>
    <s v="Aisha"/>
    <s v="Adeleke"/>
    <s v="aisha.adeleke@hotmail.com"/>
    <n v="9058195804"/>
    <x v="1"/>
    <x v="3"/>
    <x v="22"/>
    <x v="4"/>
    <s v="Grains"/>
    <x v="117"/>
    <n v="12"/>
    <n v="985.77"/>
    <n v="0"/>
    <n v="0"/>
    <n v="11829.24"/>
    <n v="4948.72"/>
    <s v="Food &amp; Beverages"/>
    <n v="4948.72"/>
    <s v="Small"/>
    <s v="Small"/>
    <s v="No Discount"/>
  </r>
  <r>
    <s v="ORD-10425"/>
    <x v="299"/>
    <d v="2023-06-26T00:00:00"/>
    <s v="Second Class"/>
    <s v="Aisha"/>
    <s v="Adeleke"/>
    <s v="aisha.adeleke@hotmail.com"/>
    <n v="9058195804"/>
    <x v="1"/>
    <x v="3"/>
    <x v="22"/>
    <x v="4"/>
    <s v="Grains"/>
    <x v="117"/>
    <n v="12"/>
    <n v="985.77"/>
    <n v="0"/>
    <n v="0"/>
    <n v="11829.24"/>
    <n v="4948.72"/>
    <s v="Food &amp; Beverages"/>
    <n v="4948.72"/>
    <s v="Small"/>
    <s v="Small"/>
    <s v="No Discount"/>
  </r>
  <r>
    <s v="ORD-10711"/>
    <x v="300"/>
    <d v="2023-07-04T00:00:00"/>
    <s v="Second Class"/>
    <s v="Fatima"/>
    <s v="Fashola"/>
    <s v="fatima.fashola@gmail.com"/>
    <n v="8164333354"/>
    <x v="0"/>
    <x v="2"/>
    <x v="4"/>
    <x v="4"/>
    <s v="Cooking Oil"/>
    <x v="25"/>
    <n v="1"/>
    <n v="5191.8100000000004"/>
    <n v="10"/>
    <n v="519.17999999999995"/>
    <n v="4672.63"/>
    <n v="66.62"/>
    <s v="Food &amp; Beverages"/>
    <n v="66.62"/>
    <s v="Small"/>
    <s v="Small"/>
    <s v="No Discount"/>
  </r>
  <r>
    <s v="ORD-10105"/>
    <x v="109"/>
    <d v="2023-07-20T00:00:00"/>
    <s v="Second Class"/>
    <s v="Gbenga"/>
    <s v="Alakija"/>
    <s v="gbenga.alakija@gmail.com"/>
    <n v="8153829240"/>
    <x v="1"/>
    <x v="0"/>
    <x v="1"/>
    <x v="4"/>
    <s v="Condiments"/>
    <x v="45"/>
    <n v="20"/>
    <n v="1618.24"/>
    <n v="10"/>
    <n v="3236.48"/>
    <n v="29128.32"/>
    <n v="10355.64"/>
    <s v="Food &amp; Beverages"/>
    <n v="10355.64"/>
    <s v="Large"/>
    <s v="Large"/>
    <s v="No Discount"/>
  </r>
  <r>
    <s v="ORD-10369"/>
    <x v="301"/>
    <d v="2023-07-24T00:00:00"/>
    <s v="Second Class"/>
    <s v="Musa"/>
    <s v="Bello"/>
    <s v="musa.bello@yahoo.com"/>
    <n v="9078959326"/>
    <x v="2"/>
    <x v="3"/>
    <x v="16"/>
    <x v="1"/>
    <s v="Trousers"/>
    <x v="13"/>
    <n v="2"/>
    <n v="30816.13"/>
    <n v="0"/>
    <n v="0"/>
    <n v="61632.26"/>
    <n v="14601.7"/>
    <s v="Clothing"/>
    <n v="14601.7"/>
    <s v="Small"/>
    <s v="Small"/>
    <s v="No Discount"/>
  </r>
  <r>
    <s v="ORD-10569"/>
    <x v="302"/>
    <d v="2023-07-26T00:00:00"/>
    <s v="Second Class"/>
    <s v="Femi"/>
    <s v="Lawal"/>
    <s v="femi.lawal@gmail.com"/>
    <n v="9075177662"/>
    <x v="0"/>
    <x v="3"/>
    <x v="11"/>
    <x v="3"/>
    <s v="Sofas"/>
    <x v="51"/>
    <n v="12"/>
    <n v="8240.7900000000009"/>
    <n v="10"/>
    <n v="9888.9500000000007"/>
    <n v="89000.53"/>
    <n v="3981.63"/>
    <s v="Furniture"/>
    <n v="3981.63"/>
    <s v="Small"/>
    <s v="Small"/>
    <s v="No Discount"/>
  </r>
  <r>
    <s v="ORD-10683"/>
    <x v="112"/>
    <d v="2023-07-30T00:00:00"/>
    <s v="Second Class"/>
    <s v="Bola"/>
    <s v="Adebayo"/>
    <s v="bola.adebayo@gmail.com"/>
    <n v="9014731953"/>
    <x v="0"/>
    <x v="1"/>
    <x v="7"/>
    <x v="2"/>
    <s v="Tablets"/>
    <x v="36"/>
    <n v="9"/>
    <n v="235571.18"/>
    <n v="20"/>
    <n v="424028.12"/>
    <n v="1696112.5"/>
    <n v="387348.62"/>
    <s v="Technology"/>
    <n v="387348.62"/>
    <s v="Small"/>
    <s v="Small"/>
    <s v="No Discount"/>
  </r>
  <r>
    <s v="ORD-10331"/>
    <x v="115"/>
    <d v="2023-08-01T00:00:00"/>
    <s v="Second Class"/>
    <s v="Adaeze"/>
    <s v="Olawale"/>
    <s v="adaeze.olawale@yahoo.com"/>
    <n v="9057535837"/>
    <x v="0"/>
    <x v="0"/>
    <x v="17"/>
    <x v="3"/>
    <s v="Sofas"/>
    <x v="51"/>
    <n v="10"/>
    <n v="156710.10999999999"/>
    <n v="10"/>
    <n v="156710.10999999999"/>
    <n v="1410390.99"/>
    <n v="389132.53"/>
    <s v="Furniture"/>
    <n v="389132.53"/>
    <s v="Small"/>
    <s v="Small"/>
    <s v="No Discount"/>
  </r>
  <r>
    <s v="ORD-10692"/>
    <x v="303"/>
    <d v="2023-08-07T00:00:00"/>
    <s v="Second Class"/>
    <s v="Amara"/>
    <s v="Abubakar"/>
    <s v="amara.abubakar@yahoo.com"/>
    <n v="8035571090"/>
    <x v="0"/>
    <x v="1"/>
    <x v="5"/>
    <x v="2"/>
    <s v="Accessories"/>
    <x v="39"/>
    <n v="9"/>
    <n v="72069.039999999994"/>
    <n v="0"/>
    <n v="0"/>
    <n v="648621.36"/>
    <n v="-67510.94"/>
    <s v="Technology"/>
    <n v="67510.94"/>
    <s v="Small"/>
    <s v="Small"/>
    <s v="No Discount"/>
  </r>
  <r>
    <s v="ORD-10466"/>
    <x v="304"/>
    <d v="2023-08-11T00:00:00"/>
    <s v="Second Class"/>
    <s v="Fatima"/>
    <s v="Chukwu"/>
    <s v="fatima.chukwu@gmail.com"/>
    <n v="8106147152"/>
    <x v="2"/>
    <x v="2"/>
    <x v="4"/>
    <x v="1"/>
    <s v="Trousers"/>
    <x v="10"/>
    <n v="9"/>
    <n v="28422.44"/>
    <n v="0"/>
    <n v="0"/>
    <n v="312646.84000000003"/>
    <n v="-41800.03"/>
    <s v="Clothing"/>
    <n v="41800.03"/>
    <s v="Small"/>
    <s v="Small"/>
    <s v="No Discount"/>
  </r>
  <r>
    <s v="ORD-10096"/>
    <x v="305"/>
    <d v="2023-08-13T00:00:00"/>
    <s v="Second Class"/>
    <s v="Ngozi"/>
    <s v="Lawal"/>
    <s v="ngozi.lawal@outlook.com"/>
    <n v="8163088344"/>
    <x v="0"/>
    <x v="1"/>
    <x v="7"/>
    <x v="0"/>
    <s v="Envelopes"/>
    <x v="0"/>
    <n v="13"/>
    <n v="18711.04"/>
    <n v="10"/>
    <n v="24324.35"/>
    <n v="218919.17"/>
    <n v="95062.18"/>
    <s v="Office Supplies"/>
    <n v="95062.18"/>
    <s v="Small"/>
    <s v="Small"/>
    <s v="No Discount"/>
  </r>
  <r>
    <s v="ORD-10046"/>
    <x v="306"/>
    <d v="2023-08-19T00:00:00"/>
    <s v="Second Class"/>
    <s v="Nike"/>
    <s v="Obi"/>
    <s v="nike.obi@hotmail.com"/>
    <n v="8064916201"/>
    <x v="0"/>
    <x v="1"/>
    <x v="7"/>
    <x v="0"/>
    <s v="Art Supplies"/>
    <x v="126"/>
    <n v="7"/>
    <n v="16698.98"/>
    <n v="15"/>
    <n v="17533.93"/>
    <n v="99358.93"/>
    <n v="-8061.41"/>
    <s v="Office Supplies"/>
    <n v="8061.41"/>
    <s v="Small"/>
    <s v="Small"/>
    <s v="No Discount"/>
  </r>
  <r>
    <s v="ORD-10897"/>
    <x v="306"/>
    <d v="2023-08-19T00:00:00"/>
    <s v="Second Class"/>
    <s v="Kunle"/>
    <s v="Ogundipe"/>
    <s v="unknown"/>
    <n v="8131288262"/>
    <x v="2"/>
    <x v="2"/>
    <x v="20"/>
    <x v="3"/>
    <s v="Sofas"/>
    <x v="51"/>
    <n v="4"/>
    <n v="19589.72"/>
    <n v="10"/>
    <n v="7835.89"/>
    <n v="70522.990000000005"/>
    <n v="24004.18"/>
    <s v="Furniture"/>
    <n v="24004.18"/>
    <s v="Small"/>
    <s v="Small"/>
    <s v="No Discount"/>
  </r>
  <r>
    <s v="ORD-10117"/>
    <x v="119"/>
    <d v="2023-08-21T00:00:00"/>
    <s v="Second Class"/>
    <s v="Nike"/>
    <s v="Obi"/>
    <s v="nike.obi@gmail.com"/>
    <n v="7038421839"/>
    <x v="1"/>
    <x v="1"/>
    <x v="5"/>
    <x v="0"/>
    <s v="Fasteners"/>
    <x v="109"/>
    <n v="18"/>
    <n v="5742.68"/>
    <n v="10"/>
    <n v="10336.82"/>
    <n v="93031.42"/>
    <n v="38125.61"/>
    <s v="Office Supplies"/>
    <n v="38125.61"/>
    <s v="Large"/>
    <s v="Large"/>
    <s v="No Discount"/>
  </r>
  <r>
    <s v="ORD-10660"/>
    <x v="307"/>
    <d v="2023-08-25T00:00:00"/>
    <s v="Second Class"/>
    <s v="Deola"/>
    <s v="Olawale"/>
    <s v="deola.olawale@hotmail.com"/>
    <n v="9073053134"/>
    <x v="2"/>
    <x v="0"/>
    <x v="17"/>
    <x v="2"/>
    <s v="Laptops"/>
    <x v="21"/>
    <n v="7"/>
    <n v="423191.01"/>
    <n v="20"/>
    <n v="592467.41"/>
    <n v="2369869.66"/>
    <n v="647337.27"/>
    <s v="Technology"/>
    <n v="647337.27"/>
    <s v="Small"/>
    <s v="Small"/>
    <s v="No Discount"/>
  </r>
  <r>
    <s v="ORD-10677"/>
    <x v="308"/>
    <d v="2023-08-27T00:00:00"/>
    <s v="Second Class"/>
    <s v="Adaeze"/>
    <s v="Gambo"/>
    <s v="adaeze.gambo@outlook.com"/>
    <n v="9052808110"/>
    <x v="1"/>
    <x v="0"/>
    <x v="0"/>
    <x v="2"/>
    <s v="Laptops"/>
    <x v="21"/>
    <n v="14"/>
    <n v="428214.79"/>
    <n v="20"/>
    <n v="1199001.4099999999"/>
    <n v="4796005.6500000004"/>
    <n v="1412032.73"/>
    <s v="Technology"/>
    <n v="1412032.73"/>
    <s v="Small"/>
    <s v="Medium"/>
    <s v="No Discount"/>
  </r>
  <r>
    <s v="ORD-10728"/>
    <x v="308"/>
    <d v="2023-08-28T00:00:00"/>
    <s v="Second Class"/>
    <s v="Chibundo"/>
    <s v="Okonkwo"/>
    <s v="chibundo.okonkwo@hotmail.com"/>
    <n v="7035994297"/>
    <x v="1"/>
    <x v="2"/>
    <x v="20"/>
    <x v="2"/>
    <s v="Printers"/>
    <x v="127"/>
    <n v="2"/>
    <n v="170401.35"/>
    <n v="25"/>
    <n v="85200.68"/>
    <n v="255602.02"/>
    <n v="74944.600000000006"/>
    <s v="Technology"/>
    <n v="74944.600000000006"/>
    <s v="Small"/>
    <s v="Small"/>
    <s v="No Discount"/>
  </r>
  <r>
    <s v="ORD-10968"/>
    <x v="309"/>
    <d v="2023-08-28T00:00:00"/>
    <s v="Second Class"/>
    <s v="Amara"/>
    <s v="Sowore"/>
    <s v="amara.sowore@gmail.com"/>
    <n v="8147329559"/>
    <x v="1"/>
    <x v="3"/>
    <x v="11"/>
    <x v="0"/>
    <s v="Envelopes"/>
    <x v="125"/>
    <n v="17"/>
    <n v="21645.56"/>
    <n v="25"/>
    <n v="91993.63"/>
    <n v="275980.89"/>
    <n v="42260.9"/>
    <s v="Office Supplies"/>
    <n v="42260.9"/>
    <s v="Large"/>
    <s v="Large"/>
    <s v="No Discount"/>
  </r>
  <r>
    <s v="ORD-10714"/>
    <x v="310"/>
    <d v="2023-09-01T00:00:00"/>
    <s v="Second Class"/>
    <s v="Olumide"/>
    <s v="Chukwu"/>
    <s v="olumide.chukwu@gmail.com"/>
    <n v="8146958480"/>
    <x v="0"/>
    <x v="3"/>
    <x v="11"/>
    <x v="4"/>
    <s v="Grains"/>
    <x v="60"/>
    <n v="17"/>
    <n v="6247.25"/>
    <n v="20"/>
    <n v="21240.65"/>
    <n v="84962.6"/>
    <n v="29541.5"/>
    <s v="Food &amp; Beverages"/>
    <n v="29541.5"/>
    <s v="Large"/>
    <s v="Large"/>
    <s v="No Discount"/>
  </r>
  <r>
    <s v="ORD-10248"/>
    <x v="311"/>
    <d v="2023-09-08T00:00:00"/>
    <s v="Second Class"/>
    <s v="Uchenna"/>
    <s v="Okonkwo"/>
    <s v="unknown"/>
    <n v="8061700837"/>
    <x v="1"/>
    <x v="1"/>
    <x v="9"/>
    <x v="2"/>
    <s v="Printers"/>
    <x v="20"/>
    <n v="18"/>
    <n v="186425.54"/>
    <n v="0"/>
    <n v="0"/>
    <n v="3355659.72"/>
    <n v="110114.94"/>
    <s v="Technology"/>
    <n v="110114.94"/>
    <s v="Large"/>
    <s v="Large"/>
    <s v="Offer Discount"/>
  </r>
  <r>
    <s v="ORD-10132"/>
    <x v="312"/>
    <d v="2023-09-11T00:00:00"/>
    <s v="Second Class"/>
    <s v="Fatima"/>
    <s v="Buhari"/>
    <s v="fatima.buhari@hotmail.com"/>
    <n v="8134780654"/>
    <x v="1"/>
    <x v="0"/>
    <x v="14"/>
    <x v="0"/>
    <s v="Art Supplies"/>
    <x v="40"/>
    <n v="2"/>
    <n v="20241.52"/>
    <n v="25"/>
    <n v="10120.76"/>
    <n v="30362.28"/>
    <n v="2963.56"/>
    <s v="Office Supplies"/>
    <n v="2963.56"/>
    <s v="Small"/>
    <s v="Small"/>
    <s v="No Discount"/>
  </r>
  <r>
    <s v="ORD-10877"/>
    <x v="313"/>
    <d v="2023-09-11T00:00:00"/>
    <s v="Second Class"/>
    <s v="Ikenna"/>
    <s v="Okonkwo"/>
    <s v="ikenna.okonkwo@outlook.com"/>
    <n v="8039559668"/>
    <x v="0"/>
    <x v="2"/>
    <x v="10"/>
    <x v="2"/>
    <s v="Laptops"/>
    <x v="88"/>
    <n v="19"/>
    <n v="304671.37"/>
    <n v="25"/>
    <n v="1447189.01"/>
    <n v="4341567.0199999996"/>
    <n v="-628161.81999999995"/>
    <s v="Technology"/>
    <n v="628161.81999999995"/>
    <s v="Large"/>
    <s v="Large"/>
    <s v="Offer Discount"/>
  </r>
  <r>
    <s v="ORD-10423"/>
    <x v="314"/>
    <d v="2023-09-22T00:00:00"/>
    <s v="Second Class"/>
    <s v="Kehinde"/>
    <s v="Musa"/>
    <s v="kehinde.musa@gmail.com"/>
    <n v="8105187652"/>
    <x v="1"/>
    <x v="3"/>
    <x v="22"/>
    <x v="4"/>
    <s v="Snacks"/>
    <x v="46"/>
    <n v="11"/>
    <n v="5580.3"/>
    <n v="20"/>
    <n v="12276.66"/>
    <n v="49106.64"/>
    <n v="6728.56"/>
    <s v="Food &amp; Beverages"/>
    <n v="6728.56"/>
    <s v="Small"/>
    <s v="Small"/>
    <s v="No Discount"/>
  </r>
  <r>
    <s v="ORD-10662"/>
    <x v="315"/>
    <d v="2023-09-22T00:00:00"/>
    <s v="Second Class"/>
    <s v="Taiwo"/>
    <s v="Nwosu"/>
    <s v="taiwo.nwosu@gmail.com"/>
    <n v="7033381714"/>
    <x v="2"/>
    <x v="3"/>
    <x v="18"/>
    <x v="2"/>
    <s v="Phones"/>
    <x v="66"/>
    <n v="15"/>
    <n v="297710.02"/>
    <n v="0"/>
    <n v="0"/>
    <n v="4465650.3"/>
    <n v="-612804.26"/>
    <s v="Technology"/>
    <n v="612804.26"/>
    <s v="Large"/>
    <s v="Large"/>
    <s v="No Discount"/>
  </r>
  <r>
    <s v="ORD-10088"/>
    <x v="126"/>
    <d v="2023-09-30T00:00:00"/>
    <s v="Second Class"/>
    <s v="Musa"/>
    <s v="Adebayo"/>
    <s v="musa.adebayo@hotmail.com"/>
    <n v="8145727345"/>
    <x v="0"/>
    <x v="0"/>
    <x v="14"/>
    <x v="1"/>
    <s v="Accessories"/>
    <x v="11"/>
    <n v="6"/>
    <n v="20002.419999999998"/>
    <n v="5"/>
    <n v="6000.73"/>
    <n v="114013.79"/>
    <n v="37710.69"/>
    <s v="Clothing"/>
    <n v="37710.69"/>
    <s v="Small"/>
    <s v="Small"/>
    <s v="No Discount"/>
  </r>
  <r>
    <s v="ORD-10591"/>
    <x v="126"/>
    <d v="2023-10-01T00:00:00"/>
    <s v="Second Class"/>
    <s v="Sade"/>
    <s v="Sanusi"/>
    <s v="sade.sanusi@gmail.com"/>
    <n v="8146263326"/>
    <x v="0"/>
    <x v="1"/>
    <x v="19"/>
    <x v="3"/>
    <s v="Bookcases"/>
    <x v="47"/>
    <n v="19"/>
    <n v="19723.84"/>
    <n v="10"/>
    <n v="37475.300000000003"/>
    <n v="337277.66"/>
    <n v="20918.330000000002"/>
    <s v="Furniture"/>
    <n v="20918.330000000002"/>
    <s v="Large"/>
    <s v="Large"/>
    <s v="No Discount"/>
  </r>
  <r>
    <s v="ORD-10883"/>
    <x v="316"/>
    <d v="2023-10-08T00:00:00"/>
    <s v="Second Class"/>
    <s v="Hauwa"/>
    <s v="Danjuma"/>
    <s v="hauwa.danjuma@yahoo.com"/>
    <n v="7036139660"/>
    <x v="2"/>
    <x v="0"/>
    <x v="17"/>
    <x v="3"/>
    <s v="Bookcases"/>
    <x v="62"/>
    <n v="9"/>
    <n v="124289.22"/>
    <n v="10"/>
    <n v="111860.3"/>
    <n v="1006742.68"/>
    <n v="210063.21"/>
    <s v="Furniture"/>
    <n v="210063.21"/>
    <s v="Small"/>
    <s v="Small"/>
    <s v="No Discount"/>
  </r>
  <r>
    <s v="ORD-10808"/>
    <x v="317"/>
    <d v="2023-10-10T00:00:00"/>
    <s v="Second Class"/>
    <s v="Ngozi"/>
    <s v="Otedola"/>
    <s v="ngozi.otedola@gmail.com"/>
    <n v="8036082589"/>
    <x v="2"/>
    <x v="0"/>
    <x v="8"/>
    <x v="1"/>
    <s v="Trousers"/>
    <x v="14"/>
    <n v="2"/>
    <n v="43460.05"/>
    <n v="15"/>
    <n v="13038.01"/>
    <n v="73882.09"/>
    <n v="21656.62"/>
    <s v="Clothing"/>
    <n v="21656.62"/>
    <s v="Small"/>
    <s v="Small"/>
    <s v="No Discount"/>
  </r>
  <r>
    <s v="ORD-10271"/>
    <x v="318"/>
    <d v="2023-10-13T00:00:00"/>
    <s v="Second Class"/>
    <s v="Obinna"/>
    <s v="Dangote"/>
    <s v="obinna.dangote@gmail.com"/>
    <n v="9015418274"/>
    <x v="2"/>
    <x v="1"/>
    <x v="2"/>
    <x v="3"/>
    <s v="Bookcases"/>
    <x v="105"/>
    <n v="11"/>
    <n v="76616.070000000007"/>
    <n v="0"/>
    <n v="0"/>
    <n v="842776.77"/>
    <n v="154001.35999999999"/>
    <s v="Furniture"/>
    <n v="154001.35999999999"/>
    <s v="Small"/>
    <s v="Small"/>
    <s v="No Discount"/>
  </r>
  <r>
    <s v="ORD-10596"/>
    <x v="132"/>
    <d v="2023-10-23T00:00:00"/>
    <s v="Second Class"/>
    <s v="Emeka"/>
    <s v="Alakija"/>
    <s v="emeka.alakija@hotmail.com"/>
    <n v="8037064842"/>
    <x v="2"/>
    <x v="1"/>
    <x v="2"/>
    <x v="1"/>
    <s v="Bags"/>
    <x v="103"/>
    <n v="1"/>
    <n v="4325.33"/>
    <n v="15"/>
    <n v="648.79999999999995"/>
    <n v="3676.53"/>
    <n v="43.78"/>
    <s v="Clothing"/>
    <n v="43.78"/>
    <s v="Small"/>
    <s v="Small"/>
    <s v="No Discount"/>
  </r>
  <r>
    <s v="ORD-10083"/>
    <x v="319"/>
    <d v="2023-10-26T00:00:00"/>
    <s v="Second Class"/>
    <s v="Kunle"/>
    <s v="Dangote"/>
    <s v="kunle.dangote@yahoo.com"/>
    <n v="8038558523"/>
    <x v="2"/>
    <x v="2"/>
    <x v="13"/>
    <x v="2"/>
    <s v="Tablets"/>
    <x v="71"/>
    <n v="6"/>
    <n v="234478.82"/>
    <n v="0"/>
    <n v="0"/>
    <n v="1406872.92"/>
    <n v="-1904.58"/>
    <s v="Technology"/>
    <n v="1904.58"/>
    <s v="Small"/>
    <s v="Small"/>
    <s v="No Discount"/>
  </r>
  <r>
    <s v="ORD-10394"/>
    <x v="320"/>
    <d v="2023-10-27T00:00:00"/>
    <s v="Second Class"/>
    <s v="Gbenga"/>
    <s v="Chukwu"/>
    <s v="gbenga.chukwu@outlook.com"/>
    <n v="8069966085"/>
    <x v="2"/>
    <x v="3"/>
    <x v="22"/>
    <x v="4"/>
    <s v="Grains"/>
    <x v="117"/>
    <n v="17"/>
    <n v="399.31"/>
    <n v="10"/>
    <n v="678.83"/>
    <n v="6109.44"/>
    <n v="450.93"/>
    <s v="Food &amp; Beverages"/>
    <n v="450.93"/>
    <s v="Large"/>
    <s v="Large"/>
    <s v="No Discount"/>
  </r>
  <r>
    <s v="ORD-10241"/>
    <x v="320"/>
    <d v="2023-10-28T00:00:00"/>
    <s v="Second Class"/>
    <s v="Ngozi"/>
    <s v="Buhari"/>
    <s v="ngozi.buhari@outlook.com"/>
    <n v="8147007679"/>
    <x v="0"/>
    <x v="1"/>
    <x v="2"/>
    <x v="2"/>
    <s v="Tablets"/>
    <x v="50"/>
    <n v="6"/>
    <n v="110683.48"/>
    <n v="25"/>
    <n v="166025.22"/>
    <n v="498075.66"/>
    <n v="-54337.13"/>
    <s v="Technology"/>
    <n v="54337.13"/>
    <s v="Small"/>
    <s v="Small"/>
    <s v="No Discount"/>
  </r>
  <r>
    <s v="ORD-10755"/>
    <x v="134"/>
    <d v="2023-10-29T00:00:00"/>
    <s v="Second Class"/>
    <s v="Musa"/>
    <s v="Buhari"/>
    <s v="musa.buhari@hotmail.com"/>
    <n v="9023881944"/>
    <x v="0"/>
    <x v="0"/>
    <x v="8"/>
    <x v="3"/>
    <s v="Sofas"/>
    <x v="81"/>
    <n v="17"/>
    <n v="64017.18"/>
    <n v="20"/>
    <n v="217658.41"/>
    <n v="870633.65"/>
    <n v="210775.51"/>
    <s v="Furniture"/>
    <n v="210775.51"/>
    <s v="Large"/>
    <s v="Large"/>
    <s v="No Discount"/>
  </r>
  <r>
    <s v="ORD-10599"/>
    <x v="134"/>
    <d v="2023-10-31T00:00:00"/>
    <s v="Second Class"/>
    <s v="Chisom"/>
    <s v="Okonkwo"/>
    <s v="chisom.okonkwo@yahoo.com"/>
    <n v="8143474414"/>
    <x v="2"/>
    <x v="3"/>
    <x v="22"/>
    <x v="1"/>
    <s v="Shoes"/>
    <x v="56"/>
    <n v="14"/>
    <n v="36056.720000000001"/>
    <n v="10"/>
    <n v="50479.41"/>
    <n v="454314.67"/>
    <n v="73787.53"/>
    <s v="Clothing"/>
    <n v="73787.53"/>
    <s v="Small"/>
    <s v="Medium"/>
    <s v="No Discount"/>
  </r>
  <r>
    <s v="ORD-10920"/>
    <x v="321"/>
    <d v="2023-11-06T00:00:00"/>
    <s v="Second Class"/>
    <s v="Oluwaseun"/>
    <s v="Sowore"/>
    <s v="oluwaseun.sowore@outlook.com"/>
    <n v="9024086368"/>
    <x v="1"/>
    <x v="1"/>
    <x v="7"/>
    <x v="2"/>
    <s v="Phones"/>
    <x v="22"/>
    <n v="16"/>
    <n v="195873.45"/>
    <n v="10"/>
    <n v="313397.52"/>
    <n v="2820577.68"/>
    <n v="-172335.42"/>
    <s v="Technology"/>
    <n v="172335.42"/>
    <s v="Large"/>
    <s v="Large"/>
    <s v="Offer Discount"/>
  </r>
  <r>
    <s v="ORD-10564"/>
    <x v="322"/>
    <d v="2023-11-14T00:00:00"/>
    <s v="Second Class"/>
    <s v="Uchenna"/>
    <s v="Atiku"/>
    <s v="uchenna.atiku@outlook.com"/>
    <n v="8135629621"/>
    <x v="2"/>
    <x v="2"/>
    <x v="4"/>
    <x v="3"/>
    <s v="Sofas"/>
    <x v="128"/>
    <n v="4"/>
    <n v="23003.759999999998"/>
    <n v="0"/>
    <n v="0"/>
    <n v="92015.039999999994"/>
    <n v="20955.060000000001"/>
    <s v="Furniture"/>
    <n v="20955.060000000001"/>
    <s v="Small"/>
    <s v="Small"/>
    <s v="No Discount"/>
  </r>
  <r>
    <s v="ORD-10085"/>
    <x v="323"/>
    <d v="2023-11-17T00:00:00"/>
    <s v="Second Class"/>
    <s v="Lanre"/>
    <s v="Sowore"/>
    <s v="lanre.sowore@yahoo.com"/>
    <s v="+234 803 123 4567"/>
    <x v="2"/>
    <x v="1"/>
    <x v="17"/>
    <x v="1"/>
    <s v="Trousers"/>
    <x v="48"/>
    <n v="-5"/>
    <n v="32479.86"/>
    <n v="10"/>
    <n v="9743.9599999999991"/>
    <n v="87695.62"/>
    <n v="16254.67"/>
    <s v="Clothing"/>
    <n v="16254.67"/>
    <s v="Small"/>
    <s v="Small"/>
    <s v="No Discount"/>
  </r>
  <r>
    <s v="ORD-10366"/>
    <x v="324"/>
    <d v="2023-11-22T00:00:00"/>
    <s v="Second Class"/>
    <s v="Bola"/>
    <s v="Chukwu"/>
    <s v="bola.chukwu@yahoo.com"/>
    <n v="9027965133"/>
    <x v="2"/>
    <x v="3"/>
    <x v="22"/>
    <x v="3"/>
    <s v="Bookcases"/>
    <x v="62"/>
    <n v="8"/>
    <n v="36381.050000000003"/>
    <n v="0"/>
    <n v="0"/>
    <n v="291048.40000000002"/>
    <n v="-20366.830000000002"/>
    <s v="Furniture"/>
    <n v="20366.830000000002"/>
    <s v="Small"/>
    <s v="Small"/>
    <s v="No Discount"/>
  </r>
  <r>
    <s v="ORD-10228"/>
    <x v="325"/>
    <d v="2023-11-29T00:00:00"/>
    <s v="Second Class"/>
    <s v="Ronke"/>
    <s v="Obi"/>
    <s v="ronke.obi@gmail.com"/>
    <n v="7065170429"/>
    <x v="2"/>
    <x v="0"/>
    <x v="1"/>
    <x v="1"/>
    <s v="Shoes"/>
    <x v="52"/>
    <n v="18"/>
    <n v="8392.14"/>
    <n v="0"/>
    <n v="0"/>
    <n v="151058.51999999999"/>
    <n v="-21603.34"/>
    <s v="Clothing"/>
    <n v="21603.34"/>
    <s v="Large"/>
    <s v="Large"/>
    <s v="No Discount"/>
  </r>
  <r>
    <s v="ORD-10764"/>
    <x v="326"/>
    <d v="2023-12-01T00:00:00"/>
    <s v="Second Class"/>
    <s v="Ronke"/>
    <s v="Buhari"/>
    <s v="ronke.buhari@hotmail.com"/>
    <n v="8037735482"/>
    <x v="0"/>
    <x v="3"/>
    <x v="11"/>
    <x v="4"/>
    <s v="Grains"/>
    <x v="61"/>
    <n v="13"/>
    <n v="5102.41"/>
    <n v="0"/>
    <n v="0"/>
    <n v="151058.51999999999"/>
    <n v="-9609.9"/>
    <s v="Food &amp; Beverages"/>
    <n v="9609.9"/>
    <s v="Small"/>
    <s v="Small"/>
    <s v="No Discount"/>
  </r>
  <r>
    <s v="ORD-10753"/>
    <x v="327"/>
    <d v="2023-12-04T00:00:00"/>
    <s v="Second Class"/>
    <s v="Taiwo"/>
    <s v="Dangote"/>
    <s v="taiwo.dangote@outlook.com"/>
    <n v="9078382709"/>
    <x v="1"/>
    <x v="0"/>
    <x v="17"/>
    <x v="2"/>
    <s v="Phones"/>
    <x v="66"/>
    <n v="17"/>
    <n v="17835.02"/>
    <n v="20"/>
    <n v="60639.07"/>
    <n v="242556.27"/>
    <n v="35770.44"/>
    <s v="Technology"/>
    <n v="35770.44"/>
    <s v="Large"/>
    <s v="Large"/>
    <s v="No Discount"/>
  </r>
  <r>
    <s v="ORD-10721"/>
    <x v="328"/>
    <d v="2023-12-10T00:00:00"/>
    <s v="Second Class"/>
    <s v="Kunle"/>
    <s v="Otedola"/>
    <s v="kunle.otedola@hotmail.com"/>
    <n v="9014565022"/>
    <x v="1"/>
    <x v="0"/>
    <x v="1"/>
    <x v="1"/>
    <s v="Bags"/>
    <x v="111"/>
    <n v="4"/>
    <n v="32367.64"/>
    <n v="15"/>
    <n v="19420.580000000002"/>
    <n v="110049.98"/>
    <n v="-8022.49"/>
    <s v="Clothing"/>
    <n v="8022.49"/>
    <s v="Small"/>
    <s v="Small"/>
    <s v="No Discount"/>
  </r>
  <r>
    <s v="ORD-10559"/>
    <x v="329"/>
    <d v="2023-12-11T00:00:00"/>
    <s v="Second Class"/>
    <s v="Chidi"/>
    <s v="Buhari"/>
    <s v="chidi.buhari@yahoo.com"/>
    <n v="8036740173"/>
    <x v="0"/>
    <x v="2"/>
    <x v="4"/>
    <x v="1"/>
    <s v="Accessories"/>
    <x v="34"/>
    <n v="10"/>
    <n v="20676.13"/>
    <n v="10"/>
    <n v="20676.13"/>
    <n v="186085.17"/>
    <n v="26341.759999999998"/>
    <s v="Clothing"/>
    <n v="26341.759999999998"/>
    <s v="Small"/>
    <s v="Small"/>
    <s v="No Discount"/>
  </r>
  <r>
    <s v="ORD-10747"/>
    <x v="329"/>
    <d v="2023-12-11T00:00:00"/>
    <s v="Second Class"/>
    <s v="Fatima"/>
    <s v="Buhari"/>
    <s v="seun.danjuma@outlook.com"/>
    <n v="8157280761"/>
    <x v="2"/>
    <x v="1"/>
    <x v="5"/>
    <x v="1"/>
    <s v="Bags"/>
    <x v="103"/>
    <n v="16"/>
    <n v="39443.64"/>
    <n v="0"/>
    <n v="0"/>
    <n v="631098.24"/>
    <n v="88605.6"/>
    <s v="Clothing"/>
    <n v="88605.6"/>
    <s v="Large"/>
    <s v="Large"/>
    <s v="No Discount"/>
  </r>
  <r>
    <s v="ORD-10128"/>
    <x v="330"/>
    <d v="2023-12-17T00:00:00"/>
    <s v="Second Class"/>
    <s v="Fatima"/>
    <s v="Otedola"/>
    <s v="fatima.otedola@hotmail.com"/>
    <n v="8153136529"/>
    <x v="0"/>
    <x v="1"/>
    <x v="5"/>
    <x v="3"/>
    <s v="Chairs"/>
    <x v="70"/>
    <n v="15"/>
    <n v="176300.4"/>
    <n v="25"/>
    <n v="661126.5"/>
    <n v="1983379.5"/>
    <n v="207217.18"/>
    <s v="Furniture"/>
    <n v="207217.18"/>
    <s v="Large"/>
    <s v="Large"/>
    <s v="No Discount"/>
  </r>
  <r>
    <s v="ORD-10294"/>
    <x v="330"/>
    <d v="2023-12-18T00:00:00"/>
    <s v="Second Class"/>
    <s v="Adebayo"/>
    <s v="Chukwu"/>
    <s v="adebayo.chukwu@yahoo.com"/>
    <n v="8069911007"/>
    <x v="2"/>
    <x v="1"/>
    <x v="2"/>
    <x v="3"/>
    <s v="Storage"/>
    <x v="16"/>
    <n v="18"/>
    <n v="148939.99"/>
    <n v="10"/>
    <n v="268091.98"/>
    <n v="2412827.84"/>
    <n v="295444.46999999997"/>
    <s v="Furniture"/>
    <n v="295444.46999999997"/>
    <s v="Large"/>
    <s v="Large"/>
    <s v="Offer Discount"/>
  </r>
  <r>
    <s v="ORD-10018"/>
    <x v="331"/>
    <d v="2023-12-19T00:00:00"/>
    <s v="Second Class"/>
    <s v="Hauwa"/>
    <s v="Adebayo"/>
    <s v="hauwa.adebayo@outlook.com"/>
    <n v="8108351517"/>
    <x v="1"/>
    <x v="3"/>
    <x v="6"/>
    <x v="4"/>
    <s v="Grains"/>
    <x v="129"/>
    <n v="17"/>
    <n v="7875.67"/>
    <n v="0"/>
    <n v="0"/>
    <n v="133886.39000000001"/>
    <n v="33567.72"/>
    <s v="Food &amp; Beverages"/>
    <n v="33567.72"/>
    <s v="Large"/>
    <s v="Large"/>
    <s v="No Discount"/>
  </r>
  <r>
    <s v="ORD-10457"/>
    <x v="332"/>
    <d v="2023-12-23T00:00:00"/>
    <s v="Second Class"/>
    <s v="Nike"/>
    <s v="Sowore"/>
    <s v="nike.sowore@yahoo.com"/>
    <n v="9017336179"/>
    <x v="2"/>
    <x v="3"/>
    <x v="6"/>
    <x v="4"/>
    <s v="Snacks"/>
    <x v="42"/>
    <n v="19"/>
    <n v="2824.42"/>
    <n v="5"/>
    <n v="2683.2"/>
    <n v="50980.78"/>
    <n v="17522.38"/>
    <s v="Food &amp; Beverages"/>
    <n v="17522.38"/>
    <s v="Large"/>
    <s v="Large"/>
    <s v="No Discount"/>
  </r>
  <r>
    <s v="ORD-10393"/>
    <x v="333"/>
    <d v="2024-01-05T00:00:00"/>
    <s v="Second Class"/>
    <s v="Chibundo"/>
    <s v="Sowore"/>
    <s v="@nodomain.com"/>
    <n v="7066972425"/>
    <x v="1"/>
    <x v="3"/>
    <x v="11"/>
    <x v="2"/>
    <s v="Tablets"/>
    <x v="83"/>
    <n v="3"/>
    <n v="245381.36"/>
    <n v="25"/>
    <n v="184036.02"/>
    <n v="552108.06000000006"/>
    <n v="-18612.169999999998"/>
    <s v="Technology"/>
    <n v="18612.169999999998"/>
    <s v="Small"/>
    <s v="Small"/>
    <s v="No Discount"/>
  </r>
  <r>
    <s v="ORD-10223"/>
    <x v="334"/>
    <d v="2024-01-09T00:00:00"/>
    <s v="Second Class"/>
    <s v="Chibundo"/>
    <s v="Eze"/>
    <s v="chibundo.eze@yahoo.com"/>
    <n v="8039327450"/>
    <x v="2"/>
    <x v="1"/>
    <x v="11"/>
    <x v="3"/>
    <s v="Storage"/>
    <x v="16"/>
    <n v="1"/>
    <n v="48334.91"/>
    <n v="0"/>
    <n v="0"/>
    <n v="48334.91"/>
    <n v="19050.14"/>
    <s v="Furniture"/>
    <n v="19050.14"/>
    <s v="Small"/>
    <s v="Small"/>
    <s v="No Discount"/>
  </r>
  <r>
    <s v="ORD-10102"/>
    <x v="335"/>
    <d v="2024-01-16T00:00:00"/>
    <s v="Second Class"/>
    <s v="Zainab"/>
    <s v="Bello"/>
    <s v="zainab.bello@yahoo.com"/>
    <n v="9023329967"/>
    <x v="2"/>
    <x v="0"/>
    <x v="0"/>
    <x v="3"/>
    <s v="Storage"/>
    <x v="92"/>
    <n v="19"/>
    <n v="70074.2"/>
    <n v="10"/>
    <n v="133140.98000000001"/>
    <n v="1198268.82"/>
    <n v="156306.38"/>
    <s v="Furniture"/>
    <n v="156306.38"/>
    <s v="Large"/>
    <s v="Large"/>
    <s v="Offer Discount"/>
  </r>
  <r>
    <s v="ORD-10256"/>
    <x v="336"/>
    <d v="2024-02-16T00:00:00"/>
    <s v="Second Class"/>
    <s v="Chidinma_Adebayo"/>
    <s v="Bello"/>
    <s v="chidinma.adebayo@gmail.com"/>
    <n v="8155220919"/>
    <x v="2"/>
    <x v="0"/>
    <x v="17"/>
    <x v="1"/>
    <s v="Trousers"/>
    <x v="48"/>
    <n v="12"/>
    <n v="19451.21"/>
    <n v="20"/>
    <n v="46682.9"/>
    <n v="186731.62"/>
    <n v="60798.78"/>
    <s v="Clothing"/>
    <n v="60798.78"/>
    <s v="Small"/>
    <s v="Small"/>
    <s v="No Discount"/>
  </r>
  <r>
    <s v="ORD-10736"/>
    <x v="337"/>
    <d v="2024-02-20T00:00:00"/>
    <s v="Second Class"/>
    <s v="Bola"/>
    <s v="Bello"/>
    <s v="bola.bello@hotmail.com"/>
    <n v="8134545112"/>
    <x v="1"/>
    <x v="1"/>
    <x v="2"/>
    <x v="2"/>
    <s v="Printers"/>
    <x v="114"/>
    <n v="6"/>
    <n v="92700.76"/>
    <n v="15"/>
    <n v="83430.679999999993"/>
    <n v="472773.88"/>
    <n v="85119.26"/>
    <s v="Technology"/>
    <n v="85119.26"/>
    <s v="Small"/>
    <s v="Small"/>
    <s v="No Discount"/>
  </r>
  <r>
    <s v="ORD-10147"/>
    <x v="152"/>
    <d v="2024-02-22T00:00:00"/>
    <s v="Second Class"/>
    <s v="Kemi"/>
    <s v="Chukwu"/>
    <s v="kemi.chukwu@outlook.com"/>
    <s v="0803-123-4567"/>
    <x v="2"/>
    <x v="3"/>
    <x v="6"/>
    <x v="3"/>
    <s v="Chairs"/>
    <x v="90"/>
    <n v="14"/>
    <n v="82764.320000000007"/>
    <n v="10"/>
    <n v="115870.05"/>
    <n v="1042830.43"/>
    <n v="146558.13"/>
    <s v="Furniture"/>
    <n v="146558.13"/>
    <s v="Small"/>
    <s v="Medium"/>
    <s v="No Discount"/>
  </r>
  <r>
    <s v="ORD-10275"/>
    <x v="338"/>
    <d v="2024-02-22T00:00:00"/>
    <s v="Second Class"/>
    <s v="Yemi"/>
    <s v="Osei"/>
    <s v="yemi.osei@outlook.com"/>
    <n v="9055357055"/>
    <x v="2"/>
    <x v="2"/>
    <x v="4"/>
    <x v="3"/>
    <s v="Sofas"/>
    <x v="99"/>
    <n v="16"/>
    <n v="48787.93"/>
    <n v="10"/>
    <n v="78060.69"/>
    <n v="702546.19"/>
    <n v="48865.24"/>
    <s v="Furniture"/>
    <n v="48865.24"/>
    <s v="Large"/>
    <s v="Large"/>
    <s v="No Discount"/>
  </r>
  <r>
    <s v="ORD-10078"/>
    <x v="151"/>
    <d v="2024-02-23T00:00:00"/>
    <s v="Second Class"/>
    <s v="Zainab"/>
    <s v="Dangote"/>
    <s v="zainab.dangote@outlook.com"/>
    <n v="8067661748"/>
    <x v="0"/>
    <x v="1"/>
    <x v="5"/>
    <x v="2"/>
    <s v="Accessories"/>
    <x v="34"/>
    <n v="3"/>
    <n v="214993.1"/>
    <n v="10"/>
    <n v="64497.93"/>
    <n v="580481.37"/>
    <n v="113458.27"/>
    <s v="Technology"/>
    <n v="113458.27"/>
    <s v="Small"/>
    <s v="Small"/>
    <s v="No Discount"/>
  </r>
  <r>
    <s v="ORD-10823"/>
    <x v="339"/>
    <d v="2024-02-23T00:00:00"/>
    <s v="Second Class"/>
    <s v="Oluwaseun"/>
    <s v="Adeyemi"/>
    <s v="oluwaseun.adeyemi@hotmail.com"/>
    <n v="8034463711"/>
    <x v="2"/>
    <x v="3"/>
    <x v="11"/>
    <x v="1"/>
    <s v="Accessories"/>
    <x v="24"/>
    <n v="19"/>
    <n v="13752.76"/>
    <n v="0"/>
    <n v="0"/>
    <n v="261302.44"/>
    <n v="61338.89"/>
    <s v="Clothing"/>
    <n v="61338.89"/>
    <s v="Large"/>
    <s v="Large"/>
    <s v="No Discount"/>
  </r>
  <r>
    <s v="ORD-10053"/>
    <x v="156"/>
    <d v="2024-02-28T00:00:00"/>
    <s v="Second Class"/>
    <s v="Deola"/>
    <s v="Dangote"/>
    <s v="deola.dangote@yahoo.com"/>
    <n v="8032171218"/>
    <x v="2"/>
    <x v="3"/>
    <x v="16"/>
    <x v="0"/>
    <s v="Art Supplies"/>
    <x v="78"/>
    <n v="17"/>
    <n v="8826.94"/>
    <n v="10"/>
    <n v="15005.8"/>
    <n v="135052.18"/>
    <n v="46232.37"/>
    <s v="Office Supplies"/>
    <n v="46232.37"/>
    <s v="Large"/>
    <s v="Large"/>
    <s v="No Discount"/>
  </r>
  <r>
    <s v="ORD-10133"/>
    <x v="340"/>
    <d v="2024-03-09T00:00:00"/>
    <s v="Second Class"/>
    <s v="Tobi"/>
    <s v="Nwosu"/>
    <s v="tobi.nwosu@outlook.com"/>
    <n v="9072326581"/>
    <x v="2"/>
    <x v="1"/>
    <x v="9"/>
    <x v="1"/>
    <s v="Shoes"/>
    <x v="56"/>
    <n v="7"/>
    <n v="25032.33"/>
    <n v="0"/>
    <n v="0"/>
    <n v="175226.31"/>
    <n v="1940.97"/>
    <s v="Clothing"/>
    <n v="1940.97"/>
    <s v="Small"/>
    <s v="Small"/>
    <s v="No Discount"/>
  </r>
  <r>
    <s v="ORD-10734"/>
    <x v="341"/>
    <d v="2024-03-13T00:00:00"/>
    <s v="Second Class"/>
    <s v="Ikenna"/>
    <s v="Adeleke"/>
    <s v="ikenna.adeleke@gmail.com"/>
    <n v="9079162761"/>
    <x v="2"/>
    <x v="1"/>
    <x v="2"/>
    <x v="4"/>
    <s v="Grains"/>
    <x v="61"/>
    <n v="17"/>
    <n v="1898.14"/>
    <n v="10"/>
    <n v="3226.84"/>
    <n v="29041.54"/>
    <n v="941.52"/>
    <s v="Food &amp; Beverages"/>
    <n v="941.52"/>
    <s v="Large"/>
    <s v="Large"/>
    <s v="No Discount"/>
  </r>
  <r>
    <s v="ORD-10974"/>
    <x v="342"/>
    <d v="2024-03-17T00:00:00"/>
    <s v="Second Class"/>
    <s v="Ayo"/>
    <s v="Sule"/>
    <s v="ayo.sule@outlook.com"/>
    <n v="8101972156"/>
    <x v="0"/>
    <x v="2"/>
    <x v="12"/>
    <x v="2"/>
    <s v="Tablets"/>
    <x v="50"/>
    <n v="4"/>
    <n v="45847.02"/>
    <n v="25"/>
    <n v="45847.02"/>
    <n v="137541.06"/>
    <n v="32125.89"/>
    <s v="Technology"/>
    <n v="32125.89"/>
    <s v="Small"/>
    <s v="Small"/>
    <s v="No Discount"/>
  </r>
  <r>
    <s v="ORD-10854"/>
    <x v="161"/>
    <d v="2024-03-27T00:00:00"/>
    <s v="Second Class"/>
    <s v="Seun"/>
    <s v="Otedola"/>
    <s v="seun.otedola@gmail.com"/>
    <n v="9075721396"/>
    <x v="1"/>
    <x v="2"/>
    <x v="20"/>
    <x v="0"/>
    <s v="Labels"/>
    <x v="29"/>
    <n v="6"/>
    <n v="13016.55"/>
    <n v="5"/>
    <n v="3904.96"/>
    <n v="74194.34"/>
    <n v="22444"/>
    <s v="Office Supplies"/>
    <n v="22444"/>
    <s v="Small"/>
    <s v="Small"/>
    <s v="No Discount"/>
  </r>
  <r>
    <s v="ORD-10594"/>
    <x v="343"/>
    <d v="2024-03-31T00:00:00"/>
    <s v="Second Class"/>
    <s v="Zainab"/>
    <s v="Olawale"/>
    <s v="zainab.olawale@hotmail.com"/>
    <n v="9072568722"/>
    <x v="1"/>
    <x v="2"/>
    <x v="3"/>
    <x v="0"/>
    <s v="Envelopes"/>
    <x v="0"/>
    <n v="15"/>
    <n v="16240.87"/>
    <n v="0"/>
    <n v="0"/>
    <n v="243613.05"/>
    <n v="-23997.46"/>
    <s v="Office Supplies"/>
    <n v="23997.46"/>
    <s v="Large"/>
    <s v="Large"/>
    <s v="No Discount"/>
  </r>
  <r>
    <s v="ORD-10625"/>
    <x v="344"/>
    <d v="2024-04-02T00:00:00"/>
    <s v="Second Class"/>
    <s v="Tunde"/>
    <s v="Chukwu"/>
    <s v="tunde.chukwu@hotmail.com"/>
    <n v="8106153067"/>
    <x v="2"/>
    <x v="1"/>
    <x v="5"/>
    <x v="4"/>
    <s v="Drinks"/>
    <x v="86"/>
    <n v="4"/>
    <n v="3849.35"/>
    <n v="0"/>
    <n v="0"/>
    <n v="15397.4"/>
    <n v="-87.19"/>
    <s v="Food &amp; Beverages"/>
    <n v="87.19"/>
    <s v="Small"/>
    <s v="Small"/>
    <s v="No Discount"/>
  </r>
  <r>
    <s v="ORD-10595"/>
    <x v="345"/>
    <d v="2024-04-06T00:00:00"/>
    <s v="Second Class"/>
    <s v="Tunde"/>
    <s v="Osei"/>
    <s v="tunde.osei@outlook.com"/>
    <n v="9059158676"/>
    <x v="1"/>
    <x v="2"/>
    <x v="12"/>
    <x v="3"/>
    <s v="Storage"/>
    <x v="92"/>
    <n v="2"/>
    <n v="55880.51"/>
    <n v="25"/>
    <n v="27940.26"/>
    <n v="83820.759999999995"/>
    <n v="-4740.51"/>
    <s v="Furniture"/>
    <n v="4740.51"/>
    <s v="Small"/>
    <s v="Small"/>
    <s v="No Discount"/>
  </r>
  <r>
    <s v="ORD-10220"/>
    <x v="346"/>
    <d v="2024-04-09T00:00:00"/>
    <s v="Second Class"/>
    <s v="Zainab"/>
    <s v="Abubakar"/>
    <s v="zainab.abubakar@yahoo.com"/>
    <n v="8131367643"/>
    <x v="0"/>
    <x v="1"/>
    <x v="7"/>
    <x v="4"/>
    <s v="Condiments"/>
    <x v="45"/>
    <n v="2"/>
    <n v="1248.3499999999999"/>
    <n v="15"/>
    <n v="374.5"/>
    <n v="2122.1999999999998"/>
    <n v="797.79"/>
    <s v="Food &amp; Beverages"/>
    <n v="797.79"/>
    <s v="Small"/>
    <s v="Small"/>
    <s v="No Discount"/>
  </r>
  <r>
    <s v="ORD-10014"/>
    <x v="166"/>
    <d v="2024-04-16T00:00:00"/>
    <s v="Second Class"/>
    <s v="Kunle"/>
    <s v="Nwosu"/>
    <s v="kunle.nwosu@hotmail.com"/>
    <n v="8033762152"/>
    <x v="0"/>
    <x v="2"/>
    <x v="4"/>
    <x v="1"/>
    <s v="Shirts"/>
    <x v="6"/>
    <n v="15"/>
    <n v="13403.73"/>
    <n v="10"/>
    <n v="20105.59"/>
    <n v="180950.36"/>
    <n v="18783.46"/>
    <s v="Clothing"/>
    <n v="18783.46"/>
    <s v="Large"/>
    <s v="Large"/>
    <s v="No Discount"/>
  </r>
  <r>
    <s v="ORD-10987"/>
    <x v="347"/>
    <d v="2024-04-16T00:00:00"/>
    <s v="Second Class"/>
    <s v="Obinna"/>
    <s v="Otedola"/>
    <s v="obinna.otedola@yahoo.com"/>
    <n v="7065463386"/>
    <x v="0"/>
    <x v="1"/>
    <x v="7"/>
    <x v="2"/>
    <s v="Printers"/>
    <x v="104"/>
    <n v="12"/>
    <n v="264217.28000000003"/>
    <n v="15"/>
    <n v="475591.1"/>
    <n v="2695016.26"/>
    <n v="615034.24"/>
    <s v="Technology"/>
    <n v="615034.24"/>
    <s v="Small"/>
    <s v="Small"/>
    <s v="No Discount"/>
  </r>
  <r>
    <s v="ORD-10427"/>
    <x v="348"/>
    <d v="2024-04-19T00:00:00"/>
    <s v="Second Class"/>
    <s v="Amara"/>
    <s v="Eze"/>
    <s v="amara.eze@outlook.com"/>
    <n v="0"/>
    <x v="1"/>
    <x v="0"/>
    <x v="0"/>
    <x v="3"/>
    <s v="Bookcases"/>
    <x v="62"/>
    <n v="15"/>
    <n v="125693.94"/>
    <n v="0"/>
    <n v="0"/>
    <n v="1885409.1"/>
    <n v="-271136.64000000001"/>
    <s v="Furniture"/>
    <n v="271136.64000000001"/>
    <s v="Large"/>
    <s v="Large"/>
    <s v="No Discount"/>
  </r>
  <r>
    <s v="ORD-10056"/>
    <x v="167"/>
    <d v="2024-04-24T00:00:00"/>
    <s v="Second Class"/>
    <s v="Seun"/>
    <s v="Musa"/>
    <s v="seun.musa@hotmail.com"/>
    <n v="9025446344"/>
    <x v="2"/>
    <x v="1"/>
    <x v="19"/>
    <x v="0"/>
    <s v="Labels"/>
    <x v="130"/>
    <n v="11"/>
    <n v="16421"/>
    <n v="25"/>
    <n v="45157.75"/>
    <n v="135473.25"/>
    <n v="10567.68"/>
    <s v="Office Supplies"/>
    <n v="10567.68"/>
    <s v="Small"/>
    <s v="Small"/>
    <s v="No Discount"/>
  </r>
  <r>
    <s v="ORD-10313"/>
    <x v="349"/>
    <d v="2024-05-01T00:00:00"/>
    <s v="Second Class"/>
    <s v="Kehinde"/>
    <s v="Okafor"/>
    <s v="kehinde.okafor@hotmail.com"/>
    <n v="8166524481"/>
    <x v="2"/>
    <x v="1"/>
    <x v="9"/>
    <x v="1"/>
    <s v="Accessories"/>
    <x v="24"/>
    <n v="5"/>
    <n v="10890.56"/>
    <n v="25"/>
    <n v="13613.2"/>
    <n v="40839.599999999999"/>
    <n v="10635.82"/>
    <s v="Clothing"/>
    <n v="10635.82"/>
    <s v="Small"/>
    <s v="Small"/>
    <s v="No Discount"/>
  </r>
  <r>
    <s v="ORD-10433"/>
    <x v="350"/>
    <d v="2024-05-05T00:00:00"/>
    <s v="Second Class"/>
    <s v="Hauwa"/>
    <s v="Buhari"/>
    <s v="hauwa.buhari@hotmail.com"/>
    <n v="9072582179"/>
    <x v="0"/>
    <x v="3"/>
    <x v="13"/>
    <x v="0"/>
    <s v="Paper"/>
    <x v="106"/>
    <n v="4"/>
    <n v="17192.150000000001"/>
    <n v="15"/>
    <n v="10315.290000000001"/>
    <n v="58453.31"/>
    <n v="4333.4399999999996"/>
    <s v="Office Supplies"/>
    <n v="4333.4399999999996"/>
    <s v="Small"/>
    <s v="Small"/>
    <s v="No Discount"/>
  </r>
  <r>
    <s v="ORD-10178"/>
    <x v="350"/>
    <d v="2024-05-07T00:00:00"/>
    <s v="Second Class"/>
    <s v="Chisom"/>
    <s v="Chukwu"/>
    <s v="chisom.chukwu@gmail.com"/>
    <n v="9057254683"/>
    <x v="1"/>
    <x v="1"/>
    <x v="2"/>
    <x v="2"/>
    <s v="Printers"/>
    <x v="127"/>
    <n v="17"/>
    <n v="93014.79"/>
    <n v="0"/>
    <n v="0"/>
    <n v="1581251.43"/>
    <n v="667995.93999999994"/>
    <s v="Technology"/>
    <n v="667995.93999999994"/>
    <s v="Large"/>
    <s v="Large"/>
    <s v="Offer Discount"/>
  </r>
  <r>
    <s v="ORD-10908"/>
    <x v="351"/>
    <d v="2024-05-08T00:00:00"/>
    <s v="Second Class"/>
    <s v="Oluwaseun"/>
    <s v="Otedola"/>
    <s v="oluwaseun.otedola@outlook.com"/>
    <n v="8131009512"/>
    <x v="2"/>
    <x v="3"/>
    <x v="16"/>
    <x v="2"/>
    <s v="Phones"/>
    <x v="100"/>
    <n v="16"/>
    <n v="130495.84"/>
    <n v="0"/>
    <n v="0"/>
    <n v="2087933.44"/>
    <n v="-38717.24"/>
    <s v="Technology"/>
    <n v="38717.24"/>
    <s v="Large"/>
    <s v="Large"/>
    <s v="Offer Discount"/>
  </r>
  <r>
    <s v="ORD-10007"/>
    <x v="352"/>
    <d v="2024-05-19T00:00:00"/>
    <s v="Second Class"/>
    <s v="Tunde"/>
    <s v="Olawale"/>
    <s v="tunde.olawale@hotmail.com"/>
    <n v="9058852574"/>
    <x v="0"/>
    <x v="2"/>
    <x v="4"/>
    <x v="4"/>
    <s v="Grains"/>
    <x v="129"/>
    <n v="1"/>
    <n v="6928"/>
    <n v="0"/>
    <n v="0"/>
    <n v="6928"/>
    <n v="1794.53"/>
    <s v="Food &amp; Beverages"/>
    <n v="1794.53"/>
    <s v="Small"/>
    <s v="Small"/>
    <s v="No Discount"/>
  </r>
  <r>
    <s v="ORD-10151"/>
    <x v="353"/>
    <d v="2024-05-20T00:00:00"/>
    <s v="Second Class"/>
    <s v="Tunde"/>
    <s v="Fashola"/>
    <s v="tunde.fashola@hotmail.com"/>
    <n v="9057724393"/>
    <x v="1"/>
    <x v="0"/>
    <x v="0"/>
    <x v="4"/>
    <s v="Condiments"/>
    <x v="23"/>
    <n v="12"/>
    <n v="4486.07"/>
    <n v="25"/>
    <n v="13458.21"/>
    <n v="40374.629999999997"/>
    <n v="8328.9599999999991"/>
    <s v="Food &amp; Beverages"/>
    <n v="8328.9599999999991"/>
    <s v="Small"/>
    <s v="Small"/>
    <s v="No Discount"/>
  </r>
  <r>
    <s v="ORD-10458"/>
    <x v="354"/>
    <d v="2024-05-25T00:00:00"/>
    <s v="Second Class"/>
    <s v="Sade"/>
    <s v="Musa"/>
    <s v="sade.musa@gmail.com"/>
    <n v="7063182100"/>
    <x v="0"/>
    <x v="0"/>
    <x v="14"/>
    <x v="1"/>
    <s v="Trousers"/>
    <x v="53"/>
    <n v="17"/>
    <n v="5357.13"/>
    <n v="15"/>
    <n v="13660.68"/>
    <n v="77410.53"/>
    <n v="15709.98"/>
    <s v="Clothing"/>
    <n v="15709.98"/>
    <s v="Large"/>
    <s v="Large"/>
    <s v="No Discount"/>
  </r>
  <r>
    <s v="ORD-10021"/>
    <x v="175"/>
    <d v="2024-06-02T00:00:00"/>
    <s v="Second Class"/>
    <s v="Emeka"/>
    <s v="Eze"/>
    <s v="emeka.eze@outlook.com"/>
    <n v="9021669324"/>
    <x v="2"/>
    <x v="0"/>
    <x v="23"/>
    <x v="0"/>
    <s v="Binders"/>
    <x v="98"/>
    <n v="-1"/>
    <n v="16839.87"/>
    <n v="25"/>
    <n v="50519.61"/>
    <n v="151558.82999999999"/>
    <n v="57665.23"/>
    <s v="Office Supplies"/>
    <n v="57665.23"/>
    <s v="Small"/>
    <s v="Small"/>
    <s v="No Discount"/>
  </r>
  <r>
    <s v="ORD-10314"/>
    <x v="175"/>
    <d v="2024-06-02T00:00:00"/>
    <s v="Second Class"/>
    <s v="Kehinde"/>
    <s v="Adeyemi"/>
    <s v="kehinde.adeyemi@outlook.com"/>
    <n v="8069941610"/>
    <x v="1"/>
    <x v="3"/>
    <x v="18"/>
    <x v="2"/>
    <s v="Phones"/>
    <x v="22"/>
    <n v="5"/>
    <n v="380192.29"/>
    <n v="0"/>
    <n v="0"/>
    <n v="1900961.45"/>
    <n v="587893.25"/>
    <s v="Technology"/>
    <n v="587893.25"/>
    <s v="Small"/>
    <s v="Small"/>
    <s v="No Discount"/>
  </r>
  <r>
    <s v="ORD-10658"/>
    <x v="175"/>
    <d v="2024-06-04T00:00:00"/>
    <s v="Second Class"/>
    <s v="Oluwaseun"/>
    <s v="Otedola"/>
    <s v="oluwaseun.otedola@yahoo.com"/>
    <n v="8068347629"/>
    <x v="2"/>
    <x v="1"/>
    <x v="5"/>
    <x v="2"/>
    <s v="Printers"/>
    <x v="114"/>
    <n v="11"/>
    <n v="168028.26"/>
    <n v="15"/>
    <n v="277246.63"/>
    <n v="1571064.23"/>
    <n v="629747.19999999995"/>
    <s v="Technology"/>
    <n v="629747.19999999995"/>
    <s v="Small"/>
    <s v="Small"/>
    <s v="No Discount"/>
  </r>
  <r>
    <s v="ORD-10198"/>
    <x v="355"/>
    <d v="2024-06-11T00:00:00"/>
    <s v="Second Class"/>
    <s v="Ngozi"/>
    <s v="Bello"/>
    <s v="ngozi.bello@outlook.com"/>
    <s v="080"/>
    <x v="1"/>
    <x v="1"/>
    <x v="19"/>
    <x v="1"/>
    <s v="Accessories"/>
    <x v="11"/>
    <n v="10"/>
    <n v="13406.39"/>
    <n v="10"/>
    <n v="13406.39"/>
    <n v="120657.51"/>
    <n v="-901.44"/>
    <s v="Clothing"/>
    <n v="901.44"/>
    <s v="Small"/>
    <s v="Small"/>
    <s v="No Discount"/>
  </r>
  <r>
    <s v="ORD-10784"/>
    <x v="178"/>
    <d v="2024-06-20T00:00:00"/>
    <s v="Second Class"/>
    <s v="Bola"/>
    <s v="Otedola"/>
    <s v="bola.otedola@hotmail.com"/>
    <n v="8102181161"/>
    <x v="1"/>
    <x v="2"/>
    <x v="20"/>
    <x v="0"/>
    <s v="Pens &amp; Pencils"/>
    <x v="79"/>
    <n v="9"/>
    <n v="9846.7900000000009"/>
    <n v="0"/>
    <n v="0"/>
    <n v="88621.11"/>
    <n v="20040.689999999999"/>
    <s v="Office Supplies"/>
    <n v="20040.689999999999"/>
    <s v="Small"/>
    <s v="Small"/>
    <s v="No Discount"/>
  </r>
  <r>
    <s v="ORD-10421"/>
    <x v="356"/>
    <d v="2024-06-22T00:00:00"/>
    <s v="Second Class"/>
    <s v="Chisom"/>
    <s v="Sule"/>
    <s v="chisom.sule@hotmail.com"/>
    <n v="9021568440"/>
    <x v="0"/>
    <x v="3"/>
    <x v="11"/>
    <x v="0"/>
    <s v="Art Supplies"/>
    <x v="96"/>
    <n v="16"/>
    <n v="20668.349999999999"/>
    <n v="20"/>
    <n v="66138.720000000001"/>
    <n v="264554.88"/>
    <n v="77293.72"/>
    <s v="Office Supplies"/>
    <n v="77293.72"/>
    <s v="Large"/>
    <s v="Large"/>
    <s v="No Discount"/>
  </r>
  <r>
    <s v="ORD-10767"/>
    <x v="357"/>
    <d v="2024-06-22T00:00:00"/>
    <s v="Second Class"/>
    <s v="Chidinma"/>
    <s v="Okonkwo"/>
    <s v="chidinma.okonkwo@hotmail.com"/>
    <n v="8034499464"/>
    <x v="0"/>
    <x v="3"/>
    <x v="11"/>
    <x v="1"/>
    <s v="Shirts"/>
    <x v="6"/>
    <n v="7"/>
    <n v="20857.509999999998"/>
    <n v="5"/>
    <n v="7300.13"/>
    <n v="138702.44"/>
    <n v="43357.03"/>
    <s v="Clothing"/>
    <n v="43357.03"/>
    <s v="Small"/>
    <s v="Small"/>
    <s v="No Discount"/>
  </r>
  <r>
    <s v="ORD-10571"/>
    <x v="358"/>
    <d v="2024-06-27T00:00:00"/>
    <s v="Second Class"/>
    <s v="Chisom"/>
    <s v="Chukwu"/>
    <s v="chisom.chukwu@yahoo.com"/>
    <n v="9057634775"/>
    <x v="2"/>
    <x v="1"/>
    <x v="7"/>
    <x v="3"/>
    <s v="Storage"/>
    <x v="18"/>
    <n v="14"/>
    <n v="133527.65"/>
    <n v="10"/>
    <n v="186938.71"/>
    <n v="1682448.39"/>
    <n v="-102628.49"/>
    <s v="Furniture"/>
    <n v="102628.49"/>
    <s v="Small"/>
    <s v="Medium"/>
    <s v="No Discount"/>
  </r>
  <r>
    <s v="ORD-10386"/>
    <x v="358"/>
    <d v="2024-06-28T00:00:00"/>
    <s v="Second Class"/>
    <s v="Bola"/>
    <s v="Atiku"/>
    <s v="bola.atiku@hotmail.com"/>
    <n v="8033339134"/>
    <x v="1"/>
    <x v="0"/>
    <x v="13"/>
    <x v="4"/>
    <s v="Drinks"/>
    <x v="101"/>
    <n v="20"/>
    <n v="490.93"/>
    <n v="5"/>
    <n v="490.93"/>
    <n v="9327.67"/>
    <n v="1096.78"/>
    <s v="Food &amp; Beverages"/>
    <n v="1096.78"/>
    <s v="Large"/>
    <s v="Large"/>
    <s v="No Discount"/>
  </r>
  <r>
    <s v="ORD-10944"/>
    <x v="359"/>
    <d v="2024-07-12T00:00:00"/>
    <s v="Second Class"/>
    <s v="Femi"/>
    <s v="Gambo"/>
    <s v="femi.gambo@hotmail.com"/>
    <n v="7065523800"/>
    <x v="2"/>
    <x v="0"/>
    <x v="17"/>
    <x v="3"/>
    <s v="Storage"/>
    <x v="18"/>
    <n v="5"/>
    <n v="83358.240000000005"/>
    <n v="0"/>
    <n v="0"/>
    <n v="416791.2"/>
    <n v="132791.63"/>
    <s v="Furniture"/>
    <n v="132791.63"/>
    <s v="Small"/>
    <s v="Small"/>
    <s v="No Discount"/>
  </r>
  <r>
    <s v="ORD-10955"/>
    <x v="360"/>
    <d v="2024-07-12T00:00:00"/>
    <s v="Second Class"/>
    <s v="Fatima"/>
    <s v="Alakija"/>
    <s v="fatima.alakija@hotmail.com"/>
    <n v="8166297073"/>
    <x v="0"/>
    <x v="0"/>
    <x v="14"/>
    <x v="0"/>
    <s v="Labels"/>
    <x v="73"/>
    <n v="1"/>
    <n v="23192.22"/>
    <n v="5"/>
    <n v="1159.6099999999999"/>
    <n v="22032.61"/>
    <n v="2059.8200000000002"/>
    <s v="Office Supplies"/>
    <n v="2059.8200000000002"/>
    <s v="Small"/>
    <s v="Small"/>
    <s v="No Discount"/>
  </r>
  <r>
    <s v="ORD-10231"/>
    <x v="361"/>
    <d v="2024-07-27T00:00:00"/>
    <s v="Second Class"/>
    <s v="Uchenna"/>
    <s v="Gambo"/>
    <s v="uchenna.gambo@gmail.com"/>
    <n v="8034739945"/>
    <x v="2"/>
    <x v="0"/>
    <x v="8"/>
    <x v="1"/>
    <s v="Shoes"/>
    <x v="122"/>
    <n v="20"/>
    <n v="34998.910000000003"/>
    <n v="20"/>
    <n v="139995.64000000001"/>
    <n v="559982.56000000006"/>
    <n v="156792.23000000001"/>
    <s v="Clothing"/>
    <n v="156792.23000000001"/>
    <s v="Large"/>
    <s v="Large"/>
    <s v="No Discount"/>
  </r>
  <r>
    <s v="ORD-10572"/>
    <x v="185"/>
    <d v="2024-08-01T00:00:00"/>
    <s v="Second Class"/>
    <s v="Fatima"/>
    <s v="Nwosu"/>
    <s v="fatima.nwosu@hotmail.com"/>
    <n v="9014026721"/>
    <x v="1"/>
    <x v="1"/>
    <x v="13"/>
    <x v="0"/>
    <s v="Paper"/>
    <x v="106"/>
    <n v="6"/>
    <n v="4491.51"/>
    <n v="15"/>
    <n v="4042.36"/>
    <n v="22906.7"/>
    <n v="6011.18"/>
    <s v="Office Supplies"/>
    <n v="6011.18"/>
    <s v="Small"/>
    <s v="Small"/>
    <s v="No Discount"/>
  </r>
  <r>
    <s v="ORD-10390"/>
    <x v="362"/>
    <d v="2024-08-09T00:00:00"/>
    <s v="Second Class"/>
    <s v="Adebayo"/>
    <s v="Nwosu"/>
    <s v="kehinde.buhari@yahoo.com"/>
    <n v="8134120669"/>
    <x v="1"/>
    <x v="1"/>
    <x v="7"/>
    <x v="1"/>
    <s v="Shoes"/>
    <x v="122"/>
    <n v="10"/>
    <n v="23095.18"/>
    <n v="10"/>
    <n v="23095.18"/>
    <n v="207856.62"/>
    <n v="30442.74"/>
    <s v="Clothing"/>
    <n v="30442.74"/>
    <s v="Small"/>
    <s v="Small"/>
    <s v="No Discount"/>
  </r>
  <r>
    <s v="ORD-10647"/>
    <x v="363"/>
    <d v="2024-08-21T00:00:00"/>
    <s v="Second Class"/>
    <s v="Adebayo"/>
    <s v="Chukwu"/>
    <s v="adebayo.chukwu@gmail.com"/>
    <n v="8107002009"/>
    <x v="1"/>
    <x v="1"/>
    <x v="19"/>
    <x v="4"/>
    <s v="Condiments"/>
    <x v="45"/>
    <n v="17"/>
    <n v="2986.02"/>
    <n v="15"/>
    <n v="7614.35"/>
    <n v="43147.99"/>
    <n v="6809.92"/>
    <s v="Food &amp; Beverages"/>
    <n v="6809.92"/>
    <s v="Large"/>
    <s v="Large"/>
    <s v="No Discount"/>
  </r>
  <r>
    <s v="ORD-10064"/>
    <x v="364"/>
    <d v="2024-08-26T00:00:00"/>
    <s v="Second Class"/>
    <s v="Ayo"/>
    <s v="Otedola"/>
    <s v="ayo.otedola@outlook.com"/>
    <n v="9054713925"/>
    <x v="2"/>
    <x v="0"/>
    <x v="1"/>
    <x v="2"/>
    <s v="Accessories"/>
    <x v="17"/>
    <n v="4"/>
    <n v="297419.15999999997"/>
    <n v="0"/>
    <n v="0"/>
    <n v="1189676.6399999999"/>
    <n v="-146082.67000000001"/>
    <s v="Technology"/>
    <n v="146082.67000000001"/>
    <s v="Small"/>
    <s v="Small"/>
    <s v="No Discount"/>
  </r>
  <r>
    <s v="ORD-10277"/>
    <x v="365"/>
    <d v="2024-08-29T00:00:00"/>
    <s v="Second Class"/>
    <s v="Fatima"/>
    <s v="Ogundipe"/>
    <s v="fatima.ogundipe@hotmail.com"/>
    <n v="8109673937"/>
    <x v="0"/>
    <x v="1"/>
    <x v="2"/>
    <x v="4"/>
    <s v="Grains"/>
    <x v="97"/>
    <n v="18"/>
    <n v="2610.2600000000002"/>
    <n v="0"/>
    <n v="0"/>
    <n v="46984.68"/>
    <n v="4183.57"/>
    <s v="Food &amp; Beverages"/>
    <n v="4183.57"/>
    <s v="Large"/>
    <s v="Large"/>
    <s v="No Discount"/>
  </r>
  <r>
    <s v="ORD-10716"/>
    <x v="366"/>
    <d v="2024-09-03T00:00:00"/>
    <s v="Second Class"/>
    <s v="Adebayo"/>
    <s v="Danjuma"/>
    <s v="adebayo.danjuma@outlook.com"/>
    <n v="7037340280"/>
    <x v="0"/>
    <x v="0"/>
    <x v="1"/>
    <x v="4"/>
    <s v="Drinks"/>
    <x v="101"/>
    <n v="12"/>
    <n v="5699.92"/>
    <n v="0"/>
    <n v="0"/>
    <n v="68399.039999999994"/>
    <n v="-3744.83"/>
    <s v="Food &amp; Beverages"/>
    <n v="3744.83"/>
    <s v="Small"/>
    <s v="Small"/>
    <s v="No Discount"/>
  </r>
  <r>
    <s v="ORD-10010"/>
    <x v="366"/>
    <d v="2024-09-05T00:00:00"/>
    <s v="Second Class"/>
    <s v="Aisha"/>
    <s v="Chukwu"/>
    <s v="aisha.chukwu@hotmail.com"/>
    <n v="8134374754"/>
    <x v="0"/>
    <x v="2"/>
    <x v="20"/>
    <x v="0"/>
    <s v="Envelopes"/>
    <x v="125"/>
    <n v="17"/>
    <n v="11233.45"/>
    <n v="20"/>
    <n v="38193.730000000003"/>
    <n v="152774.92000000001"/>
    <n v="-11824.39"/>
    <s v="Office Supplies"/>
    <n v="11824.39"/>
    <s v="Large"/>
    <s v="Large"/>
    <s v="No Discount"/>
  </r>
  <r>
    <s v="ORD-10134"/>
    <x v="367"/>
    <d v="2024-09-11T00:00:00"/>
    <s v="Second Class"/>
    <s v="Adaeze"/>
    <s v="Eze"/>
    <s v="adaeze.eze@gmail.com"/>
    <n v="8134188068"/>
    <x v="0"/>
    <x v="2"/>
    <x v="21"/>
    <x v="2"/>
    <s v="Accessories"/>
    <x v="24"/>
    <n v="7"/>
    <n v="317597.43"/>
    <n v="15"/>
    <n v="333477.3"/>
    <n v="1889704.71"/>
    <n v="754135.56"/>
    <s v="Technology"/>
    <n v="754135.56"/>
    <s v="Small"/>
    <s v="Small"/>
    <s v="No Discount"/>
  </r>
  <r>
    <s v="ORD-10552"/>
    <x v="193"/>
    <d v="2024-09-13T00:00:00"/>
    <s v="Second Class"/>
    <s v="Kehinde"/>
    <s v="Eze"/>
    <s v="dayo.sowore@gmail.com"/>
    <n v="7061233207"/>
    <x v="2"/>
    <x v="2"/>
    <x v="12"/>
    <x v="4"/>
    <s v="Snacks"/>
    <x v="42"/>
    <n v="18"/>
    <n v="5799.03"/>
    <n v="10"/>
    <n v="10438.25"/>
    <n v="93944.29"/>
    <n v="-325.45"/>
    <s v="Food &amp; Beverages"/>
    <n v="325.45"/>
    <s v="Large"/>
    <s v="Large"/>
    <s v="No Discount"/>
  </r>
  <r>
    <s v="ORD-10306"/>
    <x v="368"/>
    <d v="2024-09-30T00:00:00"/>
    <s v="Second Class"/>
    <s v="Kehinde"/>
    <s v="Nwosu"/>
    <s v="kehinde.nwosu@yahoo.com"/>
    <n v="8132201986"/>
    <x v="1"/>
    <x v="3"/>
    <x v="18"/>
    <x v="0"/>
    <s v="Art Supplies"/>
    <x v="78"/>
    <n v="19"/>
    <n v="8423.59"/>
    <n v="0"/>
    <n v="0"/>
    <n v="160048.21"/>
    <n v="-13201.11"/>
    <s v="Office Supplies"/>
    <n v="13201.11"/>
    <s v="Large"/>
    <s v="Large"/>
    <s v="No Discount"/>
  </r>
  <r>
    <s v="ORD-10938"/>
    <x v="369"/>
    <d v="2024-10-10T00:00:00"/>
    <s v="Second Class"/>
    <s v="Hauwa"/>
    <s v="Adeleke"/>
    <s v="hauwa.adeleke@hotmail.com"/>
    <n v="8137516960"/>
    <x v="1"/>
    <x v="2"/>
    <x v="20"/>
    <x v="3"/>
    <s v="Sofas"/>
    <x v="99"/>
    <n v="13"/>
    <n v="67214.070000000007"/>
    <n v="15"/>
    <n v="131067.44"/>
    <n v="742715.47"/>
    <n v="294447.87"/>
    <s v="Furniture"/>
    <n v="294447.87"/>
    <s v="Small"/>
    <s v="Small"/>
    <s v="No Discount"/>
  </r>
  <r>
    <s v="ORD-10148"/>
    <x v="370"/>
    <d v="2024-10-17T00:00:00"/>
    <s v="Second Class"/>
    <s v="Ayo"/>
    <s v="Nwosu"/>
    <s v="ayo.nwosu@hotmail.com"/>
    <n v="8063273137"/>
    <x v="1"/>
    <x v="2"/>
    <x v="3"/>
    <x v="0"/>
    <s v="Paper"/>
    <x v="89"/>
    <n v="20"/>
    <n v="8639.32"/>
    <n v="15"/>
    <n v="25917.96"/>
    <n v="146868.44"/>
    <n v="48825.81"/>
    <s v="Office Supplies"/>
    <n v="48825.81"/>
    <s v="Large"/>
    <s v="Large"/>
    <s v="No Discount"/>
  </r>
  <r>
    <s v="ORD-10414"/>
    <x v="371"/>
    <d v="2024-10-22T00:00:00"/>
    <s v="Second Class"/>
    <s v="Adaeze"/>
    <s v="Nwosu"/>
    <s v="adebayo.chukwu@hotmail.com"/>
    <n v="9052004647"/>
    <x v="2"/>
    <x v="3"/>
    <x v="22"/>
    <x v="4"/>
    <s v="Snacks"/>
    <x v="80"/>
    <n v="8"/>
    <n v="3861.15"/>
    <n v="0"/>
    <n v="0"/>
    <n v="30889.200000000001"/>
    <n v="9200.66"/>
    <s v="Food &amp; Beverages"/>
    <n v="9200.66"/>
    <s v="Small"/>
    <s v="Small"/>
    <s v="No Discount"/>
  </r>
  <r>
    <s v="ORD-10790"/>
    <x v="195"/>
    <d v="2024-10-23T00:00:00"/>
    <s v="Second Class"/>
    <s v="Adaeze"/>
    <s v="Adebayo"/>
    <s v="adaeze.adebayo@yahoo.com"/>
    <s v="1234567890"/>
    <x v="1"/>
    <x v="0"/>
    <x v="14"/>
    <x v="2"/>
    <s v="Laptops"/>
    <x v="76"/>
    <n v="16"/>
    <n v="151122.09"/>
    <n v="0"/>
    <n v="0"/>
    <n v="2417953.44"/>
    <n v="734909.59"/>
    <s v="Technology"/>
    <n v="734909.59"/>
    <s v="Large"/>
    <s v="Large"/>
    <s v="Offer Discount"/>
  </r>
  <r>
    <s v="ORD-10739"/>
    <x v="372"/>
    <d v="2024-10-30T00:00:00"/>
    <s v="Second Class"/>
    <s v="Deola"/>
    <s v="Danjuma"/>
    <s v="deola.danjuma@hotmail.com"/>
    <n v="8036452935"/>
    <x v="0"/>
    <x v="2"/>
    <x v="20"/>
    <x v="4"/>
    <s v="Snacks"/>
    <x v="64"/>
    <n v="16"/>
    <n v="4683.66"/>
    <n v="0"/>
    <n v="0"/>
    <n v="74938.559999999998"/>
    <n v="31557.200000000001"/>
    <s v="Food &amp; Beverages"/>
    <n v="31557.200000000001"/>
    <s v="Large"/>
    <s v="Large"/>
    <s v="No Discount"/>
  </r>
  <r>
    <s v="ORD-10725"/>
    <x v="373"/>
    <d v="2024-11-08T00:00:00"/>
    <s v="Second Class"/>
    <s v="Adebayo"/>
    <s v="Okonkwo"/>
    <s v="adebayo.okonkwo@hotmail.com"/>
    <n v="9077739464"/>
    <x v="1"/>
    <x v="2"/>
    <x v="10"/>
    <x v="1"/>
    <s v="Shirts"/>
    <x v="57"/>
    <n v="4"/>
    <n v="20274.189999999999"/>
    <n v="20"/>
    <n v="16219.35"/>
    <n v="64877.41"/>
    <n v="9811.86"/>
    <s v="Clothing"/>
    <n v="9811.86"/>
    <s v="Small"/>
    <s v="Small"/>
    <s v="No Discount"/>
  </r>
  <r>
    <s v="ORD-10260"/>
    <x v="374"/>
    <d v="2024-11-16T00:00:00"/>
    <s v="Second Class"/>
    <s v="Aisha"/>
    <s v="Atiku"/>
    <s v="aisha.atiku@outlook.com"/>
    <n v="8142154992"/>
    <x v="0"/>
    <x v="1"/>
    <x v="9"/>
    <x v="3"/>
    <s v="Storage"/>
    <x v="107"/>
    <n v="1"/>
    <n v="30740.67"/>
    <n v="5"/>
    <n v="1537.03"/>
    <n v="29203.64"/>
    <n v="4778.5"/>
    <s v="Furniture"/>
    <n v="4778.5"/>
    <s v="Small"/>
    <s v="Small"/>
    <s v="No Discount"/>
  </r>
  <r>
    <s v="ORD-10560"/>
    <x v="197"/>
    <d v="2024-11-16T00:00:00"/>
    <s v="Second Class"/>
    <s v="Hauwa"/>
    <s v="Chukwu"/>
    <s v="hauwa.chukwu@gmail.com"/>
    <s v="080312345678901"/>
    <x v="2"/>
    <x v="1"/>
    <x v="2"/>
    <x v="3"/>
    <s v="Storage"/>
    <x v="18"/>
    <n v="4"/>
    <n v="89509.57"/>
    <n v="25"/>
    <n v="89509.57"/>
    <n v="268528.71000000002"/>
    <n v="58179.5"/>
    <s v="Furniture"/>
    <n v="58179.5"/>
    <s v="Small"/>
    <s v="Small"/>
    <s v="No Discount"/>
  </r>
  <r>
    <s v="ORD-10126"/>
    <x v="375"/>
    <d v="2024-11-21T00:00:00"/>
    <s v="Second Class"/>
    <s v="Adebayo"/>
    <s v="Danjuma"/>
    <s v="adebayo.danjuma@gmail.com"/>
    <n v="8158757420"/>
    <x v="1"/>
    <x v="1"/>
    <x v="19"/>
    <x v="0"/>
    <s v="Fasteners"/>
    <x v="68"/>
    <n v="1"/>
    <n v="10200.74"/>
    <n v="5"/>
    <n v="510.04"/>
    <n v="9690.7000000000007"/>
    <n v="1908.94"/>
    <s v="Office Supplies"/>
    <n v="1908.94"/>
    <s v="Small"/>
    <s v="Small"/>
    <s v="No Discount"/>
  </r>
  <r>
    <s v="ORD-10115"/>
    <x v="376"/>
    <d v="2024-12-01T00:00:00"/>
    <s v="Second Class"/>
    <s v="Taiwo"/>
    <s v="Osei"/>
    <s v="taiwo.osei@hotmail.com"/>
    <n v="8157322070"/>
    <x v="2"/>
    <x v="1"/>
    <x v="19"/>
    <x v="0"/>
    <s v="Binders"/>
    <x v="112"/>
    <n v="11"/>
    <n v="22847.040000000001"/>
    <n v="25"/>
    <n v="62829.36"/>
    <n v="188488.08"/>
    <n v="11794.11"/>
    <s v="Office Supplies"/>
    <n v="11794.11"/>
    <s v="Small"/>
    <s v="Small"/>
    <s v="No Discount"/>
  </r>
  <r>
    <s v="ORD-10986"/>
    <x v="201"/>
    <d v="2024-12-04T00:00:00"/>
    <s v="Second Class"/>
    <s v="Taiwo"/>
    <s v="Buhari"/>
    <s v="taiwo.buhari@gmail.com"/>
    <n v="8035776497"/>
    <x v="1"/>
    <x v="0"/>
    <x v="8"/>
    <x v="2"/>
    <s v="Tablets"/>
    <x v="93"/>
    <n v="4"/>
    <n v="400967.98"/>
    <n v="0"/>
    <n v="0"/>
    <n v="1603871.92"/>
    <n v="627673.84"/>
    <s v="Technology"/>
    <n v="627673.84"/>
    <s v="Small"/>
    <s v="Small"/>
    <s v="No Discount"/>
  </r>
  <r>
    <s v="ORD-10131"/>
    <x v="377"/>
    <d v="2024-12-06T00:00:00"/>
    <s v="Second Class"/>
    <s v="Chibundo"/>
    <s v="Eze"/>
    <s v="chibundo.eze@outlook.com"/>
    <n v="8033938247"/>
    <x v="1"/>
    <x v="0"/>
    <x v="0"/>
    <x v="1"/>
    <s v="Accessories"/>
    <x v="39"/>
    <n v="12"/>
    <n v="4016.02"/>
    <n v="15"/>
    <n v="7228.84"/>
    <n v="40963.4"/>
    <n v="13169.03"/>
    <s v="Clothing"/>
    <n v="13169.03"/>
    <s v="Small"/>
    <s v="Small"/>
    <s v="No Discount"/>
  </r>
  <r>
    <s v="ORD-10455"/>
    <x v="201"/>
    <d v="2024-12-06T00:00:00"/>
    <s v="Second Class"/>
    <s v="Nike"/>
    <s v="Nwosu"/>
    <s v="nike.nwosu@gmail.com"/>
    <n v="8156238726"/>
    <x v="2"/>
    <x v="0"/>
    <x v="14"/>
    <x v="4"/>
    <s v="Grains"/>
    <x v="117"/>
    <n v="18"/>
    <n v="480.35"/>
    <n v="10"/>
    <n v="864.63"/>
    <n v="7781.67"/>
    <n v="-40.43"/>
    <s v="Food &amp; Beverages"/>
    <n v="40.43"/>
    <s v="Large"/>
    <s v="Large"/>
    <s v="No Discount"/>
  </r>
  <r>
    <s v="ORD-10553"/>
    <x v="378"/>
    <d v="2024-12-11T00:00:00"/>
    <s v="Second Class"/>
    <s v="Fatima"/>
    <s v="Musa"/>
    <s v="fatima.musa@outlook.com"/>
    <n v="8033236718"/>
    <x v="1"/>
    <x v="2"/>
    <x v="20"/>
    <x v="4"/>
    <s v="Grains"/>
    <x v="61"/>
    <n v="13"/>
    <n v="3554.96"/>
    <n v="0"/>
    <n v="0"/>
    <n v="46214.48"/>
    <n v="3418.5"/>
    <s v="Food &amp; Beverages"/>
    <n v="3418.5"/>
    <s v="Small"/>
    <s v="Small"/>
    <s v="No Discount"/>
  </r>
  <r>
    <s v="ORD-10387"/>
    <x v="379"/>
    <d v="2024-12-17T00:00:00"/>
    <s v="Second Class"/>
    <s v="Femi"/>
    <s v="Nwosu"/>
    <s v="femi.nwosu@gmail.com"/>
    <n v="8068473546"/>
    <x v="0"/>
    <x v="2"/>
    <x v="3"/>
    <x v="2"/>
    <s v="Printers"/>
    <x v="104"/>
    <n v="11"/>
    <n v="99585.77"/>
    <n v="25"/>
    <n v="273860.87"/>
    <n v="821582.6"/>
    <n v="341812.29"/>
    <s v="Technology"/>
    <n v="341812.29"/>
    <s v="Small"/>
    <s v="Small"/>
    <s v="No Discount"/>
  </r>
  <r>
    <s v="ORD-10084"/>
    <x v="144"/>
    <d v="2024-12-17T00:00:00"/>
    <s v="Second Class"/>
    <s v="Nike"/>
    <s v="Olawale"/>
    <s v="nike.olawale@hotmail.com"/>
    <s v="N/A"/>
    <x v="2"/>
    <x v="1"/>
    <x v="5"/>
    <x v="4"/>
    <s v="Drinks"/>
    <x v="101"/>
    <n v="4"/>
    <n v="807.52"/>
    <n v="25"/>
    <n v="807.52"/>
    <n v="2422.56"/>
    <n v="622.66"/>
    <s v="Food &amp; Beverages"/>
    <n v="622.66"/>
    <s v="Small"/>
    <s v="Small"/>
    <s v="No Discount"/>
  </r>
  <r>
    <s v="ORD-10234"/>
    <x v="380"/>
    <d v="2024-12-17T00:00:00"/>
    <s v="Second Class"/>
    <s v="Ronke"/>
    <s v="Atiku"/>
    <s v="ronke.atiku@gmail.com"/>
    <n v="8158261353"/>
    <x v="2"/>
    <x v="1"/>
    <x v="5"/>
    <x v="4"/>
    <s v="Cooking Oil"/>
    <x v="19"/>
    <n v="6"/>
    <n v="6314.33"/>
    <n v="0"/>
    <n v="0"/>
    <n v="37885.980000000003"/>
    <n v="10922.41"/>
    <s v="Food &amp; Beverages"/>
    <n v="10922.41"/>
    <s v="Small"/>
    <s v="Small"/>
    <s v="No Discount"/>
  </r>
  <r>
    <s v="ORD-10816"/>
    <x v="324"/>
    <d v="2024-12-17T00:00:00"/>
    <s v="Second Class"/>
    <s v="Olumide"/>
    <s v="Okonkwo"/>
    <s v="olumide.okonkwo@hotmail.com"/>
    <n v="8065123439"/>
    <x v="2"/>
    <x v="3"/>
    <x v="18"/>
    <x v="4"/>
    <s v="Condiments"/>
    <x v="74"/>
    <n v="5"/>
    <n v="4587.7700000000004"/>
    <n v="25"/>
    <n v="5734.71"/>
    <n v="17204.14"/>
    <n v="7372.08"/>
    <s v="Food &amp; Beverages"/>
    <n v="7372.08"/>
    <s v="Small"/>
    <s v="Small"/>
    <s v="No Discount"/>
  </r>
  <r>
    <s v="ORD-10985"/>
    <x v="381"/>
    <d v="2024-12-17T00:00:00"/>
    <s v="Second Class"/>
    <s v="Bola"/>
    <s v="Fashola"/>
    <s v="bola.fashola@hotmail.com"/>
    <n v="8038415350"/>
    <x v="1"/>
    <x v="2"/>
    <x v="20"/>
    <x v="3"/>
    <s v="Tables"/>
    <x v="26"/>
    <n v="8"/>
    <n v="104605.46"/>
    <n v="25"/>
    <n v="209210.92"/>
    <n v="627632.76"/>
    <n v="134337.67000000001"/>
    <s v="Furniture"/>
    <n v="134337.67000000001"/>
    <s v="Small"/>
    <s v="Small"/>
    <s v="No Discount"/>
  </r>
  <r>
    <s v="ORD-10377"/>
    <x v="382"/>
    <d v="2022-01-03T00:00:00"/>
    <s v="Same Day"/>
    <s v="Chidinma"/>
    <s v="Obi"/>
    <s v="chidinma.obi@outlook.com"/>
    <n v="8151548852"/>
    <x v="1"/>
    <x v="1"/>
    <x v="2"/>
    <x v="0"/>
    <s v="Envelopes"/>
    <x v="125"/>
    <n v="20"/>
    <n v="17602.349999999999"/>
    <n v="25"/>
    <n v="88011.75"/>
    <n v="264035.25"/>
    <n v="51523.21"/>
    <s v="Office Supplies"/>
    <n v="51523.21"/>
    <s v="Large"/>
    <s v="Large"/>
    <s v="No Discount"/>
  </r>
  <r>
    <s v="ORD-10631"/>
    <x v="382"/>
    <d v="2022-01-04T00:00:00"/>
    <s v="Same Day"/>
    <s v="Hauwa"/>
    <s v="Sanusi"/>
    <s v="hauwa.sanusi@gmail.com"/>
    <n v="8031291769"/>
    <x v="1"/>
    <x v="2"/>
    <x v="20"/>
    <x v="4"/>
    <s v="Grains"/>
    <x v="117"/>
    <n v="6"/>
    <n v="4344.57"/>
    <n v="0"/>
    <n v="0"/>
    <n v="26067.42"/>
    <n v="8215.25"/>
    <s v="Food &amp; Beverages"/>
    <n v="8215.25"/>
    <s v="Small"/>
    <s v="Small"/>
    <s v="No Discount"/>
  </r>
  <r>
    <s v="ORD-10862"/>
    <x v="383"/>
    <d v="2022-01-04T00:00:00"/>
    <s v="Same Day"/>
    <s v="Kehinde"/>
    <s v="Gambo"/>
    <s v="kehinde.gambo@hotmail.com"/>
    <n v="8159196133"/>
    <x v="0"/>
    <x v="0"/>
    <x v="0"/>
    <x v="3"/>
    <s v="Chairs"/>
    <x v="95"/>
    <n v="20"/>
    <n v="70613.98"/>
    <n v="10"/>
    <n v="141227.96"/>
    <n v="1271051.6399999999"/>
    <n v="157298.35"/>
    <s v="Furniture"/>
    <n v="157298.35"/>
    <s v="Large"/>
    <s v="Large"/>
    <s v="Offer Discount"/>
  </r>
  <r>
    <s v="ORD-10451"/>
    <x v="210"/>
    <d v="2022-01-14T00:00:00"/>
    <s v="Same Day"/>
    <s v="Kunle"/>
    <s v="Osei"/>
    <s v="kunle.osei@outlook.com"/>
    <n v="8153873296"/>
    <x v="1"/>
    <x v="2"/>
    <x v="10"/>
    <x v="2"/>
    <s v="Tablets"/>
    <x v="83"/>
    <n v="14"/>
    <n v="326111.89"/>
    <n v="10"/>
    <n v="456556.65"/>
    <n v="4109009.81"/>
    <n v="935474.6"/>
    <s v="Technology"/>
    <n v="935474.6"/>
    <s v="Small"/>
    <s v="Medium"/>
    <s v="No Discount"/>
  </r>
  <r>
    <s v="ORD-10288"/>
    <x v="384"/>
    <d v="2022-01-17T00:00:00"/>
    <s v="Same Day"/>
    <s v="Sade"/>
    <s v="Okafor"/>
    <s v="sade.okafor@gmail.com"/>
    <n v="8144643811"/>
    <x v="0"/>
    <x v="0"/>
    <x v="17"/>
    <x v="0"/>
    <s v="Envelopes"/>
    <x v="125"/>
    <n v="16"/>
    <n v="19750.27"/>
    <n v="10"/>
    <n v="31600.43"/>
    <n v="284403.89"/>
    <n v="36463.620000000003"/>
    <s v="Office Supplies"/>
    <n v="36463.620000000003"/>
    <s v="Large"/>
    <s v="Large"/>
    <s v="No Discount"/>
  </r>
  <r>
    <s v="ORD-10667"/>
    <x v="211"/>
    <d v="2022-01-20T00:00:00"/>
    <s v="Same Day"/>
    <s v="Emeka"/>
    <s v="Adebayo"/>
    <s v="emeka.adebayo@hotmail.com"/>
    <n v="9074654790"/>
    <x v="0"/>
    <x v="1"/>
    <x v="5"/>
    <x v="1"/>
    <s v="Shirts"/>
    <x v="12"/>
    <n v="9"/>
    <n v="42369.87"/>
    <n v="25"/>
    <n v="95332.21"/>
    <n v="285996.62"/>
    <n v="10986.82"/>
    <s v="Clothing"/>
    <n v="10986.82"/>
    <s v="Small"/>
    <s v="Small"/>
    <s v="No Discount"/>
  </r>
  <r>
    <s v="ORD-10701"/>
    <x v="385"/>
    <d v="2022-01-22T00:00:00"/>
    <s v="Same Day"/>
    <s v="Ronke"/>
    <s v="Adebayo"/>
    <s v="chibundo.adeyemi@yahoo.com"/>
    <n v="8142124878"/>
    <x v="2"/>
    <x v="3"/>
    <x v="18"/>
    <x v="2"/>
    <s v="Tablets"/>
    <x v="36"/>
    <n v="4"/>
    <n v="101681.42"/>
    <n v="25"/>
    <n v="101681.42"/>
    <n v="305044.26"/>
    <n v="38178.160000000003"/>
    <s v="Technology"/>
    <n v="38178.160000000003"/>
    <s v="Small"/>
    <s v="Small"/>
    <s v="No Discount"/>
  </r>
  <r>
    <s v="ORD-10139"/>
    <x v="386"/>
    <d v="2022-01-25T00:00:00"/>
    <s v="Same Day"/>
    <s v="Ronke"/>
    <s v="Atiku"/>
    <s v="ronke.atiku@outlook.com"/>
    <n v="8155809835"/>
    <x v="2"/>
    <x v="2"/>
    <x v="4"/>
    <x v="2"/>
    <s v="Printers"/>
    <x v="104"/>
    <n v="6"/>
    <n v="365682.95"/>
    <n v="0"/>
    <n v="0"/>
    <n v="2194097.7000000002"/>
    <n v="879458.66"/>
    <s v="Technology"/>
    <n v="879458.66"/>
    <s v="Small"/>
    <s v="Small"/>
    <s v="No Discount"/>
  </r>
  <r>
    <s v="ORD-10842"/>
    <x v="387"/>
    <d v="2022-01-28T00:00:00"/>
    <s v="Same Day"/>
    <s v="Aisha"/>
    <s v="Osei"/>
    <s v="aisha.osei@outlook.com"/>
    <n v="9078197382"/>
    <x v="1"/>
    <x v="1"/>
    <x v="2"/>
    <x v="4"/>
    <s v="Drinks"/>
    <x v="69"/>
    <n v="10"/>
    <n v="1296.5999999999999"/>
    <n v="10"/>
    <n v="1296.5999999999999"/>
    <n v="11669.4"/>
    <n v="3324.08"/>
    <s v="Food &amp; Beverages"/>
    <n v="3324.08"/>
    <s v="Small"/>
    <s v="Small"/>
    <s v="No Discount"/>
  </r>
  <r>
    <s v="ORD-10363"/>
    <x v="215"/>
    <d v="2022-02-03T00:00:00"/>
    <s v="Same Day"/>
    <s v="Adaeze"/>
    <s v="Adeleke"/>
    <s v="adaeze.adeleke@outlook.com"/>
    <n v="9021718308"/>
    <x v="2"/>
    <x v="0"/>
    <x v="14"/>
    <x v="1"/>
    <s v="Shirts"/>
    <x v="131"/>
    <n v="17"/>
    <n v="36705.46"/>
    <n v="20"/>
    <n v="124798.56"/>
    <n v="499194.26"/>
    <n v="206693.32"/>
    <s v="Clothing"/>
    <n v="206693.32"/>
    <s v="Large"/>
    <s v="Large"/>
    <s v="No Discount"/>
  </r>
  <r>
    <s v="ORD-10925"/>
    <x v="215"/>
    <d v="2022-02-04T00:00:00"/>
    <s v="Same Day"/>
    <s v="Deola"/>
    <s v="Sowore"/>
    <s v="deola.sowore@gmail.com"/>
    <n v="8144580502"/>
    <x v="2"/>
    <x v="0"/>
    <x v="8"/>
    <x v="4"/>
    <s v="Condiments"/>
    <x v="74"/>
    <n v="8"/>
    <n v="6303.5"/>
    <n v="15"/>
    <n v="7564.2"/>
    <n v="42863.8"/>
    <n v="7992.08"/>
    <s v="Food &amp; Beverages"/>
    <n v="7992.08"/>
    <s v="Small"/>
    <s v="Small"/>
    <s v="No Discount"/>
  </r>
  <r>
    <s v="ORD-10113"/>
    <x v="388"/>
    <d v="2022-02-05T00:00:00"/>
    <s v="Same Day"/>
    <s v="Adaeze"/>
    <s v="Sowore"/>
    <s v="unknown"/>
    <n v="7066161977"/>
    <x v="1"/>
    <x v="1"/>
    <x v="9"/>
    <x v="2"/>
    <s v="Printers"/>
    <x v="104"/>
    <n v="19"/>
    <n v="130505.74"/>
    <n v="5"/>
    <n v="123980.45"/>
    <n v="2355628.61"/>
    <n v="666266.15"/>
    <s v="Technology"/>
    <n v="666266.15"/>
    <s v="Large"/>
    <s v="Large"/>
    <s v="Offer Discount"/>
  </r>
  <r>
    <s v="ORD-10499"/>
    <x v="389"/>
    <d v="2022-02-24T00:00:00"/>
    <s v="Same Day"/>
    <s v="Musa"/>
    <s v="Musa"/>
    <s v="musa.musa@hotmail.com"/>
    <n v="8164454299"/>
    <x v="2"/>
    <x v="3"/>
    <x v="22"/>
    <x v="3"/>
    <s v="Bookcases"/>
    <x v="62"/>
    <n v="2"/>
    <n v="20036.46"/>
    <n v="10"/>
    <n v="4007.29"/>
    <n v="36065.629999999997"/>
    <n v="5810.86"/>
    <s v="Furniture"/>
    <n v="5810.86"/>
    <s v="Small"/>
    <s v="Small"/>
    <s v="No Discount"/>
  </r>
  <r>
    <s v="ORD-10735"/>
    <x v="390"/>
    <d v="2022-03-02T00:00:00"/>
    <s v="Same Day"/>
    <s v="Ayo"/>
    <s v="Danjuma"/>
    <s v="ayo.danjuma@yahoo.com"/>
    <n v="9056899311"/>
    <x v="2"/>
    <x v="0"/>
    <x v="14"/>
    <x v="4"/>
    <s v="Cooking Oil"/>
    <x v="119"/>
    <n v="1"/>
    <n v="7967.86"/>
    <n v="10"/>
    <n v="796.79"/>
    <n v="7171.07"/>
    <n v="1318.5"/>
    <s v="Food &amp; Beverages"/>
    <n v="1318.5"/>
    <s v="Small"/>
    <s v="Small"/>
    <s v="No Discount"/>
  </r>
  <r>
    <s v="ORD-10881"/>
    <x v="7"/>
    <d v="2022-03-06T00:00:00"/>
    <s v="Same Day"/>
    <s v="Tunde"/>
    <s v="Otedola"/>
    <s v="tunde.otedola@gmail.com"/>
    <n v="9013442155"/>
    <x v="0"/>
    <x v="0"/>
    <x v="14"/>
    <x v="2"/>
    <s v="Tablets"/>
    <x v="83"/>
    <n v="15"/>
    <n v="186071.29"/>
    <n v="10"/>
    <n v="279106.93"/>
    <n v="2511962.42"/>
    <n v="80629.3"/>
    <s v="Technology"/>
    <n v="80629.3"/>
    <s v="Large"/>
    <s v="Large"/>
    <s v="No Discount"/>
  </r>
  <r>
    <s v="ORD-10460"/>
    <x v="391"/>
    <d v="2022-03-08T00:00:00"/>
    <s v="Same Day"/>
    <s v="Taiwo"/>
    <s v="Adebayo"/>
    <s v="taiwo.adebayo@gmail.com"/>
    <n v="9057855503"/>
    <x v="1"/>
    <x v="2"/>
    <x v="10"/>
    <x v="2"/>
    <s v="Laptops"/>
    <x v="21"/>
    <n v="2"/>
    <n v="263717.67"/>
    <n v="25"/>
    <n v="131858.82999999999"/>
    <n v="395576.51"/>
    <n v="-22950.28"/>
    <s v="Technology"/>
    <n v="22950.28"/>
    <s v="Small"/>
    <s v="Small"/>
    <s v="No Discount"/>
  </r>
  <r>
    <s v="ORD-10605"/>
    <x v="391"/>
    <d v="2022-03-08T00:00:00"/>
    <s v="Same Day"/>
    <s v="Amara"/>
    <s v="Okafor"/>
    <s v="amara.okafor@outlook.com"/>
    <n v="8039706758"/>
    <x v="0"/>
    <x v="1"/>
    <x v="2"/>
    <x v="4"/>
    <s v="Grains"/>
    <x v="60"/>
    <n v="19"/>
    <n v="1612.16"/>
    <n v="15"/>
    <n v="4594.66"/>
    <n v="26036.38"/>
    <n v="-127.61"/>
    <s v="Food &amp; Beverages"/>
    <n v="127.61"/>
    <s v="Large"/>
    <s v="Large"/>
    <s v="No Discount"/>
  </r>
  <r>
    <s v="ORD-10099"/>
    <x v="392"/>
    <d v="2022-03-13T00:00:00"/>
    <s v="Same Day"/>
    <s v="Tunde"/>
    <s v="Abubakar"/>
    <s v="tunde.abubakar@outlook.com"/>
    <n v="7037423230"/>
    <x v="0"/>
    <x v="3"/>
    <x v="22"/>
    <x v="4"/>
    <s v="Drinks"/>
    <x v="69"/>
    <n v="15"/>
    <n v="1481.47"/>
    <n v="10"/>
    <n v="2222.1999999999998"/>
    <n v="19999.849999999999"/>
    <n v="1464.15"/>
    <s v="Food &amp; Beverages"/>
    <n v="1464.15"/>
    <s v="Large"/>
    <s v="Large"/>
    <s v="No Discount"/>
  </r>
  <r>
    <s v="ORD-10871"/>
    <x v="393"/>
    <d v="2022-03-13T00:00:00"/>
    <s v="Same Day"/>
    <s v="Gbenga"/>
    <s v="Otedola"/>
    <s v="gbenga.otedola@hotmail.com"/>
    <n v="8137888843"/>
    <x v="2"/>
    <x v="0"/>
    <x v="0"/>
    <x v="2"/>
    <s v="Laptops"/>
    <x v="30"/>
    <n v="1"/>
    <n v="273141.64"/>
    <n v="25"/>
    <n v="68285.41"/>
    <n v="204856.23"/>
    <n v="23898.11"/>
    <s v="Technology"/>
    <n v="23898.11"/>
    <s v="Small"/>
    <s v="Small"/>
    <s v="No Discount"/>
  </r>
  <r>
    <s v="ORD-10724"/>
    <x v="392"/>
    <d v="2022-03-14T00:00:00"/>
    <s v="Same Day"/>
    <s v="Chibundo"/>
    <s v="Adeyemi"/>
    <s v="chibundo.adeyemi@yahoo.com"/>
    <n v="7069679668"/>
    <x v="2"/>
    <x v="0"/>
    <x v="14"/>
    <x v="2"/>
    <s v="Accessories"/>
    <x v="34"/>
    <n v="4"/>
    <n v="165634.79"/>
    <n v="15"/>
    <n v="99380.87"/>
    <n v="563158.29"/>
    <n v="187041.85"/>
    <s v="Technology"/>
    <n v="187041.85"/>
    <s v="Small"/>
    <s v="Small"/>
    <s v="No Discount"/>
  </r>
  <r>
    <s v="ORD-10050"/>
    <x v="8"/>
    <d v="2022-03-18T00:00:00"/>
    <s v="Same Day"/>
    <s v="Sade"/>
    <s v="Osei"/>
    <s v="sade.osei@outlook.com"/>
    <n v="7032944841"/>
    <x v="2"/>
    <x v="1"/>
    <x v="7"/>
    <x v="1"/>
    <s v="Accessories"/>
    <x v="34"/>
    <n v="18"/>
    <n v="30279.4"/>
    <n v="20"/>
    <n v="109005.84"/>
    <n v="436023.36"/>
    <n v="42707.85"/>
    <s v="Clothing"/>
    <n v="42707.85"/>
    <s v="Large"/>
    <s v="Large"/>
    <s v="No Discount"/>
  </r>
  <r>
    <s v="ORD-10967"/>
    <x v="394"/>
    <d v="2022-03-26T00:00:00"/>
    <s v="Same Day"/>
    <s v="Nike"/>
    <s v="Tinubu"/>
    <s v="nike.tinubu@hotmail.com"/>
    <n v="8106950477"/>
    <x v="0"/>
    <x v="0"/>
    <x v="17"/>
    <x v="0"/>
    <s v="Art Supplies"/>
    <x v="132"/>
    <n v="2"/>
    <n v="21723.7"/>
    <n v="0"/>
    <n v="0"/>
    <n v="43447.4"/>
    <n v="3995.75"/>
    <s v="Office Supplies"/>
    <n v="3995.75"/>
    <s v="Small"/>
    <s v="Small"/>
    <s v="No Discount"/>
  </r>
  <r>
    <s v="ORD-10503"/>
    <x v="10"/>
    <d v="2022-03-31T00:00:00"/>
    <s v="Same Day"/>
    <s v="Aisha"/>
    <s v="Chukwu"/>
    <s v="aisha.chukwu@outlook.com"/>
    <n v="9072119776"/>
    <x v="0"/>
    <x v="3"/>
    <x v="13"/>
    <x v="3"/>
    <s v="Storage"/>
    <x v="107"/>
    <n v="18"/>
    <n v="178691.03"/>
    <n v="0"/>
    <n v="0"/>
    <n v="3216438.54"/>
    <n v="1438358.6"/>
    <s v="Furniture"/>
    <n v="1438358.6"/>
    <s v="Large"/>
    <s v="Large"/>
    <s v="Offer Discount"/>
  </r>
  <r>
    <s v="ORD-10762"/>
    <x v="13"/>
    <d v="2022-04-09T00:00:00"/>
    <s v="Same Day"/>
    <s v="Dayo"/>
    <s v="Adebayo"/>
    <s v="dayo.adebayo@gmail.com"/>
    <n v="9058335114"/>
    <x v="1"/>
    <x v="1"/>
    <x v="5"/>
    <x v="2"/>
    <s v="Printers"/>
    <x v="114"/>
    <n v="16"/>
    <n v="358709.81"/>
    <n v="10"/>
    <n v="573935.69999999995"/>
    <n v="5165421.26"/>
    <n v="1006685.24"/>
    <s v="Technology"/>
    <n v="1006685.24"/>
    <s v="Large"/>
    <s v="Large"/>
    <s v="Offer Discount"/>
  </r>
  <r>
    <s v="ORD-10872"/>
    <x v="222"/>
    <d v="2022-04-11T00:00:00"/>
    <s v="Same Day"/>
    <s v="Lanre"/>
    <s v="Bello"/>
    <s v="lanre.bello@hotmail.com"/>
    <n v="8108578703"/>
    <x v="1"/>
    <x v="3"/>
    <x v="16"/>
    <x v="0"/>
    <s v="Art Supplies"/>
    <x v="40"/>
    <n v="20"/>
    <n v="1475.5"/>
    <n v="10"/>
    <n v="2951"/>
    <n v="26559"/>
    <n v="2816.29"/>
    <s v="Office Supplies"/>
    <n v="2816.29"/>
    <s v="Large"/>
    <s v="Large"/>
    <s v="No Discount"/>
  </r>
  <r>
    <s v="ORD-10337"/>
    <x v="224"/>
    <d v="2022-04-14T00:00:00"/>
    <s v="Same Day"/>
    <s v="Chidinma"/>
    <s v="Adeleke"/>
    <s v="chidinma.adeleke@gmail.com"/>
    <n v="7067575272"/>
    <x v="0"/>
    <x v="2"/>
    <x v="13"/>
    <x v="3"/>
    <s v="Sofas"/>
    <x v="91"/>
    <n v="15"/>
    <n v="116268.96"/>
    <n v="10"/>
    <n v="174403.44"/>
    <n v="1569630.96"/>
    <n v="58805.27"/>
    <s v="Furniture"/>
    <n v="58805.27"/>
    <s v="Large"/>
    <s v="Large"/>
    <s v="No Discount"/>
  </r>
  <r>
    <s v="ORD-10606"/>
    <x v="223"/>
    <d v="2022-04-17T00:00:00"/>
    <s v="Same Day"/>
    <s v="Kemi"/>
    <s v="Tinubu"/>
    <s v="kemi.tinubu@hotmail.com"/>
    <n v="9013914492"/>
    <x v="2"/>
    <x v="1"/>
    <x v="2"/>
    <x v="1"/>
    <s v="Shoes"/>
    <x v="122"/>
    <n v="8"/>
    <n v="8813.08"/>
    <n v="0"/>
    <n v="0"/>
    <n v="70504.639999999999"/>
    <n v="19460.330000000002"/>
    <s v="Clothing"/>
    <n v="19460.330000000002"/>
    <s v="Small"/>
    <s v="Small"/>
    <s v="No Discount"/>
  </r>
  <r>
    <s v="ORD-10480"/>
    <x v="395"/>
    <d v="2022-04-24T00:00:00"/>
    <s v="Same Day"/>
    <s v="Ayo"/>
    <s v="Tinubu"/>
    <s v="ayo.tinubu@hotmail.com"/>
    <n v="8062708383"/>
    <x v="0"/>
    <x v="2"/>
    <x v="10"/>
    <x v="2"/>
    <s v="Printers"/>
    <x v="127"/>
    <n v="13"/>
    <n v="143288.79999999999"/>
    <n v="15"/>
    <n v="279413.15999999997"/>
    <n v="1583341.24"/>
    <n v="19460.330000000002"/>
    <s v="Technology"/>
    <n v="19460.330000000002"/>
    <s v="Small"/>
    <s v="Small"/>
    <s v="No Discount"/>
  </r>
  <r>
    <s v="ORD-10141"/>
    <x v="225"/>
    <d v="2022-04-25T00:00:00"/>
    <s v="Same Day"/>
    <s v="Aisha"/>
    <s v="Musa"/>
    <s v="aisha.musa@hotmail.com"/>
    <n v="8038279795"/>
    <x v="2"/>
    <x v="1"/>
    <x v="5"/>
    <x v="2"/>
    <s v="Labels"/>
    <x v="113"/>
    <n v="2"/>
    <n v="22422.38"/>
    <n v="5"/>
    <n v="2242.2399999999998"/>
    <n v="42602.52"/>
    <n v="-986.24"/>
    <s v="Technology"/>
    <n v="986.24"/>
    <s v="Small"/>
    <s v="Small"/>
    <s v="No Discount"/>
  </r>
  <r>
    <s v="ORD-10555"/>
    <x v="396"/>
    <d v="2022-04-29T00:00:00"/>
    <s v="Same Day"/>
    <s v="Chidi"/>
    <s v="Alakija"/>
    <s v="chidi.alakija@hotmail.com"/>
    <n v="7036005493"/>
    <x v="2"/>
    <x v="2"/>
    <x v="12"/>
    <x v="0"/>
    <s v="Paper"/>
    <x v="63"/>
    <n v="6"/>
    <n v="9068.18"/>
    <n v="15"/>
    <n v="8161.36"/>
    <n v="46247.72"/>
    <n v="2900.63"/>
    <s v="Office Supplies"/>
    <n v="2900.63"/>
    <s v="Small"/>
    <s v="Small"/>
    <s v="No Discount"/>
  </r>
  <r>
    <s v="ORD-10188"/>
    <x v="19"/>
    <d v="2022-05-05T00:00:00"/>
    <s v="Same Day"/>
    <s v="Femi"/>
    <s v="Olawale"/>
    <s v="femi.olawale@yahoo.com"/>
    <n v="7064346346"/>
    <x v="2"/>
    <x v="1"/>
    <x v="5"/>
    <x v="4"/>
    <s v="Snacks"/>
    <x v="46"/>
    <n v="13"/>
    <n v="6420.32"/>
    <n v="10"/>
    <n v="8346.42"/>
    <n v="75117.740000000005"/>
    <n v="10352.030000000001"/>
    <s v="Food &amp; Beverages"/>
    <n v="10352.030000000001"/>
    <s v="Small"/>
    <s v="Small"/>
    <s v="No Discount"/>
  </r>
  <r>
    <s v="ORD-10843"/>
    <x v="397"/>
    <d v="2022-05-08T00:00:00"/>
    <s v="Same Day"/>
    <s v="Olumide"/>
    <s v="Adebayo"/>
    <s v="olumide.adebayo@hotmail.com"/>
    <n v="8134514088"/>
    <x v="2"/>
    <x v="3"/>
    <x v="11"/>
    <x v="0"/>
    <s v="Fasteners"/>
    <x v="94"/>
    <n v="11"/>
    <n v="22798.58"/>
    <n v="20"/>
    <n v="50156.88"/>
    <n v="200627.5"/>
    <n v="64618.84"/>
    <s v="Office Supplies"/>
    <n v="64618.84"/>
    <s v="Small"/>
    <s v="Small"/>
    <s v="No Discount"/>
  </r>
  <r>
    <s v="ORD-10990"/>
    <x v="398"/>
    <d v="2022-05-09T00:00:00"/>
    <s v="Same Day"/>
    <s v="Bola"/>
    <s v="Gambo"/>
    <s v="bola.gambo@hotmail.com"/>
    <n v="8154389982"/>
    <x v="1"/>
    <x v="1"/>
    <x v="9"/>
    <x v="2"/>
    <s v="Laptops"/>
    <x v="30"/>
    <n v="11"/>
    <n v="369226.48"/>
    <n v="0"/>
    <n v="0"/>
    <n v="4061491.28"/>
    <n v="-492457.07"/>
    <s v="Technology"/>
    <n v="492457.07"/>
    <s v="Small"/>
    <s v="Small"/>
    <s v="No Discount"/>
  </r>
  <r>
    <s v="ORD-10843"/>
    <x v="397"/>
    <d v="2022-05-10T00:00:00"/>
    <s v="Same Day"/>
    <s v="Olumide"/>
    <s v="Adebayo"/>
    <s v="olumide.adebayo@hotmail.com"/>
    <n v="8134514088"/>
    <x v="2"/>
    <x v="3"/>
    <x v="11"/>
    <x v="0"/>
    <s v="Fasteners"/>
    <x v="94"/>
    <n v="11"/>
    <n v="22798.58"/>
    <n v="20"/>
    <n v="50156.88"/>
    <n v="200627.5"/>
    <n v="64618.84"/>
    <s v="Office Supplies"/>
    <n v="64618.84"/>
    <s v="Small"/>
    <s v="Small"/>
    <s v="No Discount"/>
  </r>
  <r>
    <s v="ORD-10547"/>
    <x v="399"/>
    <d v="2022-05-17T00:00:00"/>
    <s v="Same Day"/>
    <s v="Sade"/>
    <s v="Adebayo"/>
    <s v="sade.adebayo@outlook.com"/>
    <n v="9025584424"/>
    <x v="0"/>
    <x v="2"/>
    <x v="20"/>
    <x v="3"/>
    <s v="Tables"/>
    <x v="26"/>
    <n v="13"/>
    <n v="9696.49"/>
    <n v="5"/>
    <n v="6302.72"/>
    <n v="119751.65"/>
    <n v="9242.36"/>
    <s v="Furniture"/>
    <n v="9242.36"/>
    <s v="Small"/>
    <s v="Small"/>
    <s v="No Discount"/>
  </r>
  <r>
    <s v="ORD-10075"/>
    <x v="400"/>
    <d v="2022-05-23T00:00:00"/>
    <s v="Same Day"/>
    <s v="Amara"/>
    <s v="Musa"/>
    <s v="amara.musa@yahoo.com"/>
    <n v="7068043620"/>
    <x v="2"/>
    <x v="3"/>
    <x v="18"/>
    <x v="1"/>
    <s v="Shoes"/>
    <x v="31"/>
    <n v="11"/>
    <n v="17912.28"/>
    <n v="0"/>
    <n v="0"/>
    <n v="197035.08"/>
    <n v="74874.38"/>
    <s v="Clothing"/>
    <n v="74874.38"/>
    <s v="Small"/>
    <s v="Small"/>
    <s v="No Discount"/>
  </r>
  <r>
    <s v="ORD-10280"/>
    <x v="25"/>
    <d v="2022-05-27T00:00:00"/>
    <s v="Same Day"/>
    <s v="Aisha"/>
    <s v="Osei"/>
    <s v="aisha.osei@yahoo.com"/>
    <n v="7036316334"/>
    <x v="2"/>
    <x v="0"/>
    <x v="14"/>
    <x v="0"/>
    <s v="Fasteners"/>
    <x v="110"/>
    <n v="13"/>
    <n v="15331.93"/>
    <n v="10"/>
    <n v="19931.509999999998"/>
    <n v="179383.58"/>
    <n v="68634.86"/>
    <s v="Office Supplies"/>
    <n v="68634.86"/>
    <s v="Small"/>
    <s v="Small"/>
    <s v="No Discount"/>
  </r>
  <r>
    <s v="ORD-10245"/>
    <x v="401"/>
    <d v="2022-05-28T00:00:00"/>
    <s v="Same Day"/>
    <s v="Amara"/>
    <s v="Fashola"/>
    <s v="amara.fashola@outlook.com"/>
    <n v="8032468357"/>
    <x v="2"/>
    <x v="3"/>
    <x v="6"/>
    <x v="2"/>
    <s v="Laptops"/>
    <x v="30"/>
    <n v="18"/>
    <n v="360483.43"/>
    <n v="0"/>
    <n v="0"/>
    <n v="6488701.7400000002"/>
    <n v="1265150.04"/>
    <s v="Technology"/>
    <n v="1265150.04"/>
    <s v="Large"/>
    <s v="Large"/>
    <s v="Offer Discount"/>
  </r>
  <r>
    <s v="ORD-10656"/>
    <x v="233"/>
    <d v="2022-05-30T00:00:00"/>
    <s v="Same Day"/>
    <s v="Obinna"/>
    <s v="Musa"/>
    <s v="obinna.musa@hotmail.com"/>
    <n v="9052352134"/>
    <x v="0"/>
    <x v="0"/>
    <x v="1"/>
    <x v="4"/>
    <s v="Cooking Oil"/>
    <x v="25"/>
    <n v="2"/>
    <n v="2382.91"/>
    <n v="0"/>
    <n v="0"/>
    <n v="4765.82"/>
    <n v="-613.07000000000005"/>
    <s v="Food &amp; Beverages"/>
    <n v="613.07000000000005"/>
    <s v="Small"/>
    <s v="Small"/>
    <s v="No Discount"/>
  </r>
  <r>
    <s v="ORD-10723"/>
    <x v="235"/>
    <d v="2022-06-08T00:00:00"/>
    <s v="Same Day"/>
    <s v="Kemi"/>
    <s v="Sanusi"/>
    <s v="kemi.sanusi@yahoo.com"/>
    <n v="8034543890"/>
    <x v="2"/>
    <x v="2"/>
    <x v="20"/>
    <x v="0"/>
    <s v="Envelopes"/>
    <x v="123"/>
    <n v="6"/>
    <n v="8819.8700000000008"/>
    <n v="15"/>
    <n v="7937.88"/>
    <n v="44981.34"/>
    <n v="-2678.7"/>
    <s v="Office Supplies"/>
    <n v="2678.7"/>
    <s v="Small"/>
    <s v="Small"/>
    <s v="No Discount"/>
  </r>
  <r>
    <s v="ORD-10168"/>
    <x v="402"/>
    <d v="2022-06-09T00:00:00"/>
    <s v="Same Day"/>
    <s v="Lanre"/>
    <s v="Abubakar"/>
    <s v="lanre.abubakar@hotmail.com"/>
    <n v="8031135267"/>
    <x v="0"/>
    <x v="2"/>
    <x v="4"/>
    <x v="0"/>
    <s v="Art Supplies"/>
    <x v="96"/>
    <n v="14"/>
    <n v="24709.8"/>
    <n v="0"/>
    <n v="0"/>
    <n v="345937.2"/>
    <n v="47261.99"/>
    <s v="Office Supplies"/>
    <n v="47261.99"/>
    <s v="Small"/>
    <s v="Medium"/>
    <s v="No Discount"/>
  </r>
  <r>
    <s v="ORD-10367"/>
    <x v="403"/>
    <d v="2022-06-15T00:00:00"/>
    <s v="Same Day"/>
    <s v="Chidi"/>
    <s v="Adeyemi"/>
    <s v="chidi.adeyemi@gmail.com"/>
    <n v="9015760225"/>
    <x v="0"/>
    <x v="1"/>
    <x v="2"/>
    <x v="1"/>
    <s v="Bags"/>
    <x v="103"/>
    <n v="9"/>
    <n v="10864.89"/>
    <n v="25"/>
    <n v="24446"/>
    <n v="73338.009999999995"/>
    <n v="8819"/>
    <s v="Clothing"/>
    <n v="8819"/>
    <s v="Small"/>
    <s v="Small"/>
    <s v="No Discount"/>
  </r>
  <r>
    <s v="ORD-10712"/>
    <x v="237"/>
    <d v="2022-06-27T00:00:00"/>
    <s v="Same Day"/>
    <s v="Sade"/>
    <s v="Bello"/>
    <s v="sade.bello@gmail.com"/>
    <n v="8102449847"/>
    <x v="1"/>
    <x v="0"/>
    <x v="1"/>
    <x v="3"/>
    <s v="Bookcases"/>
    <x v="62"/>
    <n v="1"/>
    <n v="115779.49"/>
    <n v="0"/>
    <n v="0"/>
    <n v="115779.49"/>
    <n v="37424.79"/>
    <s v="Furniture"/>
    <n v="37424.79"/>
    <s v="Small"/>
    <s v="Small"/>
    <s v="No Discount"/>
  </r>
  <r>
    <s v="ORD-10230"/>
    <x v="404"/>
    <d v="2022-07-01T00:00:00"/>
    <s v="Same Day"/>
    <s v="Olumide"/>
    <s v="Osei"/>
    <s v="olumide.osei@gmail.com"/>
    <s v="0803-123-4567"/>
    <x v="1"/>
    <x v="2"/>
    <x v="12"/>
    <x v="2"/>
    <s v="Accessories"/>
    <x v="39"/>
    <n v="18"/>
    <n v="30586.89"/>
    <n v="0"/>
    <n v="0"/>
    <n v="550564.02"/>
    <n v="190244.78"/>
    <s v="Technology"/>
    <n v="190244.78"/>
    <s v="Large"/>
    <s v="Large"/>
    <s v="No Discount"/>
  </r>
  <r>
    <s v="ORD-10522"/>
    <x v="405"/>
    <d v="2022-07-02T00:00:00"/>
    <s v="Same Day"/>
    <s v="Kehinde"/>
    <s v="Buhari"/>
    <s v="kehinde.buhari@outlook.com"/>
    <n v="8033394334"/>
    <x v="1"/>
    <x v="1"/>
    <x v="9"/>
    <x v="0"/>
    <s v="Fasteners"/>
    <x v="94"/>
    <n v="13"/>
    <n v="23285.41"/>
    <n v="10"/>
    <n v="30271.03"/>
    <n v="272439.3"/>
    <n v="-39816.410000000003"/>
    <s v="Office Supplies"/>
    <n v="39816.410000000003"/>
    <s v="Small"/>
    <s v="Small"/>
    <s v="No Discount"/>
  </r>
  <r>
    <s v="ORD-10242"/>
    <x v="240"/>
    <d v="2022-07-09T00:00:00"/>
    <s v="Same Day"/>
    <s v="Zainab"/>
    <s v="Nwosu"/>
    <s v="zainab.nwosu@outlook.com"/>
    <n v="7037053183"/>
    <x v="2"/>
    <x v="3"/>
    <x v="16"/>
    <x v="0"/>
    <s v="Binders"/>
    <x v="49"/>
    <n v="18"/>
    <n v="13497.22"/>
    <n v="0"/>
    <n v="0"/>
    <n v="242949.96"/>
    <n v="-19719.48"/>
    <s v="Office Supplies"/>
    <n v="19719.48"/>
    <s v="Large"/>
    <s v="Large"/>
    <s v="No Discount"/>
  </r>
  <r>
    <s v="ORD-10052"/>
    <x v="241"/>
    <d v="2022-07-10T00:00:00"/>
    <s v="Same Day"/>
    <s v="Bola"/>
    <s v="Fashola"/>
    <s v="bola.fashola@gmail.com"/>
    <n v="9073583206"/>
    <x v="0"/>
    <x v="0"/>
    <x v="8"/>
    <x v="1"/>
    <s v="Shoes"/>
    <x v="122"/>
    <n v="14"/>
    <n v="32332.7"/>
    <n v="20"/>
    <n v="90531.56"/>
    <n v="362126.24"/>
    <n v="158664.45000000001"/>
    <s v="Clothing"/>
    <n v="158664.45000000001"/>
    <s v="Small"/>
    <s v="Medium"/>
    <s v="No Discount"/>
  </r>
  <r>
    <s v="ORD-10439"/>
    <x v="33"/>
    <d v="2022-07-14T00:00:00"/>
    <s v="Same Day"/>
    <s v="Kehinde"/>
    <s v="Gambo"/>
    <s v="kehinde.gambo@outlook.com"/>
    <n v="7035275844"/>
    <x v="1"/>
    <x v="2"/>
    <x v="20"/>
    <x v="4"/>
    <s v="Drinks"/>
    <x v="69"/>
    <n v="15"/>
    <n v="425.27"/>
    <n v="0"/>
    <n v="0"/>
    <n v="6379.05"/>
    <n v="2052.1799999999998"/>
    <s v="Food &amp; Beverages"/>
    <n v="2052.1799999999998"/>
    <s v="Large"/>
    <s v="Large"/>
    <s v="No Discount"/>
  </r>
  <r>
    <s v="ORD-10303"/>
    <x v="242"/>
    <d v="2022-07-16T00:00:00"/>
    <s v="Same Day"/>
    <s v="Ibrahim"/>
    <s v="Emeka"/>
    <s v="emeka.atiku@hotmail.com"/>
    <n v="8061938227"/>
    <x v="0"/>
    <x v="0"/>
    <x v="14"/>
    <x v="0"/>
    <s v="Pens &amp; Pencils"/>
    <x v="67"/>
    <n v="4"/>
    <n v="10704.78"/>
    <n v="5"/>
    <n v="2140.96"/>
    <n v="40678.160000000003"/>
    <n v="12146.79"/>
    <s v="Office Supplies"/>
    <n v="12146.79"/>
    <s v="Small"/>
    <s v="Small"/>
    <s v="No Discount"/>
  </r>
  <r>
    <s v="ORD-10600"/>
    <x v="406"/>
    <d v="2022-07-19T00:00:00"/>
    <s v="Same Day"/>
    <s v="Ibrahim"/>
    <s v="Atiku"/>
    <s v="ibrahim.atiku@yahoo.com"/>
    <n v="7063786712"/>
    <x v="0"/>
    <x v="2"/>
    <x v="12"/>
    <x v="4"/>
    <s v="Cooking Oil"/>
    <x v="25"/>
    <n v="0"/>
    <n v="2980.26"/>
    <n v="0"/>
    <n v="0"/>
    <n v="20861.82"/>
    <n v="1505.26"/>
    <s v="Food &amp; Beverages"/>
    <n v="1505.26"/>
    <s v="Small"/>
    <s v="Small"/>
    <s v="No Discount"/>
  </r>
  <r>
    <s v="ORD-10600"/>
    <x v="406"/>
    <d v="2022-07-19T00:00:00"/>
    <s v="Same Day"/>
    <s v="Ibrahim"/>
    <s v="Atiku"/>
    <s v="ibrahim.atiku@yahoo.com"/>
    <n v="7063786712"/>
    <x v="0"/>
    <x v="2"/>
    <x v="12"/>
    <x v="4"/>
    <s v="Cooking Oil"/>
    <x v="25"/>
    <n v="7"/>
    <n v="2980.26"/>
    <n v="0"/>
    <n v="0"/>
    <n v="20861.82"/>
    <n v="1505.26"/>
    <s v="Food &amp; Beverages"/>
    <n v="1505.26"/>
    <s v="Small"/>
    <s v="Small"/>
    <s v="No Discount"/>
  </r>
  <r>
    <s v="ORD-10529"/>
    <x v="36"/>
    <d v="2022-07-26T00:00:00"/>
    <s v="Same Day"/>
    <s v="Nike"/>
    <s v="Alakija"/>
    <s v="nike.alakija@yahoo.com"/>
    <n v="9013401850"/>
    <x v="1"/>
    <x v="2"/>
    <x v="3"/>
    <x v="4"/>
    <s v="Condiments"/>
    <x v="124"/>
    <n v="16"/>
    <n v="544.44000000000005"/>
    <n v="0"/>
    <n v="0"/>
    <n v="20861.82"/>
    <n v="268.38"/>
    <s v="Food &amp; Beverages"/>
    <n v="268.38"/>
    <s v="Large"/>
    <s v="Large"/>
    <s v="No Discount"/>
  </r>
  <r>
    <s v="ORD-10684"/>
    <x v="36"/>
    <d v="2022-07-26T00:00:00"/>
    <s v="Same Day"/>
    <s v="Musa"/>
    <s v="Gambo"/>
    <s v="musa.gambo@gmail.com"/>
    <n v="9071133724"/>
    <x v="0"/>
    <x v="2"/>
    <x v="3"/>
    <x v="3"/>
    <s v="Tables"/>
    <x v="120"/>
    <n v="8"/>
    <n v="72707.960000000006"/>
    <n v="5"/>
    <n v="29083.18"/>
    <n v="552580.5"/>
    <n v="5068.0600000000004"/>
    <s v="Furniture"/>
    <n v="5068.0600000000004"/>
    <s v="Small"/>
    <s v="Small"/>
    <s v="No Discount"/>
  </r>
  <r>
    <s v="ORD-10146"/>
    <x v="38"/>
    <d v="2022-07-31T00:00:00"/>
    <s v="Same Day"/>
    <s v="Sade"/>
    <s v="Adebayo"/>
    <s v="sade.adebayo@gmail.com"/>
    <n v="9056443037"/>
    <x v="2"/>
    <x v="1"/>
    <x v="5"/>
    <x v="1"/>
    <s v="Shirts"/>
    <x v="57"/>
    <n v="8"/>
    <n v="19793.830000000002"/>
    <n v="25"/>
    <n v="14845.37"/>
    <n v="44536.12"/>
    <n v="17508.240000000002"/>
    <s v="Clothing"/>
    <n v="17508.240000000002"/>
    <s v="Small"/>
    <s v="Small"/>
    <s v="No Discount"/>
  </r>
  <r>
    <s v="ORD-10709"/>
    <x v="407"/>
    <d v="2022-08-01T00:00:00"/>
    <s v="Same Day"/>
    <s v="Uchenna"/>
    <s v="Okonkwo"/>
    <s v="unknown"/>
    <n v="9013968018"/>
    <x v="0"/>
    <x v="1"/>
    <x v="5"/>
    <x v="3"/>
    <s v="Chairs"/>
    <x v="133"/>
    <n v="4"/>
    <n v="151459.07999999999"/>
    <n v="0"/>
    <n v="0"/>
    <n v="605836.31999999995"/>
    <n v="70293.25"/>
    <s v="Furniture"/>
    <n v="70293.25"/>
    <s v="Small"/>
    <s v="Small"/>
    <s v="No Discount"/>
  </r>
  <r>
    <s v="ORD-10807"/>
    <x v="408"/>
    <d v="2022-08-03T00:00:00"/>
    <s v="Same Day"/>
    <s v="Taiwo"/>
    <s v="Sanusi"/>
    <s v="taiwo.sanusi@hotmail.com"/>
    <n v="8169348587"/>
    <x v="0"/>
    <x v="2"/>
    <x v="12"/>
    <x v="0"/>
    <s v="Art Supplies"/>
    <x v="96"/>
    <n v="2"/>
    <n v="13424.98"/>
    <n v="5"/>
    <n v="1342.5"/>
    <n v="25507.46"/>
    <n v="10663.85"/>
    <s v="Office Supplies"/>
    <n v="10663.85"/>
    <s v="Small"/>
    <s v="Small"/>
    <s v="No Discount"/>
  </r>
  <r>
    <s v="ORD-10340"/>
    <x v="409"/>
    <d v="2022-08-09T00:00:00"/>
    <s v="Same Day"/>
    <s v="Taiwo"/>
    <s v="Tinubu"/>
    <s v="taiwo.tinubu@gmail.com"/>
    <n v="9026068701"/>
    <x v="0"/>
    <x v="3"/>
    <x v="6"/>
    <x v="4"/>
    <s v="Cooking Oil"/>
    <x v="119"/>
    <n v="-2"/>
    <n v="4847.13"/>
    <n v="5"/>
    <n v="1938.85"/>
    <n v="36838.19"/>
    <n v="6585.54"/>
    <s v="Food &amp; Beverages"/>
    <n v="6585.54"/>
    <s v="Small"/>
    <s v="Small"/>
    <s v="No Discount"/>
  </r>
  <r>
    <s v="ORD-10157"/>
    <x v="410"/>
    <d v="2022-08-23T00:00:00"/>
    <s v="Same Day"/>
    <s v="Obinna"/>
    <s v="Lawal"/>
    <s v="obinna.lawal@hotmail.com"/>
    <n v="9053894531"/>
    <x v="1"/>
    <x v="0"/>
    <x v="8"/>
    <x v="0"/>
    <s v="Labels"/>
    <x v="102"/>
    <n v="5"/>
    <n v="2576.42"/>
    <n v="10"/>
    <n v="1288.21"/>
    <n v="11593.89"/>
    <n v="-919.2"/>
    <s v="Office Supplies"/>
    <n v="919.2"/>
    <s v="Small"/>
    <s v="Small"/>
    <s v="No Discount"/>
  </r>
  <r>
    <s v="ORD-10826"/>
    <x v="411"/>
    <d v="2022-09-01T00:00:00"/>
    <s v="Same Day"/>
    <s v="Aisha"/>
    <s v="Otedola"/>
    <s v="aisha.otedola@hotmail.com"/>
    <n v="9015718333"/>
    <x v="0"/>
    <x v="3"/>
    <x v="18"/>
    <x v="3"/>
    <s v="Chairs"/>
    <x v="90"/>
    <n v="4"/>
    <n v="164379.79"/>
    <n v="0"/>
    <n v="0"/>
    <n v="657519.16"/>
    <n v="-45132.61"/>
    <s v="Furniture"/>
    <n v="45132.61"/>
    <s v="Small"/>
    <s v="Small"/>
    <s v="No Discount"/>
  </r>
  <r>
    <s v="ORD-10800"/>
    <x v="249"/>
    <d v="2022-09-03T00:00:00"/>
    <s v="Same Day"/>
    <s v="Sade"/>
    <s v="Bello"/>
    <s v="sade.bello@hotmail.com"/>
    <n v="9057500351"/>
    <x v="0"/>
    <x v="3"/>
    <x v="18"/>
    <x v="1"/>
    <s v="Bags"/>
    <x v="111"/>
    <n v="11"/>
    <n v="7955.91"/>
    <n v="0"/>
    <n v="0"/>
    <n v="87515.01"/>
    <n v="-8093.56"/>
    <s v="Clothing"/>
    <n v="8093.56"/>
    <s v="Small"/>
    <s v="Small"/>
    <s v="No Discount"/>
  </r>
  <r>
    <s v="ORD-10471"/>
    <x v="412"/>
    <d v="2022-09-09T00:00:00"/>
    <s v="Same Day"/>
    <s v="Taiwo"/>
    <s v="Chukwu"/>
    <s v="taiwo.chukwu@hotmail.com"/>
    <n v="8139469478"/>
    <x v="0"/>
    <x v="2"/>
    <x v="3"/>
    <x v="0"/>
    <s v="Fasteners"/>
    <x v="110"/>
    <n v="15"/>
    <n v="16061.66"/>
    <n v="10"/>
    <n v="24092.49"/>
    <n v="216832.41"/>
    <n v="-529.73"/>
    <s v="Office Supplies"/>
    <n v="529.73"/>
    <s v="Large"/>
    <s v="Large"/>
    <s v="No Discount"/>
  </r>
  <r>
    <s v="ORD-10531"/>
    <x v="413"/>
    <d v="2022-09-10T00:00:00"/>
    <s v="Same Day"/>
    <s v="Bukola"/>
    <s v="Tinubu"/>
    <s v="bukola.tinubu@hotmail.com"/>
    <n v="8066583476"/>
    <x v="2"/>
    <x v="3"/>
    <x v="11"/>
    <x v="3"/>
    <s v="Sofas"/>
    <x v="91"/>
    <n v="11"/>
    <n v="19122.73"/>
    <n v="15"/>
    <n v="31552.5"/>
    <n v="178797.53"/>
    <n v="70821.75"/>
    <s v="Furniture"/>
    <n v="70821.75"/>
    <s v="Small"/>
    <s v="Small"/>
    <s v="No Discount"/>
  </r>
  <r>
    <s v="ORD-10473"/>
    <x v="413"/>
    <d v="2022-09-11T00:00:00"/>
    <s v="Same Day"/>
    <s v="Chidinma"/>
    <s v="Gambo"/>
    <s v="chidinma.gambo@outlook.com"/>
    <n v="7063972698"/>
    <x v="0"/>
    <x v="2"/>
    <x v="20"/>
    <x v="2"/>
    <s v="Laptops"/>
    <x v="76"/>
    <n v="7"/>
    <n v="176159.08"/>
    <n v="20"/>
    <n v="246622.71"/>
    <n v="986490.85"/>
    <n v="-142431.54"/>
    <s v="Technology"/>
    <n v="142431.54"/>
    <s v="Small"/>
    <s v="Small"/>
    <s v="No Discount"/>
  </r>
  <r>
    <s v="ORD-10918"/>
    <x v="47"/>
    <d v="2022-09-16T00:00:00"/>
    <s v="Same Day"/>
    <s v="Tunde"/>
    <s v="Eze"/>
    <s v="tunde.eze@outlook.com"/>
    <n v="9016367876"/>
    <x v="0"/>
    <x v="2"/>
    <x v="10"/>
    <x v="4"/>
    <s v="Snacks"/>
    <x v="82"/>
    <n v="4"/>
    <n v="3652.08"/>
    <n v="25"/>
    <n v="3652.08"/>
    <n v="10956.24"/>
    <n v="3151.32"/>
    <s v="Food &amp; Beverages"/>
    <n v="3151.32"/>
    <s v="Small"/>
    <s v="Small"/>
    <s v="No Discount"/>
  </r>
  <r>
    <s v="ORD-10812"/>
    <x v="414"/>
    <d v="2022-09-21T00:00:00"/>
    <s v="Same Day"/>
    <s v="Tunde"/>
    <s v="Tinubu"/>
    <s v="tunde.tinubu@gmail.com"/>
    <n v="8063666299"/>
    <x v="2"/>
    <x v="1"/>
    <x v="19"/>
    <x v="1"/>
    <s v="Shirts"/>
    <x v="131"/>
    <n v="6"/>
    <n v="25088.41"/>
    <n v="10"/>
    <n v="15053.05"/>
    <n v="135477.41"/>
    <n v="57332.73"/>
    <s v="Clothing"/>
    <n v="57332.73"/>
    <s v="Small"/>
    <s v="Small"/>
    <s v="No Discount"/>
  </r>
  <r>
    <s v="ORD-10338"/>
    <x v="415"/>
    <d v="2022-09-27T00:00:00"/>
    <s v="Same Day"/>
    <s v="Adebayo"/>
    <s v="Bello"/>
    <s v="adebayo.bello@hotmail.com"/>
    <n v="8168808058"/>
    <x v="0"/>
    <x v="3"/>
    <x v="6"/>
    <x v="1"/>
    <s v="Trousers"/>
    <x v="13"/>
    <n v="20"/>
    <n v="8180.03"/>
    <n v="10"/>
    <n v="16360.06"/>
    <n v="147240.54"/>
    <n v="58560.06"/>
    <s v="Clothing"/>
    <n v="58560.06"/>
    <s v="Large"/>
    <s v="Large"/>
    <s v="No Discount"/>
  </r>
  <r>
    <s v="ORD-10511"/>
    <x v="416"/>
    <d v="2022-10-01T00:00:00"/>
    <s v="Same Day"/>
    <s v="Fatima"/>
    <s v="Tinubu"/>
    <s v="fatima.tinubu@outlook.com"/>
    <n v="8039088805"/>
    <x v="1"/>
    <x v="2"/>
    <x v="20"/>
    <x v="2"/>
    <s v="Tablets"/>
    <x v="71"/>
    <n v="19"/>
    <n v="279712"/>
    <n v="20"/>
    <n v="1062905.6000000001"/>
    <n v="4251622.4000000004"/>
    <n v="337675.92"/>
    <s v="Technology"/>
    <n v="337675.92"/>
    <s v="Large"/>
    <s v="Large"/>
    <s v="Offer Discount"/>
  </r>
  <r>
    <s v="ORD-10149"/>
    <x v="52"/>
    <d v="2022-10-07T00:00:00"/>
    <s v="Same Day"/>
    <s v="Chisom"/>
    <s v="Alakija"/>
    <s v="chisom.alakija@yahoo.com"/>
    <n v="8146271120"/>
    <x v="1"/>
    <x v="0"/>
    <x v="14"/>
    <x v="3"/>
    <s v="Storage"/>
    <x v="16"/>
    <n v="16"/>
    <n v="58129.08"/>
    <n v="5"/>
    <n v="46503.26"/>
    <n v="883562.02"/>
    <n v="40230.120000000003"/>
    <s v="Furniture"/>
    <n v="40230.120000000003"/>
    <s v="Large"/>
    <s v="Large"/>
    <s v="No Discount"/>
  </r>
  <r>
    <s v="ORD-10091"/>
    <x v="417"/>
    <d v="2022-10-13T00:00:00"/>
    <s v="Same Day"/>
    <s v="Olumide"/>
    <s v="Alakija"/>
    <s v="olumide.alakija@gmail.com"/>
    <n v="8061318832"/>
    <x v="1"/>
    <x v="3"/>
    <x v="22"/>
    <x v="0"/>
    <s v="Binders"/>
    <x v="98"/>
    <n v="20"/>
    <n v="13945.7"/>
    <n v="25"/>
    <n v="69728.5"/>
    <n v="209185.5"/>
    <n v="21745.43"/>
    <s v="Office Supplies"/>
    <n v="21745.43"/>
    <s v="Large"/>
    <s v="Large"/>
    <s v="No Discount"/>
  </r>
  <r>
    <s v="ORD-10143"/>
    <x v="418"/>
    <d v="2022-10-14T00:00:00"/>
    <s v="Same Day"/>
    <s v="Dayo"/>
    <s v="Atiku"/>
    <s v="dayo.atiku@outlook.com"/>
    <n v="8032638895"/>
    <x v="1"/>
    <x v="1"/>
    <x v="9"/>
    <x v="1"/>
    <s v="Trousers"/>
    <x v="10"/>
    <n v="20"/>
    <n v="16645.490000000002"/>
    <n v="15"/>
    <n v="49936.47"/>
    <n v="282973.33"/>
    <n v="122061.2"/>
    <s v="Clothing"/>
    <n v="122061.2"/>
    <s v="Large"/>
    <s v="Large"/>
    <s v="No Discount"/>
  </r>
  <r>
    <s v="ORD-10006"/>
    <x v="419"/>
    <d v="2022-10-21T00:00:00"/>
    <s v="Same Day"/>
    <s v="Kemi"/>
    <s v="Abubakar"/>
    <s v="kemi.abubakar@outlook.com"/>
    <n v="9018187926"/>
    <x v="2"/>
    <x v="1"/>
    <x v="5"/>
    <x v="4"/>
    <s v="Cooking Oil"/>
    <x v="43"/>
    <n v="5"/>
    <n v="1988.77"/>
    <n v="25"/>
    <n v="2485.96"/>
    <n v="7457.89"/>
    <n v="122061.2"/>
    <s v="Food &amp; Beverages"/>
    <n v="122061.2"/>
    <s v="Small"/>
    <s v="Small"/>
    <s v="No Discount"/>
  </r>
  <r>
    <s v="ORD-10114"/>
    <x v="56"/>
    <d v="2022-10-30T00:00:00"/>
    <s v="Same Day"/>
    <s v="Emeka"/>
    <s v="Danjuma"/>
    <s v="emeka.danjuma@gmail.com"/>
    <n v="8131317716"/>
    <x v="2"/>
    <x v="1"/>
    <x v="2"/>
    <x v="1"/>
    <s v="Shoes"/>
    <x v="52"/>
    <n v="7"/>
    <n v="8511.5400000000009"/>
    <n v="15"/>
    <n v="8937.1200000000008"/>
    <n v="50643.66"/>
    <n v="7651.84"/>
    <s v="Clothing"/>
    <n v="7651.84"/>
    <s v="Small"/>
    <s v="Small"/>
    <s v="No Discount"/>
  </r>
  <r>
    <s v="ORD-10443"/>
    <x v="420"/>
    <d v="2022-11-01T00:00:00"/>
    <s v="Same Day"/>
    <s v="Oluwaseun"/>
    <s v="Okonkwo"/>
    <s v="oluwaseun.okonkwo@gmail.com"/>
    <n v="8103557220"/>
    <x v="1"/>
    <x v="3"/>
    <x v="22"/>
    <x v="1"/>
    <s v="Bags"/>
    <x v="111"/>
    <n v="15"/>
    <n v="2843.99"/>
    <n v="5"/>
    <n v="2132.9899999999998"/>
    <n v="40526.86"/>
    <n v="-1183.26"/>
    <s v="Clothing"/>
    <n v="1183.26"/>
    <s v="Large"/>
    <s v="Large"/>
    <s v="No Discount"/>
  </r>
  <r>
    <s v="ORD-10054"/>
    <x v="421"/>
    <d v="2022-11-02T00:00:00"/>
    <s v="Same Day"/>
    <s v="Bukola"/>
    <s v="Sanusi"/>
    <s v="bukola.sanusi@outlook.com"/>
    <n v="7037328534"/>
    <x v="2"/>
    <x v="0"/>
    <x v="17"/>
    <x v="1"/>
    <s v="Shoes"/>
    <x v="31"/>
    <n v="8"/>
    <n v="44173.31"/>
    <n v="15"/>
    <n v="53007.97"/>
    <n v="300378.51"/>
    <n v="-2962.49"/>
    <s v="Clothing"/>
    <n v="2962.49"/>
    <s v="Small"/>
    <s v="Small"/>
    <s v="No Discount"/>
  </r>
  <r>
    <s v="ORD-10431"/>
    <x v="422"/>
    <d v="2022-11-07T00:00:00"/>
    <s v="Same Day"/>
    <s v="Ngozi"/>
    <s v="Nwosu"/>
    <s v="ngozi.nwosu@yahoo.com"/>
    <n v="8034856420"/>
    <x v="1"/>
    <x v="1"/>
    <x v="2"/>
    <x v="3"/>
    <s v="Chairs"/>
    <x v="133"/>
    <n v="15"/>
    <n v="52758.52"/>
    <n v="15"/>
    <n v="118706.67"/>
    <n v="672671.13"/>
    <n v="-2962.49"/>
    <s v="Furniture"/>
    <n v="2962.49"/>
    <s v="Large"/>
    <s v="Large"/>
    <s v="No Discount"/>
  </r>
  <r>
    <s v="ORD-10839"/>
    <x v="423"/>
    <d v="2022-11-09T00:00:00"/>
    <s v="Same Day"/>
    <s v="Chidinma"/>
    <s v="Ogundipe"/>
    <s v="chidinma.ogundipe@gmail.com"/>
    <n v="8033339281"/>
    <x v="1"/>
    <x v="1"/>
    <x v="5"/>
    <x v="0"/>
    <s v="Envelopes"/>
    <x v="77"/>
    <n v="1"/>
    <n v="10285.75"/>
    <n v="15"/>
    <n v="1542.86"/>
    <n v="8742.89"/>
    <n v="2839.91"/>
    <s v="Office Supplies"/>
    <n v="2839.91"/>
    <s v="Small"/>
    <s v="Small"/>
    <s v="No Discount"/>
  </r>
  <r>
    <s v="ORD-10199"/>
    <x v="424"/>
    <d v="2022-11-11T00:00:00"/>
    <s v="Same Day"/>
    <s v="Uchenna"/>
    <s v="Okonkwo"/>
    <s v="uchenna.okonkwo@hotmail.com"/>
    <n v="8065941719"/>
    <x v="2"/>
    <x v="2"/>
    <x v="12"/>
    <x v="4"/>
    <s v="Cooking Oil"/>
    <x v="25"/>
    <n v="7"/>
    <n v="1046.8"/>
    <n v="0"/>
    <n v="0"/>
    <n v="7327.6"/>
    <n v="1706.7"/>
    <s v="Food &amp; Beverages"/>
    <n v="1706.7"/>
    <s v="Small"/>
    <s v="Small"/>
    <s v="No Discount"/>
  </r>
  <r>
    <s v="ORD-10145"/>
    <x v="58"/>
    <d v="2022-11-13T00:00:00"/>
    <s v="Same Day"/>
    <s v="Chisom"/>
    <s v="Adebayo"/>
    <s v="unknown"/>
    <n v="8061087161"/>
    <x v="0"/>
    <x v="2"/>
    <x v="3"/>
    <x v="0"/>
    <s v="Envelopes"/>
    <x v="125"/>
    <n v="4"/>
    <n v="19152.990000000002"/>
    <n v="0"/>
    <n v="0"/>
    <n v="76611.960000000006"/>
    <n v="-7478.99"/>
    <s v="Office Supplies"/>
    <n v="7478.99"/>
    <s v="Small"/>
    <s v="Small"/>
    <s v="No Discount"/>
  </r>
  <r>
    <s v="ORD-10292"/>
    <x v="425"/>
    <d v="2022-11-15T00:00:00"/>
    <s v="Same Day"/>
    <s v="Sade"/>
    <s v="Abubakar"/>
    <s v="sade.abubakar@yahoo.com"/>
    <n v="8142533463"/>
    <x v="0"/>
    <x v="3"/>
    <x v="22"/>
    <x v="4"/>
    <s v="Grains"/>
    <x v="61"/>
    <n v="5"/>
    <n v="760.27"/>
    <n v="25"/>
    <n v="950.34"/>
    <n v="2851.01"/>
    <n v="926.24"/>
    <s v="Food &amp; Beverages"/>
    <n v="926.24"/>
    <s v="Small"/>
    <s v="Small"/>
    <s v="No Discount"/>
  </r>
  <r>
    <s v="ORD-10715"/>
    <x v="426"/>
    <d v="2022-11-15T00:00:00"/>
    <s v="Same Day"/>
    <s v="Oluwaseun"/>
    <s v="Adebayo"/>
    <s v="oluwaseun.adebayo@outlook.com"/>
    <n v="8136740847"/>
    <x v="2"/>
    <x v="3"/>
    <x v="22"/>
    <x v="4"/>
    <s v="Condiments"/>
    <x v="74"/>
    <n v="7"/>
    <n v="998.83"/>
    <n v="10"/>
    <n v="699.18"/>
    <n v="6292.63"/>
    <n v="926.24"/>
    <s v="Food &amp; Beverages"/>
    <n v="926.24"/>
    <s v="Small"/>
    <s v="Small"/>
    <s v="No Discount"/>
  </r>
  <r>
    <s v="ORD-10517"/>
    <x v="59"/>
    <d v="2022-11-17T00:00:00"/>
    <s v="Same Day"/>
    <s v="Amara"/>
    <s v="Buhari"/>
    <s v="amara.buhari@hotmail.com"/>
    <n v="7062396415"/>
    <x v="1"/>
    <x v="1"/>
    <x v="5"/>
    <x v="0"/>
    <s v="Labels"/>
    <x v="102"/>
    <n v="6"/>
    <n v="4243.57"/>
    <n v="10"/>
    <n v="2546.14"/>
    <n v="22915.279999999999"/>
    <n v="1793.58"/>
    <s v="Office Supplies"/>
    <n v="1793.58"/>
    <s v="Small"/>
    <s v="Small"/>
    <s v="No Discount"/>
  </r>
  <r>
    <s v="ORD-10702"/>
    <x v="427"/>
    <d v="2022-11-17T00:00:00"/>
    <s v="Same Day"/>
    <s v="Obinna"/>
    <s v="Tinubu"/>
    <s v="obinna.tinubu@yahoo.com"/>
    <n v="7031237053"/>
    <x v="2"/>
    <x v="2"/>
    <x v="4"/>
    <x v="3"/>
    <s v="Bookcases"/>
    <x v="118"/>
    <n v="0"/>
    <n v="149169.76"/>
    <n v="10"/>
    <n v="208837.66"/>
    <n v="1879538.98"/>
    <n v="132253.54"/>
    <s v="Furniture"/>
    <n v="132253.54"/>
    <s v="Small"/>
    <s v="Small"/>
    <s v="No Discount"/>
  </r>
  <r>
    <s v="ORD-10500"/>
    <x v="428"/>
    <d v="2022-11-18T00:00:00"/>
    <s v="Same Day"/>
    <s v="Kemi"/>
    <s v="Otedola"/>
    <s v="kemi.otedola@hotmail.com"/>
    <n v="8142153651"/>
    <x v="1"/>
    <x v="3"/>
    <x v="11"/>
    <x v="1"/>
    <s v="Trousers"/>
    <x v="13"/>
    <n v="10"/>
    <n v="39429.31"/>
    <n v="15"/>
    <n v="59143.96"/>
    <n v="335149.14"/>
    <n v="114197.93"/>
    <s v="Clothing"/>
    <n v="114197.93"/>
    <s v="Small"/>
    <s v="Small"/>
    <s v="No Discount"/>
  </r>
  <r>
    <s v="ORD-10848"/>
    <x v="428"/>
    <d v="2022-11-19T00:00:00"/>
    <s v="Same Day"/>
    <s v="Chisom"/>
    <s v="Bello"/>
    <s v="chisom.bello@outlook.com"/>
    <n v="8145629663"/>
    <x v="2"/>
    <x v="3"/>
    <x v="16"/>
    <x v="3"/>
    <s v="Sofas"/>
    <x v="128"/>
    <n v="19"/>
    <n v="56979.199999999997"/>
    <n v="0"/>
    <n v="0"/>
    <n v="1082604.8"/>
    <n v="47290.59"/>
    <s v="Furniture"/>
    <n v="47290.59"/>
    <s v="Large"/>
    <s v="Large"/>
    <s v="No Discount"/>
  </r>
  <r>
    <s v="ORD-10771"/>
    <x v="60"/>
    <d v="2022-11-20T00:00:00"/>
    <s v="Same Day"/>
    <s v="Fatima"/>
    <s v="Adeyemi"/>
    <s v="fatima.adeyemi@yahoo.com"/>
    <n v="9014046988"/>
    <x v="1"/>
    <x v="3"/>
    <x v="11"/>
    <x v="0"/>
    <s v="Paper"/>
    <x v="44"/>
    <n v="7"/>
    <n v="1234.51"/>
    <n v="10"/>
    <n v="864.16"/>
    <n v="7777.41"/>
    <n v="717.02"/>
    <s v="Office Supplies"/>
    <n v="717.02"/>
    <s v="Small"/>
    <s v="Small"/>
    <s v="No Discount"/>
  </r>
  <r>
    <s v="ORD-10385"/>
    <x v="429"/>
    <d v="2022-11-30T00:00:00"/>
    <s v="Same Day"/>
    <s v="Bola"/>
    <s v="Okonkwo"/>
    <s v="bola.okonkwo@hotmail.com"/>
    <n v="8143439136"/>
    <x v="1"/>
    <x v="0"/>
    <x v="0"/>
    <x v="1"/>
    <s v="Shoes"/>
    <x v="31"/>
    <n v="18"/>
    <n v="2184.66"/>
    <n v="25"/>
    <n v="9830.9699999999993"/>
    <n v="29492.91"/>
    <n v="1438.32"/>
    <s v="Clothing"/>
    <n v="1438.32"/>
    <s v="Large"/>
    <s v="Large"/>
    <s v="No Discount"/>
  </r>
  <r>
    <s v="ORD-10453"/>
    <x v="430"/>
    <d v="2022-12-04T00:00:00"/>
    <s v="Same Day"/>
    <s v="Ngozi"/>
    <s v="Olawale"/>
    <s v="ngozi.olawale@gmail.com"/>
    <n v="9073532555"/>
    <x v="1"/>
    <x v="2"/>
    <x v="3"/>
    <x v="4"/>
    <s v="Drinks"/>
    <x v="69"/>
    <n v="14"/>
    <n v="7789.49"/>
    <n v="15"/>
    <n v="16357.93"/>
    <n v="92694.93"/>
    <n v="35360.31"/>
    <s v="Food &amp; Beverages"/>
    <n v="35360.31"/>
    <s v="Small"/>
    <s v="Medium"/>
    <s v="No Discount"/>
  </r>
  <r>
    <s v="ORD-10229"/>
    <x v="431"/>
    <d v="2022-12-05T00:00:00"/>
    <s v="Same Day"/>
    <s v="Wale"/>
    <s v="Osei"/>
    <s v="wale.osei@yahoo.com"/>
    <n v="7035666702"/>
    <x v="1"/>
    <x v="3"/>
    <x v="6"/>
    <x v="2"/>
    <s v="Printers"/>
    <x v="55"/>
    <n v="13"/>
    <n v="254465.57"/>
    <n v="15"/>
    <n v="496207.86"/>
    <n v="2811844.55"/>
    <n v="956763.8"/>
    <s v="Technology"/>
    <n v="956763.8"/>
    <s v="Small"/>
    <s v="Small"/>
    <s v="No Discount"/>
  </r>
  <r>
    <s v="ORD-10257"/>
    <x v="432"/>
    <d v="2022-12-06T00:00:00"/>
    <s v="Same Day"/>
    <s v="Tunde"/>
    <s v="Dangote"/>
    <s v="tunde.dangote@outlook.com"/>
    <n v="8133520615"/>
    <x v="0"/>
    <x v="2"/>
    <x v="20"/>
    <x v="3"/>
    <s v="Tables"/>
    <x v="134"/>
    <n v="4"/>
    <n v="111547.49"/>
    <n v="5"/>
    <n v="22309.5"/>
    <n v="423880.46"/>
    <n v="41865.910000000003"/>
    <s v="Furniture"/>
    <n v="41865.910000000003"/>
    <s v="Small"/>
    <s v="Small"/>
    <s v="No Discount"/>
  </r>
  <r>
    <s v="ORD-10350"/>
    <x v="433"/>
    <d v="2022-12-13T00:00:00"/>
    <s v="Same Day"/>
    <s v="Nike"/>
    <s v="Sule"/>
    <s v="nike.sule@gmail.com"/>
    <n v="8169132926"/>
    <x v="2"/>
    <x v="0"/>
    <x v="1"/>
    <x v="2"/>
    <s v="Phones"/>
    <x v="4"/>
    <n v="9"/>
    <n v="48435.08"/>
    <n v="10"/>
    <n v="43591.57"/>
    <n v="392324.15"/>
    <n v="41865.910000000003"/>
    <s v="Technology"/>
    <n v="41865.910000000003"/>
    <s v="Small"/>
    <s v="Small"/>
    <s v="No Discount"/>
  </r>
  <r>
    <s v="ORD-10829"/>
    <x v="433"/>
    <d v="2022-12-14T00:00:00"/>
    <s v="Same Day"/>
    <s v="Tobi"/>
    <s v="Nwosu"/>
    <s v="tobi.nwosu@outlook.com"/>
    <n v="8151393330"/>
    <x v="2"/>
    <x v="1"/>
    <x v="19"/>
    <x v="1"/>
    <s v="Shoes"/>
    <x v="31"/>
    <n v="8"/>
    <n v="4236.4799999999996"/>
    <n v="10"/>
    <n v="3389.18"/>
    <n v="30502.66"/>
    <n v="240"/>
    <s v="Clothing"/>
    <n v="240"/>
    <s v="Small"/>
    <s v="Small"/>
    <s v="No Discount"/>
  </r>
  <r>
    <s v="ORD-10475"/>
    <x v="262"/>
    <d v="2022-12-16T00:00:00"/>
    <s v="Same Day"/>
    <s v="Kehinde"/>
    <s v="Sowore"/>
    <s v="spaces in@email.com"/>
    <n v="8063151617"/>
    <x v="1"/>
    <x v="1"/>
    <x v="19"/>
    <x v="2"/>
    <s v="Phones"/>
    <x v="22"/>
    <n v="8"/>
    <n v="421100.08"/>
    <n v="25"/>
    <n v="842200.16"/>
    <n v="2526600.48"/>
    <n v="725991.66"/>
    <s v="Technology"/>
    <n v="725991.66"/>
    <s v="Small"/>
    <s v="Small"/>
    <s v="No Discount"/>
  </r>
  <r>
    <s v="ORD-10827"/>
    <x v="262"/>
    <d v="2022-12-16T00:00:00"/>
    <s v="Same Day"/>
    <s v="Lanre"/>
    <s v="Obi"/>
    <s v="lanre.obi@outlook.com"/>
    <n v="8144050662"/>
    <x v="1"/>
    <x v="1"/>
    <x v="5"/>
    <x v="1"/>
    <s v="Shirts"/>
    <x v="6"/>
    <n v="19"/>
    <n v="42703.98"/>
    <n v="10"/>
    <n v="81137.56"/>
    <n v="730238.06"/>
    <n v="278485.28000000003"/>
    <s v="Clothing"/>
    <n v="278485.28000000003"/>
    <s v="Large"/>
    <s v="Large"/>
    <s v="No Discount"/>
  </r>
  <r>
    <s v="ORD-10699"/>
    <x v="262"/>
    <d v="2022-12-17T00:00:00"/>
    <s v="Same Day"/>
    <s v="Kemi"/>
    <s v="Atiku"/>
    <s v="kemi.atiku@hotmail.com"/>
    <n v="7061155332"/>
    <x v="1"/>
    <x v="2"/>
    <x v="4"/>
    <x v="0"/>
    <s v="Paper"/>
    <x v="89"/>
    <n v="9"/>
    <n v="24895.74"/>
    <n v="25"/>
    <n v="56015.42"/>
    <n v="168046.24"/>
    <n v="278485.28000000003"/>
    <s v="Office Supplies"/>
    <n v="278485.28000000003"/>
    <s v="Small"/>
    <s v="Small"/>
    <s v="No Discount"/>
  </r>
  <r>
    <s v="ORD-10373"/>
    <x v="434"/>
    <d v="2022-12-18T00:00:00"/>
    <s v="Same Day"/>
    <s v="Zainab"/>
    <s v="Eze"/>
    <s v="zainab.eze@yahoo.com"/>
    <n v="9023851044"/>
    <x v="1"/>
    <x v="2"/>
    <x v="12"/>
    <x v="4"/>
    <s v="Condiments"/>
    <x v="45"/>
    <n v="17"/>
    <n v="965.85"/>
    <n v="20"/>
    <n v="3283.89"/>
    <n v="13135.56"/>
    <n v="4824.95"/>
    <s v="Food &amp; Beverages"/>
    <n v="4824.95"/>
    <s v="Large"/>
    <s v="Large"/>
    <s v="No Discount"/>
  </r>
  <r>
    <s v="ORD-10062"/>
    <x v="264"/>
    <d v="2022-12-26T00:00:00"/>
    <s v="Same Day"/>
    <s v="Kemi"/>
    <s v="Sule"/>
    <s v="kemi.sule@outlook.com"/>
    <n v="8159418719"/>
    <x v="2"/>
    <x v="0"/>
    <x v="17"/>
    <x v="0"/>
    <s v="Art Supplies"/>
    <x v="40"/>
    <n v="16"/>
    <n v="6795.77"/>
    <n v="10"/>
    <n v="10873.23"/>
    <n v="97859.09"/>
    <n v="29155.71"/>
    <s v="Office Supplies"/>
    <n v="29155.71"/>
    <s v="Large"/>
    <s v="Large"/>
    <s v="No Discount"/>
  </r>
  <r>
    <s v="ORD-10240"/>
    <x v="66"/>
    <d v="2022-12-30T00:00:00"/>
    <s v="Same Day"/>
    <s v="Fatima"/>
    <s v="Adeyemi"/>
    <s v="fatima.adeyemi@gmail.com"/>
    <n v="7061681729"/>
    <x v="1"/>
    <x v="3"/>
    <x v="18"/>
    <x v="1"/>
    <s v="Shoes"/>
    <x v="122"/>
    <n v="6"/>
    <n v="13362.3"/>
    <n v="10"/>
    <n v="8017.38"/>
    <n v="72156.42"/>
    <n v="-10579.06"/>
    <s v="Clothing"/>
    <n v="10579.06"/>
    <s v="Small"/>
    <s v="Small"/>
    <s v="No Discount"/>
  </r>
  <r>
    <s v="ORD-10750"/>
    <x v="66"/>
    <d v="2022-12-30T00:00:00"/>
    <s v="Same Day"/>
    <s v="Deola"/>
    <s v="Chukwu"/>
    <s v="deola.chukwu@outlook.com"/>
    <n v="8064187908"/>
    <x v="0"/>
    <x v="3"/>
    <x v="18"/>
    <x v="2"/>
    <s v="Phones"/>
    <x v="4"/>
    <n v="7"/>
    <n v="146700.97"/>
    <n v="5"/>
    <n v="51345.34"/>
    <n v="975561.45"/>
    <n v="-3546.79"/>
    <s v="Technology"/>
    <n v="3546.79"/>
    <s v="Small"/>
    <s v="Small"/>
    <s v="No Discount"/>
  </r>
  <r>
    <s v="ORD-10372"/>
    <x v="435"/>
    <d v="2023-01-01T00:00:00"/>
    <s v="Same Day"/>
    <s v="Uchenna"/>
    <s v="Okafor"/>
    <s v="uchenna.okafor@hotmail.com"/>
    <n v="9014257379"/>
    <x v="0"/>
    <x v="1"/>
    <x v="2"/>
    <x v="0"/>
    <s v="Pens &amp; Pencils"/>
    <x v="37"/>
    <n v="2"/>
    <n v="8729.34"/>
    <n v="0"/>
    <n v="0"/>
    <n v="17458.68"/>
    <n v="320.58"/>
    <s v="Office Supplies"/>
    <n v="320.58"/>
    <s v="Small"/>
    <s v="Small"/>
    <s v="No Discount"/>
  </r>
  <r>
    <s v="ORD-10227"/>
    <x v="436"/>
    <d v="2023-01-08T00:00:00"/>
    <s v="Same Day"/>
    <s v="Obinna"/>
    <s v="Alakija"/>
    <s v="obinna.alakija@gmail.com"/>
    <n v="8033192032"/>
    <x v="2"/>
    <x v="1"/>
    <x v="9"/>
    <x v="1"/>
    <s v="Bags"/>
    <x v="2"/>
    <n v="15"/>
    <n v="40166.54"/>
    <n v="0"/>
    <n v="0"/>
    <n v="602498.1"/>
    <n v="-67478.81"/>
    <s v="Clothing"/>
    <n v="67478.81"/>
    <s v="Large"/>
    <s v="Large"/>
    <s v="No Discount"/>
  </r>
  <r>
    <s v="ORD-10803"/>
    <x v="437"/>
    <d v="2023-01-08T00:00:00"/>
    <s v="Same Day"/>
    <s v="Obinna"/>
    <s v="Bello"/>
    <s v="obinna.bello@yahoo.com"/>
    <n v="9057277502"/>
    <x v="2"/>
    <x v="3"/>
    <x v="18"/>
    <x v="4"/>
    <s v="Snacks"/>
    <x v="82"/>
    <n v="6"/>
    <n v="5739.03"/>
    <n v="25"/>
    <n v="8608.5499999999993"/>
    <n v="25825.63"/>
    <n v="-1567.36"/>
    <s v="Food &amp; Beverages"/>
    <n v="1567.36"/>
    <s v="Small"/>
    <s v="Small"/>
    <s v="No Discount"/>
  </r>
  <r>
    <s v="ORD-10095"/>
    <x v="438"/>
    <d v="2023-01-09T00:00:00"/>
    <s v="Same Day"/>
    <s v="Tunde"/>
    <s v="Obi"/>
    <s v="tunde.obi@hotmail.com"/>
    <n v="8035923149"/>
    <x v="2"/>
    <x v="3"/>
    <x v="16"/>
    <x v="3"/>
    <s v="Chairs"/>
    <x v="90"/>
    <n v="11"/>
    <n v="160355.95000000001"/>
    <n v="10"/>
    <n v="176391.55"/>
    <n v="1587523.9"/>
    <n v="252781.67"/>
    <s v="Furniture"/>
    <n v="252781.67"/>
    <s v="Small"/>
    <s v="Small"/>
    <s v="No Discount"/>
  </r>
  <r>
    <s v="ORD-10550"/>
    <x v="439"/>
    <d v="2023-01-11T00:00:00"/>
    <s v="Same Day"/>
    <s v="Obinna"/>
    <s v="Sule"/>
    <s v="obinna.sule@hotmail.com"/>
    <n v="8155812035"/>
    <x v="1"/>
    <x v="3"/>
    <x v="6"/>
    <x v="0"/>
    <s v="Envelopes"/>
    <x v="3"/>
    <n v="8"/>
    <n v="23571.09"/>
    <n v="10"/>
    <n v="18856.87"/>
    <n v="169711.85"/>
    <n v="39268.120000000003"/>
    <s v="Office Supplies"/>
    <n v="39268.120000000003"/>
    <s v="Small"/>
    <s v="Small"/>
    <s v="No Discount"/>
  </r>
  <r>
    <s v="ORD-10120"/>
    <x v="70"/>
    <d v="2023-01-18T00:00:00"/>
    <s v="Same Day"/>
    <s v="Emeka"/>
    <s v="Okonkwo"/>
    <s v="emeka.okonkwo@outlook.com"/>
    <n v="9052800206"/>
    <x v="1"/>
    <x v="3"/>
    <x v="22"/>
    <x v="0"/>
    <s v="Pens &amp; Pencils"/>
    <x v="67"/>
    <n v="18"/>
    <n v="24732.94"/>
    <n v="25"/>
    <n v="111298.23"/>
    <n v="333894.69"/>
    <n v="48864.639999999999"/>
    <s v="Office Supplies"/>
    <n v="48864.639999999999"/>
    <s v="Large"/>
    <s v="Large"/>
    <s v="No Discount"/>
  </r>
  <r>
    <s v="ORD-10931"/>
    <x v="440"/>
    <d v="2023-01-21T00:00:00"/>
    <s v="Same Day"/>
    <s v="Kehinde"/>
    <s v="Adebayo"/>
    <s v="kehinde.adebayo@gmail.com"/>
    <n v="9077250140"/>
    <x v="0"/>
    <x v="3"/>
    <x v="22"/>
    <x v="0"/>
    <s v="Envelopes"/>
    <x v="123"/>
    <n v="15"/>
    <n v="24254.799999999999"/>
    <n v="0"/>
    <n v="0"/>
    <n v="363822"/>
    <n v="-25304.63"/>
    <s v="Office Supplies"/>
    <n v="25304.63"/>
    <s v="Large"/>
    <s v="Large"/>
    <s v="No Discount"/>
  </r>
  <r>
    <s v="ORD-10927"/>
    <x v="276"/>
    <d v="2023-02-22T00:00:00"/>
    <s v="Same Day"/>
    <s v="Uchenna"/>
    <s v="Bello"/>
    <s v="unknown"/>
    <n v="8162150745"/>
    <x v="0"/>
    <x v="0"/>
    <x v="14"/>
    <x v="2"/>
    <s v="Phones"/>
    <x v="100"/>
    <n v="1"/>
    <n v="386068.17"/>
    <n v="5"/>
    <n v="19303.41"/>
    <n v="366764.76"/>
    <n v="-40494.730000000003"/>
    <s v="Technology"/>
    <n v="40494.730000000003"/>
    <s v="Small"/>
    <s v="Small"/>
    <s v="No Discount"/>
  </r>
  <r>
    <s v="ORD-10888"/>
    <x v="441"/>
    <d v="2023-02-24T00:00:00"/>
    <s v="Same Day"/>
    <s v="Kehinde"/>
    <s v="Adeleke"/>
    <s v="kehinde.adeleke@gmail.com"/>
    <n v="8066664086"/>
    <x v="0"/>
    <x v="0"/>
    <x v="0"/>
    <x v="4"/>
    <s v="Grains"/>
    <x v="135"/>
    <n v="8"/>
    <n v="3609.48"/>
    <n v="5"/>
    <n v="1443.79"/>
    <n v="27432.05"/>
    <n v="6062.13"/>
    <s v="Food &amp; Beverages"/>
    <n v="6062.13"/>
    <s v="Small"/>
    <s v="Small"/>
    <s v="No Discount"/>
  </r>
  <r>
    <s v="ORD-10732"/>
    <x v="79"/>
    <d v="2023-03-01T00:00:00"/>
    <s v="Same Day"/>
    <s v="Chibundo"/>
    <s v="Sowore"/>
    <s v="chibundo.sowore@yahoo.com"/>
    <n v="8165480410"/>
    <x v="0"/>
    <x v="0"/>
    <x v="17"/>
    <x v="1"/>
    <s v="Accessories"/>
    <x v="17"/>
    <n v="8"/>
    <n v="6177.35"/>
    <n v="0"/>
    <n v="0"/>
    <n v="49418.8"/>
    <n v="13610.19"/>
    <s v="Clothing"/>
    <n v="13610.19"/>
    <s v="Small"/>
    <s v="Small"/>
    <s v="No Discount"/>
  </r>
  <r>
    <s v="ORD-10704"/>
    <x v="442"/>
    <d v="2023-03-05T00:00:00"/>
    <s v="Same Day"/>
    <s v="Chidi"/>
    <s v="Sule"/>
    <s v="chidi.sule@yahoo.com"/>
    <n v="8132532401"/>
    <x v="2"/>
    <x v="0"/>
    <x v="8"/>
    <x v="4"/>
    <s v="Snacks"/>
    <x v="64"/>
    <n v="1"/>
    <n v="1569.1"/>
    <n v="10"/>
    <n v="156.91"/>
    <n v="1412.19"/>
    <n v="-145.91999999999999"/>
    <s v="Food &amp; Beverages"/>
    <n v="145.91999999999999"/>
    <s v="Small"/>
    <s v="Small"/>
    <s v="No Discount"/>
  </r>
  <r>
    <s v="ORD-10950"/>
    <x v="442"/>
    <d v="2023-03-05T00:00:00"/>
    <s v="Same Day"/>
    <s v="Adaeze"/>
    <s v="Abubakar"/>
    <s v="adaeze.abubakar@gmail.com"/>
    <n v="8065199616"/>
    <x v="1"/>
    <x v="1"/>
    <x v="19"/>
    <x v="4"/>
    <s v="Condiments"/>
    <x v="45"/>
    <n v="9"/>
    <n v="640.11"/>
    <n v="25"/>
    <n v="1440.25"/>
    <n v="4320.74"/>
    <n v="-215.08"/>
    <s v="Food &amp; Beverages"/>
    <n v="215.08"/>
    <s v="Small"/>
    <s v="Small"/>
    <s v="No Discount"/>
  </r>
  <r>
    <s v="ORD-10930"/>
    <x v="82"/>
    <d v="2023-03-11T00:00:00"/>
    <s v="Same Day"/>
    <s v="Musa"/>
    <s v="Alakija"/>
    <s v="musa.alakija@hotmail.com"/>
    <n v="9022122405"/>
    <x v="0"/>
    <x v="1"/>
    <x v="5"/>
    <x v="3"/>
    <s v="Storage"/>
    <x v="7"/>
    <n v="13"/>
    <n v="140584.31"/>
    <n v="10"/>
    <n v="182759.6"/>
    <n v="1644836.43"/>
    <n v="387386"/>
    <s v="Furniture"/>
    <n v="387386"/>
    <s v="Small"/>
    <s v="Small"/>
    <s v="No Discount"/>
  </r>
  <r>
    <s v="ORD-10039"/>
    <x v="82"/>
    <d v="2023-03-12T00:00:00"/>
    <s v="Same Day"/>
    <s v="Tobi"/>
    <s v="Osei"/>
    <s v="tobi.osei@outlook.com"/>
    <n v="9055635017"/>
    <x v="0"/>
    <x v="1"/>
    <x v="7"/>
    <x v="4"/>
    <s v="Drinks"/>
    <x v="69"/>
    <n v="3"/>
    <n v="7600.08"/>
    <n v="5"/>
    <n v="1140.01"/>
    <n v="1644836.43"/>
    <n v="6109.16"/>
    <s v="Food &amp; Beverages"/>
    <n v="6109.16"/>
    <s v="Small"/>
    <s v="Small"/>
    <s v="No Discount"/>
  </r>
  <r>
    <s v="ORD-10428"/>
    <x v="82"/>
    <d v="2023-03-12T00:00:00"/>
    <s v="Same Day"/>
    <s v="Oluwaseun"/>
    <s v="Atiku"/>
    <s v="oluwaseun.atiku@outlook.com"/>
    <n v="8062598523"/>
    <x v="2"/>
    <x v="3"/>
    <x v="11"/>
    <x v="4"/>
    <s v="Drinks"/>
    <x v="58"/>
    <n v="8"/>
    <n v="2863.04"/>
    <n v="20"/>
    <n v="4580.8599999999997"/>
    <n v="18323.46"/>
    <n v="7236.59"/>
    <s v="Food &amp; Beverages"/>
    <n v="7236.59"/>
    <s v="Small"/>
    <s v="Small"/>
    <s v="No Discount"/>
  </r>
  <r>
    <s v="ORD-10707"/>
    <x v="443"/>
    <d v="2023-03-14T00:00:00"/>
    <s v="Same Day"/>
    <s v="Chidinma"/>
    <s v="Adebayo"/>
    <s v="chidinma.adebayo@yahoo.com"/>
    <n v="9011179053"/>
    <x v="2"/>
    <x v="1"/>
    <x v="7"/>
    <x v="3"/>
    <s v="Storage"/>
    <x v="16"/>
    <n v="1"/>
    <n v="98472.45"/>
    <n v="10"/>
    <n v="9847.25"/>
    <n v="88625.2"/>
    <n v="4171.67"/>
    <s v="Furniture"/>
    <n v="4171.67"/>
    <s v="Small"/>
    <s v="Small"/>
    <s v="No Discount"/>
  </r>
  <r>
    <s v="ORD-10878"/>
    <x v="443"/>
    <d v="2023-03-14T00:00:00"/>
    <s v="Same Day"/>
    <s v="Kunle"/>
    <s v="Sanusi"/>
    <s v="kunle.sanusi@hotmail.com"/>
    <n v="8132661733"/>
    <x v="0"/>
    <x v="3"/>
    <x v="11"/>
    <x v="3"/>
    <s v="Storage"/>
    <x v="7"/>
    <n v="18"/>
    <n v="116944.21"/>
    <n v="0"/>
    <n v="0"/>
    <n v="2104995.7799999998"/>
    <n v="-131209.78"/>
    <s v="Furniture"/>
    <n v="131209.78"/>
    <s v="Large"/>
    <s v="Large"/>
    <s v="Offer Discount"/>
  </r>
  <r>
    <s v="ORD-10170"/>
    <x v="85"/>
    <d v="2023-03-21T00:00:00"/>
    <s v="Same Day"/>
    <s v="Yemi"/>
    <s v="Okafor"/>
    <s v="yemi.okafor@gmail.com"/>
    <n v="9057442986"/>
    <x v="1"/>
    <x v="3"/>
    <x v="18"/>
    <x v="0"/>
    <s v="Envelopes"/>
    <x v="125"/>
    <n v="8"/>
    <n v="19881.38"/>
    <n v="10"/>
    <n v="15905.1"/>
    <n v="143145.94"/>
    <n v="33893"/>
    <s v="Office Supplies"/>
    <n v="33893"/>
    <s v="Small"/>
    <s v="Small"/>
    <s v="No Discount"/>
  </r>
  <r>
    <s v="ORD-10029"/>
    <x v="280"/>
    <d v="2023-03-25T00:00:00"/>
    <s v="Same Day"/>
    <s v="Ronke"/>
    <s v="Fashola"/>
    <s v="ronke.fashola@gmail.com"/>
    <n v="8155180853"/>
    <x v="0"/>
    <x v="3"/>
    <x v="22"/>
    <x v="2"/>
    <s v="Accessories"/>
    <x v="24"/>
    <n v="17"/>
    <n v="363616.22"/>
    <n v="25"/>
    <n v="1545368.93"/>
    <n v="4636106.8099999996"/>
    <n v="960932.31"/>
    <s v="Technology"/>
    <n v="960932.31"/>
    <s v="Large"/>
    <s v="Large"/>
    <s v="Offer Discount"/>
  </r>
  <r>
    <s v="ORD-10002"/>
    <x v="444"/>
    <d v="2023-03-29T00:00:00"/>
    <s v="Same Day"/>
    <s v="Lanre"/>
    <s v="Chukwu"/>
    <s v="lanre.chukwu@gmail.com"/>
    <n v="9023678638"/>
    <x v="0"/>
    <x v="2"/>
    <x v="20"/>
    <x v="1"/>
    <s v="Shoes"/>
    <x v="87"/>
    <n v="11"/>
    <n v="8685.6200000000008"/>
    <n v="0"/>
    <n v="0"/>
    <n v="95541.82"/>
    <n v="-9014.61"/>
    <s v="Clothing"/>
    <n v="9014.61"/>
    <s v="Small"/>
    <s v="Small"/>
    <s v="No Discount"/>
  </r>
  <r>
    <s v="ORD-10317"/>
    <x v="445"/>
    <d v="2023-04-01T00:00:00"/>
    <s v="Same Day"/>
    <s v="Ibrahim"/>
    <s v="Musa"/>
    <s v="ibrahim.musa@yahoo.com"/>
    <n v="8149219877"/>
    <x v="1"/>
    <x v="1"/>
    <x v="19"/>
    <x v="0"/>
    <s v="Art Supplies"/>
    <x v="78"/>
    <n v="14"/>
    <n v="22245.88"/>
    <n v="15"/>
    <n v="46716.35"/>
    <n v="264725.96999999997"/>
    <n v="83581.62"/>
    <s v="Office Supplies"/>
    <n v="83581.62"/>
    <s v="Small"/>
    <s v="Medium"/>
    <s v="No Discount"/>
  </r>
  <r>
    <s v="ORD-10452"/>
    <x v="89"/>
    <d v="2023-04-13T00:00:00"/>
    <s v="Same Day"/>
    <s v="Oluwaseun"/>
    <s v="Ogundipe"/>
    <s v="oluwaseun.ogundipe@hotmail.com"/>
    <n v="8149659648"/>
    <x v="2"/>
    <x v="3"/>
    <x v="18"/>
    <x v="0"/>
    <s v="Paper"/>
    <x v="89"/>
    <n v="1"/>
    <n v="4066.82"/>
    <n v="25"/>
    <n v="1016.71"/>
    <n v="3050.11"/>
    <n v="1269.4100000000001"/>
    <s v="Office Supplies"/>
    <n v="1269.4100000000001"/>
    <s v="Small"/>
    <s v="Small"/>
    <s v="No Discount"/>
  </r>
  <r>
    <s v="ORD-10691"/>
    <x v="285"/>
    <d v="2023-04-16T00:00:00"/>
    <s v="Same Day"/>
    <s v="Aisha"/>
    <s v="Adebayo"/>
    <s v="aisha.adebayo@outlook.com"/>
    <n v="7064617421"/>
    <x v="2"/>
    <x v="3"/>
    <x v="18"/>
    <x v="4"/>
    <s v="Snacks"/>
    <x v="42"/>
    <n v="1"/>
    <n v="577.78"/>
    <n v="25"/>
    <n v="144.44"/>
    <n v="433.34"/>
    <n v="-38.35"/>
    <s v="Food &amp; Beverages"/>
    <n v="38.35"/>
    <s v="Small"/>
    <s v="Small"/>
    <s v="No Discount"/>
  </r>
  <r>
    <s v="ORD-10446"/>
    <x v="446"/>
    <d v="2023-04-21T00:00:00"/>
    <s v="Same Day"/>
    <s v="Lanre"/>
    <s v="Sowore"/>
    <s v="lanre.sowore@outlook.com"/>
    <n v="9058859576"/>
    <x v="1"/>
    <x v="3"/>
    <x v="16"/>
    <x v="3"/>
    <s v="Bookcases"/>
    <x v="84"/>
    <n v="12"/>
    <n v="173086.18"/>
    <n v="20"/>
    <n v="415406.83"/>
    <n v="1661627.33"/>
    <n v="548092.81999999995"/>
    <s v="Furniture"/>
    <n v="548092.81999999995"/>
    <s v="Small"/>
    <s v="Small"/>
    <s v="No Discount"/>
  </r>
  <r>
    <s v="ORD-10688"/>
    <x v="447"/>
    <d v="2023-04-26T00:00:00"/>
    <s v="Same Day"/>
    <s v="Nike"/>
    <s v="Chukwu"/>
    <s v="nike.chukwu@yahoo.com"/>
    <n v="8037861979"/>
    <x v="1"/>
    <x v="3"/>
    <x v="24"/>
    <x v="2"/>
    <s v="Printers"/>
    <x v="114"/>
    <n v="11"/>
    <n v="128798.29"/>
    <n v="15"/>
    <n v="212517.18"/>
    <n v="1204264.01"/>
    <n v="102154.15"/>
    <s v="Technology"/>
    <n v="102154.15"/>
    <s v="Small"/>
    <s v="Small"/>
    <s v="No Discount"/>
  </r>
  <r>
    <s v="ORD-10332"/>
    <x v="448"/>
    <d v="2023-05-03T00:00:00"/>
    <s v="Same Day"/>
    <s v="Olumide"/>
    <s v="Gambo"/>
    <s v="olumide.gambo@outlook.com"/>
    <n v="8139809723"/>
    <x v="0"/>
    <x v="0"/>
    <x v="14"/>
    <x v="0"/>
    <s v="Binders"/>
    <x v="65"/>
    <n v="2"/>
    <n v="9668.2800000000007"/>
    <n v="5"/>
    <n v="966.83"/>
    <n v="18369.73"/>
    <n v="7311.38"/>
    <s v="Office Supplies"/>
    <n v="7311.38"/>
    <s v="Small"/>
    <s v="Small"/>
    <s v="No Discount"/>
  </r>
  <r>
    <s v="ORD-10012"/>
    <x v="449"/>
    <d v="2023-05-14T00:00:00"/>
    <s v="Same Day"/>
    <s v="Chibundo"/>
    <s v="Nwosu"/>
    <s v="chibundo.nwosu@gmail.com"/>
    <n v="8068231838"/>
    <x v="2"/>
    <x v="3"/>
    <x v="25"/>
    <x v="0"/>
    <s v="Envelopes"/>
    <x v="0"/>
    <n v="2"/>
    <n v="11942.1"/>
    <n v="0"/>
    <n v="0"/>
    <n v="23884.2"/>
    <n v="-2714.02"/>
    <s v="Office Supplies"/>
    <n v="2714.02"/>
    <s v="Small"/>
    <s v="Small"/>
    <s v="No Discount"/>
  </r>
  <r>
    <s v="ORD-10012"/>
    <x v="449"/>
    <d v="2023-05-14T00:00:00"/>
    <s v="Same Day"/>
    <s v="Chibundo"/>
    <s v="Nwosu"/>
    <s v="chibundo.nwosu@gmail.com"/>
    <n v="8068231838"/>
    <x v="2"/>
    <x v="3"/>
    <x v="6"/>
    <x v="0"/>
    <s v="Envelopes"/>
    <x v="0"/>
    <n v="2"/>
    <n v="11942.1"/>
    <n v="0"/>
    <n v="0"/>
    <n v="23884.2"/>
    <n v="-2714.02"/>
    <s v="Office Supplies"/>
    <n v="2714.02"/>
    <s v="Small"/>
    <s v="Small"/>
    <s v="No Discount"/>
  </r>
  <r>
    <s v="ORD-10741"/>
    <x v="450"/>
    <d v="2023-05-18T00:00:00"/>
    <s v="Same Day"/>
    <s v="Hauwa"/>
    <s v="Sule"/>
    <s v="hauwa.sule@yahoo.com"/>
    <n v="8149392214"/>
    <x v="1"/>
    <x v="3"/>
    <x v="6"/>
    <x v="2"/>
    <s v="Printers"/>
    <x v="114"/>
    <n v="2"/>
    <n v="394357.17"/>
    <n v="5"/>
    <n v="118307.15"/>
    <n v="2247835.87"/>
    <n v="286210.96000000002"/>
    <s v="Technology"/>
    <n v="286210.96000000002"/>
    <s v="Small"/>
    <s v="Small"/>
    <s v="No Discount"/>
  </r>
  <r>
    <s v="ORD-10185"/>
    <x v="451"/>
    <d v="2023-05-27T00:00:00"/>
    <s v="Same Day"/>
    <s v="Adebayo"/>
    <s v="Bello"/>
    <s v="adebayo.bello@yahoo.com"/>
    <n v="8061200603"/>
    <x v="1"/>
    <x v="3"/>
    <x v="22"/>
    <x v="2"/>
    <s v="Phones"/>
    <x v="54"/>
    <n v="13"/>
    <n v="101187.87"/>
    <n v="10"/>
    <n v="131544.23000000001"/>
    <n v="1183898.08"/>
    <n v="309910.37"/>
    <s v="Technology"/>
    <n v="309910.37"/>
    <s v="Small"/>
    <s v="Small"/>
    <s v="No Discount"/>
  </r>
  <r>
    <s v="ORD-10901"/>
    <x v="452"/>
    <d v="2023-05-31T00:00:00"/>
    <s v="Same Day"/>
    <s v="Aisha"/>
    <s v="Dangote"/>
    <s v="aisha.dangote@hotmail.com"/>
    <n v="8101610970"/>
    <x v="2"/>
    <x v="0"/>
    <x v="8"/>
    <x v="3"/>
    <s v="Chairs"/>
    <x v="38"/>
    <n v="10"/>
    <n v="179090.91"/>
    <n v="0"/>
    <n v="0"/>
    <n v="1790909.1"/>
    <n v="380814.35"/>
    <s v="Furniture"/>
    <n v="380814.35"/>
    <s v="Small"/>
    <s v="Small"/>
    <s v="No Discount"/>
  </r>
  <r>
    <s v="ORD-10901"/>
    <x v="452"/>
    <d v="2023-05-31T00:00:00"/>
    <s v="Same Day"/>
    <s v="Aisha"/>
    <s v="Dangote"/>
    <s v="aisha.dangote@hotmail.com"/>
    <n v="8101610970"/>
    <x v="2"/>
    <x v="0"/>
    <x v="8"/>
    <x v="3"/>
    <s v="Chairs"/>
    <x v="38"/>
    <n v="10"/>
    <n v="179090.91"/>
    <n v="0"/>
    <n v="0"/>
    <n v="1790909.1"/>
    <n v="380814.35"/>
    <s v="Furniture"/>
    <n v="380814.35"/>
    <s v="Small"/>
    <s v="Small"/>
    <s v="No Discount"/>
  </r>
  <r>
    <s v="ORD-10801"/>
    <x v="453"/>
    <d v="2023-06-02T00:00:00"/>
    <s v="Same Day"/>
    <s v="Sade"/>
    <s v="Adeyemi"/>
    <s v="sade.adeyemi@outlook.com"/>
    <n v="7064365631"/>
    <x v="2"/>
    <x v="0"/>
    <x v="0"/>
    <x v="3"/>
    <s v="Bookcases"/>
    <x v="105"/>
    <n v="4"/>
    <n v="66431.87"/>
    <n v="25"/>
    <n v="66431.87"/>
    <n v="199295.61"/>
    <n v="928.86"/>
    <s v="Furniture"/>
    <n v="928.86"/>
    <s v="Small"/>
    <s v="Small"/>
    <s v="No Discount"/>
  </r>
  <r>
    <s v="ORD-10566"/>
    <x v="454"/>
    <d v="2023-06-03T00:00:00"/>
    <s v="Same Day"/>
    <s v="Uchenna"/>
    <s v="Fashola"/>
    <s v="uchenna.fashola@gmail.com"/>
    <n v="7062135960"/>
    <x v="0"/>
    <x v="2"/>
    <x v="13"/>
    <x v="1"/>
    <s v="Bags"/>
    <x v="1"/>
    <n v="17"/>
    <n v="42047.29"/>
    <n v="0"/>
    <n v="0"/>
    <n v="714803.93"/>
    <n v="-35625.06"/>
    <s v="Clothing"/>
    <n v="35625.06"/>
    <s v="Large"/>
    <s v="Large"/>
    <s v="No Discount"/>
  </r>
  <r>
    <s v="ORD-10789"/>
    <x v="455"/>
    <d v="2023-06-05T00:00:00"/>
    <s v="Same Day"/>
    <s v="Obinna"/>
    <s v="Adebayo"/>
    <s v="obinna.adebayo@yahoo.com"/>
    <n v="8168482755"/>
    <x v="2"/>
    <x v="1"/>
    <x v="19"/>
    <x v="2"/>
    <s v="Tablets"/>
    <x v="93"/>
    <n v="9"/>
    <n v="319110.43"/>
    <n v="0"/>
    <n v="0"/>
    <n v="2871993.87"/>
    <n v="-69994.48"/>
    <s v="Technology"/>
    <n v="69994.48"/>
    <s v="Small"/>
    <s v="Small"/>
    <s v="No Discount"/>
  </r>
  <r>
    <s v="ORD-10263"/>
    <x v="456"/>
    <d v="2023-06-12T00:00:00"/>
    <s v="Same Day"/>
    <s v="Chidi"/>
    <s v="Obi"/>
    <s v="chidi.obi@gmail.com"/>
    <n v="9059766777"/>
    <x v="1"/>
    <x v="3"/>
    <x v="22"/>
    <x v="2"/>
    <s v="Printers"/>
    <x v="127"/>
    <n v="7"/>
    <n v="178138"/>
    <n v="10"/>
    <n v="124696.6"/>
    <n v="1122269.3999999999"/>
    <n v="106960.18"/>
    <s v="Technology"/>
    <n v="106960.18"/>
    <s v="Small"/>
    <s v="Small"/>
    <s v="No Discount"/>
  </r>
  <r>
    <s v="ORD-10592"/>
    <x v="294"/>
    <d v="2023-06-14T00:00:00"/>
    <s v="Same Day"/>
    <s v="Tobi"/>
    <s v="Buhari"/>
    <s v="tobi.buhari@hotmail.com"/>
    <n v="9073356313"/>
    <x v="2"/>
    <x v="2"/>
    <x v="10"/>
    <x v="2"/>
    <s v="Printers"/>
    <x v="104"/>
    <n v="10"/>
    <n v="32222.799999999999"/>
    <n v="15"/>
    <n v="48334.2"/>
    <n v="273893.8"/>
    <n v="26134.93"/>
    <s v="Technology"/>
    <n v="26134.93"/>
    <s v="Small"/>
    <s v="Small"/>
    <s v="No Discount"/>
  </r>
  <r>
    <s v="ORD-10607"/>
    <x v="102"/>
    <d v="2023-06-17T00:00:00"/>
    <s v="Same Day"/>
    <s v="Chisom"/>
    <s v="Nwosu"/>
    <s v="chisom.nwosu@gmail.com"/>
    <n v="8061430171"/>
    <x v="0"/>
    <x v="3"/>
    <x v="6"/>
    <x v="1"/>
    <s v="Shirts"/>
    <x v="12"/>
    <n v="20"/>
    <n v="8581.09"/>
    <n v="25"/>
    <n v="42905.45"/>
    <n v="128716.35"/>
    <n v="51789.88"/>
    <s v="Clothing"/>
    <n v="51789.88"/>
    <s v="Large"/>
    <s v="Large"/>
    <s v="No Discount"/>
  </r>
  <r>
    <s v="ORD-10916"/>
    <x v="102"/>
    <d v="2023-06-17T00:00:00"/>
    <s v="Same Day"/>
    <s v="Dayo"/>
    <s v="Bello"/>
    <s v="dayo.bello@hotmail.com"/>
    <n v="9054754605"/>
    <x v="0"/>
    <x v="0"/>
    <x v="0"/>
    <x v="0"/>
    <s v="Paper"/>
    <x v="89"/>
    <n v="6"/>
    <n v="21377.83"/>
    <n v="20"/>
    <n v="25653.4"/>
    <n v="102613.58"/>
    <n v="34494.83"/>
    <s v="Office Supplies"/>
    <n v="34494.83"/>
    <s v="Small"/>
    <s v="Small"/>
    <s v="No Discount"/>
  </r>
  <r>
    <s v="ORD-10676"/>
    <x v="457"/>
    <d v="2023-06-25T00:00:00"/>
    <s v="Same Day"/>
    <s v="Yemi"/>
    <s v="Okafor"/>
    <s v="yemi.okafor@gmail.com"/>
    <n v="8038238024"/>
    <x v="0"/>
    <x v="2"/>
    <x v="10"/>
    <x v="2"/>
    <s v="Phones"/>
    <x v="100"/>
    <n v="17"/>
    <n v="72584.320000000007"/>
    <n v="15"/>
    <n v="185090.02"/>
    <n v="1048843.42"/>
    <n v="411730.02"/>
    <s v="Technology"/>
    <n v="411730.02"/>
    <s v="Large"/>
    <s v="Large"/>
    <s v="Offer Discount"/>
  </r>
  <r>
    <s v="ORD-10907"/>
    <x v="458"/>
    <d v="2023-07-02T00:00:00"/>
    <s v="Same Day"/>
    <s v="Seun"/>
    <s v="Buhari"/>
    <s v="seun.buhari@yahoo.com"/>
    <n v="8067440597"/>
    <x v="1"/>
    <x v="1"/>
    <x v="16"/>
    <x v="0"/>
    <s v="Envelopes"/>
    <x v="77"/>
    <n v="10"/>
    <n v="1526.35"/>
    <n v="0"/>
    <n v="0"/>
    <n v="15263.5"/>
    <n v="6443.27"/>
    <s v="Office Supplies"/>
    <n v="6443.27"/>
    <s v="Small"/>
    <s v="Small"/>
    <s v="No Discount"/>
  </r>
  <r>
    <s v="ORD-10206"/>
    <x v="459"/>
    <d v="2023-07-06T00:00:00"/>
    <s v="Same Day"/>
    <s v="Amara"/>
    <s v="Osei"/>
    <s v="amara.osei@outlook.com"/>
    <n v="8165703436"/>
    <x v="0"/>
    <x v="0"/>
    <x v="0"/>
    <x v="1"/>
    <s v="Shirts"/>
    <x v="131"/>
    <n v="15"/>
    <n v="7778.58"/>
    <n v="10"/>
    <n v="11667.87"/>
    <n v="105010.83"/>
    <n v="1223.58"/>
    <s v="Clothing"/>
    <n v="1223.58"/>
    <s v="Large"/>
    <s v="Large"/>
    <s v="No Discount"/>
  </r>
  <r>
    <s v="ORD-10005"/>
    <x v="460"/>
    <d v="2023-07-07T00:00:00"/>
    <s v="Same Day"/>
    <s v="Chisom"/>
    <s v="Gambo"/>
    <s v="chisom.gambo@gmail.com"/>
    <s v="00000000000"/>
    <x v="1"/>
    <x v="3"/>
    <x v="18"/>
    <x v="0"/>
    <s v="Envelopes"/>
    <x v="125"/>
    <n v="19"/>
    <n v="2121.62"/>
    <n v="10"/>
    <n v="4031.08"/>
    <n v="36279.699999999997"/>
    <n v="-813.54"/>
    <s v="Office Supplies"/>
    <n v="813.54"/>
    <s v="Large"/>
    <s v="Large"/>
    <s v="No Discount"/>
  </r>
  <r>
    <s v="ORD-10041"/>
    <x v="461"/>
    <d v="2023-07-10T00:00:00"/>
    <s v="Same Day"/>
    <s v="Tobi"/>
    <s v="Abubakar"/>
    <s v="tobi.abubakar@gmail.com"/>
    <n v="9014231028"/>
    <x v="2"/>
    <x v="0"/>
    <x v="17"/>
    <x v="0"/>
    <s v="Paper"/>
    <x v="32"/>
    <n v="6"/>
    <n v="23796.5"/>
    <n v="5"/>
    <n v="7138.95"/>
    <n v="135640.04999999999"/>
    <n v="-2735.75"/>
    <s v="Office Supplies"/>
    <n v="2735.75"/>
    <s v="Small"/>
    <s v="Small"/>
    <s v="No Discount"/>
  </r>
  <r>
    <s v="ORD-10315"/>
    <x v="108"/>
    <d v="2023-07-15T00:00:00"/>
    <s v="Same Day"/>
    <s v="Musa"/>
    <s v="Bello"/>
    <s v="musa.bello@yahoo.com"/>
    <n v="8101439533"/>
    <x v="1"/>
    <x v="1"/>
    <x v="5"/>
    <x v="4"/>
    <s v="Condiments"/>
    <x v="74"/>
    <n v="20"/>
    <n v="4963.1499999999996"/>
    <n v="5"/>
    <n v="4963.1499999999996"/>
    <n v="94299.85"/>
    <n v="19597.060000000001"/>
    <s v="Food &amp; Beverages"/>
    <n v="19597.060000000001"/>
    <s v="Large"/>
    <s v="Large"/>
    <s v="No Discount"/>
  </r>
  <r>
    <s v="ORD-10758"/>
    <x v="462"/>
    <d v="2023-07-16T00:00:00"/>
    <s v="Same Day"/>
    <s v="Tunde"/>
    <s v="Abubakar"/>
    <s v="tunde.abubakar@yahoo.com"/>
    <n v="7039047740"/>
    <x v="2"/>
    <x v="3"/>
    <x v="18"/>
    <x v="4"/>
    <s v="Cooking Oil"/>
    <x v="41"/>
    <n v="13"/>
    <n v="6315.46"/>
    <n v="20"/>
    <n v="16420.2"/>
    <n v="65680.78"/>
    <n v="-6.06"/>
    <s v="Food &amp; Beverages"/>
    <n v="6.06"/>
    <s v="Small"/>
    <s v="Small"/>
    <s v="No Discount"/>
  </r>
  <r>
    <s v="ORD-10540"/>
    <x v="110"/>
    <d v="2023-07-19T00:00:00"/>
    <s v="Same Day"/>
    <s v="***Uchenna"/>
    <s v="Okonkwo"/>
    <s v="uchenna.okonkwo@gmail.com"/>
    <n v="8062386418"/>
    <x v="2"/>
    <x v="2"/>
    <x v="12"/>
    <x v="2"/>
    <s v="Accessories"/>
    <x v="11"/>
    <n v="19"/>
    <n v="112846.74"/>
    <n v="20"/>
    <n v="428817.61"/>
    <n v="1715270.45"/>
    <n v="24416.68"/>
    <s v="Technology"/>
    <n v="24416.68"/>
    <s v="Large"/>
    <s v="Large"/>
    <s v="Offer Discount"/>
  </r>
  <r>
    <s v="ORD-10976"/>
    <x v="110"/>
    <d v="2023-07-19T00:00:00"/>
    <s v="Same Day"/>
    <s v="Adaeze"/>
    <s v="Ogundipe"/>
    <s v="adaeze.ogundipe@gmail.com"/>
    <n v="8065280661"/>
    <x v="0"/>
    <x v="3"/>
    <x v="22"/>
    <x v="2"/>
    <s v="Tablets"/>
    <x v="36"/>
    <n v="14"/>
    <n v="241060.91"/>
    <n v="0"/>
    <n v="0"/>
    <n v="3374852.74"/>
    <n v="1173604.52"/>
    <s v="Technology"/>
    <n v="1173604.52"/>
    <s v="Small"/>
    <s v="Medium"/>
    <s v="No Discount"/>
  </r>
  <r>
    <s v="ORD-10049"/>
    <x v="463"/>
    <d v="2023-07-24T00:00:00"/>
    <s v="Same Day"/>
    <s v="Lanre"/>
    <s v="Ogundipe"/>
    <s v="lanre.ogundipe@hotmail.com"/>
    <n v="8068885465"/>
    <x v="2"/>
    <x v="3"/>
    <x v="16"/>
    <x v="0"/>
    <s v="Envelopes"/>
    <x v="125"/>
    <n v="4"/>
    <n v="8365.93"/>
    <n v="0"/>
    <n v="0"/>
    <n v="33463.72"/>
    <n v="1602.32"/>
    <s v="Office Supplies"/>
    <n v="1602.32"/>
    <s v="Small"/>
    <s v="Small"/>
    <s v="No Discount"/>
  </r>
  <r>
    <s v="ORD-10049"/>
    <x v="463"/>
    <d v="2023-07-24T00:00:00"/>
    <s v="Same Day"/>
    <s v="Lanre"/>
    <s v="Ogundipe"/>
    <s v="lanre.ogundipe@hotmail.com"/>
    <n v="8068885465"/>
    <x v="2"/>
    <x v="3"/>
    <x v="16"/>
    <x v="0"/>
    <s v="Envelopes"/>
    <x v="125"/>
    <n v="4"/>
    <n v="8365.93"/>
    <n v="0"/>
    <n v="0"/>
    <n v="33463.72"/>
    <n v="1602.32"/>
    <s v="Office Supplies"/>
    <n v="1602.32"/>
    <s v="Small"/>
    <s v="Small"/>
    <s v="No Discount"/>
  </r>
  <r>
    <s v="ORD-10921"/>
    <x v="463"/>
    <d v="2023-07-24T00:00:00"/>
    <s v="Same Day"/>
    <s v="Fatima"/>
    <s v="Ogundipe"/>
    <s v="fatima.ogundipe@gmail.com"/>
    <n v="9021154772"/>
    <x v="2"/>
    <x v="3"/>
    <x v="18"/>
    <x v="0"/>
    <s v="Fasteners"/>
    <x v="110"/>
    <n v="12"/>
    <n v="20105.11"/>
    <n v="10"/>
    <n v="24126.13"/>
    <n v="217135.19"/>
    <n v="-32213.66"/>
    <s v="Office Supplies"/>
    <n v="32213.66"/>
    <s v="Small"/>
    <s v="Small"/>
    <s v="No Discount"/>
  </r>
  <r>
    <s v="ORD-10579"/>
    <x v="112"/>
    <d v="2023-07-25T00:00:00"/>
    <s v="Same Day"/>
    <s v="Sade"/>
    <s v="Osei"/>
    <s v="sade.osei@yahoo.com"/>
    <n v="8107459520"/>
    <x v="0"/>
    <x v="1"/>
    <x v="19"/>
    <x v="0"/>
    <s v="Pens &amp; Pencils"/>
    <x v="67"/>
    <n v="14"/>
    <n v="10883.89"/>
    <n v="10"/>
    <n v="15237.45"/>
    <n v="137137.01"/>
    <n v="-9197.4"/>
    <s v="Office Supplies"/>
    <n v="9197.4"/>
    <s v="Small"/>
    <s v="Medium"/>
    <s v="No Discount"/>
  </r>
  <r>
    <s v="ORD-10374"/>
    <x v="113"/>
    <d v="2023-07-26T00:00:00"/>
    <s v="Same Day"/>
    <s v="Oluwaseun"/>
    <s v="Atiku"/>
    <s v="oluwaseun.atiku@yahoo.com"/>
    <n v="8136491114"/>
    <x v="1"/>
    <x v="3"/>
    <x v="6"/>
    <x v="1"/>
    <s v="Accessories"/>
    <x v="24"/>
    <n v="19"/>
    <n v="40348.370000000003"/>
    <n v="0"/>
    <n v="0"/>
    <n v="766619.03"/>
    <n v="305308.2"/>
    <s v="Clothing"/>
    <n v="305308.2"/>
    <s v="Large"/>
    <s v="Large"/>
    <s v="No Discount"/>
  </r>
  <r>
    <s v="ORD-10111"/>
    <x v="114"/>
    <d v="2023-07-27T00:00:00"/>
    <s v="Same Day"/>
    <s v="Kemi"/>
    <s v="Bello"/>
    <s v="kemi.bello@hotmail.com"/>
    <n v="7036688907"/>
    <x v="1"/>
    <x v="0"/>
    <x v="1"/>
    <x v="4"/>
    <s v="Grains"/>
    <x v="117"/>
    <n v="17"/>
    <n v="1832.75"/>
    <n v="15"/>
    <n v="4673.51"/>
    <n v="26483.24"/>
    <n v="3973.72"/>
    <s v="Food &amp; Beverages"/>
    <n v="3973.72"/>
    <s v="Large"/>
    <s v="Large"/>
    <s v="No Discount"/>
  </r>
  <r>
    <s v="ORD-10727"/>
    <x v="464"/>
    <d v="2023-07-31T00:00:00"/>
    <s v="Same Day"/>
    <s v="Bola"/>
    <s v="Lawal"/>
    <s v="bola.lawal@hotmail.com"/>
    <n v="8147158985"/>
    <x v="0"/>
    <x v="1"/>
    <x v="13"/>
    <x v="2"/>
    <s v="Printers"/>
    <x v="114"/>
    <n v="11"/>
    <n v="124762.16"/>
    <n v="10"/>
    <n v="137238.38"/>
    <n v="1235145.3799999999"/>
    <n v="383018.89"/>
    <s v="Technology"/>
    <n v="383018.89"/>
    <s v="Small"/>
    <s v="Small"/>
    <s v="No Discount"/>
  </r>
  <r>
    <s v="ORD-10685"/>
    <x v="465"/>
    <d v="2023-08-02T00:00:00"/>
    <s v="Same Day"/>
    <s v="Musa"/>
    <s v="Tinubu"/>
    <s v="musa.tinubu@gmail.com"/>
    <n v="8154593496"/>
    <x v="0"/>
    <x v="3"/>
    <x v="16"/>
    <x v="2"/>
    <s v="Accessories"/>
    <x v="34"/>
    <n v="20"/>
    <n v="228450.65"/>
    <n v="5"/>
    <n v="228450.65"/>
    <n v="4340562.3499999996"/>
    <n v="1197970.49"/>
    <s v="Technology"/>
    <n v="1197970.49"/>
    <s v="Large"/>
    <s v="Large"/>
    <s v="Offer Discount"/>
  </r>
  <r>
    <s v="ORD-10110"/>
    <x v="305"/>
    <d v="2023-08-09T00:00:00"/>
    <s v="Same Day"/>
    <s v="Yemi"/>
    <s v="Ogundipe"/>
    <s v="yemi.ogundipe@yahoo.com"/>
    <n v="8167136730"/>
    <x v="2"/>
    <x v="0"/>
    <x v="14"/>
    <x v="1"/>
    <s v="Shoes"/>
    <x v="56"/>
    <n v="19"/>
    <n v="19225.009999999998"/>
    <n v="25"/>
    <n v="91318.8"/>
    <n v="273956.39"/>
    <n v="-9097.2199999999993"/>
    <s v="Clothing"/>
    <n v="9097.2199999999993"/>
    <s v="Large"/>
    <s v="Large"/>
    <s v="No Discount"/>
  </r>
  <r>
    <s v="ORD-10665"/>
    <x v="118"/>
    <d v="2023-08-13T00:00:00"/>
    <s v="Same Day"/>
    <s v="Oluwaseun"/>
    <s v="Danjuma"/>
    <s v="oluwaseun.danjuma@outlook.com"/>
    <n v="8107397002"/>
    <x v="2"/>
    <x v="2"/>
    <x v="4"/>
    <x v="1"/>
    <s v="Trousers"/>
    <x v="13"/>
    <n v="9"/>
    <n v="41031.64"/>
    <n v="10"/>
    <n v="36928.480000000003"/>
    <n v="332356.28000000003"/>
    <n v="-32796.21"/>
    <s v="Clothing"/>
    <n v="32796.21"/>
    <s v="Small"/>
    <s v="Small"/>
    <s v="No Discount"/>
  </r>
  <r>
    <s v="ORD-10738"/>
    <x v="306"/>
    <d v="2023-08-14T00:00:00"/>
    <s v="Same Day"/>
    <s v="Bukola"/>
    <s v="Gambo"/>
    <s v="bukola.gambo@outlook.com"/>
    <n v="9028784988"/>
    <x v="0"/>
    <x v="1"/>
    <x v="2"/>
    <x v="3"/>
    <s v="Chairs"/>
    <x v="133"/>
    <n v="14"/>
    <n v="107787.15"/>
    <n v="15"/>
    <n v="226353.01"/>
    <n v="332356.28000000003"/>
    <n v="123362.15"/>
    <s v="Furniture"/>
    <n v="123362.15"/>
    <s v="Small"/>
    <s v="Medium"/>
    <s v="No Discount"/>
  </r>
  <r>
    <s v="ORD-10402"/>
    <x v="466"/>
    <d v="2023-08-20T00:00:00"/>
    <s v="Same Day"/>
    <s v="Musa"/>
    <s v="Lawal"/>
    <s v="musa.lawal@gmail.com"/>
    <s v="0803-123-4567"/>
    <x v="0"/>
    <x v="0"/>
    <x v="14"/>
    <x v="0"/>
    <s v="Binders"/>
    <x v="65"/>
    <n v="16"/>
    <n v="24968.720000000001"/>
    <n v="0"/>
    <n v="0"/>
    <n v="399499.52000000002"/>
    <n v="35084.79"/>
    <s v="Office Supplies"/>
    <n v="35084.79"/>
    <s v="Large"/>
    <s v="Large"/>
    <s v="No Discount"/>
  </r>
  <r>
    <s v="ORD-10785"/>
    <x v="467"/>
    <d v="2023-08-20T00:00:00"/>
    <s v="Same Day"/>
    <s v="Ronke"/>
    <s v="Bello"/>
    <s v="ronke.bello@gmail.com"/>
    <n v="9017082569"/>
    <x v="0"/>
    <x v="1"/>
    <x v="9"/>
    <x v="3"/>
    <s v="Storage"/>
    <x v="107"/>
    <n v="4"/>
    <n v="80527.95"/>
    <n v="10"/>
    <n v="32211.18"/>
    <n v="289900.62"/>
    <n v="103029.23"/>
    <s v="Furniture"/>
    <n v="103029.23"/>
    <s v="Small"/>
    <s v="Small"/>
    <s v="No Discount"/>
  </r>
  <r>
    <s v="ORD-10615"/>
    <x v="309"/>
    <d v="2023-08-26T00:00:00"/>
    <s v="Same Day"/>
    <s v="Ikenna"/>
    <s v="Okonkwo"/>
    <s v="ikenna.okonkwo@gmail.com"/>
    <n v="8106413691"/>
    <x v="1"/>
    <x v="2"/>
    <x v="20"/>
    <x v="1"/>
    <s v="Trousers"/>
    <x v="136"/>
    <n v="7"/>
    <n v="12548.68"/>
    <n v="10"/>
    <n v="8784.08"/>
    <n v="79056.679999999993"/>
    <n v="5785.25"/>
    <s v="Clothing"/>
    <n v="5785.25"/>
    <s v="Small"/>
    <s v="Small"/>
    <s v="No Discount"/>
  </r>
  <r>
    <s v="ORD-10202"/>
    <x v="468"/>
    <d v="2023-09-05T00:00:00"/>
    <s v="Same Day"/>
    <s v="Ikenna"/>
    <s v="Lawal"/>
    <s v="ikenna.lawal@gmail.com"/>
    <n v="8159670757"/>
    <x v="0"/>
    <x v="1"/>
    <x v="9"/>
    <x v="4"/>
    <s v="Condiments"/>
    <x v="45"/>
    <n v="15"/>
    <n v="1226.17"/>
    <n v="0"/>
    <n v="0"/>
    <n v="18392.55"/>
    <n v="7714.51"/>
    <s v="Food &amp; Beverages"/>
    <n v="7714.51"/>
    <s v="Large"/>
    <s v="Large"/>
    <s v="No Discount"/>
  </r>
  <r>
    <s v="ORD-10536"/>
    <x v="468"/>
    <d v="2023-09-05T00:00:00"/>
    <s v="Same Day"/>
    <s v="Amara"/>
    <s v="Otedola"/>
    <s v="amara.otedola@hotmail.com"/>
    <n v="7038087324"/>
    <x v="1"/>
    <x v="2"/>
    <x v="10"/>
    <x v="1"/>
    <s v="Shoes"/>
    <x v="52"/>
    <n v="17"/>
    <n v="18815.71"/>
    <n v="10"/>
    <n v="31986.71"/>
    <n v="287880.36"/>
    <n v="5590.19"/>
    <s v="Clothing"/>
    <n v="5590.19"/>
    <s v="Large"/>
    <s v="Large"/>
    <s v="No Discount"/>
  </r>
  <r>
    <s v="ORD-10438"/>
    <x v="313"/>
    <d v="2023-09-08T00:00:00"/>
    <s v="Same Day"/>
    <s v="Kemi"/>
    <s v="Sowore"/>
    <s v="kemi.sowore@outlook.com"/>
    <n v="8035171713"/>
    <x v="0"/>
    <x v="1"/>
    <x v="5"/>
    <x v="4"/>
    <s v="Cooking Oil"/>
    <x v="43"/>
    <n v="18"/>
    <n v="4677.72"/>
    <n v="0"/>
    <n v="0"/>
    <n v="84198.96"/>
    <n v="33711.68"/>
    <s v="Food &amp; Beverages"/>
    <n v="33711.68"/>
    <s v="Large"/>
    <s v="Large"/>
    <s v="No Discount"/>
  </r>
  <r>
    <s v="ORD-10663"/>
    <x v="313"/>
    <d v="2023-09-08T00:00:00"/>
    <s v="Same Day"/>
    <s v="Ngozi"/>
    <s v="Chukwu"/>
    <s v="ngozi.chukwu@hotmail.com"/>
    <n v="8141316224"/>
    <x v="1"/>
    <x v="2"/>
    <x v="3"/>
    <x v="1"/>
    <s v="Bags"/>
    <x v="111"/>
    <n v="7"/>
    <n v="3909.87"/>
    <n v="15"/>
    <n v="4105.3599999999997"/>
    <n v="23263.73"/>
    <n v="-915.29"/>
    <s v="Clothing"/>
    <n v="915.29"/>
    <s v="Small"/>
    <s v="Small"/>
    <s v="No Discount"/>
  </r>
  <r>
    <s v="ORD-10429"/>
    <x v="469"/>
    <d v="2023-09-13T00:00:00"/>
    <s v="Same Day"/>
    <s v="Amara"/>
    <s v="Uchenna"/>
    <s v="uchenna.okafor@gmail.com"/>
    <n v="9054009366"/>
    <x v="1"/>
    <x v="2"/>
    <x v="4"/>
    <x v="0"/>
    <s v="Binders"/>
    <x v="49"/>
    <n v="11"/>
    <n v="12574.58"/>
    <n v="20"/>
    <n v="27664.080000000002"/>
    <n v="110656.3"/>
    <n v="-7839.81"/>
    <s v="Office Supplies"/>
    <n v="7839.81"/>
    <s v="Small"/>
    <s v="Small"/>
    <s v="No Discount"/>
  </r>
  <r>
    <s v="ORD-10657"/>
    <x v="470"/>
    <d v="2023-09-14T00:00:00"/>
    <s v="Same Day"/>
    <s v="Amara"/>
    <s v="Adeleke"/>
    <s v="unknown"/>
    <n v="9024291258"/>
    <x v="1"/>
    <x v="3"/>
    <x v="11"/>
    <x v="4"/>
    <s v="Condiments"/>
    <x v="23"/>
    <n v="1"/>
    <n v="5550.95"/>
    <n v="25"/>
    <n v="1387.74"/>
    <n v="4163.21"/>
    <n v="579.95000000000005"/>
    <s v="Food &amp; Beverages"/>
    <n v="579.95000000000005"/>
    <s v="Small"/>
    <s v="Small"/>
    <s v="No Discount"/>
  </r>
  <r>
    <s v="ORD-10544"/>
    <x v="471"/>
    <d v="2023-10-04T00:00:00"/>
    <s v="Same Day"/>
    <s v="Femi"/>
    <s v="Adeleke"/>
    <s v="deola.otedola@yahoo.com"/>
    <n v="9012661097"/>
    <x v="2"/>
    <x v="1"/>
    <x v="2"/>
    <x v="2"/>
    <s v="Phones"/>
    <x v="100"/>
    <n v="10"/>
    <n v="96812.04"/>
    <n v="5"/>
    <n v="48406.02"/>
    <n v="919714.38"/>
    <n v="390376.22"/>
    <s v="Technology"/>
    <n v="390376.22"/>
    <s v="Small"/>
    <s v="Small"/>
    <s v="No Discount"/>
  </r>
  <r>
    <s v="ORD-10445"/>
    <x v="318"/>
    <d v="2023-10-09T00:00:00"/>
    <s v="Same Day"/>
    <s v="Femi"/>
    <s v="Tinubu"/>
    <s v="femi.tinubu@hotmail.com"/>
    <n v="8142961940"/>
    <x v="0"/>
    <x v="2"/>
    <x v="20"/>
    <x v="1"/>
    <s v="Accessories"/>
    <x v="17"/>
    <n v="14"/>
    <n v="21277.99"/>
    <n v="0"/>
    <n v="0"/>
    <n v="297891.86"/>
    <n v="-15847.83"/>
    <s v="Clothing"/>
    <n v="15847.83"/>
    <s v="Small"/>
    <s v="Medium"/>
    <s v="No Discount"/>
  </r>
  <r>
    <s v="ORD-10673"/>
    <x v="472"/>
    <d v="2023-10-13T00:00:00"/>
    <s v="Same Day"/>
    <s v="Musa"/>
    <s v="Gambo"/>
    <s v="musa.gambo@outlook.com"/>
    <n v="8136514410"/>
    <x v="2"/>
    <x v="1"/>
    <x v="9"/>
    <x v="3"/>
    <s v="Bookcases"/>
    <x v="47"/>
    <n v="4"/>
    <n v="86401.24"/>
    <n v="5"/>
    <n v="17280.25"/>
    <n v="328324.71000000002"/>
    <n v="38415.47"/>
    <s v="Furniture"/>
    <n v="38415.47"/>
    <s v="Small"/>
    <s v="Small"/>
    <s v="No Discount"/>
  </r>
  <r>
    <s v="ORD-10213"/>
    <x v="473"/>
    <d v="2023-10-17T00:00:00"/>
    <s v="Same Day"/>
    <s v="Amara"/>
    <s v="Tinubu"/>
    <s v="amara.tinubu@hotmail.com"/>
    <n v="8165352450"/>
    <x v="2"/>
    <x v="3"/>
    <x v="22"/>
    <x v="1"/>
    <s v="Bags"/>
    <x v="111"/>
    <n v="19"/>
    <n v="33679.480000000003"/>
    <n v="5"/>
    <n v="31995.51"/>
    <n v="607914.61"/>
    <n v="33982.57"/>
    <s v="Clothing"/>
    <n v="33982.57"/>
    <s v="Large"/>
    <s v="Large"/>
    <s v="No Discount"/>
  </r>
  <r>
    <s v="ORD-10472"/>
    <x v="474"/>
    <d v="2023-11-04T00:00:00"/>
    <s v="Same Day"/>
    <s v="Kemi"/>
    <s v="Tinubu"/>
    <s v="kemi.tinubu@gmail.com"/>
    <n v="9058994829"/>
    <x v="0"/>
    <x v="0"/>
    <x v="17"/>
    <x v="2"/>
    <s v="Laptops"/>
    <x v="30"/>
    <n v="16"/>
    <n v="194725.92"/>
    <n v="15"/>
    <n v="467342.21"/>
    <n v="2648272.5099999998"/>
    <n v="457830.36"/>
    <s v="Technology"/>
    <n v="457830.36"/>
    <s v="Large"/>
    <s v="Large"/>
    <s v="Offer Discount"/>
  </r>
  <r>
    <s v="ORD-10951"/>
    <x v="475"/>
    <d v="2023-11-09T00:00:00"/>
    <s v="Same Day"/>
    <s v="Sade"/>
    <s v="Dangote"/>
    <s v="sade.dangote@yahoo.com"/>
    <n v="9055658528"/>
    <x v="0"/>
    <x v="2"/>
    <x v="12"/>
    <x v="2"/>
    <s v="Accessories"/>
    <x v="17"/>
    <n v="15"/>
    <n v="421574.85"/>
    <n v="25"/>
    <n v="1580905.69"/>
    <n v="4742717.0599999996"/>
    <n v="1268977.52"/>
    <s v="Technology"/>
    <n v="1268977.52"/>
    <s v="Large"/>
    <s v="Large"/>
    <s v="No Discount"/>
  </r>
  <r>
    <s v="ORD-10330"/>
    <x v="476"/>
    <d v="2023-11-19T00:00:00"/>
    <s v="Same Day"/>
    <s v="Chibundo"/>
    <s v="Atiku"/>
    <s v="chibundo.atiku@gmail.com"/>
    <n v="8039742158"/>
    <x v="0"/>
    <x v="3"/>
    <x v="16"/>
    <x v="0"/>
    <s v="Labels"/>
    <x v="29"/>
    <n v="1"/>
    <n v="14101.84"/>
    <n v="5"/>
    <n v="705.09"/>
    <n v="13396.75"/>
    <n v="2631.64"/>
    <s v="Office Supplies"/>
    <n v="2631.64"/>
    <s v="Small"/>
    <s v="Small"/>
    <s v="No Discount"/>
  </r>
  <r>
    <s v="ORD-10033"/>
    <x v="477"/>
    <d v="2023-11-21T00:00:00"/>
    <s v="Same Day"/>
    <s v="Aisha"/>
    <s v="Gambo"/>
    <s v="aisha.gambo@hotmail.com"/>
    <n v="8109961107"/>
    <x v="0"/>
    <x v="1"/>
    <x v="5"/>
    <x v="2"/>
    <s v="Accessories"/>
    <x v="11"/>
    <n v="1"/>
    <n v="260510.51"/>
    <n v="0"/>
    <n v="0"/>
    <n v="260510.51"/>
    <n v="61389.25"/>
    <s v="Technology"/>
    <n v="61389.25"/>
    <s v="Small"/>
    <s v="Small"/>
    <s v="No Discount"/>
  </r>
  <r>
    <s v="ORD-10928"/>
    <x v="478"/>
    <d v="2023-11-23T00:00:00"/>
    <s v="Same Day"/>
    <s v="Dayo"/>
    <s v="Buhari"/>
    <s v="dayo.buhari@hotmail.com"/>
    <n v="8153048456"/>
    <x v="0"/>
    <x v="0"/>
    <x v="0"/>
    <x v="1"/>
    <s v="Accessories"/>
    <x v="17"/>
    <n v="12"/>
    <n v="35776.370000000003"/>
    <n v="0"/>
    <n v="0"/>
    <n v="429316.44"/>
    <n v="26593.62"/>
    <s v="Clothing"/>
    <n v="26593.62"/>
    <s v="Small"/>
    <s v="Small"/>
    <s v="No Discount"/>
  </r>
  <r>
    <s v="ORD-10851"/>
    <x v="479"/>
    <d v="2023-12-05T00:00:00"/>
    <s v="Same Day"/>
    <s v="Wale"/>
    <s v="Olawale"/>
    <s v="double@@gmail.com"/>
    <n v="8157985242"/>
    <x v="0"/>
    <x v="0"/>
    <x v="17"/>
    <x v="1"/>
    <s v="Trousers"/>
    <x v="48"/>
    <n v="7"/>
    <n v="37382.379999999997"/>
    <n v="20"/>
    <n v="52335.33"/>
    <n v="209341.33"/>
    <n v="-11422.44"/>
    <s v="Clothing"/>
    <n v="11422.44"/>
    <s v="Small"/>
    <s v="Small"/>
    <s v="No Discount"/>
  </r>
  <r>
    <s v="ORD-10129"/>
    <x v="480"/>
    <d v="2023-12-10T00:00:00"/>
    <s v="Same Day"/>
    <s v="Femi"/>
    <s v="Nwosu"/>
    <s v="femi.nwosu@gmail.com"/>
    <n v="8038033690"/>
    <x v="0"/>
    <x v="1"/>
    <x v="2"/>
    <x v="4"/>
    <s v="Drinks"/>
    <x v="86"/>
    <n v="4"/>
    <n v="1886.83"/>
    <n v="0"/>
    <n v="0"/>
    <n v="7547.32"/>
    <n v="889.56"/>
    <s v="Food &amp; Beverages"/>
    <n v="889.56"/>
    <s v="Small"/>
    <s v="Small"/>
    <s v="No Discount"/>
  </r>
  <r>
    <s v="ORD-10962"/>
    <x v="481"/>
    <d v="2023-12-10T00:00:00"/>
    <s v="Same Day"/>
    <s v="Sade"/>
    <s v="Adebayo"/>
    <s v="sade.adebayo@outlook.com"/>
    <n v="8153515887"/>
    <x v="0"/>
    <x v="2"/>
    <x v="3"/>
    <x v="1"/>
    <s v="Bags"/>
    <x v="1"/>
    <n v="14"/>
    <n v="7286.52"/>
    <n v="0"/>
    <n v="0"/>
    <n v="102011.28"/>
    <n v="33522.949999999997"/>
    <s v="Clothing"/>
    <n v="33522.949999999997"/>
    <s v="Small"/>
    <s v="Medium"/>
    <s v="No Discount"/>
  </r>
  <r>
    <s v="ORD-10154"/>
    <x v="482"/>
    <d v="2023-12-16T00:00:00"/>
    <s v="Same Day"/>
    <s v="Yemi"/>
    <s v="Fashola"/>
    <s v="yemi.fashola@hotmail.com"/>
    <n v="7032126998"/>
    <x v="2"/>
    <x v="1"/>
    <x v="2"/>
    <x v="0"/>
    <s v="Paper"/>
    <x v="63"/>
    <n v="11"/>
    <n v="1053.3399999999999"/>
    <n v="0"/>
    <n v="0"/>
    <n v="11586.74"/>
    <n v="33522.949999999997"/>
    <s v="Office Supplies"/>
    <n v="33522.949999999997"/>
    <s v="Small"/>
    <s v="Small"/>
    <s v="No Discount"/>
  </r>
  <r>
    <s v="ORD-10023"/>
    <x v="483"/>
    <d v="2023-12-19T00:00:00"/>
    <s v="Same Day"/>
    <s v="Zainab"/>
    <s v="Abubakar"/>
    <s v="zainab.abubakar@gmail.com"/>
    <n v="9074240180"/>
    <x v="0"/>
    <x v="1"/>
    <x v="2"/>
    <x v="1"/>
    <s v="Shoes"/>
    <x v="87"/>
    <n v="9"/>
    <n v="39167.18"/>
    <n v="10"/>
    <n v="35250.46"/>
    <n v="317254.15999999997"/>
    <n v="74519.53"/>
    <s v="Clothing"/>
    <n v="74519.53"/>
    <s v="Small"/>
    <s v="Small"/>
    <s v="No Discount"/>
  </r>
  <r>
    <s v="ORD-10791"/>
    <x v="484"/>
    <d v="2023-12-21T00:00:00"/>
    <s v="Same Day"/>
    <s v="Olumide"/>
    <s v="Adebayo"/>
    <s v="olumide.adebayo@yahoo.com"/>
    <n v="8106415010"/>
    <x v="2"/>
    <x v="3"/>
    <x v="11"/>
    <x v="2"/>
    <s v="Laptops"/>
    <x v="30"/>
    <n v="17"/>
    <n v="268103.37"/>
    <n v="25"/>
    <n v="1139439.32"/>
    <n v="3418317.97"/>
    <n v="94763.35"/>
    <s v="Technology"/>
    <n v="94763.35"/>
    <s v="Large"/>
    <s v="Large"/>
    <s v="Offer Discount"/>
  </r>
  <r>
    <s v="ORD-10870"/>
    <x v="484"/>
    <d v="2023-12-21T00:00:00"/>
    <s v="Same Day"/>
    <s v="Amara"/>
    <s v="Olawale"/>
    <s v="unknown"/>
    <n v="8142456742"/>
    <x v="0"/>
    <x v="1"/>
    <x v="9"/>
    <x v="1"/>
    <s v="Shoes"/>
    <x v="122"/>
    <n v="8"/>
    <n v="5958.1"/>
    <n v="0"/>
    <n v="0"/>
    <n v="47664.800000000003"/>
    <n v="5853.8"/>
    <s v="Clothing"/>
    <n v="5853.8"/>
    <s v="Small"/>
    <s v="Small"/>
    <s v="No Discount"/>
  </r>
  <r>
    <s v="ORD-10098"/>
    <x v="485"/>
    <d v="2023-12-22T00:00:00"/>
    <s v="Same Day"/>
    <s v="Emeka"/>
    <s v="Atiku"/>
    <s v="emeka.atiku@outlook.com"/>
    <n v="9058297090"/>
    <x v="2"/>
    <x v="1"/>
    <x v="2"/>
    <x v="0"/>
    <s v="Fasteners"/>
    <x v="68"/>
    <n v="13"/>
    <n v="2338.5100000000002"/>
    <n v="10"/>
    <n v="3040.06"/>
    <n v="27360.57"/>
    <n v="4318.91"/>
    <s v="Office Supplies"/>
    <n v="4318.91"/>
    <s v="Small"/>
    <s v="Small"/>
    <s v="No Discount"/>
  </r>
  <r>
    <s v="ORD-10942"/>
    <x v="486"/>
    <d v="2023-12-25T00:00:00"/>
    <s v="Same Day"/>
    <s v="Hauwa"/>
    <s v="Sanusi"/>
    <s v="hauwa.sanusi@hotmail.com"/>
    <n v="8168339206"/>
    <x v="0"/>
    <x v="3"/>
    <x v="18"/>
    <x v="2"/>
    <s v="Tablets"/>
    <x v="71"/>
    <n v="6"/>
    <n v="203482.62"/>
    <n v="0"/>
    <n v="0"/>
    <n v="1220895.72"/>
    <n v="389265.33"/>
    <s v="Technology"/>
    <n v="389265.33"/>
    <s v="Small"/>
    <s v="Small"/>
    <s v="No Discount"/>
  </r>
  <r>
    <s v="ORD-10302"/>
    <x v="487"/>
    <d v="2023-12-30T00:00:00"/>
    <s v="Same Day"/>
    <s v="Kemi"/>
    <s v="Chukwu"/>
    <s v="kemi.chukwu@outlook.com"/>
    <n v="9055191903"/>
    <x v="0"/>
    <x v="3"/>
    <x v="22"/>
    <x v="3"/>
    <s v="Bookcases"/>
    <x v="137"/>
    <n v="13"/>
    <n v="23807.68"/>
    <n v="5"/>
    <n v="15474.99"/>
    <n v="294024.84999999998"/>
    <n v="85431.73"/>
    <s v="Furniture"/>
    <n v="85431.73"/>
    <s v="Small"/>
    <s v="Small"/>
    <s v="No Discount"/>
  </r>
  <r>
    <s v="ORD-10214"/>
    <x v="488"/>
    <d v="2024-01-06T00:00:00"/>
    <s v="Same Day"/>
    <s v="Aisha"/>
    <s v="Gambo"/>
    <s v="aisha.gambo@yahoo.com"/>
    <n v="8162637507"/>
    <x v="2"/>
    <x v="3"/>
    <x v="6"/>
    <x v="1"/>
    <s v="Trousers"/>
    <x v="14"/>
    <n v="18"/>
    <n v="33183.03"/>
    <n v="0"/>
    <n v="0"/>
    <n v="597294.54"/>
    <n v="249761.12"/>
    <s v="Clothing"/>
    <n v="249761.12"/>
    <s v="Large"/>
    <s v="Large"/>
    <s v="No Discount"/>
  </r>
  <r>
    <s v="ORD-10252"/>
    <x v="488"/>
    <d v="2024-01-06T00:00:00"/>
    <s v="Same Day"/>
    <s v="Wale"/>
    <s v="Otedola"/>
    <s v="unknown"/>
    <n v="8102375290"/>
    <x v="1"/>
    <x v="0"/>
    <x v="14"/>
    <x v="0"/>
    <s v="Art Supplies"/>
    <x v="40"/>
    <n v="7"/>
    <n v="22336.78"/>
    <n v="10"/>
    <n v="15635.75"/>
    <n v="140721.71"/>
    <n v="40827.14"/>
    <s v="Office Supplies"/>
    <n v="40827.14"/>
    <s v="Small"/>
    <s v="Small"/>
    <s v="No Discount"/>
  </r>
  <r>
    <s v="ORD-10400"/>
    <x v="489"/>
    <d v="2024-01-21T00:00:00"/>
    <s v="Same Day"/>
    <s v="Olumide"/>
    <s v="Sowore"/>
    <s v="olumide.sowore@gmail.com"/>
    <n v="8106952931"/>
    <x v="0"/>
    <x v="2"/>
    <x v="4"/>
    <x v="1"/>
    <s v="Bags"/>
    <x v="103"/>
    <n v="14"/>
    <n v="24112.79"/>
    <n v="0"/>
    <n v="0"/>
    <n v="337579.06"/>
    <n v="103584.67"/>
    <s v="Clothing"/>
    <n v="103584.67"/>
    <s v="Small"/>
    <s v="Medium"/>
    <s v="No Discount"/>
  </r>
  <r>
    <s v="ORD-10520"/>
    <x v="146"/>
    <d v="2024-01-25T00:00:00"/>
    <s v="Same Day"/>
    <s v="Chidinma"/>
    <s v="Ogundipe"/>
    <s v="chidinma.ogundipe@yahoo.com"/>
    <n v="8139014904"/>
    <x v="2"/>
    <x v="0"/>
    <x v="8"/>
    <x v="2"/>
    <s v="Tablets"/>
    <x v="71"/>
    <n v="5"/>
    <n v="318400.07"/>
    <n v="10"/>
    <n v="159200.04"/>
    <n v="1432800.31"/>
    <n v="305560.96999999997"/>
    <s v="Technology"/>
    <n v="305560.96999999997"/>
    <s v="Small"/>
    <s v="Small"/>
    <s v="No Discount"/>
  </r>
  <r>
    <s v="ORD-10898"/>
    <x v="490"/>
    <d v="2024-01-26T00:00:00"/>
    <s v="Same Day"/>
    <s v="Seun"/>
    <s v="Otedola"/>
    <s v="seun.otedola@yahoo.com"/>
    <n v="8131146741"/>
    <x v="0"/>
    <x v="3"/>
    <x v="6"/>
    <x v="0"/>
    <s v="Art Supplies"/>
    <x v="40"/>
    <n v="17"/>
    <n v="19275.57"/>
    <n v="0"/>
    <n v="0"/>
    <n v="327684.69"/>
    <n v="49332.23"/>
    <s v="Office Supplies"/>
    <n v="49332.23"/>
    <s v="Large"/>
    <s v="Large"/>
    <s v="No Discount"/>
  </r>
  <r>
    <s v="ORD-10388"/>
    <x v="491"/>
    <d v="2024-01-29T00:00:00"/>
    <s v="Same Day"/>
    <s v="Uchenna"/>
    <s v="Okonkwo"/>
    <s v="uchenna.okonkwo@outlook.com"/>
    <n v="7036894759"/>
    <x v="0"/>
    <x v="0"/>
    <x v="14"/>
    <x v="0"/>
    <s v="Envelopes"/>
    <x v="3"/>
    <n v="15"/>
    <n v="2646.17"/>
    <n v="15"/>
    <n v="5953.88"/>
    <n v="33738.67"/>
    <n v="11208.37"/>
    <s v="Office Supplies"/>
    <n v="11208.37"/>
    <s v="Large"/>
    <s v="Large"/>
    <s v="No Discount"/>
  </r>
  <r>
    <s v="ORD-10089"/>
    <x v="492"/>
    <d v="2024-01-31T00:00:00"/>
    <s v="Same Day"/>
    <s v="Ikenna"/>
    <s v="Okonkwo"/>
    <s v="ronke.lawal@gmail.com"/>
    <n v="8162407191"/>
    <x v="0"/>
    <x v="3"/>
    <x v="11"/>
    <x v="3"/>
    <s v="Bookcases"/>
    <x v="84"/>
    <n v="5"/>
    <n v="163712.67000000001"/>
    <n v="15"/>
    <n v="122784.5"/>
    <n v="695778.85"/>
    <n v="-66079.41"/>
    <s v="Furniture"/>
    <n v="66079.41"/>
    <s v="Small"/>
    <s v="Small"/>
    <s v="No Discount"/>
  </r>
  <r>
    <s v="ORD-10276"/>
    <x v="493"/>
    <d v="2024-02-03T00:00:00"/>
    <s v="Same Day"/>
    <s v="Ikenna"/>
    <s v="Chukwu"/>
    <s v="ikenna.chukwu@hotmail.com"/>
    <n v="8103200150"/>
    <x v="0"/>
    <x v="1"/>
    <x v="5"/>
    <x v="4"/>
    <s v="Snacks"/>
    <x v="42"/>
    <n v="8"/>
    <n v="5850.28"/>
    <n v="25"/>
    <n v="11700.56"/>
    <n v="35101.68"/>
    <n v="3837.71"/>
    <s v="Food &amp; Beverages"/>
    <n v="3837.71"/>
    <s v="Small"/>
    <s v="Small"/>
    <s v="No Discount"/>
  </r>
  <r>
    <s v="ORD-10094"/>
    <x v="494"/>
    <d v="2024-02-05T00:00:00"/>
    <s v="Same Day"/>
    <s v="Amara"/>
    <s v="Adebayo"/>
    <s v="amara.adebayo@gmail.com"/>
    <n v="7035045421"/>
    <x v="2"/>
    <x v="1"/>
    <x v="19"/>
    <x v="2"/>
    <s v="Printers"/>
    <x v="114"/>
    <n v="12"/>
    <n v="73033.17"/>
    <n v="25"/>
    <n v="219099.51"/>
    <n v="657298.53"/>
    <n v="34921.19"/>
    <s v="Technology"/>
    <n v="34921.19"/>
    <s v="Small"/>
    <s v="Small"/>
    <s v="No Discount"/>
  </r>
  <r>
    <s v="ORD-10489"/>
    <x v="495"/>
    <d v="2024-02-07T00:00:00"/>
    <s v="Same Day"/>
    <s v="Deola"/>
    <s v="Ogundipe"/>
    <s v="deola.ogundipe@yahoo.com"/>
    <n v="8034172607"/>
    <x v="0"/>
    <x v="3"/>
    <x v="18"/>
    <x v="4"/>
    <s v="Grains"/>
    <x v="117"/>
    <n v="2"/>
    <n v="2823.14"/>
    <n v="10"/>
    <n v="564.63"/>
    <n v="5081.6499999999996"/>
    <n v="1899.07"/>
    <s v="Food &amp; Beverages"/>
    <n v="1899.07"/>
    <s v="Small"/>
    <s v="Small"/>
    <s v="No Discount"/>
  </r>
  <r>
    <s v="ORD-10885"/>
    <x v="496"/>
    <d v="2024-02-07T00:00:00"/>
    <s v="Same Day"/>
    <s v="Ikenna"/>
    <s v="Sanusi"/>
    <s v="ikenna.sanusi@outlook.com"/>
    <n v="9058702071"/>
    <x v="2"/>
    <x v="0"/>
    <x v="0"/>
    <x v="4"/>
    <s v="Grains"/>
    <x v="117"/>
    <n v="3"/>
    <n v="2261.39"/>
    <n v="10"/>
    <n v="678.42"/>
    <n v="6105.75"/>
    <n v="-460.02"/>
    <s v="Food &amp; Beverages"/>
    <n v="460.02"/>
    <s v="Small"/>
    <s v="Small"/>
    <s v="No Discount"/>
  </r>
  <r>
    <s v="ORD-10822"/>
    <x v="496"/>
    <d v="2024-02-08T00:00:00"/>
    <s v="Same Day"/>
    <s v="Ibrahim"/>
    <s v="Olawale"/>
    <s v="ibrahim.olawale@yahoo.com"/>
    <n v="8142822847"/>
    <x v="2"/>
    <x v="0"/>
    <x v="14"/>
    <x v="4"/>
    <s v="Cooking Oil"/>
    <x v="43"/>
    <n v="20"/>
    <n v="7266.01"/>
    <n v="15"/>
    <n v="21798.03"/>
    <n v="123522.17"/>
    <n v="-14757.02"/>
    <s v="Food &amp; Beverages"/>
    <n v="14757.02"/>
    <s v="Large"/>
    <s v="Large"/>
    <s v="No Discount"/>
  </r>
  <r>
    <s v="ORD-10694"/>
    <x v="336"/>
    <d v="2024-02-12T00:00:00"/>
    <s v="Same Day"/>
    <s v="Oluwaseun"/>
    <s v="Musa"/>
    <s v="oluwaseun.musa@yahoo.com"/>
    <n v="7065673426"/>
    <x v="2"/>
    <x v="2"/>
    <x v="3"/>
    <x v="1"/>
    <s v="Shoes"/>
    <x v="122"/>
    <n v="13"/>
    <n v="23783.52"/>
    <n v="0"/>
    <n v="0"/>
    <n v="309185.76"/>
    <n v="137863.57"/>
    <s v="Clothing"/>
    <n v="137863.57"/>
    <s v="Small"/>
    <s v="Small"/>
    <s v="No Discount"/>
  </r>
  <r>
    <s v="ORD-10498"/>
    <x v="497"/>
    <d v="2024-02-20T00:00:00"/>
    <s v="Same Day"/>
    <s v="Ikenna"/>
    <s v="Musa"/>
    <s v="ikenna.musa@hotmail.com"/>
    <n v="8138965447"/>
    <x v="2"/>
    <x v="3"/>
    <x v="11"/>
    <x v="2"/>
    <s v="Tablets"/>
    <x v="50"/>
    <n v="10"/>
    <n v="433443.09"/>
    <n v="0"/>
    <n v="0"/>
    <n v="4334430.9000000004"/>
    <n v="-204350.23"/>
    <s v="Technology"/>
    <n v="204350.23"/>
    <s v="Small"/>
    <s v="Small"/>
    <s v="No Discount"/>
  </r>
  <r>
    <s v="ORD-10055"/>
    <x v="497"/>
    <d v="2024-02-21T00:00:00"/>
    <s v="Same Day"/>
    <s v="Seun"/>
    <s v="Sanusi"/>
    <s v="seun.sanusi@gmail.com"/>
    <n v="8109427047"/>
    <x v="1"/>
    <x v="1"/>
    <x v="19"/>
    <x v="2"/>
    <s v="Grains"/>
    <x v="61"/>
    <n v="15"/>
    <n v="7031.27"/>
    <n v="0"/>
    <n v="0"/>
    <n v="105469.05"/>
    <n v="17462.580000000002"/>
    <s v="Technology"/>
    <n v="17462.580000000002"/>
    <s v="Large"/>
    <s v="Large"/>
    <s v="No Discount"/>
  </r>
  <r>
    <s v="ORD-10218"/>
    <x v="156"/>
    <d v="2024-02-25T00:00:00"/>
    <s v="Same Day"/>
    <s v="Emeka"/>
    <s v="Otedola"/>
    <s v="emeka.otedola@yahoo.com"/>
    <n v="9017259602"/>
    <x v="1"/>
    <x v="1"/>
    <x v="5"/>
    <x v="2"/>
    <s v="Tablets"/>
    <x v="50"/>
    <n v="1"/>
    <n v="97900.87"/>
    <n v="5"/>
    <n v="4895.04"/>
    <n v="93005.83"/>
    <n v="-1324.46"/>
    <s v="Technology"/>
    <n v="1324.46"/>
    <s v="Small"/>
    <s v="Small"/>
    <s v="No Discount"/>
  </r>
  <r>
    <s v="ORD-10882"/>
    <x v="498"/>
    <d v="2024-03-01T00:00:00"/>
    <s v="Same Day"/>
    <s v="Kunle"/>
    <s v="Osei"/>
    <s v="kunle.osei@gmail.com"/>
    <n v="9019215392"/>
    <x v="1"/>
    <x v="0"/>
    <x v="17"/>
    <x v="0"/>
    <s v="Labels"/>
    <x v="102"/>
    <n v="3"/>
    <n v="15600.98"/>
    <n v="10"/>
    <n v="4680.29"/>
    <n v="42122.65"/>
    <n v="9581.76"/>
    <s v="Office Supplies"/>
    <n v="9581.76"/>
    <s v="Small"/>
    <s v="Small"/>
    <s v="No Discount"/>
  </r>
  <r>
    <s v="ORD-10358"/>
    <x v="340"/>
    <d v="2024-03-07T00:00:00"/>
    <s v="Same Day"/>
    <s v="Ngozi"/>
    <s v="Chukwu"/>
    <s v="ngozi.chukwu@outlook.com"/>
    <n v="8108391619"/>
    <x v="0"/>
    <x v="2"/>
    <x v="3"/>
    <x v="2"/>
    <s v="Accessories"/>
    <x v="24"/>
    <n v="6"/>
    <n v="280481.32"/>
    <n v="20"/>
    <n v="336577.58"/>
    <n v="1346310.34"/>
    <n v="-114357.91"/>
    <s v="Technology"/>
    <n v="114357.91"/>
    <s v="Small"/>
    <s v="Small"/>
    <s v="No Discount"/>
  </r>
  <r>
    <s v="ORD-10644"/>
    <x v="499"/>
    <d v="2024-03-11T00:00:00"/>
    <s v="Same Day"/>
    <s v="Bola"/>
    <s v="Eze"/>
    <s v="bola.eze@hotmail.com"/>
    <n v="8144087744"/>
    <x v="0"/>
    <x v="2"/>
    <x v="12"/>
    <x v="3"/>
    <s v="Sofas"/>
    <x v="99"/>
    <n v="15"/>
    <n v="149330.07"/>
    <n v="0"/>
    <n v="0"/>
    <n v="2239951.0499999998"/>
    <n v="245078.02"/>
    <s v="Furniture"/>
    <n v="245078.02"/>
    <s v="Large"/>
    <s v="Large"/>
    <s v="No Discount"/>
  </r>
  <r>
    <s v="ORD-10977"/>
    <x v="500"/>
    <d v="2024-03-21T00:00:00"/>
    <s v="Same Day"/>
    <s v="Oluwaseun"/>
    <s v="Sule"/>
    <s v="oluwaseun.sule@gmail.com"/>
    <n v="8152610366"/>
    <x v="0"/>
    <x v="2"/>
    <x v="3"/>
    <x v="2"/>
    <s v="Phones"/>
    <x v="66"/>
    <n v="1"/>
    <n v="354433.44"/>
    <n v="0"/>
    <n v="0"/>
    <n v="354433.44"/>
    <n v="147553.75"/>
    <s v="Technology"/>
    <n v="147553.75"/>
    <s v="Small"/>
    <s v="Small"/>
    <s v="No Discount"/>
  </r>
  <r>
    <s v="ORD-10353"/>
    <x v="162"/>
    <d v="2024-03-28T00:00:00"/>
    <s v="Same Day"/>
    <s v="Gbenga"/>
    <s v="Sanusi"/>
    <s v="gbenga.sanusi@yahoo.com"/>
    <n v="7067544296"/>
    <x v="0"/>
    <x v="2"/>
    <x v="4"/>
    <x v="1"/>
    <s v="Shoes"/>
    <x v="31"/>
    <n v="14"/>
    <n v="24809.01"/>
    <n v="0"/>
    <n v="0"/>
    <n v="347326.14"/>
    <n v="8084.13"/>
    <s v="Clothing"/>
    <n v="8084.13"/>
    <s v="Small"/>
    <s v="Medium"/>
    <s v="No Discount"/>
  </r>
  <r>
    <s v="ORD-10226"/>
    <x v="344"/>
    <d v="2024-03-31T00:00:00"/>
    <s v="Same Day"/>
    <s v="Femi"/>
    <s v="Gambo"/>
    <s v="femi.gambo@hotmail.com"/>
    <n v="9019023619"/>
    <x v="0"/>
    <x v="0"/>
    <x v="0"/>
    <x v="1"/>
    <s v="Trousers"/>
    <x v="10"/>
    <n v="2"/>
    <n v="7698"/>
    <n v="0"/>
    <n v="0"/>
    <n v="15396"/>
    <n v="-1351.34"/>
    <s v="Clothing"/>
    <n v="1351.34"/>
    <s v="Small"/>
    <s v="Small"/>
    <s v="No Discount"/>
  </r>
  <r>
    <s v="ORD-10403"/>
    <x v="163"/>
    <d v="2024-03-31T00:00:00"/>
    <s v="Same Day"/>
    <s v="Aisha"/>
    <s v="Musa"/>
    <s v="aisha.musa@outlook.com"/>
    <n v="8136681296"/>
    <x v="0"/>
    <x v="2"/>
    <x v="4"/>
    <x v="3"/>
    <s v="Sofas"/>
    <x v="138"/>
    <n v="14"/>
    <n v="29115.09"/>
    <n v="20"/>
    <n v="81522.25"/>
    <n v="326089.01"/>
    <n v="5579.71"/>
    <s v="Furniture"/>
    <n v="5579.71"/>
    <s v="Small"/>
    <s v="Medium"/>
    <s v="No Discount"/>
  </r>
  <r>
    <s v="ORD-10404"/>
    <x v="501"/>
    <d v="2024-04-09T00:00:00"/>
    <s v="Same Day"/>
    <s v="Dayo"/>
    <s v="Chukwu"/>
    <s v="dayo.chukwu@yahoo.com"/>
    <n v="9028627505"/>
    <x v="1"/>
    <x v="0"/>
    <x v="14"/>
    <x v="2"/>
    <s v="Laptops"/>
    <x v="21"/>
    <n v="8"/>
    <n v="227863.5"/>
    <n v="0"/>
    <n v="0"/>
    <n v="1822908"/>
    <n v="-240926.26"/>
    <s v="Technology"/>
    <n v="240926.26"/>
    <s v="Small"/>
    <s v="Small"/>
    <s v="No Discount"/>
  </r>
  <r>
    <s v="ORD-10912"/>
    <x v="347"/>
    <d v="2024-04-12T00:00:00"/>
    <s v="Same Day"/>
    <s v="Seun"/>
    <s v="Ogundipe"/>
    <s v="seun.ogundipe@hotmail.com"/>
    <n v="8036599997"/>
    <x v="0"/>
    <x v="2"/>
    <x v="3"/>
    <x v="0"/>
    <s v="Paper"/>
    <x v="106"/>
    <n v="16"/>
    <n v="6274.22"/>
    <n v="15"/>
    <n v="15058.13"/>
    <n v="85329.39"/>
    <n v="17326.47"/>
    <s v="Office Supplies"/>
    <n v="17326.47"/>
    <s v="Large"/>
    <s v="Large"/>
    <s v="No Discount"/>
  </r>
  <r>
    <s v="ORD-10993"/>
    <x v="502"/>
    <d v="2024-04-23T00:00:00"/>
    <s v="Same Day"/>
    <s v="Deola"/>
    <s v="Okafor"/>
    <s v="deola.okafor@outlook.com"/>
    <n v="8032544670"/>
    <x v="2"/>
    <x v="1"/>
    <x v="2"/>
    <x v="1"/>
    <s v="Bags"/>
    <x v="111"/>
    <n v="6"/>
    <n v="41692.870000000003"/>
    <n v="0"/>
    <n v="0"/>
    <n v="250157.22"/>
    <n v="77915.94"/>
    <s v="Clothing"/>
    <n v="77915.94"/>
    <s v="Small"/>
    <s v="Small"/>
    <s v="No Discount"/>
  </r>
  <r>
    <s v="ORD-10281"/>
    <x v="503"/>
    <d v="2024-04-27T00:00:00"/>
    <s v="Same Day"/>
    <s v="Fatima"/>
    <s v="Lawal"/>
    <s v="fatima.lawal@gmail.com"/>
    <n v="8104936391"/>
    <x v="2"/>
    <x v="0"/>
    <x v="8"/>
    <x v="0"/>
    <s v="Fasteners"/>
    <x v="68"/>
    <n v="13"/>
    <n v="5659"/>
    <n v="0"/>
    <n v="0"/>
    <n v="73567"/>
    <n v="-6817.29"/>
    <s v="Office Supplies"/>
    <n v="6817.29"/>
    <s v="Small"/>
    <s v="Small"/>
    <s v="No Discount"/>
  </r>
  <r>
    <s v="ORD-10389"/>
    <x v="504"/>
    <d v="2024-04-28T00:00:00"/>
    <s v="Same Day"/>
    <s v="Lanre"/>
    <s v="Alakija"/>
    <s v="lanre.alakija@gmail.com"/>
    <n v="8104486033"/>
    <x v="2"/>
    <x v="0"/>
    <x v="0"/>
    <x v="0"/>
    <s v="Envelopes"/>
    <x v="3"/>
    <n v="3"/>
    <n v="24672.639999999999"/>
    <n v="15"/>
    <n v="11102.69"/>
    <n v="62915.23"/>
    <n v="-6098.44"/>
    <s v="Office Supplies"/>
    <n v="6098.44"/>
    <s v="Small"/>
    <s v="Small"/>
    <s v="No Discount"/>
  </r>
  <r>
    <s v="ORD-10239"/>
    <x v="505"/>
    <d v="2024-05-04T00:00:00"/>
    <s v="Same Day"/>
    <s v="Taiwo"/>
    <s v="Adeleke"/>
    <s v="taiwo.adeleke@gmail.com"/>
    <n v="9015216804"/>
    <x v="1"/>
    <x v="0"/>
    <x v="1"/>
    <x v="3"/>
    <s v="Sofas"/>
    <x v="128"/>
    <n v="12"/>
    <n v="150757.16"/>
    <n v="25"/>
    <n v="452271.48"/>
    <n v="1356814.44"/>
    <n v="397641.63"/>
    <s v="Furniture"/>
    <n v="397641.63"/>
    <s v="Small"/>
    <s v="Small"/>
    <s v="No Discount"/>
  </r>
  <r>
    <s v="ORD-10650"/>
    <x v="171"/>
    <d v="2024-05-10T00:00:00"/>
    <s v="Same Day"/>
    <s v="Ngozi"/>
    <s v="Alakija"/>
    <s v="ngozi.alakija@outlook.com"/>
    <n v="8061627774"/>
    <x v="0"/>
    <x v="3"/>
    <x v="22"/>
    <x v="2"/>
    <s v="Accessories"/>
    <x v="17"/>
    <n v="1"/>
    <n v="278841.99"/>
    <n v="0"/>
    <n v="0"/>
    <n v="278841.99"/>
    <n v="11905.31"/>
    <s v="Technology"/>
    <n v="11905.31"/>
    <s v="Small"/>
    <s v="Small"/>
    <s v="No Discount"/>
  </r>
  <r>
    <s v="ORD-10459"/>
    <x v="173"/>
    <d v="2024-05-18T00:00:00"/>
    <s v="Same Day"/>
    <s v="Wale"/>
    <s v="Atiku"/>
    <s v="wale.atiku@hotmail.com"/>
    <s v="N/A"/>
    <x v="2"/>
    <x v="1"/>
    <x v="7"/>
    <x v="3"/>
    <s v="Sofas"/>
    <x v="81"/>
    <n v="15"/>
    <n v="91379.48"/>
    <n v="0"/>
    <n v="0"/>
    <n v="1370692.2"/>
    <n v="11905.31"/>
    <s v="Furniture"/>
    <n v="11905.31"/>
    <s v="Large"/>
    <s v="Large"/>
    <s v="No Discount"/>
  </r>
  <r>
    <s v="ORD-10614"/>
    <x v="173"/>
    <d v="2024-05-18T00:00:00"/>
    <s v="Same Day"/>
    <s v="Chisom"/>
    <s v="Atiku"/>
    <s v="chisom.alakija@gmail.com"/>
    <n v="9057426442"/>
    <x v="1"/>
    <x v="3"/>
    <x v="16"/>
    <x v="1"/>
    <s v="Trousers"/>
    <x v="48"/>
    <n v="3"/>
    <n v="17175.37"/>
    <n v="20"/>
    <n v="10305.219999999999"/>
    <n v="41220.89"/>
    <n v="-2046.64"/>
    <s v="Clothing"/>
    <n v="2046.64"/>
    <s v="Small"/>
    <s v="Small"/>
    <s v="No Discount"/>
  </r>
  <r>
    <s v="ORD-10705"/>
    <x v="354"/>
    <d v="2024-05-22T00:00:00"/>
    <s v="Same Day"/>
    <s v="Chisom"/>
    <s v="Eze"/>
    <s v="chisom.eze@gmail.com"/>
    <n v="8137597584"/>
    <x v="2"/>
    <x v="2"/>
    <x v="10"/>
    <x v="1"/>
    <s v="Bags"/>
    <x v="111"/>
    <n v="17"/>
    <n v="17264.64"/>
    <n v="10"/>
    <n v="29349.89"/>
    <n v="264148.99"/>
    <n v="44485.68"/>
    <s v="Clothing"/>
    <n v="44485.68"/>
    <s v="Large"/>
    <s v="Large"/>
    <s v="No Discount"/>
  </r>
  <r>
    <s v="ORD-10988"/>
    <x v="506"/>
    <d v="2024-05-22T00:00:00"/>
    <s v="Same Day"/>
    <s v="Seun"/>
    <s v="Buhari"/>
    <s v="seun.buhari@yahoo.com"/>
    <n v="9029866836"/>
    <x v="2"/>
    <x v="3"/>
    <x v="22"/>
    <x v="0"/>
    <s v="Labels"/>
    <x v="29"/>
    <n v="4"/>
    <n v="24521.62"/>
    <n v="10"/>
    <n v="9808.65"/>
    <n v="88277.83"/>
    <n v="31425.56"/>
    <s v="Office Supplies"/>
    <n v="31425.56"/>
    <s v="Small"/>
    <s v="Small"/>
    <s v="No Discount"/>
  </r>
  <r>
    <s v="ORD-10743"/>
    <x v="507"/>
    <d v="2024-05-27T00:00:00"/>
    <s v="Same Day"/>
    <s v="Yemi"/>
    <s v="Okafor"/>
    <s v="yemi.okafor@outlook.com"/>
    <n v="9022875419"/>
    <x v="1"/>
    <x v="2"/>
    <x v="3"/>
    <x v="3"/>
    <s v="Bookcases"/>
    <x v="84"/>
    <n v="5"/>
    <n v="120924.36"/>
    <n v="5"/>
    <n v="30231.09"/>
    <n v="574390.71"/>
    <n v="188016.38"/>
    <s v="Furniture"/>
    <n v="188016.38"/>
    <s v="Small"/>
    <s v="Small"/>
    <s v="No Discount"/>
  </r>
  <r>
    <s v="ORD-10861"/>
    <x v="508"/>
    <d v="2024-06-05T00:00:00"/>
    <s v="Same Day"/>
    <s v="Chibundo"/>
    <s v="Adeyemi"/>
    <s v="chibundo.adeyemi@gmail.com"/>
    <n v="9051738763"/>
    <x v="0"/>
    <x v="1"/>
    <x v="19"/>
    <x v="2"/>
    <s v="Tablets"/>
    <x v="83"/>
    <n v="7"/>
    <n v="327708.81"/>
    <n v="10"/>
    <n v="229396.17"/>
    <n v="2064565.5"/>
    <n v="-279443.64"/>
    <s v="Technology"/>
    <n v="279443.64"/>
    <s v="Small"/>
    <s v="Small"/>
    <s v="No Discount"/>
  </r>
  <r>
    <s v="ORD-10617"/>
    <x v="509"/>
    <d v="2024-06-11T00:00:00"/>
    <s v="Same Day"/>
    <s v="Chisom"/>
    <s v="Nwosu"/>
    <s v="chisom.nwosu@yahoo.com"/>
    <n v="8039286841"/>
    <x v="2"/>
    <x v="2"/>
    <x v="20"/>
    <x v="1"/>
    <s v="Shirts"/>
    <x v="57"/>
    <n v="4"/>
    <n v="20113.2"/>
    <n v="20"/>
    <n v="16090.56"/>
    <n v="64362.239999999998"/>
    <n v="-3045.37"/>
    <s v="Clothing"/>
    <n v="3045.37"/>
    <s v="Small"/>
    <s v="Small"/>
    <s v="No Discount"/>
  </r>
  <r>
    <s v="ORD-10346"/>
    <x v="510"/>
    <d v="2024-06-13T00:00:00"/>
    <s v="Same Day"/>
    <s v="Sade"/>
    <s v="Okafor"/>
    <s v="sade.okafor@hotmail.com"/>
    <n v="8038650891"/>
    <x v="2"/>
    <x v="2"/>
    <x v="10"/>
    <x v="4"/>
    <s v="Cooking Oil"/>
    <x v="19"/>
    <n v="17"/>
    <n v="1684.44"/>
    <n v="15"/>
    <n v="4295.32"/>
    <n v="24340.16"/>
    <n v="4411.17"/>
    <s v="Food &amp; Beverages"/>
    <n v="4411.17"/>
    <s v="Large"/>
    <s v="Large"/>
    <s v="No Discount"/>
  </r>
  <r>
    <s v="ORD-10613"/>
    <x v="511"/>
    <d v="2024-06-13T00:00:00"/>
    <s v="Same Day"/>
    <s v="Musa"/>
    <s v="Chukwu"/>
    <s v="musa.chukwu@yahoo.com"/>
    <n v="8135715786"/>
    <x v="2"/>
    <x v="0"/>
    <x v="14"/>
    <x v="1"/>
    <s v="Shirts"/>
    <x v="12"/>
    <n v="19"/>
    <n v="36105.589999999997"/>
    <n v="10"/>
    <n v="68600.62"/>
    <n v="617405.59"/>
    <n v="-31245.74"/>
    <s v="Clothing"/>
    <n v="31245.74"/>
    <s v="Large"/>
    <s v="Large"/>
    <s v="No Discount"/>
  </r>
  <r>
    <s v="ORD-10346"/>
    <x v="510"/>
    <d v="2024-06-13T00:00:00"/>
    <s v="Same Day"/>
    <s v="Sade"/>
    <s v="Okafor"/>
    <s v="sade.okafor@hotmail.com"/>
    <n v="8038650891"/>
    <x v="2"/>
    <x v="2"/>
    <x v="10"/>
    <x v="4"/>
    <s v="Cooking Oil"/>
    <x v="19"/>
    <n v="17"/>
    <n v="1684.44"/>
    <n v="15"/>
    <n v="4295.32"/>
    <n v="24340.16"/>
    <n v="4411.17"/>
    <s v="Food &amp; Beverages"/>
    <n v="4411.17"/>
    <s v="Large"/>
    <s v="Large"/>
    <s v="No Discount"/>
  </r>
  <r>
    <s v="ORD-10887"/>
    <x v="512"/>
    <d v="2024-06-15T00:00:00"/>
    <s v="Same Day"/>
    <s v="Chisom"/>
    <s v="Bello"/>
    <s v="chisom.bello@yahoo.com"/>
    <n v="8103062198"/>
    <x v="0"/>
    <x v="1"/>
    <x v="9"/>
    <x v="0"/>
    <s v="Art Supplies"/>
    <x v="96"/>
    <n v="3"/>
    <n v="1505.35"/>
    <n v="10"/>
    <n v="451.6"/>
    <n v="4064.45"/>
    <n v="-347.6"/>
    <s v="Office Supplies"/>
    <n v="347.6"/>
    <s v="Small"/>
    <s v="Small"/>
    <s v="No Discount"/>
  </r>
  <r>
    <s v="ORD-10196"/>
    <x v="178"/>
    <d v="2024-06-17T00:00:00"/>
    <s v="Same Day"/>
    <s v="Aisha"/>
    <s v="Ogundipe"/>
    <s v="aisha.ogundipe@hotmail.com"/>
    <n v="7066892681"/>
    <x v="0"/>
    <x v="2"/>
    <x v="4"/>
    <x v="4"/>
    <s v="Cooking Oil"/>
    <x v="41"/>
    <n v="19"/>
    <n v="6681.81"/>
    <n v="5"/>
    <n v="6347.72"/>
    <n v="4064.45"/>
    <n v="-6320.52"/>
    <s v="Food &amp; Beverages"/>
    <n v="6320.52"/>
    <s v="Large"/>
    <s v="Large"/>
    <s v="No Discount"/>
  </r>
  <r>
    <s v="ORD-10051"/>
    <x v="358"/>
    <d v="2024-06-24T00:00:00"/>
    <s v="Same Day"/>
    <s v="Ibrahim"/>
    <s v="Chukwu"/>
    <s v="ibrahim.chukwu@yahoo.com"/>
    <n v="8168350368"/>
    <x v="1"/>
    <x v="3"/>
    <x v="6"/>
    <x v="1"/>
    <s v="Shirts"/>
    <x v="27"/>
    <n v="20"/>
    <n v="43845.31"/>
    <n v="5"/>
    <n v="43845.31"/>
    <n v="833060.89"/>
    <n v="229816.25"/>
    <s v="Clothing"/>
    <n v="229816.25"/>
    <s v="Large"/>
    <s v="Large"/>
    <s v="No Discount"/>
  </r>
  <r>
    <s v="ORD-10030"/>
    <x v="513"/>
    <d v="2024-07-02T00:00:00"/>
    <s v="Same Day"/>
    <s v="Kunle"/>
    <s v="Fashola"/>
    <s v="kunle.fashola@outlook.com"/>
    <n v="9025147994"/>
    <x v="2"/>
    <x v="1"/>
    <x v="9"/>
    <x v="0"/>
    <s v="Art Supplies"/>
    <x v="75"/>
    <n v="8"/>
    <n v="12372.63"/>
    <n v="10"/>
    <n v="9898.1"/>
    <n v="89082.94"/>
    <n v="10148.65"/>
    <s v="Office Supplies"/>
    <n v="10148.65"/>
    <s v="Small"/>
    <s v="Small"/>
    <s v="No Discount"/>
  </r>
  <r>
    <s v="ORD-10469"/>
    <x v="513"/>
    <d v="2024-07-02T00:00:00"/>
    <s v="Same Day"/>
    <s v="Dayo"/>
    <s v="Nwosu"/>
    <s v="dayo.nwosu@yahoo.com"/>
    <n v="7033821731"/>
    <x v="2"/>
    <x v="3"/>
    <x v="11"/>
    <x v="3"/>
    <s v="Sofas"/>
    <x v="128"/>
    <n v="18"/>
    <n v="173352.56"/>
    <n v="20"/>
    <n v="624069.22"/>
    <n v="2496276.86"/>
    <n v="-311846.77"/>
    <s v="Furniture"/>
    <n v="311846.77"/>
    <s v="Large"/>
    <s v="Large"/>
    <s v="Offer Discount"/>
  </r>
  <r>
    <s v="ORD-10805"/>
    <x v="514"/>
    <d v="2024-07-06T00:00:00"/>
    <s v="Same Day"/>
    <s v="Taiwo"/>
    <s v="Musa"/>
    <s v="taiwo.musa@outlook.com"/>
    <n v="8137135319"/>
    <x v="2"/>
    <x v="0"/>
    <x v="26"/>
    <x v="3"/>
    <s v="Tables"/>
    <x v="9"/>
    <n v="13"/>
    <n v="40394.51"/>
    <n v="0"/>
    <n v="0"/>
    <n v="525128.63"/>
    <n v="34129.599999999999"/>
    <s v="Furniture"/>
    <n v="34129.599999999999"/>
    <s v="Small"/>
    <s v="Small"/>
    <s v="No Discount"/>
  </r>
  <r>
    <s v="ORD-10246"/>
    <x v="515"/>
    <d v="2024-07-13T00:00:00"/>
    <s v="Same Day"/>
    <s v="Oluwaseun"/>
    <s v="Osei"/>
    <s v="oluwaseun.osei@gmail.com"/>
    <n v="7062984841"/>
    <x v="1"/>
    <x v="3"/>
    <x v="11"/>
    <x v="4"/>
    <s v="Drinks"/>
    <x v="69"/>
    <n v="19"/>
    <n v="786.93"/>
    <n v="0"/>
    <n v="0"/>
    <n v="14951.67"/>
    <n v="4044.86"/>
    <s v="Food &amp; Beverages"/>
    <n v="4044.86"/>
    <s v="Large"/>
    <s v="Large"/>
    <s v="No Discount"/>
  </r>
  <r>
    <s v="ORD-10777"/>
    <x v="516"/>
    <d v="2024-07-14T00:00:00"/>
    <s v="Same Day"/>
    <s v="Adebayo"/>
    <s v="Alakija"/>
    <s v="adebayo.alakija@outlook.com"/>
    <n v="8158379676"/>
    <x v="2"/>
    <x v="0"/>
    <x v="0"/>
    <x v="2"/>
    <s v="Tablets"/>
    <x v="50"/>
    <n v="11"/>
    <n v="416890.25"/>
    <n v="0"/>
    <n v="0"/>
    <n v="4585792.75"/>
    <n v="14539.96"/>
    <s v="Technology"/>
    <n v="14539.96"/>
    <s v="Small"/>
    <s v="Small"/>
    <s v="No Discount"/>
  </r>
  <r>
    <s v="ORD-10323"/>
    <x v="517"/>
    <d v="2024-07-19T00:00:00"/>
    <s v="Same Day"/>
    <s v="Olumide"/>
    <s v="Musa"/>
    <s v="olumide.musa@gmail.com"/>
    <n v="8135665960"/>
    <x v="0"/>
    <x v="1"/>
    <x v="2"/>
    <x v="4"/>
    <s v="Condiments"/>
    <x v="139"/>
    <n v="5"/>
    <n v="676.67"/>
    <n v="0"/>
    <n v="0"/>
    <n v="3383.35"/>
    <n v="818.66"/>
    <s v="Food &amp; Beverages"/>
    <n v="818.66"/>
    <s v="Small"/>
    <s v="Small"/>
    <s v="No Discount"/>
  </r>
  <r>
    <s v="ORD-10426"/>
    <x v="517"/>
    <d v="2024-07-19T00:00:00"/>
    <s v="Same Day"/>
    <s v="Bola"/>
    <s v="Abubakar"/>
    <s v="bola.abubakar@yahoo.com"/>
    <n v="8135466142"/>
    <x v="2"/>
    <x v="2"/>
    <x v="4"/>
    <x v="0"/>
    <s v="Fasteners"/>
    <x v="109"/>
    <n v="14"/>
    <n v="9860.7999999999993"/>
    <n v="5"/>
    <n v="6902.56"/>
    <n v="131148.64000000001"/>
    <n v="27547.73"/>
    <s v="Office Supplies"/>
    <n v="27547.73"/>
    <s v="Small"/>
    <s v="Medium"/>
    <s v="No Discount"/>
  </r>
  <r>
    <s v="ORD-10635"/>
    <x v="518"/>
    <d v="2024-07-21T00:00:00"/>
    <s v="Same Day"/>
    <s v="Nike"/>
    <s v="Bello"/>
    <s v="nike.bello@gmail.com"/>
    <n v="8143468450"/>
    <x v="0"/>
    <x v="0"/>
    <x v="8"/>
    <x v="1"/>
    <s v="Trousers"/>
    <x v="48"/>
    <n v="20"/>
    <n v="43566.87"/>
    <n v="25"/>
    <n v="217834.35"/>
    <n v="653503.05000000005"/>
    <n v="162455.76"/>
    <s v="Clothing"/>
    <n v="162455.76"/>
    <s v="Large"/>
    <s v="Large"/>
    <s v="No Discount"/>
  </r>
  <r>
    <s v="ORD-10137"/>
    <x v="519"/>
    <d v="2024-07-28T00:00:00"/>
    <s v="Same Day"/>
    <s v="Sade"/>
    <s v="Bello"/>
    <s v="obinna.adeyemi@yahoo.com"/>
    <n v="9019192588"/>
    <x v="1"/>
    <x v="0"/>
    <x v="17"/>
    <x v="3"/>
    <s v="Sofas"/>
    <x v="51"/>
    <n v="3"/>
    <n v="98118.44"/>
    <n v="0"/>
    <n v="0"/>
    <n v="294355.32"/>
    <n v="90839.02"/>
    <s v="Furniture"/>
    <n v="90839.02"/>
    <s v="Small"/>
    <s v="Small"/>
    <s v="No Discount"/>
  </r>
  <r>
    <s v="ORD-10496"/>
    <x v="520"/>
    <d v="2024-08-03T00:00:00"/>
    <s v="Same Day"/>
    <s v="Sade"/>
    <s v="Osei"/>
    <s v="sade.osei@yahoo.com"/>
    <n v="7068007639"/>
    <x v="0"/>
    <x v="3"/>
    <x v="16"/>
    <x v="3"/>
    <s v="Storage"/>
    <x v="107"/>
    <n v="1"/>
    <n v="154706.39000000001"/>
    <n v="10"/>
    <n v="15470.64"/>
    <n v="139235.75"/>
    <n v="-9277.26"/>
    <s v="Furniture"/>
    <n v="9277.26"/>
    <s v="Small"/>
    <s v="Small"/>
    <s v="No Discount"/>
  </r>
  <r>
    <s v="ORD-10153"/>
    <x v="521"/>
    <d v="2024-08-06T00:00:00"/>
    <s v="Same Day"/>
    <s v="Obinna"/>
    <s v="Okonkwo"/>
    <s v="unknown"/>
    <n v="8065956530"/>
    <x v="1"/>
    <x v="3"/>
    <x v="16"/>
    <x v="1"/>
    <s v="Shirts"/>
    <x v="27"/>
    <n v="5"/>
    <n v="37746.660000000003"/>
    <n v="10"/>
    <n v="18873.330000000002"/>
    <n v="169859.97"/>
    <n v="6307.62"/>
    <s v="Clothing"/>
    <n v="6307.62"/>
    <s v="Small"/>
    <s v="Small"/>
    <s v="No Discount"/>
  </r>
  <r>
    <s v="ORD-10821"/>
    <x v="522"/>
    <d v="2024-08-08T00:00:00"/>
    <s v="Same Day"/>
    <s v="Adaeze"/>
    <s v="Osei"/>
    <s v="adaeze.osei@hotmail.com"/>
    <n v="8109890863"/>
    <x v="1"/>
    <x v="1"/>
    <x v="5"/>
    <x v="3"/>
    <s v="Tables"/>
    <x v="5"/>
    <n v="19"/>
    <n v="130565.46"/>
    <n v="5"/>
    <n v="124037.19"/>
    <n v="2356706.5499999998"/>
    <n v="986995.78"/>
    <s v="Furniture"/>
    <n v="986995.78"/>
    <s v="Large"/>
    <s v="Large"/>
    <s v="Offer Discount"/>
  </r>
  <r>
    <s v="ORD-10038"/>
    <x v="523"/>
    <d v="2024-08-11T00:00:00"/>
    <s v="Same Day"/>
    <s v="Lanre"/>
    <s v="Chukwu"/>
    <s v="lanre.chukwu@outlook.com"/>
    <n v="8035118725"/>
    <x v="2"/>
    <x v="0"/>
    <x v="8"/>
    <x v="2"/>
    <s v="Tablets"/>
    <x v="93"/>
    <n v="15"/>
    <n v="121080.6"/>
    <n v="15"/>
    <n v="272431.34999999998"/>
    <n v="1543777.65"/>
    <n v="80026.3"/>
    <s v="Technology"/>
    <n v="80026.3"/>
    <s v="Large"/>
    <s v="Large"/>
    <s v="No Discount"/>
  </r>
  <r>
    <s v="ORD-10640"/>
    <x v="524"/>
    <d v="2024-08-14T00:00:00"/>
    <s v="Same Day"/>
    <s v="Chibundo"/>
    <s v="Fashola"/>
    <s v="chibundo.fashola@gmail.com"/>
    <n v="8151443289"/>
    <x v="1"/>
    <x v="0"/>
    <x v="14"/>
    <x v="1"/>
    <s v="Shirts"/>
    <x v="131"/>
    <n v="10"/>
    <n v="28453.97"/>
    <n v="5"/>
    <n v="14226.99"/>
    <n v="270312.71000000002"/>
    <n v="53574.21"/>
    <s v="Clothing"/>
    <n v="53574.21"/>
    <s v="Small"/>
    <s v="Small"/>
    <s v="No Discount"/>
  </r>
  <r>
    <s v="ORD-10119"/>
    <x v="525"/>
    <d v="2024-09-04T00:00:00"/>
    <s v="Same Day"/>
    <s v="Nike"/>
    <s v="Osei"/>
    <s v="nike.osei@outlook.com"/>
    <n v="9071992583"/>
    <x v="2"/>
    <x v="3"/>
    <x v="16"/>
    <x v="2"/>
    <s v="Printers"/>
    <x v="55"/>
    <n v="2"/>
    <n v="247791.24"/>
    <n v="0"/>
    <n v="0"/>
    <n v="495582.48"/>
    <n v="49920.51"/>
    <s v="Technology"/>
    <n v="49920.51"/>
    <s v="Small"/>
    <s v="Small"/>
    <s v="No Discount"/>
  </r>
  <r>
    <s v="ORD-10258"/>
    <x v="367"/>
    <d v="2024-09-08T00:00:00"/>
    <s v="Same Day"/>
    <s v="Adaeze"/>
    <s v="Osei"/>
    <s v="lanre.adeyemi@hotmail.com"/>
    <n v="8035088109"/>
    <x v="1"/>
    <x v="0"/>
    <x v="1"/>
    <x v="2"/>
    <s v="Phones"/>
    <x v="4"/>
    <n v="5"/>
    <n v="272671.23"/>
    <n v="25"/>
    <n v="340839.04"/>
    <n v="1022517.11"/>
    <n v="-129333.57"/>
    <s v="Technology"/>
    <n v="129333.57"/>
    <s v="Small"/>
    <s v="Small"/>
    <s v="No Discount"/>
  </r>
  <r>
    <s v="ORD-10518"/>
    <x v="526"/>
    <d v="2024-09-11T00:00:00"/>
    <s v="Same Day"/>
    <s v="Adaeze"/>
    <s v="Okafor"/>
    <s v="adaeze.okafor@hotmail.com"/>
    <n v="8133595845"/>
    <x v="1"/>
    <x v="0"/>
    <x v="14"/>
    <x v="3"/>
    <s v="Chairs"/>
    <x v="70"/>
    <n v="12"/>
    <n v="156204.68"/>
    <n v="20"/>
    <n v="374891.23"/>
    <n v="1499564.93"/>
    <n v="139059.39000000001"/>
    <s v="Furniture"/>
    <n v="139059.39000000001"/>
    <s v="Small"/>
    <s v="Small"/>
    <s v="No Discount"/>
  </r>
  <r>
    <s v="ORD-10462"/>
    <x v="527"/>
    <d v="2024-09-13T00:00:00"/>
    <s v="Same Day"/>
    <s v="Kehinde"/>
    <s v="Fashola"/>
    <s v="kehinde.fashola@outlook.com"/>
    <n v="9027330138"/>
    <x v="0"/>
    <x v="0"/>
    <x v="1"/>
    <x v="1"/>
    <s v="Accessories"/>
    <x v="24"/>
    <n v="17"/>
    <n v="34763.9"/>
    <n v="20"/>
    <n v="118197.26"/>
    <n v="472789.04"/>
    <n v="145149.67000000001"/>
    <s v="Clothing"/>
    <n v="145149.67000000001"/>
    <s v="Large"/>
    <s v="Large"/>
    <s v="No Discount"/>
  </r>
  <r>
    <s v="ORD-10060"/>
    <x v="528"/>
    <d v="2024-09-16T00:00:00"/>
    <s v="Same Day"/>
    <s v="Hauwa"/>
    <s v="Olawale"/>
    <s v="hauwa.olawale@outlook.com"/>
    <n v="9055963914"/>
    <x v="0"/>
    <x v="1"/>
    <x v="7"/>
    <x v="0"/>
    <s v="Paper"/>
    <x v="89"/>
    <n v="19"/>
    <n v="7224.77"/>
    <n v="0"/>
    <n v="0"/>
    <n v="137270.63"/>
    <n v="54409.98"/>
    <s v="Office Supplies"/>
    <n v="54409.98"/>
    <s v="Large"/>
    <s v="Large"/>
    <s v="No Discount"/>
  </r>
  <r>
    <s v="ORD-10107"/>
    <x v="529"/>
    <d v="2024-09-16T00:00:00"/>
    <s v="Same Day"/>
    <s v="Ibrahim"/>
    <s v="Osei"/>
    <s v="ibrahim.osei@yahoo.com"/>
    <n v="7036357240"/>
    <x v="1"/>
    <x v="2"/>
    <x v="10"/>
    <x v="0"/>
    <s v="Envelopes"/>
    <x v="77"/>
    <n v="17"/>
    <n v="19136.29"/>
    <n v="25"/>
    <n v="81329.23"/>
    <n v="243987.7"/>
    <n v="-21053.61"/>
    <s v="Office Supplies"/>
    <n v="21053.61"/>
    <s v="Large"/>
    <s v="Large"/>
    <s v="No Discount"/>
  </r>
  <r>
    <s v="ORD-10541"/>
    <x v="529"/>
    <d v="2024-09-19T00:00:00"/>
    <s v="Same Day"/>
    <s v="Gbenga"/>
    <s v="Danjuma"/>
    <s v="gbenga.danjuma@yahoo.com"/>
    <n v="8066456436"/>
    <x v="0"/>
    <x v="2"/>
    <x v="20"/>
    <x v="2"/>
    <s v="Printers"/>
    <x v="55"/>
    <n v="1"/>
    <n v="191318.77"/>
    <n v="15"/>
    <n v="28697.82"/>
    <n v="162620.95000000001"/>
    <n v="29863.08"/>
    <s v="Technology"/>
    <n v="29863.08"/>
    <s v="Small"/>
    <s v="Small"/>
    <s v="No Discount"/>
  </r>
  <r>
    <s v="ORD-10416"/>
    <x v="530"/>
    <d v="2024-09-22T00:00:00"/>
    <s v="Same Day"/>
    <s v="***Oluwaseun"/>
    <s v="Tinubu"/>
    <s v="oluwaseun.tinubu@gmail.com"/>
    <n v="8133673591"/>
    <x v="1"/>
    <x v="2"/>
    <x v="10"/>
    <x v="0"/>
    <s v="Binders"/>
    <x v="65"/>
    <n v="9"/>
    <n v="6830.72"/>
    <n v="25"/>
    <n v="15369.12"/>
    <n v="46107.360000000001"/>
    <n v="-2047.58"/>
    <s v="Office Supplies"/>
    <n v="2047.58"/>
    <s v="Small"/>
    <s v="Small"/>
    <s v="No Discount"/>
  </r>
  <r>
    <s v="ORD-10873"/>
    <x v="531"/>
    <d v="2024-09-22T00:00:00"/>
    <s v="Same Day"/>
    <s v="Chidi"/>
    <s v="Olawale"/>
    <s v="chidi.olawale@yahoo.com"/>
    <n v="9027320306"/>
    <x v="0"/>
    <x v="3"/>
    <x v="22"/>
    <x v="2"/>
    <s v="Tablets"/>
    <x v="36"/>
    <n v="19"/>
    <n v="112188.85"/>
    <n v="20"/>
    <n v="426317.63"/>
    <n v="1705270.52"/>
    <n v="-21760.080000000002"/>
    <s v="Technology"/>
    <n v="21760.080000000002"/>
    <s v="Large"/>
    <s v="Large"/>
    <s v="Offer Discount"/>
  </r>
  <r>
    <s v="ORD-10406"/>
    <x v="532"/>
    <d v="2024-10-02T00:00:00"/>
    <s v="Same Day"/>
    <s v="Bukola"/>
    <s v="Osei"/>
    <s v="bukola.osei@gmail.com"/>
    <n v="9021530135"/>
    <x v="2"/>
    <x v="3"/>
    <x v="11"/>
    <x v="1"/>
    <s v="Shirts"/>
    <x v="6"/>
    <n v="13"/>
    <n v="21354.97"/>
    <n v="20"/>
    <n v="55522.92"/>
    <n v="222091.69"/>
    <n v="27937.75"/>
    <s v="Clothing"/>
    <n v="27937.75"/>
    <s v="Small"/>
    <s v="Small"/>
    <s v="No Discount"/>
  </r>
  <r>
    <s v="ORD-10040"/>
    <x v="533"/>
    <d v="2024-10-03T00:00:00"/>
    <s v="Same Day"/>
    <s v="Amara"/>
    <s v="Musa"/>
    <s v="amara.musa@outlook.com"/>
    <n v="8137784725"/>
    <x v="0"/>
    <x v="1"/>
    <x v="9"/>
    <x v="3"/>
    <s v="Bookcases"/>
    <x v="62"/>
    <n v="18"/>
    <n v="71471.520000000004"/>
    <n v="25"/>
    <n v="321621.84000000003"/>
    <n v="964865.52"/>
    <n v="54277.97"/>
    <s v="Furniture"/>
    <n v="54277.97"/>
    <s v="Large"/>
    <s v="Large"/>
    <s v="Offer Discount"/>
  </r>
  <r>
    <s v="ORD-10327"/>
    <x v="369"/>
    <d v="2024-10-05T00:00:00"/>
    <s v="Same Day"/>
    <s v="Ayo"/>
    <s v="Abubakar"/>
    <s v="ayo.abubakar@outlook.com"/>
    <n v="8131026523"/>
    <x v="2"/>
    <x v="1"/>
    <x v="9"/>
    <x v="2"/>
    <s v="Laptops"/>
    <x v="76"/>
    <n v="4"/>
    <n v="287075.42"/>
    <n v="5"/>
    <n v="57415.08"/>
    <n v="1090886.6000000001"/>
    <n v="359707.43"/>
    <s v="Technology"/>
    <n v="359707.43"/>
    <s v="Small"/>
    <s v="Small"/>
    <s v="No Discount"/>
  </r>
  <r>
    <s v="ORD-10797"/>
    <x v="534"/>
    <d v="2024-10-16T00:00:00"/>
    <s v="Same Day"/>
    <s v="Tunde"/>
    <s v="Adeyemi"/>
    <s v="tunde.adeyemi@gmail.com"/>
    <s v="0803-123-4567"/>
    <x v="2"/>
    <x v="2"/>
    <x v="12"/>
    <x v="4"/>
    <s v="Drinks"/>
    <x v="101"/>
    <n v="5"/>
    <n v="3970.02"/>
    <n v="0"/>
    <n v="0"/>
    <n v="19850.099999999999"/>
    <n v="5145.2299999999996"/>
    <s v="Food &amp; Beverages"/>
    <n v="5145.2299999999996"/>
    <s v="Small"/>
    <s v="Small"/>
    <s v="No Discount"/>
  </r>
  <r>
    <s v="ORD-10841"/>
    <x v="371"/>
    <d v="2024-10-20T00:00:00"/>
    <s v="Same Day"/>
    <s v="Oluwaseun"/>
    <s v="Lawal"/>
    <s v="oluwaseun.lawal@yahoo.com"/>
    <n v="8142002613"/>
    <x v="0"/>
    <x v="0"/>
    <x v="0"/>
    <x v="0"/>
    <s v="Paper"/>
    <x v="63"/>
    <n v="16"/>
    <n v="23847.279999999999"/>
    <n v="10"/>
    <n v="38155.65"/>
    <n v="343400.83"/>
    <n v="-22359.97"/>
    <s v="Office Supplies"/>
    <n v="22359.97"/>
    <s v="Large"/>
    <s v="Large"/>
    <s v="No Discount"/>
  </r>
  <r>
    <s v="ORD-10333"/>
    <x v="535"/>
    <d v="2024-10-21T00:00:00"/>
    <s v="Same Day"/>
    <s v="Musa"/>
    <s v="Osei"/>
    <s v="musa.osei@hotmail.com"/>
    <n v="9019785019"/>
    <x v="0"/>
    <x v="1"/>
    <x v="9"/>
    <x v="0"/>
    <s v="Art Supplies"/>
    <x v="132"/>
    <n v="4"/>
    <n v="4010.73"/>
    <n v="25"/>
    <n v="4010.73"/>
    <n v="12032.19"/>
    <n v="3080.61"/>
    <s v="Office Supplies"/>
    <n v="3080.61"/>
    <s v="Small"/>
    <s v="Small"/>
    <s v="No Discount"/>
  </r>
  <r>
    <s v="ORD-10380"/>
    <x v="536"/>
    <d v="2024-10-23T00:00:00"/>
    <s v="Same Day"/>
    <s v="Kunle"/>
    <s v="Obi"/>
    <s v="kunle.obi@outlook.com"/>
    <n v="8147176462"/>
    <x v="1"/>
    <x v="0"/>
    <x v="17"/>
    <x v="2"/>
    <s v="Phones"/>
    <x v="66"/>
    <n v="13"/>
    <n v="52979.31"/>
    <n v="0"/>
    <n v="0"/>
    <n v="688731.03"/>
    <n v="15857.08"/>
    <s v="Technology"/>
    <n v="15857.08"/>
    <s v="Small"/>
    <s v="Small"/>
    <s v="No Discount"/>
  </r>
  <r>
    <s v="ORD-10321"/>
    <x v="197"/>
    <d v="2024-11-13T00:00:00"/>
    <s v="Same Day"/>
    <s v="Chidinma"/>
    <s v="Otedola"/>
    <s v="chidinma.otedola@hotmail.com"/>
    <n v="8033866974"/>
    <x v="0"/>
    <x v="1"/>
    <x v="7"/>
    <x v="0"/>
    <s v="Labels"/>
    <x v="73"/>
    <n v="5"/>
    <n v="4472.04"/>
    <n v="0"/>
    <n v="0"/>
    <n v="22360.2"/>
    <n v="6965.07"/>
    <s v="Office Supplies"/>
    <n v="6965.07"/>
    <s v="Small"/>
    <s v="Small"/>
    <s v="No Discount"/>
  </r>
  <r>
    <s v="ORD-10740"/>
    <x v="197"/>
    <d v="2024-11-13T00:00:00"/>
    <s v="Same Day"/>
    <s v="Yemi"/>
    <s v="Otedola"/>
    <s v="aisha.fashola@outlook.com"/>
    <n v="9015015044"/>
    <x v="2"/>
    <x v="2"/>
    <x v="20"/>
    <x v="3"/>
    <s v="Storage"/>
    <x v="18"/>
    <n v="10"/>
    <n v="63508.56"/>
    <n v="0"/>
    <n v="0"/>
    <n v="635085.6"/>
    <n v="245566.89"/>
    <s v="Furniture"/>
    <n v="245566.89"/>
    <s v="Small"/>
    <s v="Small"/>
    <s v="No Discount"/>
  </r>
  <r>
    <s v="ORD-10698"/>
    <x v="537"/>
    <d v="2024-11-19T00:00:00"/>
    <s v="Same Day"/>
    <s v="Yemi"/>
    <s v="Ogundipe"/>
    <s v="yemi.ogundipe@gmail.com"/>
    <n v="7063135445"/>
    <x v="1"/>
    <x v="3"/>
    <x v="11"/>
    <x v="2"/>
    <s v="Phones"/>
    <x v="4"/>
    <n v="6"/>
    <n v="340444.71"/>
    <n v="5"/>
    <n v="102133.41"/>
    <n v="1940534.85"/>
    <n v="218428.07"/>
    <s v="Technology"/>
    <n v="218428.07"/>
    <s v="Small"/>
    <s v="Small"/>
    <s v="No Discount"/>
  </r>
  <r>
    <s v="ORD-10109"/>
    <x v="538"/>
    <d v="2024-11-21T00:00:00"/>
    <s v="Same Day"/>
    <s v="Wale"/>
    <s v="Eze"/>
    <s v="wale.eze@hotmail.com"/>
    <s v="1234567890"/>
    <x v="0"/>
    <x v="0"/>
    <x v="0"/>
    <x v="1"/>
    <s v="Accessories"/>
    <x v="39"/>
    <n v="7"/>
    <n v="43567.53"/>
    <n v="10"/>
    <n v="30497.27"/>
    <n v="274475.44"/>
    <n v="-33158.04"/>
    <s v="Clothing"/>
    <n v="33158.04"/>
    <s v="Small"/>
    <s v="Small"/>
    <s v="No Discount"/>
  </r>
  <r>
    <s v="ORD-10787"/>
    <x v="376"/>
    <d v="2024-11-29T00:00:00"/>
    <s v="Same Day"/>
    <s v="Emeka"/>
    <s v="Alakija"/>
    <s v="emeka.alakija@gmail.com"/>
    <n v="9052653843"/>
    <x v="2"/>
    <x v="1"/>
    <x v="9"/>
    <x v="1"/>
    <s v="Drinks"/>
    <x v="58"/>
    <n v="8"/>
    <n v="7743.82"/>
    <n v="10"/>
    <n v="6195.06"/>
    <n v="55755.5"/>
    <n v="11043.67"/>
    <s v="Clothing"/>
    <n v="11043.67"/>
    <s v="Small"/>
    <s v="Small"/>
    <s v="No Discount"/>
  </r>
  <r>
    <s v="ORD-10069"/>
    <x v="539"/>
    <d v="2024-12-13T00:00:00"/>
    <s v="Same Day"/>
    <s v="Tunde"/>
    <s v="Sanusi"/>
    <s v="tunde.sanusi@hotmail.com"/>
    <n v="9027074006"/>
    <x v="0"/>
    <x v="0"/>
    <x v="1"/>
    <x v="4"/>
    <s v="Condiments"/>
    <x v="59"/>
    <n v="8"/>
    <n v="3780.44"/>
    <n v="0"/>
    <n v="0"/>
    <n v="30243.52"/>
    <n v="8660.1"/>
    <s v="Food &amp; Beverages"/>
    <n v="8660.1"/>
    <s v="Small"/>
    <s v="Small"/>
    <s v="No Discount"/>
  </r>
  <r>
    <s v="ORD-10135"/>
    <x v="540"/>
    <d v="2024-12-29T00:00:00"/>
    <s v="Same Day"/>
    <s v="Gbenga"/>
    <s v="Chukwu"/>
    <s v="gbenga.chukwu@outlook.com"/>
    <n v="8159342928"/>
    <x v="1"/>
    <x v="0"/>
    <x v="17"/>
    <x v="1"/>
    <s v="Shirts"/>
    <x v="6"/>
    <n v="11"/>
    <n v="34750.050000000003"/>
    <n v="5"/>
    <n v="19112.53"/>
    <n v="363138.02"/>
    <n v="26299.53"/>
    <s v="Clothing"/>
    <n v="26299.53"/>
    <s v="Small"/>
    <s v="Small"/>
    <s v="No Discount"/>
  </r>
  <r>
    <s v="ORD-10419"/>
    <x v="540"/>
    <d v="2024-12-29T00:00:00"/>
    <s v="Same Day"/>
    <s v="Bola"/>
    <s v="Osei"/>
    <s v="bola.osei@hotmail.com"/>
    <n v="8145133011"/>
    <x v="0"/>
    <x v="0"/>
    <x v="8"/>
    <x v="0"/>
    <s v="Art Supplies"/>
    <x v="40"/>
    <n v="12"/>
    <n v="9393.4500000000007"/>
    <n v="10"/>
    <n v="11272.14"/>
    <n v="101449.26"/>
    <n v="-13934.61"/>
    <s v="Office Supplies"/>
    <n v="13934.61"/>
    <s v="Small"/>
    <s v="Small"/>
    <s v="No Discount"/>
  </r>
  <r>
    <s v="ORD-10237"/>
    <x v="541"/>
    <d v="2024-12-30T00:00:00"/>
    <s v="Same Day"/>
    <s v="Oluwaseun"/>
    <s v="Sule"/>
    <s v="oluwaseun.sule@gmail.com"/>
    <n v="8152786278"/>
    <x v="2"/>
    <x v="1"/>
    <x v="9"/>
    <x v="2"/>
    <s v="Accessories"/>
    <x v="24"/>
    <n v="2"/>
    <n v="38083.269999999997"/>
    <n v="5"/>
    <n v="3808.33"/>
    <n v="72358.210000000006"/>
    <n v="737.11"/>
    <s v="Technology"/>
    <n v="737.11"/>
    <s v="Small"/>
    <s v="Small"/>
    <s v="No Discount"/>
  </r>
  <r>
    <s v="ORD-10580"/>
    <x v="541"/>
    <d v="2024-12-30T00:00:00"/>
    <s v="Same Day"/>
    <s v="Bukola"/>
    <s v="Otedola"/>
    <s v="bukola.otedola@yahoo.com"/>
    <n v="7062402872"/>
    <x v="1"/>
    <x v="3"/>
    <x v="16"/>
    <x v="4"/>
    <s v="Cooking Oil"/>
    <x v="19"/>
    <n v="8"/>
    <n v="4749.6499999999996"/>
    <n v="0"/>
    <n v="0"/>
    <n v="37997.199999999997"/>
    <n v="-337.57"/>
    <s v="Food &amp; Beverages"/>
    <n v="337.57"/>
    <s v="Small"/>
    <s v="Small"/>
    <s v="No Discount"/>
  </r>
  <r>
    <s v="ORD-10998"/>
    <x v="542"/>
    <d v="2024-12-30T00:00:00"/>
    <s v="Same Day"/>
    <s v="Seun"/>
    <s v="Fashola"/>
    <s v="unknown"/>
    <n v="9079613268"/>
    <x v="1"/>
    <x v="0"/>
    <x v="1"/>
    <x v="3"/>
    <s v="Tables"/>
    <x v="8"/>
    <n v="6"/>
    <n v="10410.33"/>
    <n v="150"/>
    <n v="0"/>
    <n v="62461.98"/>
    <n v="23542.48"/>
    <s v="Furniture"/>
    <n v="23542.48"/>
    <s v="Small"/>
    <s v="Small"/>
    <s v="No Discount"/>
  </r>
  <r>
    <s v="ORD-10949"/>
    <x v="543"/>
    <d v="2024-12-31T00:00:00"/>
    <s v="Same Day"/>
    <s v="Yemi"/>
    <s v="Sowore"/>
    <s v="yemi.sowore@hotmail.com"/>
    <n v="9013277024"/>
    <x v="1"/>
    <x v="2"/>
    <x v="10"/>
    <x v="3"/>
    <s v="Tables"/>
    <x v="5"/>
    <n v="2"/>
    <n v="71790.84"/>
    <n v="10"/>
    <n v="14358.17"/>
    <n v="129223.51"/>
    <n v="-18476.55"/>
    <s v="Furniture"/>
    <n v="18476.55"/>
    <s v="Small"/>
    <s v="Small"/>
    <s v="No Discount"/>
  </r>
  <r>
    <s v="ORD-10440"/>
    <x v="544"/>
    <d v="2024-12-31T00:00:00"/>
    <s v="Same Day"/>
    <s v="Lanre"/>
    <s v="Atiku"/>
    <s v="lanre.atiku@hotmail.com"/>
    <n v="9028548873"/>
    <x v="0"/>
    <x v="1"/>
    <x v="19"/>
    <x v="4"/>
    <s v="Grains"/>
    <x v="60"/>
    <n v="6"/>
    <n v="7743.74"/>
    <n v="5"/>
    <n v="2323.12"/>
    <n v="44139.32"/>
    <n v="-1719.12"/>
    <s v="Food &amp; Beverages"/>
    <n v="1719.12"/>
    <s v="Small"/>
    <s v="Small"/>
    <s v="No Discount"/>
  </r>
  <r>
    <s v="ORD-10610"/>
    <x v="545"/>
    <d v="2024-12-31T00:00:00"/>
    <s v="Same Day"/>
    <s v="Tunde"/>
    <s v="Sanusi"/>
    <s v="spaces in@email.com"/>
    <n v="8138044872"/>
    <x v="0"/>
    <x v="3"/>
    <x v="16"/>
    <x v="1"/>
    <s v="Shoes"/>
    <x v="52"/>
    <n v="6"/>
    <n v="36767.61"/>
    <n v="10"/>
    <n v="22060.57"/>
    <n v="198545.09"/>
    <n v="-28573.78"/>
    <s v="Clothing"/>
    <n v="28573.78"/>
    <s v="Small"/>
    <s v="Small"/>
    <s v="No Discount"/>
  </r>
  <r>
    <s v="ORD-10799"/>
    <x v="210"/>
    <d v="2022-01-16T00:00:00"/>
    <s v="First Class"/>
    <s v="Obinna"/>
    <s v="Danjuma"/>
    <s v="obinna.danjuma@gmail.com"/>
    <n v="9022191407"/>
    <x v="2"/>
    <x v="1"/>
    <x v="2"/>
    <x v="4"/>
    <s v="Drinks"/>
    <x v="69"/>
    <n v="6"/>
    <n v="3485.58"/>
    <n v="5"/>
    <n v="1045.67"/>
    <n v="19867.810000000001"/>
    <n v="-14.31"/>
    <s v="Food &amp; Beverages"/>
    <n v="14.31"/>
    <s v="Small"/>
    <s v="Small"/>
    <s v="No Discount"/>
  </r>
  <r>
    <s v="ORD-10643"/>
    <x v="210"/>
    <d v="2022-01-17T00:00:00"/>
    <s v="First Class"/>
    <s v="Ayo"/>
    <s v="Obi"/>
    <s v="ayo.obi@yahoo.com"/>
    <n v="8062126456"/>
    <x v="2"/>
    <x v="3"/>
    <x v="11"/>
    <x v="2"/>
    <s v="Phones"/>
    <x v="4"/>
    <n v="17"/>
    <n v="397756.09"/>
    <n v="0"/>
    <n v="0"/>
    <n v="6761853.5300000003"/>
    <n v="-11335.22"/>
    <s v="Technology"/>
    <n v="11335.22"/>
    <s v="Large"/>
    <s v="Large"/>
    <s v="Offer Discount"/>
  </r>
  <r>
    <s v="ORD-10285"/>
    <x v="211"/>
    <d v="2022-01-22T00:00:00"/>
    <s v="First Class"/>
    <s v="Nike"/>
    <s v="Alakija"/>
    <s v="nike.alakija@yahoo.com"/>
    <n v="9021121097"/>
    <x v="1"/>
    <x v="2"/>
    <x v="12"/>
    <x v="4"/>
    <s v="Grains"/>
    <x v="117"/>
    <n v="18"/>
    <n v="3470.37"/>
    <n v="15"/>
    <n v="9370"/>
    <n v="53096.66"/>
    <n v="4611.51"/>
    <s v="Food &amp; Beverages"/>
    <n v="4611.51"/>
    <s v="Large"/>
    <s v="Large"/>
    <s v="No Discount"/>
  </r>
  <r>
    <s v="ORD-10616"/>
    <x v="212"/>
    <d v="2022-01-26T00:00:00"/>
    <s v="First Class"/>
    <s v="Ibrahim"/>
    <s v="Fashola"/>
    <s v="ibrahim.fashola@outlook.com"/>
    <n v="8132111241"/>
    <x v="0"/>
    <x v="0"/>
    <x v="1"/>
    <x v="1"/>
    <s v="Shoes"/>
    <x v="122"/>
    <n v="7"/>
    <n v="11123.53"/>
    <n v="0"/>
    <n v="0"/>
    <n v="77864.710000000006"/>
    <n v="14527.63"/>
    <s v="Clothing"/>
    <n v="14527.63"/>
    <s v="Small"/>
    <s v="Small"/>
    <s v="No Discount"/>
  </r>
  <r>
    <s v="ORD-10923"/>
    <x v="546"/>
    <d v="2022-02-09T00:00:00"/>
    <s v="First Class"/>
    <s v="Lanre"/>
    <s v="Tinubu"/>
    <s v="lanre.tinubu@gmail.com"/>
    <n v="8148000211"/>
    <x v="1"/>
    <x v="1"/>
    <x v="19"/>
    <x v="1"/>
    <s v="Accessories"/>
    <x v="11"/>
    <n v="11"/>
    <n v="11930.65"/>
    <n v="5"/>
    <n v="6561.86"/>
    <n v="124675.29"/>
    <n v="14906.53"/>
    <s v="Clothing"/>
    <n v="14906.53"/>
    <s v="Small"/>
    <s v="Small"/>
    <s v="No Discount"/>
  </r>
  <r>
    <s v="ORD-10929"/>
    <x v="547"/>
    <d v="2022-02-09T00:00:00"/>
    <s v="First Class"/>
    <s v="Tunde"/>
    <s v="Adeyemi"/>
    <s v="tunde.adeyemi@yahoo.com"/>
    <n v="7033690055"/>
    <x v="2"/>
    <x v="1"/>
    <x v="2"/>
    <x v="4"/>
    <s v="Condiments"/>
    <x v="45"/>
    <n v="12"/>
    <n v="3985.92"/>
    <n v="0"/>
    <n v="0"/>
    <n v="47831.040000000001"/>
    <n v="2588.06"/>
    <s v="Food &amp; Beverages"/>
    <n v="2588.06"/>
    <s v="Small"/>
    <s v="Small"/>
    <s v="No Discount"/>
  </r>
  <r>
    <s v="ORD-10654"/>
    <x v="548"/>
    <d v="2022-02-18T00:00:00"/>
    <s v="First Class"/>
    <s v="Nike"/>
    <s v="Gambo"/>
    <s v="nike.gambo@outlook.com"/>
    <n v="7067004652"/>
    <x v="2"/>
    <x v="3"/>
    <x v="22"/>
    <x v="2"/>
    <s v="Phones"/>
    <x v="22"/>
    <n v="19"/>
    <n v="47528.05"/>
    <n v="5"/>
    <n v="45151.65"/>
    <n v="857881.3"/>
    <n v="310481.94"/>
    <s v="Technology"/>
    <n v="310481.94"/>
    <s v="Large"/>
    <s v="Large"/>
    <s v="No Discount"/>
  </r>
  <r>
    <s v="ORD-10745"/>
    <x v="549"/>
    <d v="2022-02-25T00:00:00"/>
    <s v="First Class"/>
    <s v="Uchenna"/>
    <s v="Danjuma"/>
    <s v="uchenna.danjuma@outlook.com"/>
    <n v="9015885832"/>
    <x v="0"/>
    <x v="2"/>
    <x v="10"/>
    <x v="0"/>
    <s v="Fasteners"/>
    <x v="94"/>
    <n v="10"/>
    <n v="14407.18"/>
    <n v="20"/>
    <n v="28814.36"/>
    <n v="115257.44"/>
    <n v="32023.97"/>
    <s v="Office Supplies"/>
    <n v="32023.97"/>
    <s v="Small"/>
    <s v="Small"/>
    <s v="No Discount"/>
  </r>
  <r>
    <s v="ORD-10171"/>
    <x v="389"/>
    <d v="2022-02-27T00:00:00"/>
    <s v="First Class"/>
    <s v="Ibrahim"/>
    <s v="Dangote"/>
    <s v="unknown"/>
    <n v="9017572491"/>
    <x v="2"/>
    <x v="3"/>
    <x v="6"/>
    <x v="0"/>
    <s v="Fasteners"/>
    <x v="68"/>
    <n v="8"/>
    <n v="19703.14"/>
    <n v="20"/>
    <n v="31525.02"/>
    <n v="126100.1"/>
    <n v="10281.11"/>
    <s v="Office Supplies"/>
    <n v="10281.11"/>
    <s v="Small"/>
    <s v="Small"/>
    <s v="No Discount"/>
  </r>
  <r>
    <s v="ORD-10798"/>
    <x v="550"/>
    <d v="2022-03-01T00:00:00"/>
    <s v="First Class"/>
    <s v="Oluwaseun"/>
    <s v="Obi"/>
    <s v="oluwaseun.obi@yahoo.com"/>
    <n v="7064610526"/>
    <x v="2"/>
    <x v="2"/>
    <x v="3"/>
    <x v="1"/>
    <s v="Shoes"/>
    <x v="122"/>
    <n v="10"/>
    <n v="31979.86"/>
    <n v="10"/>
    <n v="31979.86"/>
    <n v="287818.74"/>
    <n v="-3010.98"/>
    <s v="Clothing"/>
    <n v="3010.98"/>
    <s v="Small"/>
    <s v="Small"/>
    <s v="No Discount"/>
  </r>
  <r>
    <s v="ORD-10772"/>
    <x v="551"/>
    <d v="2022-03-02T00:00:00"/>
    <s v="First Class"/>
    <s v="Adaeze"/>
    <s v="Okonkwo"/>
    <s v="adaeze.okonkwo@hotmail.com"/>
    <n v="8033421636"/>
    <x v="2"/>
    <x v="0"/>
    <x v="17"/>
    <x v="1"/>
    <s v="Shirts"/>
    <x v="12"/>
    <n v="20"/>
    <n v="18212.580000000002"/>
    <n v="25"/>
    <n v="91062.9"/>
    <n v="273188.7"/>
    <n v="-13155.64"/>
    <s v="Clothing"/>
    <n v="13155.64"/>
    <s v="Large"/>
    <s v="Large"/>
    <s v="No Discount"/>
  </r>
  <r>
    <s v="ORD-10664"/>
    <x v="218"/>
    <d v="2022-03-09T00:00:00"/>
    <s v="First Class"/>
    <s v="Amara"/>
    <s v="Alakija"/>
    <s v="amara.alakija@outlook.com"/>
    <n v="8035404568"/>
    <x v="0"/>
    <x v="1"/>
    <x v="9"/>
    <x v="4"/>
    <s v="Snacks"/>
    <x v="42"/>
    <n v="20"/>
    <n v="2925.27"/>
    <n v="15"/>
    <n v="8775.81"/>
    <n v="49729.59"/>
    <n v="18372.37"/>
    <s v="Food &amp; Beverages"/>
    <n v="18372.37"/>
    <s v="Large"/>
    <s v="Large"/>
    <s v="No Discount"/>
  </r>
  <r>
    <s v="ORD-10066"/>
    <x v="552"/>
    <d v="2022-03-12T00:00:00"/>
    <s v="First Class"/>
    <s v="Ibrahim"/>
    <s v="Fashola"/>
    <s v="ibrahim.fashola@hotmail.com"/>
    <n v="8137084862"/>
    <x v="1"/>
    <x v="1"/>
    <x v="9"/>
    <x v="2"/>
    <s v="Tablets"/>
    <x v="50"/>
    <n v="12"/>
    <n v="407237.85"/>
    <n v="0"/>
    <n v="0"/>
    <n v="4886854.2"/>
    <n v="434362.1"/>
    <s v="Technology"/>
    <n v="434362.1"/>
    <s v="Small"/>
    <s v="Small"/>
    <s v="No Discount"/>
  </r>
  <r>
    <s v="ORD-10184"/>
    <x v="9"/>
    <d v="2022-03-26T00:00:00"/>
    <s v="First Class"/>
    <s v="Bukola"/>
    <s v="Fashola"/>
    <s v="chisom.okafor@gmail.com"/>
    <n v="9015164420"/>
    <x v="2"/>
    <x v="2"/>
    <x v="10"/>
    <x v="0"/>
    <s v="Envelopes"/>
    <x v="3"/>
    <n v="10"/>
    <n v="1699.29"/>
    <n v="10"/>
    <n v="1699.29"/>
    <n v="15293.61"/>
    <n v="5231.24"/>
    <s v="Office Supplies"/>
    <n v="5231.24"/>
    <s v="Small"/>
    <s v="Small"/>
    <s v="No Discount"/>
  </r>
  <r>
    <s v="ORD-10161"/>
    <x v="553"/>
    <d v="2022-03-30T00:00:00"/>
    <s v="First Class"/>
    <s v="Bukola"/>
    <s v="Nwosu"/>
    <s v="bukola.nwosu@hotmail.com"/>
    <n v="8065152891"/>
    <x v="2"/>
    <x v="2"/>
    <x v="3"/>
    <x v="0"/>
    <s v="Art Supplies"/>
    <x v="96"/>
    <n v="12"/>
    <n v="11518.44"/>
    <n v="0"/>
    <n v="0"/>
    <n v="138221.28"/>
    <n v="15680.09"/>
    <s v="Office Supplies"/>
    <n v="15680.09"/>
    <s v="Small"/>
    <s v="Small"/>
    <s v="No Discount"/>
  </r>
  <r>
    <s v="ORD-10003"/>
    <x v="554"/>
    <d v="2022-04-02T00:00:00"/>
    <s v="First Class"/>
    <s v="Bukola"/>
    <s v="Bello"/>
    <s v="bukola.bello@hotmail.com"/>
    <n v="8065918715"/>
    <x v="1"/>
    <x v="2"/>
    <x v="3"/>
    <x v="4"/>
    <s v="Grains"/>
    <x v="129"/>
    <n v="3"/>
    <n v="1780.62"/>
    <n v="0"/>
    <n v="0"/>
    <n v="5341.86"/>
    <n v="1318.15"/>
    <s v="Food &amp; Beverages"/>
    <n v="1318.15"/>
    <s v="Small"/>
    <s v="Small"/>
    <s v="No Discount"/>
  </r>
  <r>
    <s v="ORD-10262"/>
    <x v="554"/>
    <d v="2022-04-02T00:00:00"/>
    <s v="First Class"/>
    <s v="Zainab"/>
    <s v="Sule"/>
    <s v="zainab.sule@hotmail.com"/>
    <n v="9027396087"/>
    <x v="1"/>
    <x v="1"/>
    <x v="9"/>
    <x v="0"/>
    <s v="Labels"/>
    <x v="102"/>
    <n v="5"/>
    <n v="2894.06"/>
    <n v="10"/>
    <n v="1447.03"/>
    <n v="13023.27"/>
    <n v="1774.87"/>
    <s v="Office Supplies"/>
    <n v="1774.87"/>
    <s v="Small"/>
    <s v="Small"/>
    <s v="No Discount"/>
  </r>
  <r>
    <s v="ORD-10815"/>
    <x v="10"/>
    <d v="2022-04-02T00:00:00"/>
    <s v="First Class"/>
    <s v="Seun"/>
    <s v="Osei"/>
    <s v="seun.osei@outlook.com"/>
    <n v="8106873992"/>
    <x v="2"/>
    <x v="3"/>
    <x v="18"/>
    <x v="1"/>
    <s v="Trousers"/>
    <x v="10"/>
    <n v="5"/>
    <n v="18826.41"/>
    <n v="10"/>
    <n v="9413.2000000000007"/>
    <n v="84718.85"/>
    <n v="12992.21"/>
    <s v="Clothing"/>
    <n v="12992.21"/>
    <s v="Small"/>
    <s v="Small"/>
    <s v="No Discount"/>
  </r>
  <r>
    <s v="ORD-10077"/>
    <x v="555"/>
    <d v="2022-04-06T00:00:00"/>
    <s v="First Class"/>
    <s v="Ikenna"/>
    <s v="Alakija"/>
    <s v="ikenna.alakija@gmail.com"/>
    <n v="8034429650"/>
    <x v="1"/>
    <x v="0"/>
    <x v="8"/>
    <x v="0"/>
    <s v="Binders"/>
    <x v="98"/>
    <n v="10"/>
    <n v="19221.939999999999"/>
    <n v="10"/>
    <n v="19221.939999999999"/>
    <n v="172997.46"/>
    <n v="-13495.43"/>
    <s v="Office Supplies"/>
    <n v="13495.43"/>
    <s v="Small"/>
    <s v="Small"/>
    <s v="No Discount"/>
  </r>
  <r>
    <s v="ORD-10997"/>
    <x v="12"/>
    <d v="2022-04-10T00:00:00"/>
    <s v="First Class"/>
    <s v="Ikenna"/>
    <s v="Eze"/>
    <s v="ikenna.eze@gmail.com"/>
    <n v="8032585719"/>
    <x v="2"/>
    <x v="2"/>
    <x v="10"/>
    <x v="1"/>
    <s v="Shoes"/>
    <x v="87"/>
    <n v="8"/>
    <n v="44781.94"/>
    <n v="20"/>
    <n v="71651.100000000006"/>
    <n v="286604.42"/>
    <n v="-7757.18"/>
    <s v="Clothing"/>
    <n v="7757.18"/>
    <s v="Small"/>
    <s v="Small"/>
    <s v="No Discount"/>
  </r>
  <r>
    <s v="ORD-10979"/>
    <x v="14"/>
    <d v="2022-04-20T00:00:00"/>
    <s v="First Class"/>
    <s v="Dayo"/>
    <s v="Otedola"/>
    <s v="dayo.otedola@yahoo.com"/>
    <n v="7062824919"/>
    <x v="1"/>
    <x v="3"/>
    <x v="11"/>
    <x v="1"/>
    <s v="Bags"/>
    <x v="111"/>
    <n v="5"/>
    <n v="34811.24"/>
    <n v="5"/>
    <n v="8702.81"/>
    <n v="165353.39000000001"/>
    <n v="72813.679999999993"/>
    <s v="Clothing"/>
    <n v="72813.679999999993"/>
    <s v="Small"/>
    <s v="Small"/>
    <s v="No Discount"/>
  </r>
  <r>
    <s v="ORD-10344"/>
    <x v="226"/>
    <d v="2022-04-21T00:00:00"/>
    <s v="First Class"/>
    <s v="Taiwo"/>
    <s v="Gambo"/>
    <s v="taiwo.gambo@outlook.com"/>
    <n v="8065734685"/>
    <x v="0"/>
    <x v="3"/>
    <x v="11"/>
    <x v="2"/>
    <s v="Phones"/>
    <x v="66"/>
    <n v="13"/>
    <n v="320466.52"/>
    <n v="10"/>
    <n v="416606.48"/>
    <n v="3749458.28"/>
    <n v="1038840.63"/>
    <s v="Technology"/>
    <n v="1038840.63"/>
    <s v="Small"/>
    <s v="Small"/>
    <s v="No Discount"/>
  </r>
  <r>
    <s v="ORD-10310"/>
    <x v="226"/>
    <d v="2022-04-22T00:00:00"/>
    <s v="First Class"/>
    <s v="Chidi"/>
    <s v="Musa"/>
    <s v="chidi.musa@hotmail.com"/>
    <n v="9075551832"/>
    <x v="0"/>
    <x v="2"/>
    <x v="3"/>
    <x v="0"/>
    <s v="Art Supplies"/>
    <x v="96"/>
    <n v="13"/>
    <n v="967.42"/>
    <n v="5"/>
    <n v="628.82000000000005"/>
    <n v="11947.64"/>
    <n v="5231.58"/>
    <s v="Office Supplies"/>
    <n v="5231.58"/>
    <s v="Small"/>
    <s v="Small"/>
    <s v="No Discount"/>
  </r>
  <r>
    <s v="ORD-10904"/>
    <x v="226"/>
    <d v="2022-04-22T00:00:00"/>
    <s v="First Class"/>
    <s v="Adebayo"/>
    <s v="Olawale"/>
    <s v="adebayo.olawale@hotmail.com"/>
    <n v="8065931680"/>
    <x v="1"/>
    <x v="3"/>
    <x v="22"/>
    <x v="0"/>
    <s v="Art Supplies"/>
    <x v="75"/>
    <n v="2"/>
    <n v="14014.36"/>
    <n v="20"/>
    <n v="5605.74"/>
    <n v="22422.98"/>
    <n v="-2451.88"/>
    <s v="Office Supplies"/>
    <n v="2451.88"/>
    <s v="Small"/>
    <s v="Small"/>
    <s v="No Discount"/>
  </r>
  <r>
    <s v="ORD-10641"/>
    <x v="556"/>
    <d v="2022-04-23T00:00:00"/>
    <s v="First Class"/>
    <s v="Kemi"/>
    <s v="Olawale"/>
    <s v="kemi.olawale@gmail.com"/>
    <n v="8149690736"/>
    <x v="2"/>
    <x v="0"/>
    <x v="0"/>
    <x v="1"/>
    <s v="Shirts"/>
    <x v="27"/>
    <n v="4"/>
    <n v="4351.79"/>
    <n v="10"/>
    <n v="1740.72"/>
    <n v="15666.44"/>
    <n v="3236.75"/>
    <s v="Clothing"/>
    <n v="3236.75"/>
    <s v="Small"/>
    <s v="Small"/>
    <s v="No Discount"/>
  </r>
  <r>
    <s v="ORD-10689"/>
    <x v="557"/>
    <d v="2022-04-25T00:00:00"/>
    <s v="First Class"/>
    <s v="Wale"/>
    <s v="Atiku"/>
    <s v="wale.atiku@yahoo.com"/>
    <n v="7031765519"/>
    <x v="1"/>
    <x v="1"/>
    <x v="5"/>
    <x v="0"/>
    <s v="Envelopes"/>
    <x v="0"/>
    <n v="6"/>
    <n v="5922.1"/>
    <n v="25"/>
    <n v="8883.15"/>
    <n v="26649.45"/>
    <n v="-700.33"/>
    <s v="Office Supplies"/>
    <n v="700.33"/>
    <s v="Small"/>
    <s v="Small"/>
    <s v="No Discount"/>
  </r>
  <r>
    <s v="ORD-10378"/>
    <x v="395"/>
    <d v="2022-04-26T00:00:00"/>
    <s v="First Class"/>
    <s v="Ngozi"/>
    <s v="Bello"/>
    <s v="ngozi.bello@hotmail.com"/>
    <n v="7038807325"/>
    <x v="2"/>
    <x v="3"/>
    <x v="22"/>
    <x v="4"/>
    <s v="Drinks"/>
    <x v="101"/>
    <n v="18"/>
    <n v="3121.53"/>
    <n v="0"/>
    <n v="0"/>
    <n v="56187.54"/>
    <n v="10476.44"/>
    <s v="Food &amp; Beverages"/>
    <n v="10476.44"/>
    <s v="Large"/>
    <s v="Large"/>
    <s v="No Discount"/>
  </r>
  <r>
    <s v="ORD-10267"/>
    <x v="396"/>
    <d v="2022-04-30T00:00:00"/>
    <s v="First Class"/>
    <s v="Wale"/>
    <s v="Fashola"/>
    <s v="wale.fashola@gmail.com"/>
    <n v="8139693169"/>
    <x v="2"/>
    <x v="1"/>
    <x v="9"/>
    <x v="0"/>
    <s v="Binders"/>
    <x v="65"/>
    <n v="17"/>
    <n v="19707.009999999998"/>
    <n v="25"/>
    <n v="83754.789999999994"/>
    <n v="251264.38"/>
    <n v="67607.67"/>
    <s v="Office Supplies"/>
    <n v="67607.67"/>
    <s v="Large"/>
    <s v="Large"/>
    <s v="No Discount"/>
  </r>
  <r>
    <s v="ORD-10642"/>
    <x v="19"/>
    <d v="2022-05-07T00:00:00"/>
    <s v="First Class"/>
    <s v="Lanre"/>
    <s v="Sowore"/>
    <s v="lanre.sowore@gmail.com"/>
    <n v="9014440410"/>
    <x v="1"/>
    <x v="0"/>
    <x v="8"/>
    <x v="4"/>
    <s v="Snacks"/>
    <x v="46"/>
    <n v="16"/>
    <n v="6001.27"/>
    <n v="0"/>
    <n v="0"/>
    <n v="96020.32"/>
    <n v="-1524.21"/>
    <s v="Food &amp; Beverages"/>
    <n v="1524.21"/>
    <s v="Large"/>
    <s v="Large"/>
    <s v="No Discount"/>
  </r>
  <r>
    <s v="ORD-10201"/>
    <x v="558"/>
    <d v="2022-05-09T00:00:00"/>
    <s v="First Class"/>
    <s v="Yemi"/>
    <s v="Musa"/>
    <s v="yemi.musa@outlook.com"/>
    <n v="9027945543"/>
    <x v="0"/>
    <x v="1"/>
    <x v="7"/>
    <x v="4"/>
    <s v="Snacks"/>
    <x v="46"/>
    <n v="13"/>
    <n v="769.57"/>
    <n v="25"/>
    <n v="2501.1"/>
    <n v="7503.31"/>
    <n v="759.18"/>
    <s v="Food &amp; Beverages"/>
    <n v="759.18"/>
    <s v="Small"/>
    <s v="Small"/>
    <s v="No Discount"/>
  </r>
  <r>
    <s v="ORD-10165"/>
    <x v="397"/>
    <d v="2022-05-13T00:00:00"/>
    <s v="First Class"/>
    <s v="Ibrahim"/>
    <s v="Ogundipe"/>
    <s v="ibrahim.ogundipe@yahoo.com"/>
    <n v="8145505300"/>
    <x v="2"/>
    <x v="2"/>
    <x v="12"/>
    <x v="0"/>
    <s v="Art Supplies"/>
    <x v="132"/>
    <n v="19"/>
    <n v="8775"/>
    <n v="0"/>
    <n v="0"/>
    <n v="166725"/>
    <n v="31625.279999999999"/>
    <s v="Office Supplies"/>
    <n v="31625.279999999999"/>
    <s v="Large"/>
    <s v="Large"/>
    <s v="No Discount"/>
  </r>
  <r>
    <s v="ORD-10415"/>
    <x v="559"/>
    <d v="2022-05-14T00:00:00"/>
    <s v="First Class"/>
    <s v="Chibundo"/>
    <s v="Chukwu"/>
    <s v="chibundo.chukwu@outlook.com"/>
    <n v="9073694157"/>
    <x v="1"/>
    <x v="0"/>
    <x v="14"/>
    <x v="0"/>
    <s v="Fasteners"/>
    <x v="115"/>
    <n v="8"/>
    <n v="6285.18"/>
    <n v="0"/>
    <n v="0"/>
    <n v="50281.440000000002"/>
    <n v="-3018.03"/>
    <s v="Office Supplies"/>
    <n v="3018.03"/>
    <s v="Small"/>
    <s v="Small"/>
    <s v="No Discount"/>
  </r>
  <r>
    <s v="ORD-10994"/>
    <x v="230"/>
    <d v="2022-05-20T00:00:00"/>
    <s v="First Class"/>
    <s v="Musa"/>
    <s v="Nwosu"/>
    <s v="musa.nwosu@hotmail.com"/>
    <n v="8132496306"/>
    <x v="1"/>
    <x v="0"/>
    <x v="1"/>
    <x v="3"/>
    <s v="Bookcases"/>
    <x v="118"/>
    <n v="6"/>
    <n v="130966.05"/>
    <n v="5"/>
    <n v="39289.82"/>
    <n v="746506.48"/>
    <n v="42434.92"/>
    <s v="Furniture"/>
    <n v="42434.92"/>
    <s v="Small"/>
    <s v="Small"/>
    <s v="No Discount"/>
  </r>
  <r>
    <s v="ORD-10744"/>
    <x v="560"/>
    <d v="2022-06-04T00:00:00"/>
    <s v="First Class"/>
    <s v="Wale"/>
    <s v="Buhari"/>
    <s v="wale.buhari@yahoo.com"/>
    <n v="9025362068"/>
    <x v="0"/>
    <x v="3"/>
    <x v="11"/>
    <x v="0"/>
    <s v="Pens &amp; Pencils"/>
    <x v="67"/>
    <n v="15"/>
    <n v="8601.2000000000007"/>
    <n v="10"/>
    <n v="12901.8"/>
    <n v="116116.2"/>
    <n v="22171.08"/>
    <s v="Office Supplies"/>
    <n v="22171.08"/>
    <s v="Large"/>
    <s v="Large"/>
    <s v="No Discount"/>
  </r>
  <r>
    <s v="ORD-10186"/>
    <x v="561"/>
    <d v="2022-06-05T00:00:00"/>
    <s v="First Class"/>
    <s v="Tunde"/>
    <s v="Nwosu"/>
    <s v="tunde.nwosu@hotmail.com"/>
    <n v="9023160763"/>
    <x v="2"/>
    <x v="2"/>
    <x v="20"/>
    <x v="2"/>
    <s v="Tablets"/>
    <x v="71"/>
    <n v="15"/>
    <n v="33572.9"/>
    <n v="0"/>
    <n v="0"/>
    <n v="503593.5"/>
    <n v="-24780.06"/>
    <s v="Technology"/>
    <n v="24780.06"/>
    <s v="Large"/>
    <s v="Large"/>
    <s v="No Discount"/>
  </r>
  <r>
    <s v="ORD-10859"/>
    <x v="562"/>
    <d v="2022-06-08T00:00:00"/>
    <s v="First Class"/>
    <s v="Chibundo"/>
    <s v="Tinubu"/>
    <s v="unknown"/>
    <n v="8161587080"/>
    <x v="1"/>
    <x v="3"/>
    <x v="18"/>
    <x v="2"/>
    <s v="Tablets"/>
    <x v="36"/>
    <n v="7"/>
    <n v="129285.66"/>
    <n v="0"/>
    <n v="0"/>
    <n v="904999.62"/>
    <n v="363487.5"/>
    <s v="Technology"/>
    <n v="363487.5"/>
    <s v="Small"/>
    <s v="Small"/>
    <s v="No Discount"/>
  </r>
  <r>
    <s v="ORD-10413"/>
    <x v="563"/>
    <d v="2022-06-10T00:00:00"/>
    <s v="First Class"/>
    <s v="Dayo"/>
    <s v="Sule"/>
    <s v="unknown"/>
    <n v="7066257190"/>
    <x v="0"/>
    <x v="1"/>
    <x v="5"/>
    <x v="3"/>
    <s v="Storage"/>
    <x v="107"/>
    <n v="17"/>
    <n v="51217.54"/>
    <n v="20"/>
    <n v="174139.64"/>
    <n v="696558.54"/>
    <n v="176184.83"/>
    <s v="Furniture"/>
    <n v="176184.83"/>
    <s v="Large"/>
    <s v="Large"/>
    <s v="No Discount"/>
  </r>
  <r>
    <s v="ORD-10125"/>
    <x v="402"/>
    <d v="2022-06-11T00:00:00"/>
    <s v="First Class"/>
    <s v="Ngozi"/>
    <s v="Gambo"/>
    <s v="ngozi.gambo@yahoo.com"/>
    <n v="9053514105"/>
    <x v="1"/>
    <x v="2"/>
    <x v="20"/>
    <x v="3"/>
    <s v="Bookcases"/>
    <x v="62"/>
    <n v="7"/>
    <n v="83996.58"/>
    <n v="20"/>
    <n v="117595.21"/>
    <n v="470380.85"/>
    <n v="-44890.8"/>
    <s v="Furniture"/>
    <n v="44890.8"/>
    <s v="Small"/>
    <s v="Small"/>
    <s v="No Discount"/>
  </r>
  <r>
    <s v="ORD-10195"/>
    <x v="402"/>
    <d v="2022-06-11T00:00:00"/>
    <s v="First Class"/>
    <s v="Obinna"/>
    <s v="Osei"/>
    <s v="obinna.osei@yahoo.com"/>
    <n v="9072488575"/>
    <x v="0"/>
    <x v="2"/>
    <x v="12"/>
    <x v="0"/>
    <s v="Envelopes"/>
    <x v="123"/>
    <n v="8"/>
    <n v="6997.7"/>
    <n v="0"/>
    <n v="0"/>
    <n v="55981.599999999999"/>
    <n v="3375.06"/>
    <s v="Office Supplies"/>
    <n v="3375.06"/>
    <s v="Small"/>
    <s v="Small"/>
    <s v="No Discount"/>
  </r>
  <r>
    <s v="ORD-10845"/>
    <x v="31"/>
    <d v="2022-06-19T00:00:00"/>
    <s v="First Class"/>
    <s v="Adebayo"/>
    <s v="Alakija"/>
    <s v="adebayo.alakija@outlook.com"/>
    <n v="8068541105"/>
    <x v="2"/>
    <x v="1"/>
    <x v="2"/>
    <x v="1"/>
    <s v="Trousers"/>
    <x v="14"/>
    <n v="12"/>
    <n v="32612.03"/>
    <n v="0"/>
    <n v="0"/>
    <n v="391344.36"/>
    <n v="52537.26"/>
    <s v="Clothing"/>
    <n v="52537.26"/>
    <s v="Small"/>
    <s v="Small"/>
    <s v="No Discount"/>
  </r>
  <r>
    <s v="ORD-10097"/>
    <x v="564"/>
    <d v="2022-06-22T00:00:00"/>
    <s v="First Class"/>
    <s v="Sade"/>
    <s v="Ogundipe"/>
    <s v="sade.ogundipe@yahoo.com"/>
    <n v="8155928582"/>
    <x v="1"/>
    <x v="1"/>
    <x v="5"/>
    <x v="0"/>
    <s v="Paper"/>
    <x v="63"/>
    <n v="10"/>
    <n v="8534.0400000000009"/>
    <n v="10"/>
    <n v="8534.0400000000009"/>
    <n v="76806.36"/>
    <n v="9028.5499999999993"/>
    <s v="Office Supplies"/>
    <n v="9028.5499999999993"/>
    <s v="Small"/>
    <s v="Small"/>
    <s v="No Discount"/>
  </r>
  <r>
    <s v="ORD-10044"/>
    <x v="565"/>
    <d v="2022-06-26T00:00:00"/>
    <s v="First Class"/>
    <s v="Bola"/>
    <s v="Otedola"/>
    <s v="bola.otedola@hotmail.com"/>
    <n v="9054786401"/>
    <x v="0"/>
    <x v="2"/>
    <x v="13"/>
    <x v="4"/>
    <s v="Cooking Oil"/>
    <x v="119"/>
    <n v="10"/>
    <n v="7295.48"/>
    <n v="15"/>
    <n v="10943.22"/>
    <n v="62011.58"/>
    <n v="2060.5300000000002"/>
    <s v="Food &amp; Beverages"/>
    <n v="2060.5300000000002"/>
    <s v="Small"/>
    <s v="Small"/>
    <s v="No Discount"/>
  </r>
  <r>
    <s v="ORD-10447"/>
    <x v="237"/>
    <d v="2022-06-29T00:00:00"/>
    <s v="First Class"/>
    <s v="Kemi"/>
    <s v="Adeyemi"/>
    <s v="kemi.adeyemi@yahoo.com"/>
    <n v="8109257506"/>
    <x v="0"/>
    <x v="3"/>
    <x v="6"/>
    <x v="2"/>
    <s v="Accessories"/>
    <x v="39"/>
    <n v="7"/>
    <n v="147088.57"/>
    <n v="25"/>
    <n v="257405"/>
    <n v="772214.99"/>
    <n v="-94032.93"/>
    <s v="Technology"/>
    <n v="94032.93"/>
    <s v="Small"/>
    <s v="Small"/>
    <s v="No Discount"/>
  </r>
  <r>
    <s v="ORD-10122"/>
    <x v="566"/>
    <d v="2022-06-30T00:00:00"/>
    <s v="First Class"/>
    <s v="Yemi"/>
    <s v="Adeyemi"/>
    <s v="yemi.adeyemi@yahoo.com"/>
    <n v="8146429135"/>
    <x v="2"/>
    <x v="1"/>
    <x v="5"/>
    <x v="3"/>
    <s v="Chairs"/>
    <x v="95"/>
    <n v="15"/>
    <n v="73974.8"/>
    <n v="10"/>
    <n v="110962.2"/>
    <n v="998659.8"/>
    <n v="421854.77"/>
    <s v="Furniture"/>
    <n v="421854.77"/>
    <s v="Large"/>
    <s v="Large"/>
    <s v="No Discount"/>
  </r>
  <r>
    <s v="ORD-10463"/>
    <x v="405"/>
    <d v="2022-07-05T00:00:00"/>
    <s v="First Class"/>
    <s v="Chidinma"/>
    <s v="Abubakar"/>
    <s v="chidinma.abubakar@hotmail.com"/>
    <n v="7031768727"/>
    <x v="2"/>
    <x v="1"/>
    <x v="2"/>
    <x v="1"/>
    <s v="Shoes"/>
    <x v="56"/>
    <n v="1"/>
    <n v="39236"/>
    <n v="10"/>
    <n v="3923.6"/>
    <n v="35312.400000000001"/>
    <n v="6590.23"/>
    <s v="Clothing"/>
    <n v="6590.23"/>
    <s v="Small"/>
    <s v="Small"/>
    <s v="No Discount"/>
  </r>
  <r>
    <s v="ORD-10551"/>
    <x v="567"/>
    <d v="2022-07-06T00:00:00"/>
    <s v="First Class"/>
    <s v="Tunde"/>
    <s v="Atiku"/>
    <s v="tunde.atiku@yahoo.com"/>
    <n v="8063770138"/>
    <x v="1"/>
    <x v="2"/>
    <x v="3"/>
    <x v="4"/>
    <s v="Drinks"/>
    <x v="58"/>
    <n v="18"/>
    <n v="6024.25"/>
    <n v="20"/>
    <n v="21687.3"/>
    <n v="86749.2"/>
    <n v="29061.69"/>
    <s v="Food &amp; Beverages"/>
    <n v="29061.69"/>
    <s v="Large"/>
    <s v="Large"/>
    <s v="No Discount"/>
  </r>
  <r>
    <s v="ORD-10588"/>
    <x v="241"/>
    <d v="2022-07-13T00:00:00"/>
    <s v="First Class"/>
    <s v="Chidi"/>
    <s v="Adebayo"/>
    <s v="chidi.adebayo@outlook.com"/>
    <n v="7069392233"/>
    <x v="0"/>
    <x v="1"/>
    <x v="19"/>
    <x v="3"/>
    <s v="Bookcases"/>
    <x v="84"/>
    <n v="5"/>
    <n v="132818.35999999999"/>
    <n v="0"/>
    <n v="0"/>
    <n v="664091.80000000005"/>
    <n v="32401.65"/>
    <s v="Furniture"/>
    <n v="32401.65"/>
    <s v="Small"/>
    <s v="Small"/>
    <s v="No Discount"/>
  </r>
  <r>
    <s v="ORD-10167"/>
    <x v="568"/>
    <d v="2022-07-14T00:00:00"/>
    <s v="First Class"/>
    <s v="Tobi"/>
    <s v="Musa"/>
    <s v="tobi.musa@outlook.com"/>
    <n v="9073777050"/>
    <x v="0"/>
    <x v="3"/>
    <x v="11"/>
    <x v="2"/>
    <s v="Accessories"/>
    <x v="17"/>
    <n v="8"/>
    <n v="330804.94"/>
    <n v="15"/>
    <n v="396965.93"/>
    <n v="2249473.59"/>
    <n v="547276.99"/>
    <s v="Technology"/>
    <n v="547276.99"/>
    <s v="Small"/>
    <s v="Small"/>
    <s v="No Discount"/>
  </r>
  <r>
    <s v="ORD-10754"/>
    <x v="33"/>
    <d v="2022-07-16T00:00:00"/>
    <s v="First Class"/>
    <s v="Adaeze"/>
    <s v="Tinubu"/>
    <s v="adaeze.tinubu@yahoo.com"/>
    <n v="8132823879"/>
    <x v="1"/>
    <x v="3"/>
    <x v="22"/>
    <x v="3"/>
    <s v="Tables"/>
    <x v="26"/>
    <n v="11"/>
    <n v="94306.1"/>
    <n v="25"/>
    <n v="259341.78"/>
    <n v="778025.32"/>
    <n v="103574.92"/>
    <s v="Furniture"/>
    <n v="103574.92"/>
    <s v="Small"/>
    <s v="Small"/>
    <s v="No Discount"/>
  </r>
  <r>
    <s v="ORD-10802"/>
    <x v="242"/>
    <d v="2022-07-17T00:00:00"/>
    <s v="First Class"/>
    <s v="Chidi"/>
    <s v="Dangote"/>
    <s v="chidi.dangote@gmail.com"/>
    <n v="8036483795"/>
    <x v="0"/>
    <x v="2"/>
    <x v="20"/>
    <x v="1"/>
    <s v="Shoes"/>
    <x v="56"/>
    <n v="19"/>
    <n v="36401.64"/>
    <n v="10"/>
    <n v="69163.12"/>
    <n v="622468.04"/>
    <n v="227583.76"/>
    <s v="Clothing"/>
    <n v="227583.76"/>
    <s v="Large"/>
    <s v="Large"/>
    <s v="No Discount"/>
  </r>
  <r>
    <s v="ORD-10679"/>
    <x v="569"/>
    <d v="2022-07-20T00:00:00"/>
    <s v="First Class"/>
    <s v="Gbenga"/>
    <s v="Sanusi"/>
    <s v="gbenga.sanusi@outlook.com"/>
    <n v="8039685189"/>
    <x v="2"/>
    <x v="3"/>
    <x v="6"/>
    <x v="4"/>
    <s v="Condiments"/>
    <x v="124"/>
    <n v="14"/>
    <n v="6799.3"/>
    <n v="10"/>
    <n v="9519.02"/>
    <n v="85671.18"/>
    <n v="3742.12"/>
    <s v="Food &amp; Beverages"/>
    <n v="3742.12"/>
    <s v="Small"/>
    <s v="Medium"/>
    <s v="No Discount"/>
  </r>
  <r>
    <s v="ORD-10774"/>
    <x v="243"/>
    <d v="2022-07-20T00:00:00"/>
    <s v="First Class"/>
    <s v="Wale"/>
    <s v="Atiku"/>
    <s v="nodotat.com"/>
    <n v="8104679430"/>
    <x v="1"/>
    <x v="0"/>
    <x v="0"/>
    <x v="4"/>
    <s v="Snacks"/>
    <x v="64"/>
    <n v="3"/>
    <n v="2036.75"/>
    <n v="0"/>
    <n v="0"/>
    <n v="6110.25"/>
    <n v="1713.07"/>
    <s v="Food &amp; Beverages"/>
    <n v="1713.07"/>
    <s v="Small"/>
    <s v="Small"/>
    <s v="No Discount"/>
  </r>
  <r>
    <s v="ORD-10627"/>
    <x v="570"/>
    <d v="2022-07-22T00:00:00"/>
    <s v="First Class"/>
    <s v="Chidinma"/>
    <s v="Atiku"/>
    <s v="chidinma.atiku@hotmail.com"/>
    <n v="8135932600"/>
    <x v="1"/>
    <x v="2"/>
    <x v="12"/>
    <x v="3"/>
    <s v="Storage"/>
    <x v="18"/>
    <n v="17"/>
    <n v="110176.46"/>
    <n v="20"/>
    <n v="374599.96"/>
    <n v="1498399.86"/>
    <n v="241498.72"/>
    <s v="Furniture"/>
    <n v="241498.72"/>
    <s v="Large"/>
    <s v="Large"/>
    <s v="Offer Discount"/>
  </r>
  <r>
    <s v="ORD-10411"/>
    <x v="570"/>
    <d v="2022-07-23T00:00:00"/>
    <s v="First Class"/>
    <s v="Yemi"/>
    <s v="Obi"/>
    <s v="yemi.obi@yahoo.com"/>
    <n v="7039333769"/>
    <x v="1"/>
    <x v="1"/>
    <x v="9"/>
    <x v="4"/>
    <s v="Grains"/>
    <x v="117"/>
    <n v="12"/>
    <n v="5034.17"/>
    <n v="15"/>
    <n v="9061.51"/>
    <n v="51348.53"/>
    <n v="-1486.27"/>
    <s v="Food &amp; Beverages"/>
    <n v="1486.27"/>
    <s v="Small"/>
    <s v="Small"/>
    <s v="No Discount"/>
  </r>
  <r>
    <s v="ORD-10042"/>
    <x v="36"/>
    <d v="2022-07-27T00:00:00"/>
    <s v="First Class"/>
    <s v="Nike"/>
    <s v="Abubakar"/>
    <s v="nike.abubakar@outlook.com"/>
    <n v="8106071208"/>
    <x v="2"/>
    <x v="1"/>
    <x v="7"/>
    <x v="2"/>
    <s v="Printers"/>
    <x v="55"/>
    <n v="2"/>
    <n v="134325.43"/>
    <n v="25"/>
    <n v="67162.710000000006"/>
    <n v="201488.15"/>
    <n v="5094.0200000000004"/>
    <s v="Technology"/>
    <n v="5094.0200000000004"/>
    <s v="Small"/>
    <s v="Small"/>
    <s v="No Discount"/>
  </r>
  <r>
    <s v="ORD-10578"/>
    <x v="407"/>
    <d v="2022-08-04T00:00:00"/>
    <s v="First Class"/>
    <s v="Wale"/>
    <s v="Sowore"/>
    <s v="wale.sowore@outlook.com"/>
    <n v="8162281267"/>
    <x v="1"/>
    <x v="0"/>
    <x v="8"/>
    <x v="2"/>
    <s v="Phones"/>
    <x v="54"/>
    <n v="13"/>
    <n v="154311.35999999999"/>
    <n v="20"/>
    <n v="401209.54"/>
    <n v="1604838.14"/>
    <n v="453857.98"/>
    <s v="Technology"/>
    <n v="453857.98"/>
    <s v="Small"/>
    <s v="Small"/>
    <s v="No Discount"/>
  </r>
  <r>
    <s v="ORD-10557"/>
    <x v="571"/>
    <d v="2022-08-14T00:00:00"/>
    <s v="First Class"/>
    <s v="Olumide"/>
    <s v="Adeyemi"/>
    <s v="olumide.adeyemi@yahoo.com"/>
    <n v="7038280643"/>
    <x v="2"/>
    <x v="1"/>
    <x v="2"/>
    <x v="2"/>
    <s v="Tablets"/>
    <x v="36"/>
    <n v="10"/>
    <n v="63139.55"/>
    <n v="0"/>
    <n v="0"/>
    <n v="631395.5"/>
    <n v="-44066.23"/>
    <s v="Technology"/>
    <n v="44066.23"/>
    <s v="Small"/>
    <s v="Small"/>
    <s v="No Discount"/>
  </r>
  <r>
    <s v="ORD-10726"/>
    <x v="40"/>
    <d v="2022-08-19T00:00:00"/>
    <s v="First Class"/>
    <s v="Oluwaseun"/>
    <s v="Otedola"/>
    <s v="oluwaseun.otedola@hotmail.com"/>
    <n v="8032342330"/>
    <x v="2"/>
    <x v="1"/>
    <x v="7"/>
    <x v="3"/>
    <s v="Chairs"/>
    <x v="95"/>
    <n v="19"/>
    <n v="171090.61"/>
    <n v="10"/>
    <n v="325072.15999999997"/>
    <n v="2925649.43"/>
    <n v="-91959.51"/>
    <s v="Furniture"/>
    <n v="91959.51"/>
    <s v="Large"/>
    <s v="Large"/>
    <s v="Offer Discount"/>
  </r>
  <r>
    <s v="ORD-10381"/>
    <x v="572"/>
    <d v="2022-08-20T00:00:00"/>
    <s v="First Class"/>
    <s v="Wale"/>
    <s v="Okafor"/>
    <s v="wale.okafor@yahoo.com"/>
    <n v="8151380679"/>
    <x v="0"/>
    <x v="2"/>
    <x v="4"/>
    <x v="0"/>
    <s v="Envelopes"/>
    <x v="3"/>
    <n v="16"/>
    <n v="23327.18"/>
    <n v="10"/>
    <n v="37323.49"/>
    <n v="335911.39"/>
    <n v="34289.160000000003"/>
    <s v="Office Supplies"/>
    <n v="34289.160000000003"/>
    <s v="Large"/>
    <s v="Large"/>
    <s v="No Discount"/>
  </r>
  <r>
    <s v="ORD-10348"/>
    <x v="573"/>
    <d v="2022-08-23T00:00:00"/>
    <s v="First Class"/>
    <s v="Sade"/>
    <s v="Okafor"/>
    <s v="sade.okafor@outlook.com"/>
    <n v="8149672974"/>
    <x v="1"/>
    <x v="2"/>
    <x v="20"/>
    <x v="2"/>
    <s v="Printers"/>
    <x v="20"/>
    <n v="16"/>
    <n v="53474.16"/>
    <n v="0"/>
    <n v="0"/>
    <n v="855586.56"/>
    <n v="222832.74"/>
    <s v="Technology"/>
    <n v="222832.74"/>
    <s v="Large"/>
    <s v="Large"/>
    <s v="No Discount"/>
  </r>
  <r>
    <s v="ORD-10019"/>
    <x v="43"/>
    <d v="2022-08-27T00:00:00"/>
    <s v="First Class"/>
    <s v="Taiwo"/>
    <s v="Okafor"/>
    <s v="taiwo.okafor@outlook.com"/>
    <n v="8164533779"/>
    <x v="0"/>
    <x v="0"/>
    <x v="1"/>
    <x v="0"/>
    <s v="Binders"/>
    <x v="33"/>
    <n v="9"/>
    <n v="12882.52"/>
    <n v="0"/>
    <n v="0"/>
    <n v="115942.68"/>
    <n v="-10970.6"/>
    <s v="Office Supplies"/>
    <n v="10970.6"/>
    <s v="Small"/>
    <s v="Small"/>
    <s v="No Discount"/>
  </r>
  <r>
    <s v="ORD-10577"/>
    <x v="411"/>
    <d v="2022-09-03T00:00:00"/>
    <s v="First Class"/>
    <s v="Sade"/>
    <s v="Adeleke"/>
    <s v="sade.adeleke@yahoo.com"/>
    <s v="803 1234567"/>
    <x v="0"/>
    <x v="0"/>
    <x v="17"/>
    <x v="4"/>
    <s v="Grains"/>
    <x v="129"/>
    <n v="14"/>
    <n v="1696.51"/>
    <n v="0"/>
    <n v="0"/>
    <n v="23751.14"/>
    <n v="9164.8700000000008"/>
    <s v="Food &amp; Beverages"/>
    <n v="9164.8700000000008"/>
    <s v="Small"/>
    <s v="Medium"/>
    <s v="No Discount"/>
  </r>
  <r>
    <s v="ORD-10026"/>
    <x v="48"/>
    <d v="2022-09-20T00:00:00"/>
    <s v="First Class"/>
    <s v="Chibundo"/>
    <s v="Sowore"/>
    <s v="chibundo.sowore@hotmail.com"/>
    <n v="9073919694"/>
    <x v="1"/>
    <x v="1"/>
    <x v="7"/>
    <x v="4"/>
    <s v="Condiments"/>
    <x v="74"/>
    <n v="1"/>
    <n v="3426.78"/>
    <n v="10"/>
    <n v="342.68"/>
    <n v="3084.1"/>
    <n v="68.31"/>
    <s v="Food &amp; Beverages"/>
    <n v="68.31"/>
    <s v="Small"/>
    <s v="Small"/>
    <s v="No Discount"/>
  </r>
  <r>
    <s v="ORD-10194"/>
    <x v="48"/>
    <d v="2022-09-20T00:00:00"/>
    <s v="First Class"/>
    <s v="Chidi"/>
    <s v="Obi"/>
    <s v="chidi.obi@hotmail.com"/>
    <n v="8031543292"/>
    <x v="1"/>
    <x v="3"/>
    <x v="16"/>
    <x v="3"/>
    <s v="Sofas"/>
    <x v="99"/>
    <n v="20"/>
    <n v="166418.57"/>
    <n v="5"/>
    <n v="166418.57"/>
    <n v="3161952.83"/>
    <n v="739226.83"/>
    <s v="Furniture"/>
    <n v="739226.83"/>
    <s v="Large"/>
    <s v="Large"/>
    <s v="Offer Discount"/>
  </r>
  <r>
    <s v="ORD-10545"/>
    <x v="414"/>
    <d v="2022-09-24T00:00:00"/>
    <s v="First Class"/>
    <s v="Tunde"/>
    <s v="Otedola"/>
    <s v="tunde.otedola@outlook.com"/>
    <n v="8167405244"/>
    <x v="1"/>
    <x v="3"/>
    <x v="6"/>
    <x v="3"/>
    <s v="Storage"/>
    <x v="107"/>
    <n v="9"/>
    <n v="22319.7"/>
    <n v="15"/>
    <n v="30131.599999999999"/>
    <n v="170745.7"/>
    <n v="70709.14"/>
    <s v="Furniture"/>
    <n v="70709.14"/>
    <s v="Small"/>
    <s v="Small"/>
    <s v="No Discount"/>
  </r>
  <r>
    <s v="ORD-10690"/>
    <x v="251"/>
    <d v="2022-09-24T00:00:00"/>
    <s v="First Class"/>
    <s v="Amara"/>
    <s v="Sule"/>
    <s v="amara.sule@hotmail.com"/>
    <n v="8066591646"/>
    <x v="2"/>
    <x v="2"/>
    <x v="20"/>
    <x v="0"/>
    <s v="Art Supplies"/>
    <x v="75"/>
    <n v="2"/>
    <n v="2054.89"/>
    <n v="25"/>
    <n v="1027.44"/>
    <n v="3082.34"/>
    <n v="-73.12"/>
    <s v="Office Supplies"/>
    <n v="73.12"/>
    <s v="Small"/>
    <s v="Small"/>
    <s v="No Discount"/>
  </r>
  <r>
    <s v="ORD-10996"/>
    <x v="574"/>
    <d v="2022-10-02T00:00:00"/>
    <s v="First Class"/>
    <s v="Wale"/>
    <s v="Otedola"/>
    <s v="wale.otedola@outlook.com"/>
    <n v="7063034475"/>
    <x v="2"/>
    <x v="3"/>
    <x v="6"/>
    <x v="3"/>
    <s v="Tables"/>
    <x v="9"/>
    <n v="18"/>
    <n v="20785.8"/>
    <n v="10"/>
    <n v="37414.44"/>
    <n v="336729.96"/>
    <n v="11536.01"/>
    <s v="Furniture"/>
    <n v="11536.01"/>
    <s v="Large"/>
    <s v="Large"/>
    <s v="No Discount"/>
  </r>
  <r>
    <s v="ORD-10757"/>
    <x v="418"/>
    <d v="2022-10-17T00:00:00"/>
    <s v="First Class"/>
    <s v="Femi"/>
    <s v="Okonkwo"/>
    <s v="femi.okonkwo@yahoo.com"/>
    <n v="8135293781"/>
    <x v="1"/>
    <x v="1"/>
    <x v="19"/>
    <x v="0"/>
    <s v="Art Supplies"/>
    <x v="132"/>
    <n v="14"/>
    <n v="1080.1400000000001"/>
    <n v="15"/>
    <n v="2268.29"/>
    <n v="12853.67"/>
    <n v="583.70000000000005"/>
    <s v="Office Supplies"/>
    <n v="583.70000000000005"/>
    <s v="Small"/>
    <s v="Medium"/>
    <s v="No Discount"/>
  </r>
  <r>
    <s v="ORD-10783"/>
    <x v="575"/>
    <d v="2022-10-18T00:00:00"/>
    <s v="First Class"/>
    <s v="Bola"/>
    <s v="Atiku"/>
    <s v="bola.atiku@yahoo.com"/>
    <n v="8138438704"/>
    <x v="0"/>
    <x v="0"/>
    <x v="1"/>
    <x v="3"/>
    <s v="Bookcases"/>
    <x v="118"/>
    <n v="4"/>
    <n v="9852.27"/>
    <n v="25"/>
    <n v="9852.27"/>
    <n v="29556.81"/>
    <n v="1084.6300000000001"/>
    <s v="Furniture"/>
    <n v="1084.6300000000001"/>
    <s v="Small"/>
    <s v="Small"/>
    <s v="No Discount"/>
  </r>
  <r>
    <s v="ORD-10583"/>
    <x v="54"/>
    <d v="2022-10-19T00:00:00"/>
    <s v="First Class"/>
    <s v="Hauwa"/>
    <s v="Musa"/>
    <s v="hauwa.musa@gmail.com"/>
    <n v="9057987624"/>
    <x v="0"/>
    <x v="3"/>
    <x v="22"/>
    <x v="3"/>
    <s v="Tables"/>
    <x v="9"/>
    <n v="17"/>
    <n v="135891.97"/>
    <n v="10"/>
    <n v="231016.35"/>
    <n v="2079147.14"/>
    <n v="274677.58"/>
    <s v="Furniture"/>
    <n v="274677.58"/>
    <s v="Large"/>
    <s v="Large"/>
    <s v="Offer Discount"/>
  </r>
  <r>
    <s v="ORD-10158"/>
    <x v="54"/>
    <d v="2022-10-20T00:00:00"/>
    <s v="First Class"/>
    <s v="Chibundo"/>
    <s v="Alakija"/>
    <s v="chibundo.alakija@yahoo.com"/>
    <n v="9057437584"/>
    <x v="0"/>
    <x v="0"/>
    <x v="1"/>
    <x v="1"/>
    <s v="Trousers"/>
    <x v="53"/>
    <n v="6"/>
    <n v="29326.57"/>
    <n v="25"/>
    <n v="43989.86"/>
    <n v="131969.56"/>
    <n v="-6582.73"/>
    <s v="Clothing"/>
    <n v="6582.73"/>
    <s v="Small"/>
    <s v="Small"/>
    <s v="No Discount"/>
  </r>
  <r>
    <s v="ORD-10706"/>
    <x v="419"/>
    <d v="2022-10-23T00:00:00"/>
    <s v="First Class"/>
    <s v="Taiwo"/>
    <s v="Fashola"/>
    <s v="taiwo.fashola@hotmail.com"/>
    <n v="9015203347"/>
    <x v="2"/>
    <x v="3"/>
    <x v="18"/>
    <x v="2"/>
    <s v="Printers"/>
    <x v="104"/>
    <n v="6"/>
    <n v="298660.07"/>
    <n v="0"/>
    <n v="0"/>
    <n v="1791960.42"/>
    <n v="662457.42000000004"/>
    <s v="Technology"/>
    <n v="662457.42000000004"/>
    <s v="Small"/>
    <s v="Small"/>
    <s v="No Discount"/>
  </r>
  <r>
    <s v="ORD-10983"/>
    <x v="576"/>
    <d v="2022-10-28T00:00:00"/>
    <s v="First Class"/>
    <s v="Lanre"/>
    <s v="Olawale"/>
    <s v="lanre.olawale@yahoo.com"/>
    <n v="8106542417"/>
    <x v="2"/>
    <x v="1"/>
    <x v="19"/>
    <x v="4"/>
    <s v="Drinks"/>
    <x v="101"/>
    <n v="17"/>
    <n v="463.8"/>
    <n v="10"/>
    <n v="788.46"/>
    <n v="7096.14"/>
    <n v="1360.25"/>
    <s v="Food &amp; Beverages"/>
    <n v="1360.25"/>
    <s v="Large"/>
    <s v="Large"/>
    <s v="No Discount"/>
  </r>
  <r>
    <s v="ORD-10238"/>
    <x v="577"/>
    <d v="2022-10-29T00:00:00"/>
    <s v="First Class"/>
    <s v="Nike"/>
    <s v="Nwosu"/>
    <s v="nike.nwosu@gmail.com"/>
    <n v="7038593275"/>
    <x v="2"/>
    <x v="3"/>
    <x v="11"/>
    <x v="4"/>
    <s v="Printers"/>
    <x v="20"/>
    <n v="18"/>
    <n v="391206.05"/>
    <n v="15"/>
    <n v="1056256.33"/>
    <n v="5985452.5700000003"/>
    <n v="-44548.03"/>
    <s v="Food &amp; Beverages"/>
    <n v="44548.03"/>
    <s v="Large"/>
    <s v="Large"/>
    <s v="Offer Discount"/>
  </r>
  <r>
    <s v="ORD-10449"/>
    <x v="422"/>
    <d v="2022-11-08T00:00:00"/>
    <s v="First Class"/>
    <s v="Ngozi"/>
    <s v="Fashola"/>
    <s v="ngozi.fashola@hotmail.com"/>
    <n v="8032861110"/>
    <x v="0"/>
    <x v="0"/>
    <x v="17"/>
    <x v="2"/>
    <s v="Printers"/>
    <x v="20"/>
    <n v="4"/>
    <n v="355237.97"/>
    <n v="25"/>
    <n v="355237.97"/>
    <n v="1065713.9099999999"/>
    <n v="-133020.64000000001"/>
    <s v="Technology"/>
    <n v="133020.64000000001"/>
    <s v="Small"/>
    <s v="Small"/>
    <s v="No Discount"/>
  </r>
  <r>
    <s v="ORD-10251"/>
    <x v="423"/>
    <d v="2022-11-12T00:00:00"/>
    <s v="First Class"/>
    <s v="Chisom"/>
    <s v="Ogundipe"/>
    <s v="chisom.ogundipe@yahoo.com"/>
    <n v="8036254872"/>
    <x v="2"/>
    <x v="1"/>
    <x v="7"/>
    <x v="3"/>
    <s v="Tables"/>
    <x v="9"/>
    <n v="12"/>
    <n v="55588.93"/>
    <n v="0"/>
    <n v="0"/>
    <n v="667067.16"/>
    <n v="171935.3"/>
    <s v="Furniture"/>
    <n v="171935.3"/>
    <s v="Small"/>
    <s v="Small"/>
    <s v="No Discount"/>
  </r>
  <r>
    <s v="ORD-10308"/>
    <x v="59"/>
    <d v="2022-11-18T00:00:00"/>
    <s v="First Class"/>
    <s v="Bola"/>
    <s v="Atiku"/>
    <s v="bola.atiku@gmail.com"/>
    <n v="8133477610"/>
    <x v="2"/>
    <x v="3"/>
    <x v="18"/>
    <x v="0"/>
    <s v="Paper"/>
    <x v="106"/>
    <n v="4"/>
    <n v="17497.98"/>
    <n v="10"/>
    <n v="6999.19"/>
    <n v="62992.73"/>
    <n v="7561.45"/>
    <s v="Office Supplies"/>
    <n v="7561.45"/>
    <s v="Small"/>
    <s v="Small"/>
    <s v="No Discount"/>
  </r>
  <r>
    <s v="ORD-10448"/>
    <x v="578"/>
    <d v="2022-11-23T00:00:00"/>
    <s v="First Class"/>
    <s v="Dayo"/>
    <s v="Adeleke"/>
    <s v="dayo.adeleke@gmail.com"/>
    <n v="7038224612"/>
    <x v="1"/>
    <x v="2"/>
    <x v="3"/>
    <x v="2"/>
    <s v="Printers"/>
    <x v="55"/>
    <n v="8"/>
    <n v="67499.289999999994"/>
    <n v="20"/>
    <n v="107998.86"/>
    <n v="431995.46"/>
    <n v="2027.48"/>
    <s v="Technology"/>
    <n v="2027.48"/>
    <s v="Small"/>
    <s v="Small"/>
    <s v="No Discount"/>
  </r>
  <r>
    <s v="ORD-10407"/>
    <x v="430"/>
    <d v="2022-12-06T00:00:00"/>
    <s v="First Class"/>
    <s v="Oluwaseun"/>
    <s v="Okafor"/>
    <s v="oluwaseun.okafor@outlook.com"/>
    <n v="9017527687"/>
    <x v="2"/>
    <x v="2"/>
    <x v="10"/>
    <x v="1"/>
    <s v="Shirts"/>
    <x v="12"/>
    <n v="18"/>
    <n v="31026.06"/>
    <n v="25"/>
    <n v="139617.26999999999"/>
    <n v="418851.81"/>
    <n v="80975"/>
    <s v="Clothing"/>
    <n v="80975"/>
    <s v="Large"/>
    <s v="Large"/>
    <s v="No Discount"/>
  </r>
  <r>
    <s v="ORD-10152"/>
    <x v="579"/>
    <d v="2022-12-09T00:00:00"/>
    <s v="First Class"/>
    <s v="Kehinde"/>
    <s v="Tinubu"/>
    <s v="kehinde.tinubu@hotmail.com"/>
    <n v="9026563269"/>
    <x v="0"/>
    <x v="2"/>
    <x v="4"/>
    <x v="1"/>
    <s v="Shirts"/>
    <x v="27"/>
    <n v="8"/>
    <n v="6240.08"/>
    <n v="25"/>
    <n v="12480.16"/>
    <n v="37440.480000000003"/>
    <n v="11161.45"/>
    <s v="Clothing"/>
    <n v="11161.45"/>
    <s v="Small"/>
    <s v="Small"/>
    <s v="No Discount"/>
  </r>
  <r>
    <s v="ORD-10410"/>
    <x v="580"/>
    <d v="2022-12-16T00:00:00"/>
    <s v="First Class"/>
    <s v="Bukola"/>
    <s v="Osei"/>
    <s v="bukola.osei@gmail.com"/>
    <n v="8148087921"/>
    <x v="0"/>
    <x v="2"/>
    <x v="3"/>
    <x v="4"/>
    <s v="Condiments"/>
    <x v="23"/>
    <n v="16"/>
    <n v="2352.9699999999998"/>
    <n v="0"/>
    <n v="0"/>
    <n v="37647.519999999997"/>
    <n v="16619.830000000002"/>
    <s v="Food &amp; Beverages"/>
    <n v="16619.830000000002"/>
    <s v="Large"/>
    <s v="Large"/>
    <s v="No Discount"/>
  </r>
  <r>
    <s v="ORD-10966"/>
    <x v="262"/>
    <d v="2022-12-19T00:00:00"/>
    <s v="First Class"/>
    <s v="Chibundo"/>
    <s v="Eze"/>
    <s v="chibundo.eze@yahoo.com"/>
    <n v="8035072102"/>
    <x v="2"/>
    <x v="1"/>
    <x v="9"/>
    <x v="1"/>
    <s v="Trousers"/>
    <x v="14"/>
    <n v="17"/>
    <n v="33056.730000000003"/>
    <n v="15"/>
    <n v="84294.66"/>
    <n v="477669.75"/>
    <n v="-10353.69"/>
    <s v="Clothing"/>
    <n v="10353.69"/>
    <s v="Large"/>
    <s v="Large"/>
    <s v="No Discount"/>
  </r>
  <r>
    <s v="ORD-10383"/>
    <x v="581"/>
    <d v="2022-12-21T00:00:00"/>
    <s v="First Class"/>
    <s v="Zainab"/>
    <s v="Sanusi"/>
    <s v="zainab.sanusi@outlook.com"/>
    <n v="8161793880"/>
    <x v="0"/>
    <x v="0"/>
    <x v="8"/>
    <x v="3"/>
    <s v="Bookcases"/>
    <x v="118"/>
    <n v="6"/>
    <n v="86419.36"/>
    <n v="0"/>
    <n v="0"/>
    <n v="518516.16"/>
    <n v="143674.23999999999"/>
    <s v="Furniture"/>
    <n v="143674.23999999999"/>
    <s v="Small"/>
    <s v="Small"/>
    <s v="No Discount"/>
  </r>
  <r>
    <s v="ORD-10487"/>
    <x v="582"/>
    <d v="2022-12-25T00:00:00"/>
    <s v="First Class"/>
    <s v="Tobi"/>
    <s v="Atiku"/>
    <s v="tobi.atiku@yahoo.com"/>
    <n v="7035126595"/>
    <x v="0"/>
    <x v="2"/>
    <x v="10"/>
    <x v="3"/>
    <s v="Tables"/>
    <x v="8"/>
    <n v="9"/>
    <n v="38285.32"/>
    <n v="0"/>
    <n v="0"/>
    <n v="344567.88"/>
    <n v="-47344.92"/>
    <s v="Furniture"/>
    <n v="47344.92"/>
    <s v="Small"/>
    <s v="Small"/>
    <s v="No Discount"/>
  </r>
  <r>
    <s v="ORD-10217"/>
    <x v="583"/>
    <d v="2023-01-01T00:00:00"/>
    <s v="First Class"/>
    <s v="Ngozi"/>
    <s v="Okonkwo"/>
    <s v="ngozi.okonkwo@hotmail.com"/>
    <n v="8164512853"/>
    <x v="1"/>
    <x v="3"/>
    <x v="13"/>
    <x v="3"/>
    <s v="Sofas"/>
    <x v="81"/>
    <n v="3"/>
    <n v="92207.26"/>
    <n v="0"/>
    <n v="0"/>
    <n v="276621.78000000003"/>
    <n v="60493.82"/>
    <s v="Furniture"/>
    <n v="60493.82"/>
    <s v="Small"/>
    <s v="Small"/>
    <s v="No Discount"/>
  </r>
  <r>
    <s v="ORD-10965"/>
    <x v="66"/>
    <d v="2023-01-02T00:00:00"/>
    <s v="First Class"/>
    <s v="Wale"/>
    <s v="Abubakar"/>
    <s v="wale.abubakar@yahoo.com"/>
    <n v="7064148815"/>
    <x v="2"/>
    <x v="2"/>
    <x v="3"/>
    <x v="4"/>
    <s v="Drinks"/>
    <x v="72"/>
    <n v="5"/>
    <n v="2362.06"/>
    <n v="0"/>
    <n v="0"/>
    <n v="11810.3"/>
    <n v="-768.84"/>
    <s v="Food &amp; Beverages"/>
    <n v="768.84"/>
    <s v="Small"/>
    <s v="Small"/>
    <s v="No Discount"/>
  </r>
  <r>
    <s v="ORD-10259"/>
    <x v="68"/>
    <d v="2023-01-07T00:00:00"/>
    <s v="First Class"/>
    <s v="Deola"/>
    <s v="Danjuma"/>
    <s v="deola.danjuma@gmail.com"/>
    <n v="9015755579"/>
    <x v="0"/>
    <x v="3"/>
    <x v="22"/>
    <x v="2"/>
    <s v="Phones"/>
    <x v="66"/>
    <n v="16"/>
    <n v="278838.77"/>
    <n v="20"/>
    <n v="892284.06"/>
    <n v="3569136.26"/>
    <n v="-170104.78"/>
    <s v="Technology"/>
    <n v="170104.78"/>
    <s v="Large"/>
    <s v="Large"/>
    <s v="Offer Discount"/>
  </r>
  <r>
    <s v="ORD-10437"/>
    <x v="70"/>
    <d v="2023-01-20T00:00:00"/>
    <s v="First Class"/>
    <s v="Oluwaseun"/>
    <s v="Musa"/>
    <s v="oluwaseun.musa@gmail.com"/>
    <s v="080"/>
    <x v="1"/>
    <x v="1"/>
    <x v="19"/>
    <x v="1"/>
    <s v="Trousers"/>
    <x v="13"/>
    <n v="17"/>
    <n v="42018.71"/>
    <n v="25"/>
    <n v="178579.52"/>
    <n v="535738.55000000005"/>
    <n v="-53369.17"/>
    <s v="Clothing"/>
    <n v="53369.17"/>
    <s v="Large"/>
    <s v="Large"/>
    <s v="No Discount"/>
  </r>
  <r>
    <s v="ORD-10884"/>
    <x v="270"/>
    <d v="2023-01-28T00:00:00"/>
    <s v="First Class"/>
    <s v="Bukola"/>
    <s v="Otedola"/>
    <s v="bukola.otedola@outlook.com"/>
    <n v="8138762657"/>
    <x v="0"/>
    <x v="3"/>
    <x v="6"/>
    <x v="4"/>
    <s v="Condiments"/>
    <x v="45"/>
    <n v="10"/>
    <n v="1202.52"/>
    <n v="5"/>
    <n v="601.26"/>
    <n v="11423.94"/>
    <n v="-303.42"/>
    <s v="Food &amp; Beverages"/>
    <n v="303.42"/>
    <s v="Small"/>
    <s v="Small"/>
    <s v="No Discount"/>
  </r>
  <r>
    <s v="ORD-10307"/>
    <x v="584"/>
    <d v="2023-01-29T00:00:00"/>
    <s v="First Class"/>
    <s v="Obinna"/>
    <s v="Alakija"/>
    <s v="obinna.alakija@gmail.com"/>
    <n v="9026114011"/>
    <x v="1"/>
    <x v="1"/>
    <x v="5"/>
    <x v="3"/>
    <s v="Bookcases"/>
    <x v="62"/>
    <n v="15"/>
    <n v="149312.46"/>
    <n v="0"/>
    <n v="0"/>
    <n v="2239686.9"/>
    <n v="255947.06"/>
    <s v="Furniture"/>
    <n v="255947.06"/>
    <s v="Large"/>
    <s v="Large"/>
    <s v="No Discount"/>
  </r>
  <r>
    <s v="ORD-10474"/>
    <x v="585"/>
    <d v="2023-01-30T00:00:00"/>
    <s v="First Class"/>
    <s v="Ayo"/>
    <s v="Tinubu"/>
    <s v="ayo.tinubu@outlook.com"/>
    <n v="9024710242"/>
    <x v="2"/>
    <x v="2"/>
    <x v="3"/>
    <x v="3"/>
    <s v="Storage"/>
    <x v="16"/>
    <n v="16"/>
    <n v="14328.92"/>
    <n v="5"/>
    <n v="11463.14"/>
    <n v="217799.58"/>
    <n v="-31737.48"/>
    <s v="Furniture"/>
    <n v="31737.48"/>
    <s v="Large"/>
    <s v="Large"/>
    <s v="No Discount"/>
  </r>
  <r>
    <s v="ORD-10710"/>
    <x v="586"/>
    <d v="2023-01-30T00:00:00"/>
    <s v="First Class"/>
    <s v="Adaeze"/>
    <s v="Gambo"/>
    <s v="adaeze.gambo@outlook.com"/>
    <n v="9013838932"/>
    <x v="0"/>
    <x v="2"/>
    <x v="3"/>
    <x v="4"/>
    <s v="Grains"/>
    <x v="129"/>
    <n v="13"/>
    <n v="409.12"/>
    <n v="15"/>
    <n v="797.78"/>
    <n v="4520.78"/>
    <n v="1594.16"/>
    <s v="Food &amp; Beverages"/>
    <n v="1594.16"/>
    <s v="Small"/>
    <s v="Small"/>
    <s v="No Discount"/>
  </r>
  <r>
    <s v="ORD-10121"/>
    <x v="587"/>
    <d v="2023-02-01T00:00:00"/>
    <s v="First Class"/>
    <s v="Adaeze"/>
    <s v="Adeyemi"/>
    <s v="adaeze.adeyemi@hotmail.com"/>
    <n v="9075316188"/>
    <x v="1"/>
    <x v="3"/>
    <x v="6"/>
    <x v="3"/>
    <s v="Chairs"/>
    <x v="95"/>
    <n v="19"/>
    <n v="144012.04"/>
    <n v="5"/>
    <n v="136811.44"/>
    <n v="4520.78"/>
    <n v="-116201.89"/>
    <s v="Furniture"/>
    <n v="116201.89"/>
    <s v="Large"/>
    <s v="Large"/>
    <s v="Offer Discount"/>
  </r>
  <r>
    <s v="ORD-10244"/>
    <x v="587"/>
    <d v="2023-02-02T00:00:00"/>
    <s v="First Class"/>
    <s v="Dayo"/>
    <s v="Musa"/>
    <s v="dayo.musa@gmail.com"/>
    <n v="8109945709"/>
    <x v="0"/>
    <x v="1"/>
    <x v="5"/>
    <x v="2"/>
    <s v="Laptops"/>
    <x v="30"/>
    <n v="7"/>
    <n v="306595.78000000003"/>
    <n v="15"/>
    <n v="321925.57"/>
    <n v="1824244.89"/>
    <n v="641037.92000000004"/>
    <s v="Technology"/>
    <n v="641037.92000000004"/>
    <s v="Small"/>
    <s v="Small"/>
    <s v="No Discount"/>
  </r>
  <r>
    <s v="ORD-10291"/>
    <x v="75"/>
    <d v="2023-02-14T00:00:00"/>
    <s v="First Class"/>
    <s v="Ngozi"/>
    <s v="Lawal"/>
    <s v="ngozi.lawal@yahoo.com"/>
    <n v="8064958849"/>
    <x v="2"/>
    <x v="0"/>
    <x v="14"/>
    <x v="1"/>
    <s v="Shoes"/>
    <x v="56"/>
    <n v="9"/>
    <n v="9196.5"/>
    <n v="0"/>
    <n v="0"/>
    <n v="82768.5"/>
    <n v="7241"/>
    <s v="Clothing"/>
    <n v="7241"/>
    <s v="Small"/>
    <s v="Small"/>
    <s v="No Discount"/>
  </r>
  <r>
    <s v="ORD-10501"/>
    <x v="588"/>
    <d v="2023-02-23T00:00:00"/>
    <s v="First Class"/>
    <s v="Femi"/>
    <s v="Nwosu"/>
    <s v="femi.nwosu@gmail.com"/>
    <n v="8108478135"/>
    <x v="2"/>
    <x v="1"/>
    <x v="2"/>
    <x v="2"/>
    <s v="Accessories"/>
    <x v="11"/>
    <n v="17"/>
    <n v="366291.14"/>
    <n v="10"/>
    <n v="622694.93999999994"/>
    <n v="5604254.4400000004"/>
    <n v="2220302.06"/>
    <s v="Technology"/>
    <n v="2220302.06"/>
    <s v="Large"/>
    <s v="Large"/>
    <s v="Offer Discount"/>
  </r>
  <r>
    <s v="ORD-10682"/>
    <x v="589"/>
    <d v="2023-02-24T00:00:00"/>
    <s v="First Class"/>
    <s v="Kehinde"/>
    <s v="Ogundipe"/>
    <s v="kehinde.ogundipe@hotmail.com"/>
    <n v="8153116927"/>
    <x v="0"/>
    <x v="2"/>
    <x v="12"/>
    <x v="1"/>
    <s v="Shoes"/>
    <x v="56"/>
    <n v="4"/>
    <n v="32798.79"/>
    <n v="20"/>
    <n v="26239.03"/>
    <n v="104956.13"/>
    <n v="40232.61"/>
    <s v="Clothing"/>
    <n v="40232.61"/>
    <s v="Small"/>
    <s v="Small"/>
    <s v="No Discount"/>
  </r>
  <r>
    <s v="ORD-10943"/>
    <x v="276"/>
    <d v="2023-02-25T00:00:00"/>
    <s v="First Class"/>
    <s v="Bola"/>
    <s v="Eze"/>
    <s v="bola.eze@yahoo.com"/>
    <n v="8165686347"/>
    <x v="2"/>
    <x v="2"/>
    <x v="12"/>
    <x v="3"/>
    <s v="Storage"/>
    <x v="92"/>
    <n v="17"/>
    <n v="89396.24"/>
    <n v="0"/>
    <n v="0"/>
    <n v="1519736.08"/>
    <n v="306820.53999999998"/>
    <s v="Furniture"/>
    <n v="306820.53999999998"/>
    <s v="Large"/>
    <s v="Large"/>
    <s v="Offer Discount"/>
  </r>
  <r>
    <s v="ORD-10811"/>
    <x v="441"/>
    <d v="2023-02-27T00:00:00"/>
    <s v="First Class"/>
    <s v="Chibundo"/>
    <s v="Obi"/>
    <s v="chibundo.obi@gmail.com"/>
    <n v="7067939725"/>
    <x v="2"/>
    <x v="0"/>
    <x v="14"/>
    <x v="1"/>
    <s v="Shoes"/>
    <x v="31"/>
    <n v="16"/>
    <n v="37119.160000000003"/>
    <n v="10"/>
    <n v="59390.66"/>
    <n v="534515.9"/>
    <n v="112289.91"/>
    <s v="Clothing"/>
    <n v="112289.91"/>
    <s v="Large"/>
    <s v="Large"/>
    <s v="No Discount"/>
  </r>
  <r>
    <s v="ORD-10341"/>
    <x v="590"/>
    <d v="2023-03-06T00:00:00"/>
    <s v="First Class"/>
    <s v="Oluwaseun"/>
    <s v="Danjuma"/>
    <s v="oluwaseun.danjuma@outlook.com"/>
    <n v="8154962012"/>
    <x v="0"/>
    <x v="1"/>
    <x v="5"/>
    <x v="3"/>
    <s v="Chairs"/>
    <x v="38"/>
    <n v="4"/>
    <n v="151920.69"/>
    <n v="20"/>
    <n v="121536.55"/>
    <n v="486146.21"/>
    <n v="21986.86"/>
    <s v="Furniture"/>
    <n v="21986.86"/>
    <s v="Small"/>
    <s v="Small"/>
    <s v="No Discount"/>
  </r>
  <r>
    <s v="ORD-10869"/>
    <x v="590"/>
    <d v="2023-03-06T00:00:00"/>
    <s v="First Class"/>
    <s v="Oluwaseun"/>
    <s v="Alakija"/>
    <s v="oluwaseun.alakija@hotmail.com"/>
    <n v="9071702543"/>
    <x v="1"/>
    <x v="0"/>
    <x v="17"/>
    <x v="3"/>
    <s v="Shirts"/>
    <x v="6"/>
    <n v="1"/>
    <n v="15744.17"/>
    <n v="10"/>
    <n v="1574.42"/>
    <n v="14169.75"/>
    <n v="3831.2"/>
    <s v="Furniture"/>
    <n v="3831.2"/>
    <s v="Small"/>
    <s v="Small"/>
    <s v="No Discount"/>
  </r>
  <r>
    <s v="ORD-10335"/>
    <x v="591"/>
    <d v="2023-03-09T00:00:00"/>
    <s v="First Class"/>
    <s v="Musa"/>
    <s v="Nwosu"/>
    <s v="musa.nwosu@outlook.com"/>
    <n v="8169930106"/>
    <x v="2"/>
    <x v="0"/>
    <x v="1"/>
    <x v="0"/>
    <s v="Art Supplies"/>
    <x v="78"/>
    <n v="9"/>
    <n v="16942.54"/>
    <n v="0"/>
    <n v="0"/>
    <n v="152482.85999999999"/>
    <n v="-8463.16"/>
    <s v="Office Supplies"/>
    <n v="8463.16"/>
    <s v="Small"/>
    <s v="Small"/>
    <s v="No Discount"/>
  </r>
  <r>
    <s v="ORD-10015"/>
    <x v="592"/>
    <d v="2023-03-24T00:00:00"/>
    <s v="First Class"/>
    <s v="Lanre"/>
    <s v="Atiku"/>
    <s v="lanre.atiku@gmail.com"/>
    <n v="9016261415"/>
    <x v="0"/>
    <x v="1"/>
    <x v="2"/>
    <x v="2"/>
    <s v="Laptops"/>
    <x v="88"/>
    <n v="17"/>
    <n v="222403"/>
    <n v="0"/>
    <n v="0"/>
    <n v="3780851"/>
    <n v="-438095.72"/>
    <s v="Technology"/>
    <n v="438095.72"/>
    <s v="Large"/>
    <s v="Large"/>
    <s v="Offer Discount"/>
  </r>
  <r>
    <s v="ORD-10836"/>
    <x v="593"/>
    <d v="2023-03-26T00:00:00"/>
    <s v="First Class"/>
    <s v="Tobi"/>
    <s v="Gambo"/>
    <s v="tobi.gambo@outlook.com"/>
    <n v="9015039461"/>
    <x v="1"/>
    <x v="1"/>
    <x v="8"/>
    <x v="4"/>
    <s v="Drinks"/>
    <x v="101"/>
    <n v="6"/>
    <n v="2467.16"/>
    <n v="0"/>
    <n v="0"/>
    <n v="14802.96"/>
    <n v="-1673.15"/>
    <s v="Food &amp; Beverages"/>
    <n v="1673.15"/>
    <s v="Small"/>
    <s v="Small"/>
    <s v="No Discount"/>
  </r>
  <r>
    <s v="ORD-10061"/>
    <x v="280"/>
    <d v="2023-03-27T00:00:00"/>
    <s v="First Class"/>
    <s v="Ayo"/>
    <s v="Chukwu"/>
    <s v="ayo.chukwu@yahoo.com"/>
    <n v="9072630140"/>
    <x v="0"/>
    <x v="1"/>
    <x v="7"/>
    <x v="2"/>
    <s v="Tablets"/>
    <x v="93"/>
    <n v="12"/>
    <n v="29513.57"/>
    <n v="0"/>
    <n v="0"/>
    <n v="354162.84"/>
    <n v="-33971.29"/>
    <s v="Technology"/>
    <n v="33971.29"/>
    <s v="Small"/>
    <s v="Small"/>
    <s v="No Discount"/>
  </r>
  <r>
    <s v="ORD-10272"/>
    <x v="594"/>
    <d v="2023-03-27T00:00:00"/>
    <s v="First Class"/>
    <s v="Fatima"/>
    <s v="Atiku"/>
    <s v="fatima.atiku@yahoo.com"/>
    <n v="8144349848"/>
    <x v="1"/>
    <x v="3"/>
    <x v="16"/>
    <x v="3"/>
    <s v="Tables"/>
    <x v="26"/>
    <n v="7"/>
    <n v="43565.919999999998"/>
    <n v="5"/>
    <n v="15248.07"/>
    <n v="289713.37"/>
    <n v="101921.4"/>
    <s v="Furniture"/>
    <n v="101921.4"/>
    <s v="Small"/>
    <s v="Small"/>
    <s v="No Discount"/>
  </r>
  <r>
    <s v="ORD-10080"/>
    <x v="281"/>
    <d v="2023-04-02T00:00:00"/>
    <s v="First Class"/>
    <s v="Aisha"/>
    <s v="Musa"/>
    <s v="aisha.musa@gmail.com"/>
    <n v="8159555575"/>
    <x v="2"/>
    <x v="1"/>
    <x v="7"/>
    <x v="3"/>
    <s v="Bookcases"/>
    <x v="118"/>
    <n v="5"/>
    <n v="133109.21"/>
    <n v="5"/>
    <n v="33277.300000000003"/>
    <n v="632268.75"/>
    <n v="-55840.26"/>
    <s v="Furniture"/>
    <n v="55840.26"/>
    <s v="Small"/>
    <s v="Small"/>
    <s v="No Discount"/>
  </r>
  <r>
    <s v="ORD-10765"/>
    <x v="595"/>
    <d v="2023-04-05T00:00:00"/>
    <s v="First Class"/>
    <s v="Bukola"/>
    <s v="Fashola"/>
    <s v="bukola.fashola@yahoo.com"/>
    <n v="9026949960"/>
    <x v="0"/>
    <x v="0"/>
    <x v="14"/>
    <x v="4"/>
    <s v="Snacks"/>
    <x v="64"/>
    <n v="7"/>
    <n v="6252.04"/>
    <n v="10"/>
    <n v="4376.43"/>
    <n v="39387.85"/>
    <n v="-1616.79"/>
    <s v="Food &amp; Beverages"/>
    <n v="1616.79"/>
    <s v="Small"/>
    <s v="Small"/>
    <s v="No Discount"/>
  </r>
  <r>
    <s v="ORD-10215"/>
    <x v="282"/>
    <d v="2023-04-06T00:00:00"/>
    <s v="First Class"/>
    <s v="Chibundo"/>
    <s v="Sule"/>
    <s v="chibundo.sule@outlook.com"/>
    <n v="7035371458"/>
    <x v="0"/>
    <x v="0"/>
    <x v="1"/>
    <x v="4"/>
    <s v="Grains"/>
    <x v="97"/>
    <n v="16"/>
    <n v="6854.35"/>
    <n v="0"/>
    <n v="0"/>
    <n v="109669.6"/>
    <n v="40559.769999999997"/>
    <s v="Food &amp; Beverages"/>
    <n v="40559.769999999997"/>
    <s v="Large"/>
    <s v="Large"/>
    <s v="No Discount"/>
  </r>
  <r>
    <s v="ORD-10975"/>
    <x v="596"/>
    <d v="2023-04-10T00:00:00"/>
    <s v="First Class"/>
    <s v="Ikenna"/>
    <s v="Dangote"/>
    <s v="ikenna.dangote@hotmail.com"/>
    <n v="7031442518"/>
    <x v="2"/>
    <x v="0"/>
    <x v="1"/>
    <x v="4"/>
    <s v="Snacks"/>
    <x v="82"/>
    <n v="6"/>
    <n v="1799.24"/>
    <n v="5"/>
    <n v="539.77"/>
    <n v="10255.67"/>
    <n v="2194.11"/>
    <s v="Food &amp; Beverages"/>
    <n v="2194.11"/>
    <s v="Small"/>
    <s v="Small"/>
    <s v="No Discount"/>
  </r>
  <r>
    <s v="ORD-10585"/>
    <x v="90"/>
    <d v="2023-04-14T00:00:00"/>
    <s v="First Class"/>
    <s v="Aisha"/>
    <s v="Chukwu"/>
    <s v="unknown"/>
    <s v="+1-800-555-0199"/>
    <x v="2"/>
    <x v="0"/>
    <x v="8"/>
    <x v="3"/>
    <s v="Tables"/>
    <x v="9"/>
    <n v="8"/>
    <n v="114475.53"/>
    <n v="15"/>
    <n v="137370.64000000001"/>
    <n v="778433.6"/>
    <n v="-30969"/>
    <s v="Furniture"/>
    <n v="30969"/>
    <s v="Small"/>
    <s v="Small"/>
    <s v="No Discount"/>
  </r>
  <r>
    <s v="ORD-10371"/>
    <x v="91"/>
    <d v="2023-04-19T00:00:00"/>
    <s v="First Class"/>
    <s v="Chisom"/>
    <s v="Abubakar"/>
    <s v="chisom.abubakar@gmail.com"/>
    <n v="8137922203"/>
    <x v="0"/>
    <x v="0"/>
    <x v="14"/>
    <x v="3"/>
    <s v="Storage"/>
    <x v="18"/>
    <n v="19"/>
    <n v="20647.11"/>
    <n v="20"/>
    <n v="78459.02"/>
    <n v="313836.07"/>
    <n v="-30969"/>
    <s v="Furniture"/>
    <n v="30969"/>
    <s v="Large"/>
    <s v="Large"/>
    <s v="No Discount"/>
  </r>
  <r>
    <s v="ORD-10312"/>
    <x v="597"/>
    <d v="2023-05-02T00:00:00"/>
    <s v="First Class"/>
    <s v="Ngozi"/>
    <s v="Tinubu"/>
    <s v="ngozi.tinubu@outlook.com"/>
    <n v="7061494355"/>
    <x v="2"/>
    <x v="0"/>
    <x v="17"/>
    <x v="4"/>
    <s v="Grains"/>
    <x v="117"/>
    <n v="13"/>
    <n v="1468.15"/>
    <n v="0"/>
    <n v="0"/>
    <n v="19085.95"/>
    <n v="-1857.5"/>
    <s v="Food &amp; Beverages"/>
    <n v="1857.5"/>
    <s v="Small"/>
    <s v="Small"/>
    <s v="No Discount"/>
  </r>
  <r>
    <s v="ORD-10017"/>
    <x v="598"/>
    <d v="2023-05-07T00:00:00"/>
    <s v="First Class"/>
    <s v="Ikenna"/>
    <s v="Okafor"/>
    <s v="ikenna.okafor@outlook.com"/>
    <n v="8146304573"/>
    <x v="2"/>
    <x v="0"/>
    <x v="0"/>
    <x v="2"/>
    <s v="Laptops"/>
    <x v="76"/>
    <n v="19"/>
    <n v="285204.28000000003"/>
    <n v="0"/>
    <n v="0"/>
    <n v="5418881.3200000003"/>
    <n v="-574637.51"/>
    <s v="Technology"/>
    <n v="574637.51"/>
    <s v="Large"/>
    <s v="Large"/>
    <s v="Offer Discount"/>
  </r>
  <r>
    <s v="ORD-10295"/>
    <x v="96"/>
    <d v="2023-05-08T00:00:00"/>
    <s v="First Class"/>
    <s v="Tunde"/>
    <s v="Sowore"/>
    <s v="tunde.sowore@hotmail.com"/>
    <n v="8139792431"/>
    <x v="0"/>
    <x v="1"/>
    <x v="2"/>
    <x v="1"/>
    <s v="Accessories"/>
    <x v="24"/>
    <n v="11"/>
    <n v="28360.69"/>
    <n v="15"/>
    <n v="46795.14"/>
    <n v="265172.45"/>
    <n v="62194.17"/>
    <s v="Clothing"/>
    <n v="62194.17"/>
    <s v="Small"/>
    <s v="Small"/>
    <s v="No Discount"/>
  </r>
  <r>
    <s v="ORD-10093"/>
    <x v="289"/>
    <d v="2023-05-11T00:00:00"/>
    <s v="First Class"/>
    <s v="Fatima"/>
    <s v="Sowore"/>
    <s v="fatima.sowore@gmail.com"/>
    <n v="8157049927"/>
    <x v="0"/>
    <x v="0"/>
    <x v="13"/>
    <x v="2"/>
    <s v="Printers"/>
    <x v="20"/>
    <n v="17"/>
    <n v="235687.55"/>
    <n v="25"/>
    <n v="1001672.09"/>
    <n v="3005016.26"/>
    <n v="-414089.49"/>
    <s v="Technology"/>
    <n v="414089.49"/>
    <s v="Large"/>
    <s v="Large"/>
    <s v="Offer Discount"/>
  </r>
  <r>
    <s v="ORD-10913"/>
    <x v="599"/>
    <d v="2023-05-16T00:00:00"/>
    <s v="First Class"/>
    <s v="Adaeze"/>
    <s v="Adeyemi"/>
    <s v="adaeze.adeyemi@outlook.com"/>
    <n v="9057322454"/>
    <x v="0"/>
    <x v="1"/>
    <x v="5"/>
    <x v="2"/>
    <s v="Laptops"/>
    <x v="121"/>
    <n v="1"/>
    <n v="50804.959999999999"/>
    <n v="0"/>
    <n v="0"/>
    <n v="50804.959999999999"/>
    <n v="8851.36"/>
    <s v="Technology"/>
    <n v="8851.36"/>
    <s v="Small"/>
    <s v="Small"/>
    <s v="No Discount"/>
  </r>
  <r>
    <s v="ORD-10946"/>
    <x v="600"/>
    <d v="2023-05-18T00:00:00"/>
    <s v="First Class"/>
    <s v="Wale"/>
    <s v="Dangote"/>
    <s v="wale.dangote@gmail.com"/>
    <n v="8101328330"/>
    <x v="1"/>
    <x v="2"/>
    <x v="10"/>
    <x v="0"/>
    <s v="Art Supplies"/>
    <x v="75"/>
    <n v="11"/>
    <n v="10783.29"/>
    <n v="0"/>
    <n v="0"/>
    <n v="118616.19"/>
    <n v="16441.57"/>
    <s v="Office Supplies"/>
    <n v="16441.57"/>
    <s v="Small"/>
    <s v="Small"/>
    <s v="No Discount"/>
  </r>
  <r>
    <s v="ORD-10001"/>
    <x v="450"/>
    <d v="2023-05-19T00:00:00"/>
    <s v="First Class"/>
    <s v="Kemi"/>
    <s v="Atiku"/>
    <s v="kemi.atiku@gmail.com"/>
    <s v="080"/>
    <x v="2"/>
    <x v="2"/>
    <x v="4"/>
    <x v="4"/>
    <s v="Cooking Oil"/>
    <x v="41"/>
    <n v="7"/>
    <n v="529.44000000000005"/>
    <n v="5"/>
    <n v="185.3"/>
    <n v="3520.78"/>
    <n v="539.42999999999995"/>
    <s v="Food &amp; Beverages"/>
    <n v="539.42999999999995"/>
    <s v="Small"/>
    <s v="Small"/>
    <s v="No Discount"/>
  </r>
  <r>
    <s v="ORD-10847"/>
    <x v="601"/>
    <d v="2023-05-23T00:00:00"/>
    <s v="First Class"/>
    <s v="Oluwaseun"/>
    <s v="Obi"/>
    <s v="oluwaseun.obi@gmail.com"/>
    <n v="8165378650"/>
    <x v="2"/>
    <x v="3"/>
    <x v="6"/>
    <x v="3"/>
    <s v="Tables"/>
    <x v="26"/>
    <n v="14"/>
    <n v="12348.8"/>
    <n v="0"/>
    <n v="0"/>
    <n v="172883.20000000001"/>
    <n v="12305.65"/>
    <s v="Furniture"/>
    <n v="12305.65"/>
    <s v="Small"/>
    <s v="Medium"/>
    <s v="No Discount"/>
  </r>
  <r>
    <s v="ORD-10356"/>
    <x v="602"/>
    <d v="2023-06-02T00:00:00"/>
    <s v="First Class"/>
    <s v="Emeka"/>
    <s v="Okonkwo"/>
    <s v="emeka.okonkwo@gmail.com"/>
    <n v="8034637715"/>
    <x v="2"/>
    <x v="0"/>
    <x v="27"/>
    <x v="4"/>
    <s v="Drinks"/>
    <x v="58"/>
    <n v="20"/>
    <n v="965.18"/>
    <n v="0"/>
    <n v="0"/>
    <n v="19303.599999999999"/>
    <n v="1458.87"/>
    <s v="Food &amp; Beverages"/>
    <n v="1458.87"/>
    <s v="Large"/>
    <s v="Large"/>
    <s v="No Discount"/>
  </r>
  <r>
    <s v="ORD-10072"/>
    <x v="603"/>
    <d v="2023-06-10T00:00:00"/>
    <s v="First Class"/>
    <s v="Seun"/>
    <s v="Sowore"/>
    <s v="seun.sowore@hotmail.com"/>
    <n v="8062530497"/>
    <x v="1"/>
    <x v="2"/>
    <x v="3"/>
    <x v="2"/>
    <s v="Laptops"/>
    <x v="76"/>
    <n v="12"/>
    <n v="57005.53"/>
    <n v="0"/>
    <n v="0"/>
    <n v="684066.36"/>
    <n v="125746.75"/>
    <s v="Technology"/>
    <n v="125746.75"/>
    <s v="Small"/>
    <s v="Small"/>
    <s v="No Discount"/>
  </r>
  <r>
    <s v="ORD-10855"/>
    <x v="296"/>
    <d v="2023-06-21T00:00:00"/>
    <s v="First Class"/>
    <s v="Bola"/>
    <s v="Tinubu"/>
    <s v="bola.tinubu@outlook.com"/>
    <n v="8141483477"/>
    <x v="0"/>
    <x v="0"/>
    <x v="17"/>
    <x v="1"/>
    <s v="Accessories"/>
    <x v="11"/>
    <n v="7"/>
    <n v="35110.720000000001"/>
    <n v="0"/>
    <n v="0"/>
    <n v="245775.04"/>
    <n v="-20247.91"/>
    <s v="Clothing"/>
    <n v="20247.91"/>
    <s v="Small"/>
    <s v="Small"/>
    <s v="No Discount"/>
  </r>
  <r>
    <s v="ORD-10264"/>
    <x v="103"/>
    <d v="2023-06-23T00:00:00"/>
    <s v="First Class"/>
    <s v="Kehinde"/>
    <s v="Adebayo"/>
    <s v="kehinde.adebayo@outlook.com"/>
    <n v="9077668174"/>
    <x v="1"/>
    <x v="2"/>
    <x v="10"/>
    <x v="3"/>
    <s v="Storage"/>
    <x v="7"/>
    <n v="16"/>
    <n v="142811.60999999999"/>
    <n v="0"/>
    <n v="0"/>
    <n v="2284985.7599999998"/>
    <n v="164810.95000000001"/>
    <s v="Furniture"/>
    <n v="164810.95000000001"/>
    <s v="Large"/>
    <s v="Large"/>
    <s v="Offer Discount"/>
  </r>
  <r>
    <s v="ORD-10412"/>
    <x v="604"/>
    <d v="2023-06-30T00:00:00"/>
    <s v="First Class"/>
    <s v="Gbenga"/>
    <s v="Danjuma"/>
    <s v="gbenga.danjuma@hotmail.com"/>
    <n v="9024789737"/>
    <x v="0"/>
    <x v="2"/>
    <x v="20"/>
    <x v="4"/>
    <s v="Drinks"/>
    <x v="69"/>
    <n v="11"/>
    <n v="1029.45"/>
    <n v="10"/>
    <n v="1132.3900000000001"/>
    <n v="10191.56"/>
    <n v="-1117.3800000000001"/>
    <s v="Food &amp; Beverages"/>
    <n v="1117.3800000000001"/>
    <s v="Small"/>
    <s v="Small"/>
    <s v="No Discount"/>
  </r>
  <r>
    <s v="ORD-10211"/>
    <x v="110"/>
    <d v="2023-07-21T00:00:00"/>
    <s v="First Class"/>
    <s v="Chidinma"/>
    <s v="Lawal"/>
    <s v="chidinma.lawal@outlook.com"/>
    <n v="8145227836"/>
    <x v="1"/>
    <x v="2"/>
    <x v="10"/>
    <x v="3"/>
    <s v="Storage"/>
    <x v="16"/>
    <n v="20"/>
    <n v="124477.74"/>
    <n v="15"/>
    <n v="373433.22"/>
    <n v="2116121.58"/>
    <n v="424689.29"/>
    <s v="Furniture"/>
    <n v="424689.29"/>
    <s v="Large"/>
    <s v="Large"/>
    <s v="Offer Discount"/>
  </r>
  <r>
    <s v="ORD-10668"/>
    <x v="605"/>
    <d v="2023-07-23T00:00:00"/>
    <s v="First Class"/>
    <s v="Wale"/>
    <s v="Okafor"/>
    <s v="wale.okafor@yahoo.com"/>
    <n v="9073927545"/>
    <x v="0"/>
    <x v="2"/>
    <x v="12"/>
    <x v="3"/>
    <s v="Sofas"/>
    <x v="51"/>
    <n v="2"/>
    <n v="48019.66"/>
    <n v="0"/>
    <n v="0"/>
    <n v="96039.32"/>
    <n v="25034.07"/>
    <s v="Furniture"/>
    <n v="25034.07"/>
    <s v="Small"/>
    <s v="Small"/>
    <s v="No Discount"/>
  </r>
  <r>
    <s v="ORD-10424"/>
    <x v="606"/>
    <d v="2023-08-03T00:00:00"/>
    <s v="First Class"/>
    <s v="Sade"/>
    <s v="Ogundipe"/>
    <s v="sade.ogundipe@outlook.com"/>
    <s v="080312345678901"/>
    <x v="0"/>
    <x v="3"/>
    <x v="11"/>
    <x v="1"/>
    <s v="Accessories"/>
    <x v="24"/>
    <n v="1"/>
    <n v="2891.59"/>
    <n v="25"/>
    <n v="722.9"/>
    <n v="2168.69"/>
    <n v="516.72"/>
    <s v="Clothing"/>
    <n v="516.72"/>
    <s v="Small"/>
    <s v="Small"/>
    <s v="No Discount"/>
  </r>
  <r>
    <s v="ORD-10212"/>
    <x v="465"/>
    <d v="2023-08-05T00:00:00"/>
    <s v="First Class"/>
    <s v="Yemi"/>
    <s v="Sanusi"/>
    <s v="yemi.sanusi@gmail.com"/>
    <n v="7035638619"/>
    <x v="2"/>
    <x v="2"/>
    <x v="20"/>
    <x v="0"/>
    <s v="Art Supplies"/>
    <x v="132"/>
    <n v="10"/>
    <n v="6898.1"/>
    <n v="5"/>
    <n v="3449.05"/>
    <n v="65531.95"/>
    <n v="-3934.7"/>
    <s v="Office Supplies"/>
    <n v="3934.7"/>
    <s v="Small"/>
    <s v="Small"/>
    <s v="No Discount"/>
  </r>
  <r>
    <s v="ORD-10813"/>
    <x v="607"/>
    <d v="2023-08-10T00:00:00"/>
    <s v="First Class"/>
    <s v="Yemi"/>
    <s v="Buhari"/>
    <s v="yemi.buhari@gmail.com"/>
    <n v="7064391113"/>
    <x v="2"/>
    <x v="1"/>
    <x v="7"/>
    <x v="2"/>
    <s v="Printers"/>
    <x v="104"/>
    <n v="17"/>
    <n v="102342.85"/>
    <n v="0"/>
    <n v="0"/>
    <n v="1739828.45"/>
    <n v="228568.56"/>
    <s v="Technology"/>
    <n v="228568.56"/>
    <s v="Large"/>
    <s v="Large"/>
    <s v="Offer Discount"/>
  </r>
  <r>
    <s v="ORD-10906"/>
    <x v="607"/>
    <d v="2023-08-10T00:00:00"/>
    <s v="First Class"/>
    <s v="Ngozi"/>
    <s v="Sule"/>
    <s v="ngozi.sule@gmail.com"/>
    <n v="8149179175"/>
    <x v="2"/>
    <x v="1"/>
    <x v="7"/>
    <x v="1"/>
    <s v="Accessories"/>
    <x v="34"/>
    <n v="18"/>
    <n v="30651.759999999998"/>
    <n v="25"/>
    <n v="137932.92000000001"/>
    <n v="413798.76"/>
    <n v="-45363.31"/>
    <s v="Clothing"/>
    <n v="45363.31"/>
    <s v="Large"/>
    <s v="Large"/>
    <s v="No Discount"/>
  </r>
  <r>
    <s v="ORD-10461"/>
    <x v="608"/>
    <d v="2023-08-29T00:00:00"/>
    <s v="First Class"/>
    <s v="Amara"/>
    <s v="Sule"/>
    <s v="amara.sule@yahoo.com"/>
    <n v="8108075907"/>
    <x v="1"/>
    <x v="0"/>
    <x v="17"/>
    <x v="2"/>
    <s v="Tablets"/>
    <x v="83"/>
    <n v="16"/>
    <n v="108777.93"/>
    <n v="0"/>
    <n v="0"/>
    <n v="1740446.88"/>
    <n v="-133323.9"/>
    <s v="Technology"/>
    <n v="133323.9"/>
    <s v="Large"/>
    <s v="Large"/>
    <s v="Offer Discount"/>
  </r>
  <r>
    <s v="ORD-10478"/>
    <x v="127"/>
    <d v="2023-10-01T00:00:00"/>
    <s v="First Class"/>
    <s v="Yemi"/>
    <s v="Okonkwo"/>
    <s v="unknown"/>
    <n v="7061403047"/>
    <x v="0"/>
    <x v="3"/>
    <x v="18"/>
    <x v="4"/>
    <s v="Grains"/>
    <x v="60"/>
    <n v="16"/>
    <n v="2203.08"/>
    <n v="5"/>
    <n v="1762.46"/>
    <n v="33486.82"/>
    <n v="14241.33"/>
    <s v="Food &amp; Beverages"/>
    <n v="14241.33"/>
    <s v="Large"/>
    <s v="Large"/>
    <s v="No Discount"/>
  </r>
  <r>
    <s v="ORD-10483"/>
    <x v="609"/>
    <d v="2023-10-02T00:00:00"/>
    <s v="First Class"/>
    <s v="Seun"/>
    <s v="Sanusi"/>
    <s v="seun.sanusi@outlook.com"/>
    <n v="9056752912"/>
    <x v="2"/>
    <x v="1"/>
    <x v="9"/>
    <x v="4"/>
    <s v="Pens &amp; Pencils"/>
    <x v="79"/>
    <n v="5"/>
    <n v="13183.17"/>
    <n v="0"/>
    <n v="0"/>
    <n v="65915.850000000006"/>
    <n v="-498.82"/>
    <s v="Food &amp; Beverages"/>
    <n v="498.82"/>
    <s v="Small"/>
    <s v="Small"/>
    <s v="No Discount"/>
  </r>
  <r>
    <s v="ORD-10935"/>
    <x v="609"/>
    <d v="2023-10-02T00:00:00"/>
    <s v="First Class"/>
    <s v="Taiwo"/>
    <s v="Danjuma"/>
    <s v="taiwo.danjuma@outlook.com"/>
    <n v="8155991994"/>
    <x v="0"/>
    <x v="2"/>
    <x v="10"/>
    <x v="2"/>
    <s v="Accessories"/>
    <x v="34"/>
    <n v="14"/>
    <n v="150673.10999999999"/>
    <n v="0"/>
    <n v="0"/>
    <n v="2109423.54"/>
    <n v="516257.17"/>
    <s v="Technology"/>
    <n v="516257.17"/>
    <s v="Small"/>
    <s v="Medium"/>
    <s v="No Discount"/>
  </r>
  <r>
    <s v="ORD-10031"/>
    <x v="473"/>
    <d v="2023-10-19T00:00:00"/>
    <s v="First Class"/>
    <s v="Kemi"/>
    <s v="Okafor"/>
    <s v="kemi.okafor@yahoo.com"/>
    <n v="7063563646"/>
    <x v="1"/>
    <x v="0"/>
    <x v="0"/>
    <x v="3"/>
    <s v="Chairs"/>
    <x v="133"/>
    <n v="18"/>
    <n v="78107.09"/>
    <n v="20"/>
    <n v="281185.52"/>
    <n v="1124742.1000000001"/>
    <n v="111871.96"/>
    <s v="Furniture"/>
    <n v="111871.96"/>
    <s v="Large"/>
    <s v="Large"/>
    <s v="Offer Discount"/>
  </r>
  <r>
    <s v="ORD-10737"/>
    <x v="473"/>
    <d v="2023-10-20T00:00:00"/>
    <s v="First Class"/>
    <s v="Yemi"/>
    <s v="Sowore"/>
    <s v="yemi.sowore@outlook.com"/>
    <n v="8159986330"/>
    <x v="1"/>
    <x v="0"/>
    <x v="0"/>
    <x v="4"/>
    <s v="Cooking Oil"/>
    <x v="25"/>
    <n v="16"/>
    <n v="6914.74"/>
    <n v="20"/>
    <n v="22127.17"/>
    <n v="88508.67"/>
    <n v="1926.84"/>
    <s v="Food &amp; Beverages"/>
    <n v="1926.84"/>
    <s v="Large"/>
    <s v="Large"/>
    <s v="No Discount"/>
  </r>
  <r>
    <s v="ORD-10892"/>
    <x v="610"/>
    <d v="2023-10-24T00:00:00"/>
    <s v="First Class"/>
    <s v="Wale"/>
    <s v="Dangote"/>
    <s v="nodotat.com"/>
    <n v="8038418708"/>
    <x v="2"/>
    <x v="1"/>
    <x v="5"/>
    <x v="4"/>
    <s v="Snacks"/>
    <x v="80"/>
    <n v="3"/>
    <n v="1412.77"/>
    <n v="15"/>
    <n v="635.75"/>
    <n v="3602.56"/>
    <n v="-176.42"/>
    <s v="Food &amp; Beverages"/>
    <n v="176.42"/>
    <s v="Small"/>
    <s v="Small"/>
    <s v="No Discount"/>
  </r>
  <r>
    <s v="ORD-10325"/>
    <x v="611"/>
    <d v="2023-10-27T00:00:00"/>
    <s v="First Class"/>
    <s v="Chidinma"/>
    <s v="Gambo"/>
    <s v="chidinma.gambo@gmail.com"/>
    <n v="9028169304"/>
    <x v="0"/>
    <x v="0"/>
    <x v="1"/>
    <x v="4"/>
    <s v="Drinks"/>
    <x v="101"/>
    <n v="4"/>
    <n v="3925.29"/>
    <n v="10"/>
    <n v="1570.12"/>
    <n v="14131.04"/>
    <n v="671.58"/>
    <s v="Food &amp; Beverages"/>
    <n v="671.58"/>
    <s v="Small"/>
    <s v="Small"/>
    <s v="No Discount"/>
  </r>
  <r>
    <s v="ORD-10570"/>
    <x v="612"/>
    <d v="2023-10-29T00:00:00"/>
    <s v="First Class"/>
    <s v="Chidi"/>
    <s v="Gambo"/>
    <s v="chidi.gambo@outlook.com"/>
    <n v="8135692416"/>
    <x v="1"/>
    <x v="0"/>
    <x v="0"/>
    <x v="3"/>
    <s v="Bookcases"/>
    <x v="105"/>
    <n v="19"/>
    <n v="100430.86"/>
    <n v="0"/>
    <n v="0"/>
    <n v="1908186.34"/>
    <n v="541087.82999999996"/>
    <s v="Furniture"/>
    <n v="541087.82999999996"/>
    <s v="Large"/>
    <s v="Large"/>
    <s v="Offer Discount"/>
  </r>
  <r>
    <s v="ORD-10339"/>
    <x v="613"/>
    <d v="2023-10-31T00:00:00"/>
    <s v="First Class"/>
    <s v="Wale"/>
    <s v="Okonkwo"/>
    <s v="wale.okonkwo@gmail.com"/>
    <s v="080"/>
    <x v="2"/>
    <x v="1"/>
    <x v="2"/>
    <x v="0"/>
    <s v="Envelopes"/>
    <x v="0"/>
    <n v="10"/>
    <n v="21221.27"/>
    <n v="10"/>
    <n v="21221.27"/>
    <n v="190991.43"/>
    <n v="40617.03"/>
    <s v="Office Supplies"/>
    <n v="40617.03"/>
    <s v="Small"/>
    <s v="Small"/>
    <s v="No Discount"/>
  </r>
  <r>
    <s v="ORD-10283"/>
    <x v="614"/>
    <d v="2023-11-01T00:00:00"/>
    <s v="First Class"/>
    <s v="Adebayo"/>
    <s v="Lawal"/>
    <s v="adebayo.lawal@outlook.com"/>
    <n v="8158463259"/>
    <x v="0"/>
    <x v="3"/>
    <x v="22"/>
    <x v="3"/>
    <s v="Sofas"/>
    <x v="81"/>
    <n v="15"/>
    <n v="109622.92"/>
    <n v="15"/>
    <n v="246651.57"/>
    <n v="1397692.23"/>
    <n v="229327.59"/>
    <s v="Furniture"/>
    <n v="229327.59"/>
    <s v="Large"/>
    <s v="Large"/>
    <s v="No Discount"/>
  </r>
  <r>
    <s v="ORD-10179"/>
    <x v="615"/>
    <d v="2023-11-04T00:00:00"/>
    <s v="First Class"/>
    <s v="Taiwo"/>
    <s v="Fashola"/>
    <s v="taiwo.fashola@gmail.com"/>
    <n v="7034366703"/>
    <x v="1"/>
    <x v="2"/>
    <x v="12"/>
    <x v="0"/>
    <s v="Labels"/>
    <x v="29"/>
    <n v="8"/>
    <n v="18619.61"/>
    <n v="20"/>
    <n v="29791.38"/>
    <n v="119165.5"/>
    <n v="8456.48"/>
    <s v="Office Supplies"/>
    <n v="8456.48"/>
    <s v="Small"/>
    <s v="Small"/>
    <s v="No Discount"/>
  </r>
  <r>
    <s v="ORD-10527"/>
    <x v="616"/>
    <d v="2023-11-10T00:00:00"/>
    <s v="First Class"/>
    <s v="Chidi"/>
    <s v="Fashola"/>
    <s v="chidi.fashola@hotmail.com"/>
    <n v="9013329735"/>
    <x v="0"/>
    <x v="1"/>
    <x v="9"/>
    <x v="2"/>
    <s v="Printers"/>
    <x v="127"/>
    <n v="9"/>
    <n v="393017.3"/>
    <n v="5"/>
    <n v="176857.79"/>
    <n v="3360297.91"/>
    <n v="238775.84"/>
    <s v="Technology"/>
    <n v="238775.84"/>
    <s v="Small"/>
    <s v="Small"/>
    <s v="No Discount"/>
  </r>
  <r>
    <s v="ORD-10324"/>
    <x v="322"/>
    <d v="2023-11-12T00:00:00"/>
    <s v="First Class"/>
    <s v="Ngozi"/>
    <s v="Bello"/>
    <s v="ngozi.bello@hotmail.com"/>
    <n v="8103706755"/>
    <x v="0"/>
    <x v="2"/>
    <x v="10"/>
    <x v="0"/>
    <s v="Labels"/>
    <x v="102"/>
    <n v="18"/>
    <n v="14520.92"/>
    <n v="0"/>
    <n v="0"/>
    <n v="261376.56"/>
    <n v="112333.36"/>
    <s v="Office Supplies"/>
    <n v="112333.36"/>
    <s v="Large"/>
    <s v="Large"/>
    <s v="No Discount"/>
  </r>
  <r>
    <s v="ORD-10370"/>
    <x v="617"/>
    <d v="2023-11-19T00:00:00"/>
    <s v="First Class"/>
    <s v="Emeka"/>
    <s v="Bello"/>
    <s v="unknown"/>
    <n v="8153950904"/>
    <x v="1"/>
    <x v="0"/>
    <x v="0"/>
    <x v="3"/>
    <s v="Chairs"/>
    <x v="133"/>
    <n v="3"/>
    <n v="96563.44"/>
    <n v="5"/>
    <n v="14484.52"/>
    <n v="275205.8"/>
    <n v="77839.72"/>
    <s v="Furniture"/>
    <n v="77839.72"/>
    <s v="Small"/>
    <s v="Small"/>
    <s v="No Discount"/>
  </r>
  <r>
    <s v="ORD-10697"/>
    <x v="478"/>
    <d v="2023-11-25T00:00:00"/>
    <s v="First Class"/>
    <s v="Emeka"/>
    <s v="Osei"/>
    <s v="emeka.osei@hotmail.com"/>
    <n v="8031093478"/>
    <x v="1"/>
    <x v="1"/>
    <x v="7"/>
    <x v="0"/>
    <s v="Fasteners"/>
    <x v="94"/>
    <n v="16"/>
    <n v="18998.43"/>
    <n v="25"/>
    <n v="75993.72"/>
    <n v="227981.16"/>
    <n v="34171.93"/>
    <s v="Office Supplies"/>
    <n v="34171.93"/>
    <s v="Large"/>
    <s v="Large"/>
    <s v="No Discount"/>
  </r>
  <r>
    <s v="ORD-10718"/>
    <x v="478"/>
    <d v="2023-11-26T00:00:00"/>
    <s v="First Class"/>
    <s v="Kehinde"/>
    <s v="Osei"/>
    <s v="ikenna.eze@gmail.com"/>
    <n v="8139505390"/>
    <x v="1"/>
    <x v="1"/>
    <x v="2"/>
    <x v="2"/>
    <s v="Accessories"/>
    <x v="39"/>
    <n v="19"/>
    <n v="351721.51"/>
    <n v="15"/>
    <n v="1002406.3"/>
    <n v="5680302.3899999997"/>
    <n v="1169265.43"/>
    <s v="Technology"/>
    <n v="1169265.43"/>
    <s v="Large"/>
    <s v="Large"/>
    <s v="Offer Discount"/>
  </r>
  <r>
    <s v="ORD-10329"/>
    <x v="141"/>
    <d v="2023-12-04T00:00:00"/>
    <s v="First Class"/>
    <s v="Kehinde"/>
    <s v="Alakija"/>
    <s v="kehinde.alakija@gmail.com"/>
    <n v="8033946567"/>
    <x v="2"/>
    <x v="2"/>
    <x v="4"/>
    <x v="3"/>
    <s v="Bookcases"/>
    <x v="118"/>
    <n v="16"/>
    <n v="166632.12"/>
    <n v="20"/>
    <n v="533222.78"/>
    <n v="2132891.14"/>
    <n v="700340.42"/>
    <s v="Furniture"/>
    <n v="700340.42"/>
    <s v="Large"/>
    <s v="Large"/>
    <s v="Offer Discount"/>
  </r>
  <r>
    <s v="ORD-10819"/>
    <x v="618"/>
    <d v="2023-12-11T00:00:00"/>
    <s v="First Class"/>
    <s v="Kunle"/>
    <s v="Okafor"/>
    <s v="kunle.okafor@hotmail.com"/>
    <n v="8157042065"/>
    <x v="2"/>
    <x v="3"/>
    <x v="16"/>
    <x v="3"/>
    <s v="Tables"/>
    <x v="26"/>
    <n v="6"/>
    <n v="117580.03"/>
    <n v="15"/>
    <n v="105822.03"/>
    <n v="599658.15"/>
    <n v="269536.92"/>
    <s v="Furniture"/>
    <n v="269536.92"/>
    <s v="Small"/>
    <s v="Small"/>
    <s v="No Discount"/>
  </r>
  <r>
    <s v="ORD-10293"/>
    <x v="142"/>
    <d v="2023-12-16T00:00:00"/>
    <s v="First Class"/>
    <s v="Musa"/>
    <s v="Okonkwo"/>
    <s v="N/A"/>
    <n v="7033260430"/>
    <x v="0"/>
    <x v="3"/>
    <x v="16"/>
    <x v="0"/>
    <s v="Paper"/>
    <x v="89"/>
    <n v="18"/>
    <n v="17812.34"/>
    <n v="10"/>
    <n v="32062.21"/>
    <n v="288559.90999999997"/>
    <n v="50682.79"/>
    <s v="Office Supplies"/>
    <n v="50682.79"/>
    <s v="Large"/>
    <s v="Large"/>
    <s v="No Discount"/>
  </r>
  <r>
    <s v="ORD-10399"/>
    <x v="330"/>
    <d v="2023-12-17T00:00:00"/>
    <s v="First Class"/>
    <s v="Aisha"/>
    <s v="Lawal"/>
    <s v="aisha.lawal@yahoo.com"/>
    <n v="8152146505"/>
    <x v="0"/>
    <x v="2"/>
    <x v="4"/>
    <x v="2"/>
    <s v="Printers"/>
    <x v="127"/>
    <n v="7"/>
    <n v="245044.85"/>
    <n v="10"/>
    <n v="171531.39"/>
    <n v="1543782.56"/>
    <n v="-72458.86"/>
    <s v="Technology"/>
    <n v="72458.86"/>
    <s v="Small"/>
    <s v="Small"/>
    <s v="No Discount"/>
  </r>
  <r>
    <s v="ORD-10649"/>
    <x v="330"/>
    <d v="2023-12-17T00:00:00"/>
    <s v="First Class"/>
    <s v="Tunde"/>
    <s v="Adeleke"/>
    <s v="tunde.adeleke@gmail.com"/>
    <n v="8033670591"/>
    <x v="2"/>
    <x v="0"/>
    <x v="0"/>
    <x v="3"/>
    <s v="Chairs"/>
    <x v="70"/>
    <n v="16"/>
    <n v="93902.63"/>
    <n v="10"/>
    <n v="150244.21"/>
    <n v="1352197.87"/>
    <n v="413698.95"/>
    <s v="Furniture"/>
    <n v="413698.95"/>
    <s v="Large"/>
    <s v="Large"/>
    <s v="Offer Discount"/>
  </r>
  <r>
    <s v="ORD-10328"/>
    <x v="483"/>
    <d v="2023-12-20T00:00:00"/>
    <s v="First Class"/>
    <s v="Chidi"/>
    <s v="Tinubu"/>
    <s v="chidi.tinubu@yahoo.com"/>
    <n v="9015724912"/>
    <x v="0"/>
    <x v="1"/>
    <x v="5"/>
    <x v="0"/>
    <s v="Art Supplies"/>
    <x v="140"/>
    <n v="17"/>
    <n v="8040.43"/>
    <n v="25"/>
    <n v="34171.83"/>
    <n v="102515.48"/>
    <n v="4547"/>
    <s v="Office Supplies"/>
    <n v="4547"/>
    <s v="Large"/>
    <s v="Large"/>
    <s v="No Discount"/>
  </r>
  <r>
    <s v="ORD-10893"/>
    <x v="486"/>
    <d v="2023-12-28T00:00:00"/>
    <s v="First Class"/>
    <s v="Femi"/>
    <s v="Abubakar"/>
    <s v="femi.abubakar@outlook.com"/>
    <n v="8137366014"/>
    <x v="0"/>
    <x v="1"/>
    <x v="2"/>
    <x v="4"/>
    <s v="Cooking Oil"/>
    <x v="41"/>
    <n v="19"/>
    <n v="5585.99"/>
    <n v="5"/>
    <n v="5306.69"/>
    <n v="100827.12"/>
    <n v="23924.9"/>
    <s v="Food &amp; Beverages"/>
    <n v="23924.9"/>
    <s v="Large"/>
    <s v="Large"/>
    <s v="No Discount"/>
  </r>
  <r>
    <s v="ORD-10948"/>
    <x v="619"/>
    <d v="2024-01-04T00:00:00"/>
    <s v="First Class"/>
    <s v="Hauwa"/>
    <s v="Otedola"/>
    <s v="hauwa.otedola@outlook.com"/>
    <n v="8144818119"/>
    <x v="0"/>
    <x v="1"/>
    <x v="11"/>
    <x v="1"/>
    <s v="Accessories"/>
    <x v="34"/>
    <n v="4"/>
    <n v="31658.36"/>
    <n v="0"/>
    <n v="0"/>
    <n v="126633.44"/>
    <n v="-1420.49"/>
    <s v="Clothing"/>
    <n v="1420.49"/>
    <s v="Small"/>
    <s v="Small"/>
    <s v="No Discount"/>
  </r>
  <r>
    <s v="ORD-10795"/>
    <x v="144"/>
    <d v="2024-01-19T00:00:00"/>
    <s v="First Class"/>
    <s v="Oluwaseun"/>
    <s v="Adebayo"/>
    <s v="oluwaseun.adebayo@outlook.com"/>
    <n v="8136371304"/>
    <x v="1"/>
    <x v="1"/>
    <x v="9"/>
    <x v="4"/>
    <s v="Grains"/>
    <x v="61"/>
    <n v="5"/>
    <n v="7677.3"/>
    <n v="10"/>
    <n v="3838.65"/>
    <n v="34547.85"/>
    <n v="12643.37"/>
    <s v="Food &amp; Beverages"/>
    <n v="12643.37"/>
    <s v="Small"/>
    <s v="Small"/>
    <s v="No Discount"/>
  </r>
  <r>
    <s v="ORD-10661"/>
    <x v="620"/>
    <d v="2024-01-25T00:00:00"/>
    <s v="First Class"/>
    <s v="Hauwa"/>
    <s v="Dangote"/>
    <s v="hauwa.dangote@outlook.com"/>
    <n v="7039446412"/>
    <x v="1"/>
    <x v="0"/>
    <x v="0"/>
    <x v="2"/>
    <s v="Laptops"/>
    <x v="21"/>
    <n v="20"/>
    <n v="406685.04"/>
    <n v="20"/>
    <n v="1626740.16"/>
    <n v="6506960.6399999997"/>
    <n v="116281.39"/>
    <s v="Technology"/>
    <n v="116281.39"/>
    <s v="Large"/>
    <s v="Large"/>
    <s v="Offer Discount"/>
  </r>
  <r>
    <s v="ORD-10255"/>
    <x v="621"/>
    <d v="2024-01-29T00:00:00"/>
    <s v="First Class"/>
    <s v="Chisom"/>
    <s v="Dangote"/>
    <s v="emeka.sowore@yahoo.com"/>
    <n v="8157060792"/>
    <x v="0"/>
    <x v="1"/>
    <x v="2"/>
    <x v="1"/>
    <s v="Bags"/>
    <x v="111"/>
    <n v="2"/>
    <n v="39906.74"/>
    <n v="10"/>
    <n v="7981.35"/>
    <n v="71832.13"/>
    <n v="-6325.9"/>
    <s v="Clothing"/>
    <n v="6325.9"/>
    <s v="Small"/>
    <s v="Small"/>
    <s v="No Discount"/>
  </r>
  <r>
    <s v="ORD-10863"/>
    <x v="492"/>
    <d v="2024-02-02T00:00:00"/>
    <s v="First Class"/>
    <s v="Chisom"/>
    <s v="Atiku"/>
    <s v="chisom.atiku@outlook.com"/>
    <n v="7063918610"/>
    <x v="0"/>
    <x v="1"/>
    <x v="9"/>
    <x v="4"/>
    <s v="Cooking Oil"/>
    <x v="43"/>
    <n v="12"/>
    <n v="3899.63"/>
    <n v="10"/>
    <n v="4679.5600000000004"/>
    <n v="42116"/>
    <n v="-2586.77"/>
    <s v="Food &amp; Beverages"/>
    <n v="2586.77"/>
    <s v="Small"/>
    <s v="Small"/>
    <s v="No Discount"/>
  </r>
  <r>
    <s v="ORD-10593"/>
    <x v="147"/>
    <d v="2024-02-07T00:00:00"/>
    <s v="First Class"/>
    <s v="Chibundo"/>
    <s v="Dangote"/>
    <s v="chibundo.dangote@hotmail.com"/>
    <n v="8161715977"/>
    <x v="1"/>
    <x v="3"/>
    <x v="16"/>
    <x v="4"/>
    <s v="Drinks"/>
    <x v="86"/>
    <n v="18"/>
    <n v="5688.04"/>
    <n v="0"/>
    <n v="0"/>
    <n v="102384.72"/>
    <n v="-2586.77"/>
    <s v="Food &amp; Beverages"/>
    <n v="2586.77"/>
    <s v="Large"/>
    <s v="Large"/>
    <s v="No Discount"/>
  </r>
  <r>
    <s v="ORD-10902"/>
    <x v="147"/>
    <d v="2024-02-07T00:00:00"/>
    <s v="First Class"/>
    <s v="Chisom"/>
    <s v="Sanusi"/>
    <s v="chisom.sanusi@yahoo.com"/>
    <n v="9021269132"/>
    <x v="1"/>
    <x v="1"/>
    <x v="5"/>
    <x v="3"/>
    <s v="Storage"/>
    <x v="18"/>
    <n v="19"/>
    <n v="85389.75"/>
    <n v="0"/>
    <n v="0"/>
    <n v="1622405.25"/>
    <n v="388473.24"/>
    <s v="Furniture"/>
    <n v="388473.24"/>
    <s v="Large"/>
    <s v="Large"/>
    <s v="Offer Discount"/>
  </r>
  <r>
    <s v="ORD-10960"/>
    <x v="622"/>
    <d v="2024-02-18T00:00:00"/>
    <s v="First Class"/>
    <s v="Dayo"/>
    <s v="Tinubu"/>
    <s v="dayo.tinubu@outlook.com"/>
    <n v="9025901261"/>
    <x v="1"/>
    <x v="2"/>
    <x v="10"/>
    <x v="0"/>
    <s v="Binders"/>
    <x v="65"/>
    <n v="5"/>
    <n v="13871.49"/>
    <n v="25"/>
    <n v="17339.36"/>
    <n v="52018.09"/>
    <n v="7077.95"/>
    <s v="Office Supplies"/>
    <n v="7077.95"/>
    <s v="Small"/>
    <s v="Small"/>
    <s v="No Discount"/>
  </r>
  <r>
    <s v="ORD-10686"/>
    <x v="151"/>
    <d v="2024-02-20T00:00:00"/>
    <s v="First Class"/>
    <s v="Obinna"/>
    <s v="Sanusi"/>
    <s v="obinna.sanusi@yahoo.com"/>
    <n v="8164890524"/>
    <x v="2"/>
    <x v="2"/>
    <x v="12"/>
    <x v="0"/>
    <s v="Fasteners"/>
    <x v="109"/>
    <n v="13"/>
    <n v="12510.44"/>
    <n v="10"/>
    <n v="16263.57"/>
    <n v="146372.15"/>
    <n v="25768.52"/>
    <s v="Office Supplies"/>
    <n v="25768.52"/>
    <s v="Small"/>
    <s v="Small"/>
    <s v="No Discount"/>
  </r>
  <r>
    <s v="ORD-10409"/>
    <x v="152"/>
    <d v="2024-02-21T00:00:00"/>
    <s v="First Class"/>
    <s v="Oluwaseun"/>
    <s v="Adebayo"/>
    <s v="oluwaseun.adebayo@outlook.com"/>
    <n v="7066893320"/>
    <x v="0"/>
    <x v="0"/>
    <x v="8"/>
    <x v="2"/>
    <s v="Phones"/>
    <x v="54"/>
    <n v="10"/>
    <n v="117060.61"/>
    <n v="0"/>
    <n v="0"/>
    <n v="1170606.1000000001"/>
    <n v="463833.25"/>
    <s v="Technology"/>
    <n v="463833.25"/>
    <s v="Small"/>
    <s v="Small"/>
    <s v="No Discount"/>
  </r>
  <r>
    <s v="ORD-10409"/>
    <x v="152"/>
    <d v="2024-02-21T00:00:00"/>
    <s v="First Class"/>
    <s v="Oluwaseun"/>
    <s v="Adebayo!!"/>
    <s v="oluwaseun.adebayo@outlook.com"/>
    <n v="7066893320"/>
    <x v="0"/>
    <x v="0"/>
    <x v="8"/>
    <x v="2"/>
    <s v="Phones"/>
    <x v="54"/>
    <n v="10"/>
    <n v="117060.61"/>
    <n v="0"/>
    <n v="0"/>
    <n v="1170606.1000000001"/>
    <n v="463833.25"/>
    <s v="Technology"/>
    <n v="463833.25"/>
    <s v="Small"/>
    <s v="Small"/>
    <s v="No Discount"/>
  </r>
  <r>
    <s v="ORD-10493"/>
    <x v="155"/>
    <d v="2024-02-25T00:00:00"/>
    <s v="First Class"/>
    <s v="Fatima"/>
    <s v="Fashola"/>
    <s v="fatima.fashola@yahoo.com"/>
    <n v="8162273196"/>
    <x v="1"/>
    <x v="0"/>
    <x v="14"/>
    <x v="0"/>
    <s v="Paper"/>
    <x v="106"/>
    <n v="17"/>
    <n v="21143.78"/>
    <n v="25"/>
    <n v="89861.07"/>
    <n v="269583.19"/>
    <n v="63673.57"/>
    <s v="Office Supplies"/>
    <n v="63673.57"/>
    <s v="Large"/>
    <s v="Large"/>
    <s v="No Discount"/>
  </r>
  <r>
    <s v="ORD-10519"/>
    <x v="623"/>
    <d v="2024-02-29T00:00:00"/>
    <s v="First Class"/>
    <s v="Gbenga"/>
    <s v="Tinubu"/>
    <s v="gbenga.tinubu@gmail.com"/>
    <n v="7061651407"/>
    <x v="2"/>
    <x v="1"/>
    <x v="5"/>
    <x v="2"/>
    <s v="Accessories"/>
    <x v="11"/>
    <n v="14"/>
    <n v="85627.64"/>
    <n v="10"/>
    <n v="119878.7"/>
    <n v="1078908.26"/>
    <n v="337441.75"/>
    <s v="Technology"/>
    <n v="337441.75"/>
    <s v="Small"/>
    <s v="Medium"/>
    <s v="No Discount"/>
  </r>
  <r>
    <s v="ORD-10189"/>
    <x v="340"/>
    <d v="2024-03-09T00:00:00"/>
    <s v="First Class"/>
    <s v="Fatima"/>
    <s v="Okonkwo"/>
    <s v="fatima.okonkwo@outlook.com"/>
    <n v="9054674549"/>
    <x v="2"/>
    <x v="1"/>
    <x v="7"/>
    <x v="2"/>
    <s v="Tablets"/>
    <x v="71"/>
    <n v="16"/>
    <n v="366764.44"/>
    <n v="25"/>
    <n v="1467057.76"/>
    <n v="4401173.28"/>
    <n v="283698.46999999997"/>
    <s v="Technology"/>
    <n v="283698.46999999997"/>
    <s v="Large"/>
    <s v="Large"/>
    <s v="Offer Discount"/>
  </r>
  <r>
    <s v="ORD-10343"/>
    <x v="341"/>
    <d v="2024-03-12T00:00:00"/>
    <s v="First Class"/>
    <s v="Musa"/>
    <s v="Nwosu"/>
    <s v="musa.nwosu@outlook.com"/>
    <n v="8166109503"/>
    <x v="2"/>
    <x v="3"/>
    <x v="16"/>
    <x v="1"/>
    <s v="Shoes"/>
    <x v="56"/>
    <n v="20"/>
    <n v="27057.26"/>
    <n v="25"/>
    <n v="135286.29999999999"/>
    <n v="405858.9"/>
    <n v="37549.440000000002"/>
    <s v="Clothing"/>
    <n v="37549.440000000002"/>
    <s v="Large"/>
    <s v="Large"/>
    <s v="No Discount"/>
  </r>
  <r>
    <s v="ORD-10174"/>
    <x v="499"/>
    <d v="2024-03-13T00:00:00"/>
    <s v="First Class"/>
    <s v="Gbenga"/>
    <s v="Obi"/>
    <s v="gbenga.obi@hotmail.com"/>
    <n v="9015003671"/>
    <x v="2"/>
    <x v="3"/>
    <x v="18"/>
    <x v="1"/>
    <s v="Phones"/>
    <x v="100"/>
    <n v="4"/>
    <n v="417213.07"/>
    <n v="20"/>
    <n v="333770.46000000002"/>
    <n v="1335081.82"/>
    <n v="290217.52"/>
    <s v="Clothing"/>
    <n v="290217.52"/>
    <s v="Small"/>
    <s v="Small"/>
    <s v="No Discount"/>
  </r>
  <r>
    <s v="ORD-10978"/>
    <x v="624"/>
    <d v="2024-03-13T00:00:00"/>
    <s v="First Class"/>
    <s v="Deola"/>
    <s v="Musa"/>
    <s v="deola.musa@gmail.com"/>
    <n v="7063583553"/>
    <x v="0"/>
    <x v="2"/>
    <x v="20"/>
    <x v="1"/>
    <s v="Shirts"/>
    <x v="57"/>
    <n v="7"/>
    <n v="42433.3"/>
    <n v="0"/>
    <n v="0"/>
    <n v="297033.09999999998"/>
    <n v="125250.55"/>
    <s v="Clothing"/>
    <n v="125250.55"/>
    <s v="Small"/>
    <s v="Small"/>
    <s v="No Discount"/>
  </r>
  <r>
    <s v="ORD-10360"/>
    <x v="160"/>
    <d v="2024-03-14T00:00:00"/>
    <s v="First Class"/>
    <s v="Dayo"/>
    <s v="Obi"/>
    <s v="dayo.obi@hotmail.com"/>
    <n v="8148315833"/>
    <x v="2"/>
    <x v="0"/>
    <x v="0"/>
    <x v="1"/>
    <s v="Shirts"/>
    <x v="12"/>
    <n v="13"/>
    <n v="11711.41"/>
    <n v="20"/>
    <n v="30449.67"/>
    <n v="121798.66"/>
    <n v="-9412.33"/>
    <s v="Clothing"/>
    <n v="9412.33"/>
    <s v="Small"/>
    <s v="Small"/>
    <s v="No Discount"/>
  </r>
  <r>
    <s v="ORD-10880"/>
    <x v="625"/>
    <d v="2024-03-14T00:00:00"/>
    <s v="First Class"/>
    <s v="Deola"/>
    <s v="Gambo"/>
    <s v="deola.gambo@yahoo.com"/>
    <n v="9013136181"/>
    <x v="0"/>
    <x v="1"/>
    <x v="19"/>
    <x v="1"/>
    <s v="Accessories"/>
    <x v="11"/>
    <n v="6"/>
    <n v="40216"/>
    <n v="5"/>
    <n v="12064.8"/>
    <n v="229231.2"/>
    <n v="47998.1"/>
    <s v="Clothing"/>
    <n v="47998.1"/>
    <s v="Small"/>
    <s v="Small"/>
    <s v="No Discount"/>
  </r>
  <r>
    <s v="ORD-10305"/>
    <x v="626"/>
    <d v="2024-03-20T00:00:00"/>
    <s v="First Class"/>
    <s v="Kemi"/>
    <s v="Osei"/>
    <s v="kemi.osei@gmail.com"/>
    <n v="8141827302"/>
    <x v="1"/>
    <x v="2"/>
    <x v="10"/>
    <x v="4"/>
    <s v="Cooking Oil"/>
    <x v="43"/>
    <n v="17"/>
    <n v="955.11"/>
    <n v="15"/>
    <n v="2435.5300000000002"/>
    <n v="13801.34"/>
    <n v="4337.6899999999996"/>
    <s v="Food &amp; Beverages"/>
    <n v="4337.6899999999996"/>
    <s v="Large"/>
    <s v="Large"/>
    <s v="No Discount"/>
  </r>
  <r>
    <s v="ORD-10666"/>
    <x v="627"/>
    <d v="2024-03-21T00:00:00"/>
    <s v="First Class"/>
    <s v="Ayo"/>
    <s v="Chukwu"/>
    <s v="ayo.chukwu@outlook.com"/>
    <n v="8165202915"/>
    <x v="1"/>
    <x v="3"/>
    <x v="6"/>
    <x v="4"/>
    <s v="Drinks"/>
    <x v="58"/>
    <n v="11"/>
    <n v="2663.09"/>
    <n v="10"/>
    <n v="2929.4"/>
    <n v="26364.59"/>
    <n v="9453.17"/>
    <s v="Food &amp; Beverages"/>
    <n v="9453.17"/>
    <s v="Small"/>
    <s v="Small"/>
    <s v="No Discount"/>
  </r>
  <r>
    <s v="ORD-10924"/>
    <x v="627"/>
    <d v="2024-03-22T00:00:00"/>
    <s v="First Class"/>
    <s v="Chidi"/>
    <s v="Dangote"/>
    <s v="chidi.dangote@yahoo.com"/>
    <n v="8034721202"/>
    <x v="0"/>
    <x v="0"/>
    <x v="1"/>
    <x v="1"/>
    <s v="Trousers"/>
    <x v="53"/>
    <n v="2"/>
    <n v="2096.77"/>
    <n v="0"/>
    <n v="0"/>
    <n v="4193.54"/>
    <n v="1389.88"/>
    <s v="Clothing"/>
    <n v="1389.88"/>
    <s v="Small"/>
    <s v="Small"/>
    <s v="No Discount"/>
  </r>
  <r>
    <s v="ORD-10200"/>
    <x v="628"/>
    <d v="2024-03-28T00:00:00"/>
    <s v="First Class"/>
    <s v="Wale"/>
    <s v="Sowore"/>
    <s v="wale.sowore@outlook.com"/>
    <n v="8067501626"/>
    <x v="0"/>
    <x v="2"/>
    <x v="12"/>
    <x v="3"/>
    <s v="Bookcases"/>
    <x v="84"/>
    <n v="15"/>
    <n v="71537.09"/>
    <n v="0"/>
    <n v="0"/>
    <n v="1073056.3500000001"/>
    <n v="8560.39"/>
    <s v="Furniture"/>
    <n v="8560.39"/>
    <s v="Large"/>
    <s v="Large"/>
    <s v="No Discount"/>
  </r>
  <r>
    <s v="ORD-10265"/>
    <x v="381"/>
    <d v="2024-03-28T00:00:00"/>
    <s v="First Class"/>
    <s v="Bola"/>
    <s v="Atiku"/>
    <s v="bola.atiku@yahoo.com"/>
    <n v="8143714471"/>
    <x v="1"/>
    <x v="1"/>
    <x v="7"/>
    <x v="2"/>
    <s v="Phones"/>
    <x v="4"/>
    <n v="11"/>
    <n v="189243.99"/>
    <n v="25"/>
    <n v="520420.97"/>
    <n v="1561262.92"/>
    <n v="341003.58"/>
    <s v="Technology"/>
    <n v="341003.58"/>
    <s v="Small"/>
    <s v="Small"/>
    <s v="No Discount"/>
  </r>
  <r>
    <s v="ORD-10100"/>
    <x v="381"/>
    <d v="2024-03-29T00:00:00"/>
    <s v="First Class"/>
    <s v="Femi"/>
    <s v="Abubakar"/>
    <s v="femi.abubakar@gmail.com"/>
    <n v="8034121368"/>
    <x v="0"/>
    <x v="2"/>
    <x v="20"/>
    <x v="1"/>
    <s v="Accessories"/>
    <x v="39"/>
    <n v="4"/>
    <n v="41282.33"/>
    <n v="10"/>
    <n v="16512.93"/>
    <n v="148616.39000000001"/>
    <n v="341003.58"/>
    <s v="Clothing"/>
    <n v="341003.58"/>
    <s v="Small"/>
    <s v="Small"/>
    <s v="No Discount"/>
  </r>
  <r>
    <s v="ORD-10361"/>
    <x v="163"/>
    <d v="2024-04-02T00:00:00"/>
    <s v="First Class"/>
    <s v="Sade"/>
    <s v="Adebayo"/>
    <s v="sade.adebayo@outlook.com"/>
    <n v="8068711468"/>
    <x v="2"/>
    <x v="0"/>
    <x v="17"/>
    <x v="0"/>
    <s v="Fasteners"/>
    <x v="141"/>
    <n v="2"/>
    <n v="4827.1499999999996"/>
    <n v="15"/>
    <n v="1448.14"/>
    <n v="8206.16"/>
    <n v="2022.33"/>
    <s v="Office Supplies"/>
    <n v="2022.33"/>
    <s v="Small"/>
    <s v="Small"/>
    <s v="No Discount"/>
  </r>
  <r>
    <s v="ORD-10491"/>
    <x v="629"/>
    <d v="2024-04-03T00:00:00"/>
    <s v="First Class"/>
    <s v="Ibrahim"/>
    <s v="Abubakar"/>
    <s v="ibrahim.abubakar@yahoo.com"/>
    <n v="8144932320"/>
    <x v="1"/>
    <x v="1"/>
    <x v="5"/>
    <x v="1"/>
    <s v="Trousers"/>
    <x v="14"/>
    <n v="13"/>
    <n v="20275.98"/>
    <n v="0"/>
    <n v="0"/>
    <n v="263587.74"/>
    <n v="108413.46"/>
    <s v="Clothing"/>
    <n v="108413.46"/>
    <s v="Small"/>
    <s v="Small"/>
    <s v="No Discount"/>
  </r>
  <r>
    <s v="ORD-10465"/>
    <x v="345"/>
    <d v="2024-04-04T00:00:00"/>
    <s v="First Class"/>
    <s v="Wale"/>
    <s v="Lawal"/>
    <s v="wale.lawal@gmail.com"/>
    <n v="7038331935"/>
    <x v="2"/>
    <x v="1"/>
    <x v="19"/>
    <x v="3"/>
    <s v="Storage"/>
    <x v="92"/>
    <n v="11"/>
    <n v="155859.53"/>
    <n v="15"/>
    <n v="257168.22"/>
    <n v="1457286.61"/>
    <n v="6276.06"/>
    <s v="Furniture"/>
    <n v="6276.06"/>
    <s v="Small"/>
    <s v="Small"/>
    <s v="No Discount"/>
  </r>
  <r>
    <s v="ORD-10917"/>
    <x v="629"/>
    <d v="2024-04-04T00:00:00"/>
    <s v="First Class"/>
    <s v="Hauwa"/>
    <s v="Sule"/>
    <s v="hauwa.sule@outlook.com"/>
    <n v="9076479600"/>
    <x v="1"/>
    <x v="0"/>
    <x v="8"/>
    <x v="3"/>
    <s v="Tables"/>
    <x v="9"/>
    <n v="5"/>
    <n v="33580"/>
    <n v="0"/>
    <n v="0"/>
    <n v="167900"/>
    <n v="-17180.89"/>
    <s v="Furniture"/>
    <n v="17180.89"/>
    <s v="Small"/>
    <s v="Small"/>
    <s v="No Discount"/>
  </r>
  <r>
    <s v="ORD-10586"/>
    <x v="165"/>
    <d v="2024-04-12T00:00:00"/>
    <s v="First Class"/>
    <s v="Aisha"/>
    <s v="Adeleke"/>
    <s v="aisha.adeleke@outlook.com"/>
    <n v="9078117262"/>
    <x v="1"/>
    <x v="2"/>
    <x v="12"/>
    <x v="3"/>
    <s v="Bookcases"/>
    <x v="105"/>
    <n v="12"/>
    <n v="25956.81"/>
    <n v="10"/>
    <n v="31148.17"/>
    <n v="280333.55"/>
    <n v="-37332.21"/>
    <s v="Furniture"/>
    <n v="37332.21"/>
    <s v="Small"/>
    <s v="Small"/>
    <s v="No Discount"/>
  </r>
  <r>
    <s v="ORD-10342"/>
    <x v="347"/>
    <d v="2024-04-13T00:00:00"/>
    <s v="First Class"/>
    <s v="Deola"/>
    <s v="Bello"/>
    <s v="deola.bello@hotmail.com"/>
    <n v="7039292896"/>
    <x v="0"/>
    <x v="2"/>
    <x v="12"/>
    <x v="2"/>
    <s v="Laptops"/>
    <x v="30"/>
    <n v="19"/>
    <n v="370409.61"/>
    <n v="0"/>
    <n v="0"/>
    <n v="7037782.5899999999"/>
    <n v="2141221.64"/>
    <s v="Technology"/>
    <n v="2141221.64"/>
    <s v="Large"/>
    <s v="Large"/>
    <s v="Offer Discount"/>
  </r>
  <r>
    <s v="ORD-11000"/>
    <x v="348"/>
    <d v="2024-04-18T00:00:00"/>
    <s v="First Class"/>
    <s v="Adaeze"/>
    <s v="Abubakar"/>
    <s v="adaeze.abubakar@hotmail.com"/>
    <n v="9011384511"/>
    <x v="0"/>
    <x v="2"/>
    <x v="20"/>
    <x v="1"/>
    <s v="Accessories"/>
    <x v="11"/>
    <n v="14"/>
    <n v="32924.870000000003"/>
    <n v="15"/>
    <n v="69142.23"/>
    <n v="391805.95"/>
    <n v="101261.15"/>
    <s v="Clothing"/>
    <n v="101261.15"/>
    <s v="Small"/>
    <s v="Medium"/>
    <s v="No Discount"/>
  </r>
  <r>
    <s v="ORD-10504"/>
    <x v="167"/>
    <d v="2024-04-22T00:00:00"/>
    <s v="First Class"/>
    <s v="Aisha"/>
    <s v="Chukwu"/>
    <s v="email.com"/>
    <n v="8151748853"/>
    <x v="2"/>
    <x v="2"/>
    <x v="4"/>
    <x v="1"/>
    <s v="Shirts"/>
    <x v="27"/>
    <n v="15"/>
    <n v="29471.26"/>
    <n v="15"/>
    <n v="66310.33"/>
    <n v="375758.57"/>
    <n v="21115.61"/>
    <s v="Clothing"/>
    <n v="21115.61"/>
    <s v="Large"/>
    <s v="Large"/>
    <s v="No Discount"/>
  </r>
  <r>
    <s v="ORD-10205"/>
    <x v="630"/>
    <d v="2024-04-24T00:00:00"/>
    <s v="First Class"/>
    <s v="Chisom"/>
    <s v="Chukwu"/>
    <s v="chidinma.tinubu@hotmail.com"/>
    <n v="9058936405"/>
    <x v="2"/>
    <x v="2"/>
    <x v="3"/>
    <x v="2"/>
    <s v="Phones"/>
    <x v="22"/>
    <n v="20"/>
    <n v="190293.67"/>
    <n v="15"/>
    <n v="570881.01"/>
    <n v="3234992.39"/>
    <n v="-409972.14"/>
    <s v="Technology"/>
    <n v="409972.14"/>
    <s v="Large"/>
    <s v="Large"/>
    <s v="Offer Discount"/>
  </r>
  <r>
    <s v="ORD-10300"/>
    <x v="631"/>
    <d v="2024-04-27T00:00:00"/>
    <s v="First Class"/>
    <s v="Chisom"/>
    <s v="Alakija"/>
    <s v="chisom.alakija@yahoo.com"/>
    <n v="9054589118"/>
    <x v="1"/>
    <x v="0"/>
    <x v="8"/>
    <x v="1"/>
    <s v="Accessories"/>
    <x v="17"/>
    <n v="20"/>
    <n v="17480.37"/>
    <n v="20"/>
    <n v="52441.11"/>
    <n v="209764.44"/>
    <n v="89337.55"/>
    <s v="Clothing"/>
    <n v="89337.55"/>
    <s v="Large"/>
    <s v="Large"/>
    <s v="No Discount"/>
  </r>
  <r>
    <s v="ORD-10164"/>
    <x v="504"/>
    <d v="2024-05-01T00:00:00"/>
    <s v="First Class"/>
    <s v="Olumide"/>
    <s v="Musa"/>
    <s v="olumide.musa@gmail.com"/>
    <n v="7069650558"/>
    <x v="0"/>
    <x v="1"/>
    <x v="5"/>
    <x v="0"/>
    <s v="Fasteners"/>
    <x v="142"/>
    <n v="16"/>
    <n v="11640.04"/>
    <n v="10"/>
    <n v="18624.060000000001"/>
    <n v="167616.57999999999"/>
    <n v="33384.75"/>
    <s v="Office Supplies"/>
    <n v="33384.75"/>
    <s v="Large"/>
    <s v="Large"/>
    <s v="No Discount"/>
  </r>
  <r>
    <s v="ORD-10786"/>
    <x v="632"/>
    <d v="2024-05-12T00:00:00"/>
    <s v="First Class"/>
    <s v="Obinna"/>
    <s v="Musa"/>
    <s v="obinna.musa@gmail.com"/>
    <s v="080312345678901"/>
    <x v="2"/>
    <x v="0"/>
    <x v="17"/>
    <x v="3"/>
    <s v="Sofas"/>
    <x v="128"/>
    <n v="14"/>
    <n v="46078.76"/>
    <n v="10"/>
    <n v="64510.26"/>
    <n v="580592.38"/>
    <n v="-50871.93"/>
    <s v="Furniture"/>
    <n v="50871.93"/>
    <s v="Small"/>
    <s v="Medium"/>
    <s v="No Discount"/>
  </r>
  <r>
    <s v="ORD-10477"/>
    <x v="171"/>
    <d v="2024-05-13T00:00:00"/>
    <s v="First Class"/>
    <s v="Chisom"/>
    <s v="Okonkwo"/>
    <s v="unknown"/>
    <n v="8136615431"/>
    <x v="0"/>
    <x v="2"/>
    <x v="10"/>
    <x v="2"/>
    <s v="Printers"/>
    <x v="127"/>
    <n v="8"/>
    <n v="445765.12"/>
    <n v="15"/>
    <n v="534918.14"/>
    <n v="3031202.82"/>
    <n v="1287246.99"/>
    <s v="Technology"/>
    <n v="1287246.99"/>
    <s v="Small"/>
    <s v="Small"/>
    <s v="No Discount"/>
  </r>
  <r>
    <s v="ORD-10073"/>
    <x v="353"/>
    <d v="2024-05-18T00:00:00"/>
    <s v="First Class"/>
    <s v="Nike"/>
    <s v="Alakija"/>
    <s v="nike.alakija@outlook.com"/>
    <n v="7032738129"/>
    <x v="1"/>
    <x v="0"/>
    <x v="1"/>
    <x v="4"/>
    <s v="Condiments"/>
    <x v="45"/>
    <n v="16"/>
    <n v="1491.42"/>
    <n v="5"/>
    <n v="1193.1400000000001"/>
    <n v="22669.58"/>
    <n v="8123.98"/>
    <s v="Food &amp; Beverages"/>
    <n v="8123.98"/>
    <s v="Large"/>
    <s v="Large"/>
    <s v="No Discount"/>
  </r>
  <r>
    <s v="ORD-10722"/>
    <x v="633"/>
    <d v="2024-05-22T00:00:00"/>
    <s v="First Class"/>
    <s v="Bukola"/>
    <s v="Musa"/>
    <s v="bukola.musa@outlook.com"/>
    <n v="8141451244"/>
    <x v="1"/>
    <x v="3"/>
    <x v="16"/>
    <x v="3"/>
    <s v="Sofas"/>
    <x v="81"/>
    <n v="12"/>
    <n v="140069.16"/>
    <n v="10"/>
    <n v="168082.99"/>
    <n v="1512746.93"/>
    <n v="81553.05"/>
    <s v="Furniture"/>
    <n v="81553.05"/>
    <s v="Small"/>
    <s v="Small"/>
    <s v="No Discount"/>
  </r>
  <r>
    <s v="ORD-10947"/>
    <x v="634"/>
    <d v="2024-05-23T00:00:00"/>
    <s v="First Class"/>
    <s v="Femi"/>
    <s v="Danjuma"/>
    <s v="femi.danjuma@yahoo.com"/>
    <n v="9077743663"/>
    <x v="2"/>
    <x v="3"/>
    <x v="22"/>
    <x v="4"/>
    <s v="Condiments"/>
    <x v="143"/>
    <n v="13"/>
    <n v="3048.03"/>
    <n v="20"/>
    <n v="7924.88"/>
    <n v="31699.51"/>
    <n v="7125.15"/>
    <s v="Food &amp; Beverages"/>
    <n v="7125.15"/>
    <s v="Small"/>
    <s v="Small"/>
    <s v="No Discount"/>
  </r>
  <r>
    <s v="ORD-10562"/>
    <x v="506"/>
    <d v="2024-05-25T00:00:00"/>
    <s v="First Class"/>
    <s v="Ngozi"/>
    <s v="Dangote"/>
    <s v="ngozi.dangote@hotmail.com"/>
    <n v="9071866635"/>
    <x v="0"/>
    <x v="0"/>
    <x v="0"/>
    <x v="5"/>
    <s v="Paper"/>
    <x v="106"/>
    <n v="12"/>
    <n v="9407.6200000000008"/>
    <n v="15"/>
    <n v="16933.72"/>
    <n v="31699.51"/>
    <n v="-174.53"/>
    <s v="Office Supply"/>
    <n v="174.53"/>
    <s v="Small"/>
    <s v="Small"/>
    <s v="No Discount"/>
  </r>
  <r>
    <s v="ORD-10162"/>
    <x v="635"/>
    <d v="2024-05-28T00:00:00"/>
    <s v="First Class"/>
    <s v="Ayo"/>
    <s v="Okafor"/>
    <s v="ayo.okafor@yahoo.com"/>
    <n v="8034471922"/>
    <x v="0"/>
    <x v="2"/>
    <x v="10"/>
    <x v="2"/>
    <s v="Printers"/>
    <x v="114"/>
    <n v="20"/>
    <n v="246542.15"/>
    <n v="25"/>
    <n v="1232710.75"/>
    <n v="3698132.25"/>
    <n v="-174.53"/>
    <s v="Technology"/>
    <n v="174.53"/>
    <s v="Large"/>
    <s v="Large"/>
    <s v="Offer Discount"/>
  </r>
  <r>
    <s v="ORD-10176"/>
    <x v="636"/>
    <d v="2024-06-01T00:00:00"/>
    <s v="First Class"/>
    <s v="Ronke"/>
    <s v="Musa"/>
    <s v="ronke.musa@outlook.com"/>
    <n v="9012293020"/>
    <x v="0"/>
    <x v="0"/>
    <x v="1"/>
    <x v="1"/>
    <s v="Bags"/>
    <x v="1"/>
    <n v="16"/>
    <n v="17485.330000000002"/>
    <n v="0"/>
    <n v="0"/>
    <n v="279765.28000000003"/>
    <n v="19754.97"/>
    <s v="Clothing"/>
    <n v="19754.97"/>
    <s v="Large"/>
    <s v="Large"/>
    <s v="No Discount"/>
  </r>
  <r>
    <s v="ORD-10058"/>
    <x v="637"/>
    <d v="2024-06-03T00:00:00"/>
    <s v="First Class"/>
    <s v="Hauwa"/>
    <s v="Dangote"/>
    <s v="hauwa.dangote@hotmail.com"/>
    <n v="9054020853"/>
    <x v="1"/>
    <x v="2"/>
    <x v="3"/>
    <x v="3"/>
    <s v="Tables"/>
    <x v="8"/>
    <n v="13"/>
    <n v="112832.59"/>
    <n v="5"/>
    <n v="73341.179999999993"/>
    <n v="1393482.49"/>
    <n v="207071.99"/>
    <s v="Furniture"/>
    <n v="207071.99"/>
    <s v="Small"/>
    <s v="Small"/>
    <s v="No Discount"/>
  </r>
  <r>
    <s v="ORD-10864"/>
    <x v="176"/>
    <d v="2024-06-05T00:00:00"/>
    <s v="First Class"/>
    <s v="Deola"/>
    <s v="Chukwu"/>
    <s v="deola.chukwu@yahoo.com"/>
    <n v="7037017462"/>
    <x v="1"/>
    <x v="1"/>
    <x v="9"/>
    <x v="1"/>
    <s v="Bags"/>
    <x v="1"/>
    <n v="6"/>
    <n v="39057.4"/>
    <n v="0"/>
    <n v="0"/>
    <n v="234344.4"/>
    <n v="13140.22"/>
    <s v="Clothing"/>
    <n v="13140.22"/>
    <s v="Small"/>
    <s v="Small"/>
    <s v="No Discount"/>
  </r>
  <r>
    <s v="ORD-10539"/>
    <x v="638"/>
    <d v="2024-06-09T00:00:00"/>
    <s v="First Class"/>
    <s v="Ikenna"/>
    <s v="Abubakar"/>
    <s v="ikenna.abubakar@gmail.com"/>
    <n v="8065040883"/>
    <x v="2"/>
    <x v="2"/>
    <x v="20"/>
    <x v="1"/>
    <s v="Bags"/>
    <x v="144"/>
    <n v="6"/>
    <n v="31583.32"/>
    <n v="15"/>
    <n v="28424.99"/>
    <n v="161074.93"/>
    <n v="50820.73"/>
    <s v="Clothing"/>
    <n v="50820.73"/>
    <s v="Small"/>
    <s v="Small"/>
    <s v="No Discount"/>
  </r>
  <r>
    <s v="ORD-10008"/>
    <x v="177"/>
    <d v="2024-06-11T00:00:00"/>
    <s v="First Class"/>
    <s v="Adebayo"/>
    <s v="Okonkwo"/>
    <s v="adebayo.okonkwo@outlook.com"/>
    <n v="8153997281"/>
    <x v="0"/>
    <x v="0"/>
    <x v="13"/>
    <x v="4"/>
    <s v="Drinks"/>
    <x v="101"/>
    <n v="17"/>
    <n v="6780.85"/>
    <n v="5"/>
    <n v="5763.72"/>
    <n v="109510.73"/>
    <n v="-6384.09"/>
    <s v="Food &amp; Beverages"/>
    <n v="6384.09"/>
    <s v="Large"/>
    <s v="Large"/>
    <s v="No Discount"/>
  </r>
  <r>
    <s v="ORD-10270"/>
    <x v="180"/>
    <d v="2024-06-28T00:00:00"/>
    <s v="First Class"/>
    <s v="Kehinde"/>
    <s v="Sanusi"/>
    <s v="kehinde.sanusi@yahoo.com"/>
    <n v="9026698561"/>
    <x v="1"/>
    <x v="2"/>
    <x v="20"/>
    <x v="1"/>
    <s v="Bags"/>
    <x v="1"/>
    <n v="16"/>
    <n v="39067"/>
    <n v="0"/>
    <n v="0"/>
    <n v="625072"/>
    <n v="2932.75"/>
    <s v="Clothing"/>
    <n v="2932.75"/>
    <s v="Large"/>
    <s v="Large"/>
    <s v="No Discount"/>
  </r>
  <r>
    <s v="ORD-10322"/>
    <x v="513"/>
    <d v="2024-07-05T00:00:00"/>
    <s v="First Class"/>
    <s v="Fatima"/>
    <s v="Bello"/>
    <s v="fatima.bello@yahoo.com"/>
    <n v="8131059272"/>
    <x v="1"/>
    <x v="2"/>
    <x v="12"/>
    <x v="4"/>
    <s v="Grains"/>
    <x v="61"/>
    <n v="16"/>
    <n v="3831.55"/>
    <n v="25"/>
    <n v="15326.2"/>
    <n v="45978.6"/>
    <n v="15378.59"/>
    <s v="Food &amp; Beverages"/>
    <n v="15378.59"/>
    <s v="Large"/>
    <s v="Large"/>
    <s v="No Discount"/>
  </r>
  <r>
    <s v="ORD-10590"/>
    <x v="639"/>
    <d v="2024-07-07T00:00:00"/>
    <s v="First Class"/>
    <s v="Adaeze"/>
    <s v="Eze"/>
    <s v="adaeze.eze@outlook.com"/>
    <n v="9058229326"/>
    <x v="2"/>
    <x v="3"/>
    <x v="18"/>
    <x v="2"/>
    <s v="Accessories"/>
    <x v="24"/>
    <n v="20"/>
    <n v="105836.98"/>
    <n v="0"/>
    <n v="0"/>
    <n v="2116739.6"/>
    <n v="899210.86"/>
    <s v="Technology"/>
    <n v="899210.86"/>
    <s v="Large"/>
    <s v="Large"/>
    <s v="Offer Discount"/>
  </r>
  <r>
    <s v="ORD-10108"/>
    <x v="359"/>
    <d v="2024-07-11T00:00:00"/>
    <s v="First Class"/>
    <s v="Seun"/>
    <s v="Bello"/>
    <s v="seun.bello@gmail.com"/>
    <n v="8167444964"/>
    <x v="0"/>
    <x v="3"/>
    <x v="16"/>
    <x v="4"/>
    <s v="Cooking Oil"/>
    <x v="25"/>
    <n v="6"/>
    <n v="7712.68"/>
    <n v="10"/>
    <n v="4627.6099999999997"/>
    <n v="41648.47"/>
    <n v="17086.32"/>
    <s v="Food &amp; Beverages"/>
    <n v="17086.32"/>
    <s v="Small"/>
    <s v="Small"/>
    <s v="No Discount"/>
  </r>
  <r>
    <s v="ORD-10144"/>
    <x v="640"/>
    <d v="2024-07-14T00:00:00"/>
    <s v="First Class"/>
    <s v="Zainab"/>
    <s v="Adebayo"/>
    <s v="zainab.adebayo@hotmail.com"/>
    <n v="7064116163"/>
    <x v="2"/>
    <x v="0"/>
    <x v="1"/>
    <x v="4"/>
    <s v="Cooking Oil"/>
    <x v="41"/>
    <n v="10"/>
    <n v="6245.69"/>
    <n v="5"/>
    <n v="3122.84"/>
    <n v="59334.06"/>
    <n v="16486.87"/>
    <s v="Food &amp; Beverages"/>
    <n v="16486.87"/>
    <s v="Small"/>
    <s v="Small"/>
    <s v="No Discount"/>
  </r>
  <r>
    <s v="ORD-10159"/>
    <x v="515"/>
    <d v="2024-07-14T00:00:00"/>
    <s v="First Class"/>
    <s v="Obinna"/>
    <s v="Okonkwo"/>
    <s v="obinna.okonkwo@hotmail.com"/>
    <n v="8104273712"/>
    <x v="0"/>
    <x v="1"/>
    <x v="0"/>
    <x v="1"/>
    <s v="Accessories"/>
    <x v="11"/>
    <n v="14"/>
    <n v="30082"/>
    <n v="20"/>
    <n v="84229.6"/>
    <n v="336918.4"/>
    <n v="33482.36"/>
    <s v="Clothing"/>
    <n v="33482.36"/>
    <s v="Small"/>
    <s v="Medium"/>
    <s v="No Discount"/>
  </r>
  <r>
    <s v="ORD-10320"/>
    <x v="515"/>
    <d v="2024-07-14T00:00:00"/>
    <s v="First Class"/>
    <s v="Fatima"/>
    <s v="Fashola"/>
    <s v="fatima.fashola@yahoo.com"/>
    <n v="8142512963"/>
    <x v="1"/>
    <x v="3"/>
    <x v="16"/>
    <x v="0"/>
    <s v="Pens &amp; Pencils"/>
    <x v="37"/>
    <n v="4"/>
    <n v="18100.18"/>
    <n v="0"/>
    <n v="0"/>
    <n v="72400.72"/>
    <n v="-5900.73"/>
    <s v="Office Supplies"/>
    <n v="5900.73"/>
    <s v="Small"/>
    <s v="Small"/>
    <s v="No Discount"/>
  </r>
  <r>
    <s v="ORD-10632"/>
    <x v="181"/>
    <d v="2024-07-18T00:00:00"/>
    <s v="First Class"/>
    <s v="Obinna"/>
    <s v="Otedola"/>
    <s v="obinna.otedola@outlook.com"/>
    <n v="9079162003"/>
    <x v="2"/>
    <x v="2"/>
    <x v="3"/>
    <x v="0"/>
    <s v="Pens &amp; Pencils"/>
    <x v="67"/>
    <n v="4"/>
    <n v="832.25"/>
    <n v="10"/>
    <n v="998.7"/>
    <n v="8988.2999999999993"/>
    <n v="2481.62"/>
    <s v="Office Supplies"/>
    <n v="2481.62"/>
    <s v="Small"/>
    <s v="Small"/>
    <s v="No Discount"/>
  </r>
  <r>
    <s v="ORD-10779"/>
    <x v="181"/>
    <d v="2024-07-18T00:00:00"/>
    <s v="First Class"/>
    <s v="Nike"/>
    <s v="Otedola"/>
    <s v="taiwo.musa@yahoo.com"/>
    <n v="7069571557"/>
    <x v="1"/>
    <x v="0"/>
    <x v="0"/>
    <x v="3"/>
    <s v="Tables"/>
    <x v="5"/>
    <n v="7"/>
    <n v="141456.75"/>
    <n v="10"/>
    <n v="99019.73"/>
    <n v="891177.52"/>
    <n v="147351.57999999999"/>
    <s v="Furniture"/>
    <n v="147351.57999999999"/>
    <s v="Small"/>
    <s v="Small"/>
    <s v="No Discount"/>
  </r>
  <r>
    <s v="ORD-10896"/>
    <x v="641"/>
    <d v="2024-07-18T00:00:00"/>
    <s v="First Class"/>
    <s v="Nike"/>
    <s v="Okafor"/>
    <s v="nike.okafor@hotmail.com"/>
    <n v="8164120898"/>
    <x v="0"/>
    <x v="2"/>
    <x v="3"/>
    <x v="3"/>
    <s v="Storage"/>
    <x v="16"/>
    <n v="3"/>
    <n v="36660.15"/>
    <n v="5"/>
    <n v="5499.02"/>
    <n v="104481.43"/>
    <n v="38980.57"/>
    <s v="Furniture"/>
    <n v="38980.57"/>
    <s v="Small"/>
    <s v="Small"/>
    <s v="No Discount"/>
  </r>
  <r>
    <s v="ORD-10071"/>
    <x v="517"/>
    <d v="2024-07-21T00:00:00"/>
    <s v="First Class"/>
    <s v="Yemi"/>
    <s v="Sule"/>
    <s v="@nodomain.com"/>
    <n v="8034607488"/>
    <x v="2"/>
    <x v="0"/>
    <x v="14"/>
    <x v="1"/>
    <s v="Bags"/>
    <x v="103"/>
    <n v="15"/>
    <n v="19793.98"/>
    <n v="15"/>
    <n v="44536.46"/>
    <n v="252373.24"/>
    <n v="25134.81"/>
    <s v="Clothing"/>
    <n v="25134.81"/>
    <s v="Large"/>
    <s v="Large"/>
    <s v="No Discount"/>
  </r>
  <r>
    <s v="ORD-10830"/>
    <x v="642"/>
    <d v="2024-07-29T00:00:00"/>
    <s v="First Class"/>
    <s v="Adaeze"/>
    <s v="Otedola"/>
    <s v="adaeze.otedola@gmail.com"/>
    <n v="8101179145"/>
    <x v="0"/>
    <x v="1"/>
    <x v="13"/>
    <x v="4"/>
    <s v="Drinks"/>
    <x v="101"/>
    <n v="16"/>
    <n v="3231.17"/>
    <n v="15"/>
    <n v="7754.81"/>
    <n v="43943.91"/>
    <n v="3649.03"/>
    <s v="Food &amp; Beverages"/>
    <n v="3649.03"/>
    <s v="Large"/>
    <s v="Large"/>
    <s v="No Discount"/>
  </r>
  <r>
    <s v="ORD-10299"/>
    <x v="643"/>
    <d v="2024-07-31T00:00:00"/>
    <s v="First Class"/>
    <s v="Yemi"/>
    <s v="Adeyemi"/>
    <s v="yemi.adeyemi@yahoo.com"/>
    <n v="8157737011"/>
    <x v="2"/>
    <x v="1"/>
    <x v="19"/>
    <x v="4"/>
    <s v="Grains"/>
    <x v="117"/>
    <n v="20"/>
    <n v="4411.03"/>
    <n v="20"/>
    <n v="17644.12"/>
    <n v="70576.479999999996"/>
    <n v="28944.26"/>
    <s v="Food &amp; Beverages"/>
    <n v="28944.26"/>
    <s v="Large"/>
    <s v="Large"/>
    <s v="No Discount"/>
  </r>
  <r>
    <s v="ORD-10648"/>
    <x v="186"/>
    <d v="2024-08-01T00:00:00"/>
    <s v="First Class"/>
    <s v="Femi"/>
    <s v="Sule"/>
    <s v="femi.sule@outlook.com"/>
    <n v="7062144375"/>
    <x v="1"/>
    <x v="3"/>
    <x v="18"/>
    <x v="1"/>
    <s v="Bags"/>
    <x v="111"/>
    <n v="6"/>
    <n v="28051.200000000001"/>
    <n v="25"/>
    <n v="42076.800000000003"/>
    <n v="126230.39999999999"/>
    <n v="39792.720000000001"/>
    <s v="Clothing"/>
    <n v="39792.720000000001"/>
    <s v="Small"/>
    <s v="Small"/>
    <s v="No Discount"/>
  </r>
  <r>
    <s v="ORD-10059"/>
    <x v="186"/>
    <d v="2024-08-02T00:00:00"/>
    <s v="First Class"/>
    <s v="Chidi"/>
    <s v="Sule"/>
    <s v="chidi.sule@hotmail.com"/>
    <n v="8163650391"/>
    <x v="1"/>
    <x v="3"/>
    <x v="18"/>
    <x v="2"/>
    <s v="Accessories"/>
    <x v="17"/>
    <n v="10"/>
    <n v="444628.49"/>
    <n v="15"/>
    <n v="666942.74"/>
    <n v="3779342.16"/>
    <n v="998457.25"/>
    <s v="Technology"/>
    <n v="998457.25"/>
    <s v="Small"/>
    <s v="Small"/>
    <s v="No Discount"/>
  </r>
  <r>
    <s v="ORD-10319"/>
    <x v="520"/>
    <d v="2024-08-04T00:00:00"/>
    <s v="First Class"/>
    <s v="Oluwaseun"/>
    <s v="Eze"/>
    <s v="oluwaseun.eze@gmail.com"/>
    <n v="9019673311"/>
    <x v="1"/>
    <x v="1"/>
    <x v="5"/>
    <x v="3"/>
    <s v="Storage"/>
    <x v="107"/>
    <n v="17"/>
    <n v="23555.82"/>
    <n v="0"/>
    <n v="0"/>
    <n v="400448.94"/>
    <n v="-16873.78"/>
    <s v="Furniture"/>
    <n v="16873.78"/>
    <s v="Large"/>
    <s v="Large"/>
    <s v="No Discount"/>
  </r>
  <r>
    <s v="ORD-10733"/>
    <x v="519"/>
    <d v="2024-08-04T00:00:00"/>
    <s v="First Class"/>
    <s v="Deola"/>
    <s v="Osei"/>
    <s v="deola.osei@hotmail.com"/>
    <n v="8141210843"/>
    <x v="2"/>
    <x v="3"/>
    <x v="22"/>
    <x v="0"/>
    <s v="Pens &amp; Pencils"/>
    <x v="28"/>
    <n v="15"/>
    <n v="8985.9699999999993"/>
    <n v="0"/>
    <n v="0"/>
    <n v="134789.54999999999"/>
    <n v="17140.990000000002"/>
    <s v="Office Supplies"/>
    <n v="17140.990000000002"/>
    <s v="Large"/>
    <s v="Large"/>
    <s v="No Discount"/>
  </r>
  <r>
    <s v="ORD-10027"/>
    <x v="523"/>
    <d v="2024-08-13T00:00:00"/>
    <s v="First Class"/>
    <s v="Olumide"/>
    <s v="Sowore"/>
    <s v="olumide.sowore@yahoo.com"/>
    <n v="8158938746"/>
    <x v="2"/>
    <x v="1"/>
    <x v="9"/>
    <x v="3"/>
    <s v="Chairs"/>
    <x v="95"/>
    <n v="20"/>
    <n v="96657.75"/>
    <n v="10"/>
    <n v="193315.5"/>
    <n v="1739839.5"/>
    <n v="-163488.68"/>
    <s v="Furniture"/>
    <n v="163488.68"/>
    <s v="Large"/>
    <s v="Large"/>
    <s v="Offer Discount"/>
  </r>
  <r>
    <s v="ORD-10824"/>
    <x v="644"/>
    <d v="2024-08-19T00:00:00"/>
    <s v="First Class"/>
    <s v="Kemi"/>
    <s v="Buhari"/>
    <s v="kemi.buhari@hotmail.com"/>
    <n v="7039901791"/>
    <x v="1"/>
    <x v="3"/>
    <x v="18"/>
    <x v="2"/>
    <s v="Laptops"/>
    <x v="121"/>
    <n v="1"/>
    <n v="52301.279999999999"/>
    <n v="0"/>
    <n v="0"/>
    <n v="52301.279999999999"/>
    <n v="2557.8000000000002"/>
    <s v="Technology"/>
    <n v="2557.8000000000002"/>
    <s v="Small"/>
    <s v="Small"/>
    <s v="No Discount"/>
  </r>
  <r>
    <s v="ORD-10756"/>
    <x v="645"/>
    <d v="2024-08-27T00:00:00"/>
    <s v="First Class"/>
    <s v="Uchenna"/>
    <s v="Okafor"/>
    <s v="uchenna.okafor@outlook.com"/>
    <n v="7036938019"/>
    <x v="0"/>
    <x v="1"/>
    <x v="7"/>
    <x v="0"/>
    <s v="Envelopes"/>
    <x v="125"/>
    <n v="13"/>
    <n v="10919.8"/>
    <n v="15"/>
    <n v="21293.61"/>
    <n v="120663.79"/>
    <n v="-17688.89"/>
    <s v="Office Supplies"/>
    <n v="17688.89"/>
    <s v="Small"/>
    <s v="Small"/>
    <s v="No Discount"/>
  </r>
  <r>
    <s v="ORD-10581"/>
    <x v="646"/>
    <d v="2024-08-30T00:00:00"/>
    <s v="First Class"/>
    <s v="Bola"/>
    <s v="Adeleke"/>
    <s v="bola.adeleke@outlook.com"/>
    <n v="7033337892"/>
    <x v="0"/>
    <x v="2"/>
    <x v="10"/>
    <x v="0"/>
    <s v="Envelopes"/>
    <x v="77"/>
    <n v="18"/>
    <n v="20963.68"/>
    <n v="15"/>
    <n v="56601.94"/>
    <n v="320744.3"/>
    <n v="-1443.85"/>
    <s v="Office Supplies"/>
    <n v="1443.85"/>
    <s v="Large"/>
    <s v="Large"/>
    <s v="No Discount"/>
  </r>
  <r>
    <s v="ORD-10112"/>
    <x v="646"/>
    <d v="2024-08-31T00:00:00"/>
    <s v="First Class"/>
    <s v="Seun"/>
    <s v="Alakija"/>
    <s v="seun.alakija@yahoo.com"/>
    <n v="7036344047"/>
    <x v="0"/>
    <x v="2"/>
    <x v="4"/>
    <x v="3"/>
    <s v="Storage"/>
    <x v="7"/>
    <n v="10"/>
    <n v="135162.93"/>
    <n v="10"/>
    <n v="135162.93"/>
    <n v="1216466.3700000001"/>
    <n v="187809.02"/>
    <s v="Furniture"/>
    <n v="187809.02"/>
    <s v="Small"/>
    <s v="Small"/>
    <s v="No Discount"/>
  </r>
  <r>
    <s v="ORD-10278"/>
    <x v="191"/>
    <d v="2024-09-04T00:00:00"/>
    <s v="First Class"/>
    <s v="Olumide"/>
    <s v="Atiku"/>
    <s v="unknown"/>
    <n v="8167055937"/>
    <x v="0"/>
    <x v="3"/>
    <x v="22"/>
    <x v="0"/>
    <s v="Labels"/>
    <x v="102"/>
    <n v="9"/>
    <n v="23330.19"/>
    <n v="10"/>
    <n v="20997.17"/>
    <n v="188974.54"/>
    <n v="-26097.16"/>
    <s v="Office Supplies"/>
    <n v="26097.16"/>
    <s v="Small"/>
    <s v="Small"/>
    <s v="No Discount"/>
  </r>
  <r>
    <s v="ORD-10849"/>
    <x v="525"/>
    <d v="2024-09-07T00:00:00"/>
    <s v="First Class"/>
    <s v="Seun"/>
    <s v="Osei"/>
    <s v="seun.osei@hotmail.com"/>
    <n v="8151427236"/>
    <x v="0"/>
    <x v="2"/>
    <x v="4"/>
    <x v="1"/>
    <s v="Shoes"/>
    <x v="52"/>
    <n v="20"/>
    <n v="9653.93"/>
    <n v="0"/>
    <n v="0"/>
    <n v="193078.6"/>
    <n v="45599.87"/>
    <s v="Clothing"/>
    <n v="45599.87"/>
    <s v="Large"/>
    <s v="Large"/>
    <s v="No Discount"/>
  </r>
  <r>
    <s v="ORD-10575"/>
    <x v="647"/>
    <d v="2024-09-09T00:00:00"/>
    <s v="First Class"/>
    <s v="Hauwa"/>
    <s v="Adeleke"/>
    <s v="hauwa.adeleke@outlook.com"/>
    <n v="9073064864"/>
    <x v="1"/>
    <x v="1"/>
    <x v="2"/>
    <x v="2"/>
    <s v="Laptops"/>
    <x v="121"/>
    <n v="4"/>
    <n v="251919.31"/>
    <n v="25"/>
    <n v="251919.31"/>
    <n v="755757.93"/>
    <n v="288604.40000000002"/>
    <s v="Technology"/>
    <n v="288604.40000000002"/>
    <s v="Small"/>
    <s v="Small"/>
    <s v="No Discount"/>
  </r>
  <r>
    <s v="ORD-10392"/>
    <x v="526"/>
    <d v="2024-09-14T00:00:00"/>
    <s v="First Class"/>
    <s v="Tobi"/>
    <s v="Tinubu"/>
    <s v="tobi.tinubu@hotmail.com"/>
    <n v="9013006281"/>
    <x v="0"/>
    <x v="1"/>
    <x v="14"/>
    <x v="0"/>
    <s v="Labels"/>
    <x v="102"/>
    <n v="9"/>
    <n v="929.85"/>
    <n v="0"/>
    <n v="0"/>
    <n v="8368.65"/>
    <n v="1665.3"/>
    <s v="Office Supplies"/>
    <n v="1665.3"/>
    <s v="Small"/>
    <s v="Small"/>
    <s v="No Discount"/>
  </r>
  <r>
    <s v="ORD-10846"/>
    <x v="648"/>
    <d v="2024-09-17T00:00:00"/>
    <s v="First Class"/>
    <s v="Femi"/>
    <s v="Osei!!"/>
    <s v="femi.osei@hotmail.com"/>
    <n v="7039997791"/>
    <x v="1"/>
    <x v="3"/>
    <x v="22"/>
    <x v="3"/>
    <s v="Tables"/>
    <x v="120"/>
    <n v="10"/>
    <n v="112074"/>
    <n v="0"/>
    <n v="0"/>
    <n v="1120740"/>
    <n v="326468.12"/>
    <s v="Furniture"/>
    <n v="326468.12"/>
    <s v="Small"/>
    <s v="Small"/>
    <s v="No Discount"/>
  </r>
  <r>
    <s v="ORD-10432"/>
    <x v="649"/>
    <d v="2024-09-23T00:00:00"/>
    <s v="First Class"/>
    <s v="Olumide"/>
    <s v="Osei!!"/>
    <s v="wale.bello@yahoo.com"/>
    <n v="8066865386"/>
    <x v="1"/>
    <x v="1"/>
    <x v="19"/>
    <x v="2"/>
    <s v="Phones"/>
    <x v="22"/>
    <n v="6"/>
    <n v="93584.91"/>
    <n v="25"/>
    <n v="140377.35999999999"/>
    <n v="421132.1"/>
    <n v="144677.01"/>
    <s v="Technology"/>
    <n v="144677.01"/>
    <s v="Small"/>
    <s v="Small"/>
    <s v="No Discount"/>
  </r>
  <r>
    <s v="ORD-10362"/>
    <x v="650"/>
    <d v="2024-09-25T00:00:00"/>
    <s v="First Class"/>
    <s v="Olumide"/>
    <s v="Atiku"/>
    <s v="olumide.atiku@yahoo.com"/>
    <n v="8101598917"/>
    <x v="0"/>
    <x v="0"/>
    <x v="14"/>
    <x v="3"/>
    <s v="Chairs"/>
    <x v="38"/>
    <n v="13"/>
    <n v="49019.44"/>
    <n v="0"/>
    <n v="0"/>
    <n v="637252.72"/>
    <n v="207517.21"/>
    <s v="Furniture"/>
    <n v="207517.21"/>
    <s v="Small"/>
    <s v="Small"/>
    <s v="No Discount"/>
  </r>
  <r>
    <s v="ORD-10866"/>
    <x v="651"/>
    <d v="2024-09-30T00:00:00"/>
    <s v="First Class"/>
    <s v="Chisom"/>
    <s v="Atiku"/>
    <s v="chisom.atiku@outlook.com"/>
    <n v="8157626337"/>
    <x v="2"/>
    <x v="3"/>
    <x v="18"/>
    <x v="4"/>
    <s v="Cooking Oil"/>
    <x v="25"/>
    <n v="14"/>
    <n v="4743.05"/>
    <n v="0"/>
    <n v="0"/>
    <n v="66402.7"/>
    <n v="-963.58"/>
    <s v="Food &amp; Beverages"/>
    <n v="963.58"/>
    <s v="Small"/>
    <s v="Medium"/>
    <s v="No Discount"/>
  </r>
  <r>
    <s v="ORD-10548"/>
    <x v="652"/>
    <d v="2024-10-01T00:00:00"/>
    <s v="First Class"/>
    <s v="Ronke"/>
    <s v="Adebayo"/>
    <s v="ronke.adebayo@outlook.com"/>
    <n v="8155547530"/>
    <x v="0"/>
    <x v="2"/>
    <x v="4"/>
    <x v="4"/>
    <s v="Drinks"/>
    <x v="58"/>
    <n v="13"/>
    <n v="1614.76"/>
    <n v="0"/>
    <n v="0"/>
    <n v="20991.88"/>
    <n v="1198.71"/>
    <s v="Food &amp; Beverages"/>
    <n v="1198.71"/>
    <s v="Small"/>
    <s v="Small"/>
    <s v="No Discount"/>
  </r>
  <r>
    <s v="ORD-10838"/>
    <x v="651"/>
    <d v="2024-10-01T00:00:00"/>
    <s v="First Class"/>
    <s v="Bukola"/>
    <s v="Atiku"/>
    <s v="unknown"/>
    <n v="8133861403"/>
    <x v="1"/>
    <x v="1"/>
    <x v="7"/>
    <x v="2"/>
    <s v="Tablets"/>
    <x v="93"/>
    <n v="15"/>
    <n v="217251"/>
    <n v="10"/>
    <n v="325876.5"/>
    <n v="2932888.5"/>
    <n v="1185085.25"/>
    <s v="Technology"/>
    <n v="1185085.25"/>
    <s v="Large"/>
    <s v="Large"/>
    <s v="No Discount"/>
  </r>
  <r>
    <s v="ORD-10101"/>
    <x v="533"/>
    <d v="2024-10-04T00:00:00"/>
    <s v="First Class"/>
    <s v="Bola"/>
    <s v="Okafor"/>
    <s v="bola.okafor@gmail.com"/>
    <n v="8143896693"/>
    <x v="2"/>
    <x v="1"/>
    <x v="2"/>
    <x v="1"/>
    <s v="Shirts"/>
    <x v="57"/>
    <n v="3"/>
    <n v="30717.11"/>
    <n v="25"/>
    <n v="23037.83"/>
    <n v="69113.5"/>
    <n v="12115.79"/>
    <s v="Clothing"/>
    <n v="12115.79"/>
    <s v="Small"/>
    <s v="Small"/>
    <s v="No Discount"/>
  </r>
  <r>
    <s v="ORD-10436"/>
    <x v="653"/>
    <d v="2024-10-05T00:00:00"/>
    <s v="First Class"/>
    <s v="Gbenga"/>
    <s v="Sowore"/>
    <s v="gbenga.sowore@yahoo.com"/>
    <n v="7032612483"/>
    <x v="0"/>
    <x v="0"/>
    <x v="0"/>
    <x v="0"/>
    <s v="Labels"/>
    <x v="73"/>
    <n v="13"/>
    <n v="12495.76"/>
    <n v="20"/>
    <n v="32488.98"/>
    <n v="129955.9"/>
    <n v="1440.9"/>
    <s v="Office Supplies"/>
    <n v="1440.9"/>
    <s v="Small"/>
    <s v="Small"/>
    <s v="No Discount"/>
  </r>
  <r>
    <s v="ORD-10853"/>
    <x v="369"/>
    <d v="2024-10-07T00:00:00"/>
    <s v="First Class"/>
    <s v="Chibundo"/>
    <s v="Otedola"/>
    <s v="chibundo.otedola@gmail.com"/>
    <n v="8034357530"/>
    <x v="2"/>
    <x v="1"/>
    <x v="19"/>
    <x v="4"/>
    <s v="Drinks"/>
    <x v="86"/>
    <n v="16"/>
    <n v="2067.1999999999998"/>
    <n v="0"/>
    <n v="0"/>
    <n v="33075.199999999997"/>
    <n v="1972.24"/>
    <s v="Food &amp; Beverages"/>
    <n v="1972.24"/>
    <s v="Large"/>
    <s v="Large"/>
    <s v="No Discount"/>
  </r>
  <r>
    <s v="ORD-10629"/>
    <x v="654"/>
    <d v="2024-10-13T00:00:00"/>
    <s v="First Class"/>
    <s v="Aisha"/>
    <s v="Sule"/>
    <s v="aisha.sule@yahoo.com"/>
    <n v="7035831713"/>
    <x v="2"/>
    <x v="2"/>
    <x v="10"/>
    <x v="4"/>
    <s v="Grains"/>
    <x v="61"/>
    <n v="17"/>
    <n v="1025.67"/>
    <n v="20"/>
    <n v="3487.28"/>
    <n v="13949.11"/>
    <n v="4093.43"/>
    <s v="Food &amp; Beverages"/>
    <n v="4093.43"/>
    <s v="Large"/>
    <s v="Large"/>
    <s v="No Discount"/>
  </r>
  <r>
    <s v="ORD-10601"/>
    <x v="655"/>
    <d v="2024-10-27T00:00:00"/>
    <s v="First Class"/>
    <s v="Wale"/>
    <s v="Tinubu"/>
    <s v="wale.tinubu@hotmail.com"/>
    <n v="7067885148"/>
    <x v="1"/>
    <x v="0"/>
    <x v="1"/>
    <x v="0"/>
    <s v="Pens &amp; Pencils"/>
    <x v="15"/>
    <n v="11"/>
    <n v="10933.31"/>
    <n v="0"/>
    <n v="0"/>
    <n v="120266.41"/>
    <n v="48805.23"/>
    <s v="Office Supplies"/>
    <n v="48805.23"/>
    <s v="Small"/>
    <s v="Small"/>
    <s v="No Discount"/>
  </r>
  <r>
    <s v="ORD-10235"/>
    <x v="656"/>
    <d v="2024-11-01T00:00:00"/>
    <s v="First Class"/>
    <s v="Chibundo"/>
    <s v="Alakija"/>
    <s v="chibundo.alakija@yahoo.com"/>
    <n v="8167675150"/>
    <x v="1"/>
    <x v="3"/>
    <x v="22"/>
    <x v="0"/>
    <s v="Pens &amp; Pencils"/>
    <x v="67"/>
    <n v="5"/>
    <n v="20217.52"/>
    <n v="15"/>
    <n v="15163.14"/>
    <n v="85924.46"/>
    <n v="18174.28"/>
    <s v="Office Supplies"/>
    <n v="18174.28"/>
    <s v="Small"/>
    <s v="Small"/>
    <s v="No Discount"/>
  </r>
  <r>
    <s v="ORD-10674"/>
    <x v="657"/>
    <d v="2024-11-03T00:00:00"/>
    <s v="First Class"/>
    <s v="Uchenna"/>
    <s v="Tinubu"/>
    <s v="uchenna.tinubu@hotmail.com"/>
    <n v="9054864628"/>
    <x v="0"/>
    <x v="1"/>
    <x v="7"/>
    <x v="1"/>
    <s v="Bags"/>
    <x v="103"/>
    <n v="5"/>
    <n v="26481.72"/>
    <n v="25"/>
    <n v="33102.15"/>
    <n v="99306.45"/>
    <n v="-301.26"/>
    <s v="Clothing"/>
    <n v="301.26"/>
    <s v="Small"/>
    <s v="Small"/>
    <s v="No Discount"/>
  </r>
  <r>
    <s v="ORD-10831"/>
    <x v="658"/>
    <d v="2024-11-18T00:00:00"/>
    <s v="First Class"/>
    <s v="Chibundo"/>
    <s v="Obi"/>
    <s v="chibundo.obi@outlook.com"/>
    <n v="8106808928"/>
    <x v="1"/>
    <x v="0"/>
    <x v="14"/>
    <x v="0"/>
    <s v="Labels"/>
    <x v="73"/>
    <n v="9"/>
    <n v="12476.35"/>
    <n v="0"/>
    <n v="0"/>
    <n v="112287.15"/>
    <n v="44691.9"/>
    <s v="Office Supplies"/>
    <n v="44691.9"/>
    <s v="Small"/>
    <s v="Small"/>
    <s v="No Discount"/>
  </r>
  <r>
    <s v="ORD-10731"/>
    <x v="659"/>
    <d v="2024-11-20T00:00:00"/>
    <s v="First Class"/>
    <s v="Ngozi"/>
    <s v="Adebayo"/>
    <s v="ngozi.adebayo@hotmail.com"/>
    <n v="8138330731"/>
    <x v="1"/>
    <x v="3"/>
    <x v="6"/>
    <x v="0"/>
    <s v="Fasteners"/>
    <x v="94"/>
    <n v="2"/>
    <n v="7282.92"/>
    <n v="15"/>
    <n v="2184.88"/>
    <n v="12380.96"/>
    <n v="4900.9799999999996"/>
    <s v="Office Supplies"/>
    <n v="4900.9799999999996"/>
    <s v="Small"/>
    <s v="Small"/>
    <s v="No Discount"/>
  </r>
  <r>
    <s v="ORD-10163"/>
    <x v="537"/>
    <d v="2024-11-21T00:00:00"/>
    <s v="First Class"/>
    <s v="Kemi"/>
    <s v="Buhari"/>
    <s v="kemi.buhari@hotmail.com"/>
    <n v="8035652716"/>
    <x v="2"/>
    <x v="0"/>
    <x v="17"/>
    <x v="3"/>
    <s v="Tables"/>
    <x v="5"/>
    <n v="11"/>
    <n v="33153.870000000003"/>
    <n v="5"/>
    <n v="18234.63"/>
    <n v="346457.94"/>
    <n v="106322.45"/>
    <s v="Furniture"/>
    <n v="106322.45"/>
    <s v="Small"/>
    <s v="Small"/>
    <s v="No Discount"/>
  </r>
  <r>
    <s v="ORD-10204"/>
    <x v="199"/>
    <d v="2024-12-03T00:00:00"/>
    <s v="First Class"/>
    <s v="Chidi"/>
    <s v="Sule"/>
    <s v="chidi.sule@hotmail.com"/>
    <n v="8067953189"/>
    <x v="1"/>
    <x v="1"/>
    <x v="9"/>
    <x v="3"/>
    <s v="Tables"/>
    <x v="120"/>
    <n v="4"/>
    <n v="109124.67"/>
    <n v="0"/>
    <n v="0"/>
    <n v="436498.68"/>
    <n v="81891.63"/>
    <s v="Furniture"/>
    <n v="81891.63"/>
    <s v="Small"/>
    <s v="Small"/>
    <s v="No Discount"/>
  </r>
  <r>
    <s v="ORD-10304"/>
    <x v="660"/>
    <d v="2024-12-11T00:00:00"/>
    <s v="First Class"/>
    <s v="Chisom"/>
    <s v="Otedola"/>
    <s v="chisom.otedola@yahoo.com"/>
    <n v="7039428900"/>
    <x v="0"/>
    <x v="2"/>
    <x v="12"/>
    <x v="3"/>
    <s v="Tables"/>
    <x v="8"/>
    <n v="13"/>
    <n v="123865.26"/>
    <n v="20"/>
    <n v="322049.68"/>
    <n v="1288198.7"/>
    <n v="388654.86"/>
    <s v="Furniture"/>
    <n v="388654.86"/>
    <s v="Small"/>
    <s v="Small"/>
    <s v="No Discount"/>
  </r>
  <r>
    <s v="ORD-10719"/>
    <x v="660"/>
    <d v="2024-12-11T00:00:00"/>
    <s v="First Class"/>
    <s v="Kehinde"/>
    <s v="Buhari"/>
    <s v="kehinde.buhari@yahoo.com"/>
    <n v="8106589281"/>
    <x v="0"/>
    <x v="3"/>
    <x v="6"/>
    <x v="2"/>
    <s v="Laptops"/>
    <x v="21"/>
    <n v="5"/>
    <n v="359895.6"/>
    <n v="10"/>
    <n v="179947.8"/>
    <n v="1619530.2"/>
    <n v="202810.71"/>
    <s v="Technology"/>
    <n v="202810.71"/>
    <s v="Small"/>
    <s v="Small"/>
    <s v="No Discount"/>
  </r>
  <r>
    <s v="ORD-10354"/>
    <x v="661"/>
    <d v="2024-12-23T00:00:00"/>
    <s v="First Class"/>
    <s v="Yemi"/>
    <s v="Otedola"/>
    <s v="yemi.otedola@outlook.com"/>
    <n v="8038244164"/>
    <x v="2"/>
    <x v="1"/>
    <x v="5"/>
    <x v="4"/>
    <s v="Grains"/>
    <x v="60"/>
    <n v="4"/>
    <n v="2381.5100000000002"/>
    <n v="10"/>
    <n v="952.6"/>
    <n v="8573.44"/>
    <n v="2079.9699999999998"/>
    <s v="Food &amp; Beverages"/>
    <n v="2079.9699999999998"/>
    <s v="Small"/>
    <s v="Small"/>
    <s v="No Discount"/>
  </r>
  <r>
    <s v="ORD-10349"/>
    <x v="543"/>
    <d v="2025-01-02T00:00:00"/>
    <s v="First Class"/>
    <s v="Kunle"/>
    <s v="Fashola"/>
    <s v="kunle.fashola@hotmail.com"/>
    <n v="9056561881"/>
    <x v="0"/>
    <x v="0"/>
    <x v="8"/>
    <x v="1"/>
    <s v="Shoes"/>
    <x v="87"/>
    <n v="2"/>
    <n v="14435.96"/>
    <n v="10"/>
    <n v="2887.19"/>
    <n v="25984.73"/>
    <n v="7436.39"/>
    <s v="Clothing"/>
    <n v="7436.39"/>
    <s v="Small"/>
    <s v="Small"/>
    <s v="No Discou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424FB7-6F98-4578-B86D-73931EE57DAA}" name="PivotTable10"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rowHeaderCaption="Year">
  <location ref="A77:B117" firstHeaderRow="1" firstDataRow="1" firstDataCol="1"/>
  <pivotFields count="28">
    <pivotField showAll="0"/>
    <pivotField numFmtId="14" showAll="0">
      <items count="663">
        <item x="0"/>
        <item x="207"/>
        <item x="382"/>
        <item x="383"/>
        <item x="208"/>
        <item x="209"/>
        <item x="1"/>
        <item x="210"/>
        <item x="384"/>
        <item x="211"/>
        <item x="385"/>
        <item x="2"/>
        <item x="212"/>
        <item x="386"/>
        <item x="213"/>
        <item x="387"/>
        <item x="214"/>
        <item x="216"/>
        <item x="215"/>
        <item x="388"/>
        <item x="546"/>
        <item x="547"/>
        <item x="217"/>
        <item x="545"/>
        <item x="3"/>
        <item x="548"/>
        <item x="4"/>
        <item x="5"/>
        <item x="549"/>
        <item x="389"/>
        <item x="550"/>
        <item x="551"/>
        <item x="390"/>
        <item x="6"/>
        <item x="7"/>
        <item x="218"/>
        <item x="391"/>
        <item x="552"/>
        <item x="393"/>
        <item x="392"/>
        <item x="8"/>
        <item x="219"/>
        <item x="220"/>
        <item x="9"/>
        <item x="394"/>
        <item x="553"/>
        <item x="221"/>
        <item x="554"/>
        <item x="10"/>
        <item x="555"/>
        <item x="11"/>
        <item x="12"/>
        <item x="13"/>
        <item x="222"/>
        <item x="224"/>
        <item x="223"/>
        <item x="14"/>
        <item x="15"/>
        <item x="226"/>
        <item x="556"/>
        <item x="227"/>
        <item x="557"/>
        <item x="395"/>
        <item x="225"/>
        <item x="396"/>
        <item x="228"/>
        <item x="18"/>
        <item x="17"/>
        <item x="16"/>
        <item x="19"/>
        <item x="558"/>
        <item x="398"/>
        <item x="397"/>
        <item x="229"/>
        <item x="559"/>
        <item x="20"/>
        <item x="399"/>
        <item x="21"/>
        <item x="230"/>
        <item x="231"/>
        <item x="22"/>
        <item x="400"/>
        <item x="24"/>
        <item x="23"/>
        <item x="232"/>
        <item x="25"/>
        <item x="401"/>
        <item x="233"/>
        <item x="560"/>
        <item x="561"/>
        <item x="234"/>
        <item x="562"/>
        <item x="563"/>
        <item x="235"/>
        <item x="402"/>
        <item x="26"/>
        <item x="28"/>
        <item x="403"/>
        <item x="31"/>
        <item x="30"/>
        <item x="29"/>
        <item x="564"/>
        <item x="27"/>
        <item x="236"/>
        <item x="565"/>
        <item x="237"/>
        <item x="566"/>
        <item x="404"/>
        <item x="405"/>
        <item x="238"/>
        <item x="567"/>
        <item x="239"/>
        <item x="32"/>
        <item x="240"/>
        <item x="241"/>
        <item x="568"/>
        <item x="33"/>
        <item x="34"/>
        <item x="242"/>
        <item x="243"/>
        <item x="569"/>
        <item x="406"/>
        <item x="570"/>
        <item x="36"/>
        <item x="37"/>
        <item x="244"/>
        <item x="39"/>
        <item x="38"/>
        <item x="407"/>
        <item x="408"/>
        <item x="245"/>
        <item x="409"/>
        <item x="571"/>
        <item x="246"/>
        <item x="41"/>
        <item x="40"/>
        <item x="572"/>
        <item x="42"/>
        <item x="573"/>
        <item x="247"/>
        <item x="410"/>
        <item x="43"/>
        <item x="44"/>
        <item x="45"/>
        <item x="248"/>
        <item x="411"/>
        <item x="249"/>
        <item x="46"/>
        <item x="250"/>
        <item x="412"/>
        <item x="413"/>
        <item x="47"/>
        <item x="48"/>
        <item x="414"/>
        <item x="251"/>
        <item x="50"/>
        <item x="49"/>
        <item x="415"/>
        <item x="574"/>
        <item x="416"/>
        <item x="51"/>
        <item x="252"/>
        <item x="52"/>
        <item x="417"/>
        <item x="253"/>
        <item x="418"/>
        <item x="575"/>
        <item x="53"/>
        <item x="54"/>
        <item x="55"/>
        <item x="419"/>
        <item x="576"/>
        <item x="254"/>
        <item x="577"/>
        <item x="257"/>
        <item x="256"/>
        <item x="56"/>
        <item x="420"/>
        <item x="421"/>
        <item x="57"/>
        <item x="255"/>
        <item x="422"/>
        <item x="258"/>
        <item x="423"/>
        <item x="424"/>
        <item x="58"/>
        <item x="425"/>
        <item x="426"/>
        <item x="59"/>
        <item x="427"/>
        <item x="428"/>
        <item x="60"/>
        <item x="578"/>
        <item x="259"/>
        <item x="61"/>
        <item x="260"/>
        <item x="261"/>
        <item x="429"/>
        <item x="62"/>
        <item x="63"/>
        <item x="430"/>
        <item x="431"/>
        <item x="432"/>
        <item x="579"/>
        <item x="64"/>
        <item x="433"/>
        <item x="580"/>
        <item x="262"/>
        <item x="434"/>
        <item x="581"/>
        <item x="65"/>
        <item x="582"/>
        <item x="263"/>
        <item x="264"/>
        <item x="583"/>
        <item x="66"/>
        <item x="435"/>
        <item x="67"/>
        <item x="68"/>
        <item x="265"/>
        <item x="436"/>
        <item x="437"/>
        <item x="438"/>
        <item x="439"/>
        <item x="266"/>
        <item x="267"/>
        <item x="69"/>
        <item x="269"/>
        <item x="268"/>
        <item x="70"/>
        <item x="71"/>
        <item x="72"/>
        <item x="440"/>
        <item x="270"/>
        <item x="584"/>
        <item x="585"/>
        <item x="587"/>
        <item x="271"/>
        <item x="73"/>
        <item x="586"/>
        <item x="272"/>
        <item x="273"/>
        <item x="74"/>
        <item x="75"/>
        <item x="77"/>
        <item x="76"/>
        <item x="274"/>
        <item x="275"/>
        <item x="588"/>
        <item x="589"/>
        <item x="276"/>
        <item x="441"/>
        <item x="78"/>
        <item x="277"/>
        <item x="80"/>
        <item x="79"/>
        <item x="81"/>
        <item x="590"/>
        <item x="442"/>
        <item x="591"/>
        <item x="278"/>
        <item x="83"/>
        <item x="82"/>
        <item x="443"/>
        <item x="84"/>
        <item x="279"/>
        <item x="85"/>
        <item x="592"/>
        <item x="593"/>
        <item x="594"/>
        <item x="280"/>
        <item x="444"/>
        <item x="281"/>
        <item x="86"/>
        <item x="445"/>
        <item x="595"/>
        <item x="282"/>
        <item x="87"/>
        <item x="596"/>
        <item x="283"/>
        <item x="284"/>
        <item x="90"/>
        <item x="88"/>
        <item x="89"/>
        <item x="285"/>
        <item x="91"/>
        <item x="92"/>
        <item x="94"/>
        <item x="446"/>
        <item x="93"/>
        <item x="286"/>
        <item x="447"/>
        <item x="95"/>
        <item x="597"/>
        <item x="287"/>
        <item x="448"/>
        <item x="598"/>
        <item x="96"/>
        <item x="289"/>
        <item x="288"/>
        <item x="97"/>
        <item x="98"/>
        <item x="290"/>
        <item x="449"/>
        <item x="599"/>
        <item x="600"/>
        <item x="450"/>
        <item x="100"/>
        <item x="99"/>
        <item x="601"/>
        <item x="291"/>
        <item x="451"/>
        <item x="101"/>
        <item x="452"/>
        <item x="602"/>
        <item x="453"/>
        <item x="454"/>
        <item x="292"/>
        <item x="455"/>
        <item x="293"/>
        <item x="603"/>
        <item x="456"/>
        <item x="294"/>
        <item x="295"/>
        <item x="102"/>
        <item x="296"/>
        <item x="297"/>
        <item x="103"/>
        <item x="299"/>
        <item x="298"/>
        <item x="457"/>
        <item x="104"/>
        <item x="105"/>
        <item x="604"/>
        <item x="300"/>
        <item x="458"/>
        <item x="459"/>
        <item x="106"/>
        <item x="460"/>
        <item x="461"/>
        <item x="107"/>
        <item x="108"/>
        <item x="462"/>
        <item x="109"/>
        <item x="110"/>
        <item x="35"/>
        <item x="605"/>
        <item x="301"/>
        <item x="111"/>
        <item x="302"/>
        <item x="463"/>
        <item x="112"/>
        <item x="113"/>
        <item x="114"/>
        <item x="115"/>
        <item x="464"/>
        <item x="606"/>
        <item x="465"/>
        <item x="303"/>
        <item x="116"/>
        <item x="607"/>
        <item x="304"/>
        <item x="305"/>
        <item x="117"/>
        <item x="118"/>
        <item x="306"/>
        <item x="120"/>
        <item x="119"/>
        <item x="466"/>
        <item x="467"/>
        <item x="307"/>
        <item x="308"/>
        <item x="309"/>
        <item x="608"/>
        <item x="121"/>
        <item x="310"/>
        <item x="122"/>
        <item x="123"/>
        <item x="124"/>
        <item x="544"/>
        <item x="311"/>
        <item x="468"/>
        <item x="125"/>
        <item x="312"/>
        <item x="313"/>
        <item x="469"/>
        <item x="470"/>
        <item x="315"/>
        <item x="314"/>
        <item x="126"/>
        <item x="128"/>
        <item x="127"/>
        <item x="609"/>
        <item x="471"/>
        <item x="316"/>
        <item x="317"/>
        <item x="318"/>
        <item x="472"/>
        <item x="131"/>
        <item x="130"/>
        <item x="129"/>
        <item x="473"/>
        <item x="132"/>
        <item x="133"/>
        <item x="319"/>
        <item x="610"/>
        <item x="320"/>
        <item x="611"/>
        <item x="134"/>
        <item x="612"/>
        <item x="613"/>
        <item x="614"/>
        <item x="321"/>
        <item x="615"/>
        <item x="474"/>
        <item x="616"/>
        <item x="475"/>
        <item x="322"/>
        <item x="323"/>
        <item x="135"/>
        <item x="617"/>
        <item x="136"/>
        <item x="476"/>
        <item x="324"/>
        <item x="477"/>
        <item x="137"/>
        <item x="478"/>
        <item x="325"/>
        <item x="138"/>
        <item x="326"/>
        <item x="140"/>
        <item x="327"/>
        <item x="141"/>
        <item x="139"/>
        <item x="479"/>
        <item x="329"/>
        <item x="328"/>
        <item x="618"/>
        <item x="481"/>
        <item x="480"/>
        <item x="142"/>
        <item x="330"/>
        <item x="482"/>
        <item x="331"/>
        <item x="483"/>
        <item x="332"/>
        <item x="484"/>
        <item x="485"/>
        <item x="143"/>
        <item x="486"/>
        <item x="487"/>
        <item x="619"/>
        <item x="333"/>
        <item x="334"/>
        <item x="488"/>
        <item x="187"/>
        <item x="335"/>
        <item x="144"/>
        <item x="145"/>
        <item x="489"/>
        <item x="620"/>
        <item x="146"/>
        <item x="490"/>
        <item x="621"/>
        <item x="491"/>
        <item x="492"/>
        <item x="493"/>
        <item x="494"/>
        <item x="147"/>
        <item x="495"/>
        <item x="496"/>
        <item x="148"/>
        <item x="653"/>
        <item x="336"/>
        <item x="150"/>
        <item x="149"/>
        <item x="337"/>
        <item x="622"/>
        <item x="338"/>
        <item x="151"/>
        <item x="152"/>
        <item x="497"/>
        <item x="154"/>
        <item x="153"/>
        <item x="155"/>
        <item x="156"/>
        <item x="623"/>
        <item x="339"/>
        <item x="157"/>
        <item x="498"/>
        <item x="158"/>
        <item x="340"/>
        <item x="159"/>
        <item x="341"/>
        <item x="624"/>
        <item x="499"/>
        <item x="160"/>
        <item x="342"/>
        <item x="626"/>
        <item x="627"/>
        <item x="500"/>
        <item x="161"/>
        <item x="628"/>
        <item x="381"/>
        <item x="162"/>
        <item x="343"/>
        <item x="344"/>
        <item x="163"/>
        <item x="629"/>
        <item x="345"/>
        <item x="164"/>
        <item x="346"/>
        <item x="501"/>
        <item x="165"/>
        <item x="347"/>
        <item x="166"/>
        <item x="348"/>
        <item x="167"/>
        <item x="630"/>
        <item x="168"/>
        <item x="502"/>
        <item x="631"/>
        <item x="503"/>
        <item x="504"/>
        <item x="169"/>
        <item x="170"/>
        <item x="350"/>
        <item x="505"/>
        <item x="349"/>
        <item x="351"/>
        <item x="632"/>
        <item x="171"/>
        <item x="172"/>
        <item x="352"/>
        <item x="353"/>
        <item x="173"/>
        <item x="633"/>
        <item x="634"/>
        <item x="354"/>
        <item x="506"/>
        <item x="174"/>
        <item x="635"/>
        <item x="507"/>
        <item x="636"/>
        <item x="175"/>
        <item x="637"/>
        <item x="176"/>
        <item x="508"/>
        <item x="638"/>
        <item x="355"/>
        <item x="177"/>
        <item x="509"/>
        <item x="511"/>
        <item x="510"/>
        <item x="512"/>
        <item x="178"/>
        <item x="356"/>
        <item x="357"/>
        <item x="179"/>
        <item x="358"/>
        <item x="180"/>
        <item x="513"/>
        <item x="639"/>
        <item x="514"/>
        <item x="360"/>
        <item x="359"/>
        <item x="640"/>
        <item x="515"/>
        <item x="516"/>
        <item x="181"/>
        <item x="641"/>
        <item x="183"/>
        <item x="517"/>
        <item x="182"/>
        <item x="518"/>
        <item x="184"/>
        <item x="361"/>
        <item x="642"/>
        <item x="643"/>
        <item x="185"/>
        <item x="186"/>
        <item x="519"/>
        <item x="520"/>
        <item x="362"/>
        <item x="521"/>
        <item x="522"/>
        <item x="188"/>
        <item x="523"/>
        <item x="524"/>
        <item x="363"/>
        <item x="644"/>
        <item x="189"/>
        <item x="190"/>
        <item x="364"/>
        <item x="645"/>
        <item x="365"/>
        <item x="646"/>
        <item x="366"/>
        <item x="191"/>
        <item x="206"/>
        <item x="525"/>
        <item x="192"/>
        <item x="647"/>
        <item x="367"/>
        <item x="193"/>
        <item x="526"/>
        <item x="527"/>
        <item x="194"/>
        <item x="648"/>
        <item x="528"/>
        <item x="529"/>
        <item x="649"/>
        <item x="530"/>
        <item x="531"/>
        <item x="650"/>
        <item x="368"/>
        <item x="651"/>
        <item x="652"/>
        <item x="532"/>
        <item x="533"/>
        <item x="369"/>
        <item x="654"/>
        <item x="370"/>
        <item x="534"/>
        <item x="380"/>
        <item x="371"/>
        <item x="195"/>
        <item x="535"/>
        <item x="536"/>
        <item x="655"/>
        <item x="372"/>
        <item x="656"/>
        <item x="657"/>
        <item x="196"/>
        <item x="625"/>
        <item x="373"/>
        <item x="374"/>
        <item x="197"/>
        <item x="658"/>
        <item x="375"/>
        <item x="659"/>
        <item x="537"/>
        <item x="538"/>
        <item x="198"/>
        <item x="376"/>
        <item x="199"/>
        <item x="201"/>
        <item x="200"/>
        <item x="377"/>
        <item x="202"/>
        <item x="378"/>
        <item x="660"/>
        <item x="203"/>
        <item x="539"/>
        <item x="379"/>
        <item x="204"/>
        <item x="661"/>
        <item x="205"/>
        <item x="540"/>
        <item x="541"/>
        <item x="542"/>
        <item x="543"/>
        <item t="default"/>
      </items>
    </pivotField>
    <pivotField numFmtId="14" showAll="0"/>
    <pivotField showAll="0"/>
    <pivotField showAll="0"/>
    <pivotField showAll="0"/>
    <pivotField showAll="0"/>
    <pivotField showAll="0"/>
    <pivotField showAll="0">
      <items count="4">
        <item x="0"/>
        <item x="1"/>
        <item x="2"/>
        <item t="default"/>
      </items>
    </pivotField>
    <pivotField showAll="0">
      <items count="5">
        <item x="0"/>
        <item x="2"/>
        <item x="3"/>
        <item x="1"/>
        <item t="default"/>
      </items>
    </pivotField>
    <pivotField showAll="0"/>
    <pivotField showAll="0"/>
    <pivotField showAll="0"/>
    <pivotField showAll="0"/>
    <pivotField showAll="0"/>
    <pivotField showAll="0"/>
    <pivotField showAll="0"/>
    <pivotField numFmtId="43" showAll="0"/>
    <pivotField dataField="1" numFmtId="43" showAll="0"/>
    <pivotField numFmtId="43"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6">
        <item x="0"/>
        <item x="1"/>
        <item x="2"/>
        <item x="3"/>
        <item x="4"/>
        <item x="5"/>
      </items>
    </pivotField>
  </pivotFields>
  <rowFields count="2">
    <field x="27"/>
    <field x="25"/>
  </rowFields>
  <rowItems count="40">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t="grand">
      <x/>
    </i>
  </rowItems>
  <colItems count="1">
    <i/>
  </colItems>
  <dataFields count="1">
    <dataField name="Total Sales" fld="18" baseField="0" baseItem="0" numFmtId="43"/>
  </dataFields>
  <chartFormats count="4">
    <chartFormat chart="5"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B416D3-3BB1-46D2-8A85-24E7C7F710EA}" name="PivotTable9"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rowHeaderCaption="Year">
  <location ref="A70:C74" firstHeaderRow="0" firstDataRow="1" firstDataCol="1"/>
  <pivotFields count="28">
    <pivotField showAll="0"/>
    <pivotField numFmtId="14" showAll="0">
      <items count="663">
        <item x="0"/>
        <item x="207"/>
        <item x="382"/>
        <item x="383"/>
        <item x="208"/>
        <item x="209"/>
        <item x="1"/>
        <item x="210"/>
        <item x="384"/>
        <item x="211"/>
        <item x="385"/>
        <item x="2"/>
        <item x="212"/>
        <item x="386"/>
        <item x="213"/>
        <item x="387"/>
        <item x="214"/>
        <item x="216"/>
        <item x="215"/>
        <item x="388"/>
        <item x="546"/>
        <item x="547"/>
        <item x="217"/>
        <item x="545"/>
        <item x="3"/>
        <item x="548"/>
        <item x="4"/>
        <item x="5"/>
        <item x="549"/>
        <item x="389"/>
        <item x="550"/>
        <item x="551"/>
        <item x="390"/>
        <item x="6"/>
        <item x="7"/>
        <item x="218"/>
        <item x="391"/>
        <item x="552"/>
        <item x="393"/>
        <item x="392"/>
        <item x="8"/>
        <item x="219"/>
        <item x="220"/>
        <item x="9"/>
        <item x="394"/>
        <item x="553"/>
        <item x="221"/>
        <item x="554"/>
        <item x="10"/>
        <item x="555"/>
        <item x="11"/>
        <item x="12"/>
        <item x="13"/>
        <item x="222"/>
        <item x="224"/>
        <item x="223"/>
        <item x="14"/>
        <item x="15"/>
        <item x="226"/>
        <item x="556"/>
        <item x="227"/>
        <item x="557"/>
        <item x="395"/>
        <item x="225"/>
        <item x="396"/>
        <item x="228"/>
        <item x="18"/>
        <item x="17"/>
        <item x="16"/>
        <item x="19"/>
        <item x="558"/>
        <item x="398"/>
        <item x="397"/>
        <item x="229"/>
        <item x="559"/>
        <item x="20"/>
        <item x="399"/>
        <item x="21"/>
        <item x="230"/>
        <item x="231"/>
        <item x="22"/>
        <item x="400"/>
        <item x="24"/>
        <item x="23"/>
        <item x="232"/>
        <item x="25"/>
        <item x="401"/>
        <item x="233"/>
        <item x="560"/>
        <item x="561"/>
        <item x="234"/>
        <item x="562"/>
        <item x="563"/>
        <item x="235"/>
        <item x="402"/>
        <item x="26"/>
        <item x="28"/>
        <item x="403"/>
        <item x="31"/>
        <item x="30"/>
        <item x="29"/>
        <item x="564"/>
        <item x="27"/>
        <item x="236"/>
        <item x="565"/>
        <item x="237"/>
        <item x="566"/>
        <item x="404"/>
        <item x="405"/>
        <item x="238"/>
        <item x="567"/>
        <item x="239"/>
        <item x="32"/>
        <item x="240"/>
        <item x="241"/>
        <item x="568"/>
        <item x="33"/>
        <item x="34"/>
        <item x="242"/>
        <item x="243"/>
        <item x="569"/>
        <item x="406"/>
        <item x="570"/>
        <item x="36"/>
        <item x="37"/>
        <item x="244"/>
        <item x="39"/>
        <item x="38"/>
        <item x="407"/>
        <item x="408"/>
        <item x="245"/>
        <item x="409"/>
        <item x="571"/>
        <item x="246"/>
        <item x="41"/>
        <item x="40"/>
        <item x="572"/>
        <item x="42"/>
        <item x="573"/>
        <item x="247"/>
        <item x="410"/>
        <item x="43"/>
        <item x="44"/>
        <item x="45"/>
        <item x="248"/>
        <item x="411"/>
        <item x="249"/>
        <item x="46"/>
        <item x="250"/>
        <item x="412"/>
        <item x="413"/>
        <item x="47"/>
        <item x="48"/>
        <item x="414"/>
        <item x="251"/>
        <item x="50"/>
        <item x="49"/>
        <item x="415"/>
        <item x="574"/>
        <item x="416"/>
        <item x="51"/>
        <item x="252"/>
        <item x="52"/>
        <item x="417"/>
        <item x="253"/>
        <item x="418"/>
        <item x="575"/>
        <item x="53"/>
        <item x="54"/>
        <item x="55"/>
        <item x="419"/>
        <item x="576"/>
        <item x="254"/>
        <item x="577"/>
        <item x="257"/>
        <item x="256"/>
        <item x="56"/>
        <item x="420"/>
        <item x="421"/>
        <item x="57"/>
        <item x="255"/>
        <item x="422"/>
        <item x="258"/>
        <item x="423"/>
        <item x="424"/>
        <item x="58"/>
        <item x="425"/>
        <item x="426"/>
        <item x="59"/>
        <item x="427"/>
        <item x="428"/>
        <item x="60"/>
        <item x="578"/>
        <item x="259"/>
        <item x="61"/>
        <item x="260"/>
        <item x="261"/>
        <item x="429"/>
        <item x="62"/>
        <item x="63"/>
        <item x="430"/>
        <item x="431"/>
        <item x="432"/>
        <item x="579"/>
        <item x="64"/>
        <item x="433"/>
        <item x="580"/>
        <item x="262"/>
        <item x="434"/>
        <item x="581"/>
        <item x="65"/>
        <item x="582"/>
        <item x="263"/>
        <item x="264"/>
        <item x="583"/>
        <item x="66"/>
        <item x="435"/>
        <item x="67"/>
        <item x="68"/>
        <item x="265"/>
        <item x="436"/>
        <item x="437"/>
        <item x="438"/>
        <item x="439"/>
        <item x="266"/>
        <item x="267"/>
        <item x="69"/>
        <item x="269"/>
        <item x="268"/>
        <item x="70"/>
        <item x="71"/>
        <item x="72"/>
        <item x="440"/>
        <item x="270"/>
        <item x="584"/>
        <item x="585"/>
        <item x="587"/>
        <item x="271"/>
        <item x="73"/>
        <item x="586"/>
        <item x="272"/>
        <item x="273"/>
        <item x="74"/>
        <item x="75"/>
        <item x="77"/>
        <item x="76"/>
        <item x="274"/>
        <item x="275"/>
        <item x="588"/>
        <item x="589"/>
        <item x="276"/>
        <item x="441"/>
        <item x="78"/>
        <item x="277"/>
        <item x="80"/>
        <item x="79"/>
        <item x="81"/>
        <item x="590"/>
        <item x="442"/>
        <item x="591"/>
        <item x="278"/>
        <item x="83"/>
        <item x="82"/>
        <item x="443"/>
        <item x="84"/>
        <item x="279"/>
        <item x="85"/>
        <item x="592"/>
        <item x="593"/>
        <item x="594"/>
        <item x="280"/>
        <item x="444"/>
        <item x="281"/>
        <item x="86"/>
        <item x="445"/>
        <item x="595"/>
        <item x="282"/>
        <item x="87"/>
        <item x="596"/>
        <item x="283"/>
        <item x="284"/>
        <item x="90"/>
        <item x="88"/>
        <item x="89"/>
        <item x="285"/>
        <item x="91"/>
        <item x="92"/>
        <item x="94"/>
        <item x="446"/>
        <item x="93"/>
        <item x="286"/>
        <item x="447"/>
        <item x="95"/>
        <item x="597"/>
        <item x="287"/>
        <item x="448"/>
        <item x="598"/>
        <item x="96"/>
        <item x="289"/>
        <item x="288"/>
        <item x="97"/>
        <item x="98"/>
        <item x="290"/>
        <item x="449"/>
        <item x="599"/>
        <item x="600"/>
        <item x="450"/>
        <item x="100"/>
        <item x="99"/>
        <item x="601"/>
        <item x="291"/>
        <item x="451"/>
        <item x="101"/>
        <item x="452"/>
        <item x="602"/>
        <item x="453"/>
        <item x="454"/>
        <item x="292"/>
        <item x="455"/>
        <item x="293"/>
        <item x="603"/>
        <item x="456"/>
        <item x="294"/>
        <item x="295"/>
        <item x="102"/>
        <item x="296"/>
        <item x="297"/>
        <item x="103"/>
        <item x="299"/>
        <item x="298"/>
        <item x="457"/>
        <item x="104"/>
        <item x="105"/>
        <item x="604"/>
        <item x="300"/>
        <item x="458"/>
        <item x="459"/>
        <item x="106"/>
        <item x="460"/>
        <item x="461"/>
        <item x="107"/>
        <item x="108"/>
        <item x="462"/>
        <item x="109"/>
        <item x="110"/>
        <item x="35"/>
        <item x="605"/>
        <item x="301"/>
        <item x="111"/>
        <item x="302"/>
        <item x="463"/>
        <item x="112"/>
        <item x="113"/>
        <item x="114"/>
        <item x="115"/>
        <item x="464"/>
        <item x="606"/>
        <item x="465"/>
        <item x="303"/>
        <item x="116"/>
        <item x="607"/>
        <item x="304"/>
        <item x="305"/>
        <item x="117"/>
        <item x="118"/>
        <item x="306"/>
        <item x="120"/>
        <item x="119"/>
        <item x="466"/>
        <item x="467"/>
        <item x="307"/>
        <item x="308"/>
        <item x="309"/>
        <item x="608"/>
        <item x="121"/>
        <item x="310"/>
        <item x="122"/>
        <item x="123"/>
        <item x="124"/>
        <item x="544"/>
        <item x="311"/>
        <item x="468"/>
        <item x="125"/>
        <item x="312"/>
        <item x="313"/>
        <item x="469"/>
        <item x="470"/>
        <item x="315"/>
        <item x="314"/>
        <item x="126"/>
        <item x="128"/>
        <item x="127"/>
        <item x="609"/>
        <item x="471"/>
        <item x="316"/>
        <item x="317"/>
        <item x="318"/>
        <item x="472"/>
        <item x="131"/>
        <item x="130"/>
        <item x="129"/>
        <item x="473"/>
        <item x="132"/>
        <item x="133"/>
        <item x="319"/>
        <item x="610"/>
        <item x="320"/>
        <item x="611"/>
        <item x="134"/>
        <item x="612"/>
        <item x="613"/>
        <item x="614"/>
        <item x="321"/>
        <item x="615"/>
        <item x="474"/>
        <item x="616"/>
        <item x="475"/>
        <item x="322"/>
        <item x="323"/>
        <item x="135"/>
        <item x="617"/>
        <item x="136"/>
        <item x="476"/>
        <item x="324"/>
        <item x="477"/>
        <item x="137"/>
        <item x="478"/>
        <item x="325"/>
        <item x="138"/>
        <item x="326"/>
        <item x="140"/>
        <item x="327"/>
        <item x="141"/>
        <item x="139"/>
        <item x="479"/>
        <item x="329"/>
        <item x="328"/>
        <item x="618"/>
        <item x="481"/>
        <item x="480"/>
        <item x="142"/>
        <item x="330"/>
        <item x="482"/>
        <item x="331"/>
        <item x="483"/>
        <item x="332"/>
        <item x="484"/>
        <item x="485"/>
        <item x="143"/>
        <item x="486"/>
        <item x="487"/>
        <item x="619"/>
        <item x="333"/>
        <item x="334"/>
        <item x="488"/>
        <item x="187"/>
        <item x="335"/>
        <item x="144"/>
        <item x="145"/>
        <item x="489"/>
        <item x="620"/>
        <item x="146"/>
        <item x="490"/>
        <item x="621"/>
        <item x="491"/>
        <item x="492"/>
        <item x="493"/>
        <item x="494"/>
        <item x="147"/>
        <item x="495"/>
        <item x="496"/>
        <item x="148"/>
        <item x="653"/>
        <item x="336"/>
        <item x="150"/>
        <item x="149"/>
        <item x="337"/>
        <item x="622"/>
        <item x="338"/>
        <item x="151"/>
        <item x="152"/>
        <item x="497"/>
        <item x="154"/>
        <item x="153"/>
        <item x="155"/>
        <item x="156"/>
        <item x="623"/>
        <item x="339"/>
        <item x="157"/>
        <item x="498"/>
        <item x="158"/>
        <item x="340"/>
        <item x="159"/>
        <item x="341"/>
        <item x="624"/>
        <item x="499"/>
        <item x="160"/>
        <item x="342"/>
        <item x="626"/>
        <item x="627"/>
        <item x="500"/>
        <item x="161"/>
        <item x="628"/>
        <item x="381"/>
        <item x="162"/>
        <item x="343"/>
        <item x="344"/>
        <item x="163"/>
        <item x="629"/>
        <item x="345"/>
        <item x="164"/>
        <item x="346"/>
        <item x="501"/>
        <item x="165"/>
        <item x="347"/>
        <item x="166"/>
        <item x="348"/>
        <item x="167"/>
        <item x="630"/>
        <item x="168"/>
        <item x="502"/>
        <item x="631"/>
        <item x="503"/>
        <item x="504"/>
        <item x="169"/>
        <item x="170"/>
        <item x="350"/>
        <item x="505"/>
        <item x="349"/>
        <item x="351"/>
        <item x="632"/>
        <item x="171"/>
        <item x="172"/>
        <item x="352"/>
        <item x="353"/>
        <item x="173"/>
        <item x="633"/>
        <item x="634"/>
        <item x="354"/>
        <item x="506"/>
        <item x="174"/>
        <item x="635"/>
        <item x="507"/>
        <item x="636"/>
        <item x="175"/>
        <item x="637"/>
        <item x="176"/>
        <item x="508"/>
        <item x="638"/>
        <item x="355"/>
        <item x="177"/>
        <item x="509"/>
        <item x="511"/>
        <item x="510"/>
        <item x="512"/>
        <item x="178"/>
        <item x="356"/>
        <item x="357"/>
        <item x="179"/>
        <item x="358"/>
        <item x="180"/>
        <item x="513"/>
        <item x="639"/>
        <item x="514"/>
        <item x="360"/>
        <item x="359"/>
        <item x="640"/>
        <item x="515"/>
        <item x="516"/>
        <item x="181"/>
        <item x="641"/>
        <item x="183"/>
        <item x="517"/>
        <item x="182"/>
        <item x="518"/>
        <item x="184"/>
        <item x="361"/>
        <item x="642"/>
        <item x="643"/>
        <item x="185"/>
        <item x="186"/>
        <item x="519"/>
        <item x="520"/>
        <item x="362"/>
        <item x="521"/>
        <item x="522"/>
        <item x="188"/>
        <item x="523"/>
        <item x="524"/>
        <item x="363"/>
        <item x="644"/>
        <item x="189"/>
        <item x="190"/>
        <item x="364"/>
        <item x="645"/>
        <item x="365"/>
        <item x="646"/>
        <item x="366"/>
        <item x="191"/>
        <item x="206"/>
        <item x="525"/>
        <item x="192"/>
        <item x="647"/>
        <item x="367"/>
        <item x="193"/>
        <item x="526"/>
        <item x="527"/>
        <item x="194"/>
        <item x="648"/>
        <item x="528"/>
        <item x="529"/>
        <item x="649"/>
        <item x="530"/>
        <item x="531"/>
        <item x="650"/>
        <item x="368"/>
        <item x="651"/>
        <item x="652"/>
        <item x="532"/>
        <item x="533"/>
        <item x="369"/>
        <item x="654"/>
        <item x="370"/>
        <item x="534"/>
        <item x="380"/>
        <item x="371"/>
        <item x="195"/>
        <item x="535"/>
        <item x="536"/>
        <item x="655"/>
        <item x="372"/>
        <item x="656"/>
        <item x="657"/>
        <item x="196"/>
        <item x="625"/>
        <item x="373"/>
        <item x="374"/>
        <item x="197"/>
        <item x="658"/>
        <item x="375"/>
        <item x="659"/>
        <item x="537"/>
        <item x="538"/>
        <item x="198"/>
        <item x="376"/>
        <item x="199"/>
        <item x="201"/>
        <item x="200"/>
        <item x="377"/>
        <item x="202"/>
        <item x="378"/>
        <item x="660"/>
        <item x="203"/>
        <item x="539"/>
        <item x="379"/>
        <item x="204"/>
        <item x="661"/>
        <item x="205"/>
        <item x="540"/>
        <item x="541"/>
        <item x="542"/>
        <item x="543"/>
        <item t="default"/>
      </items>
    </pivotField>
    <pivotField numFmtId="14" showAll="0"/>
    <pivotField showAll="0"/>
    <pivotField showAll="0"/>
    <pivotField showAll="0"/>
    <pivotField showAll="0"/>
    <pivotField showAll="0"/>
    <pivotField showAll="0">
      <items count="4">
        <item x="0"/>
        <item x="1"/>
        <item x="2"/>
        <item t="default"/>
      </items>
    </pivotField>
    <pivotField showAll="0">
      <items count="5">
        <item x="0"/>
        <item x="2"/>
        <item x="3"/>
        <item x="1"/>
        <item t="default"/>
      </items>
    </pivotField>
    <pivotField showAll="0"/>
    <pivotField showAll="0"/>
    <pivotField showAll="0"/>
    <pivotField showAll="0"/>
    <pivotField showAll="0"/>
    <pivotField showAll="0"/>
    <pivotField showAll="0"/>
    <pivotField numFmtId="43" showAll="0"/>
    <pivotField dataField="1" numFmtId="43" showAll="0"/>
    <pivotField dataField="1" numFmtId="43" showAll="0"/>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1">
    <field x="27"/>
  </rowFields>
  <rowItems count="4">
    <i>
      <x v="1"/>
    </i>
    <i>
      <x v="2"/>
    </i>
    <i>
      <x v="3"/>
    </i>
    <i t="grand">
      <x/>
    </i>
  </rowItems>
  <colFields count="1">
    <field x="-2"/>
  </colFields>
  <colItems count="2">
    <i>
      <x/>
    </i>
    <i i="1">
      <x v="1"/>
    </i>
  </colItems>
  <dataFields count="2">
    <dataField name="Total Sales" fld="18" baseField="0" baseItem="0" numFmtId="43"/>
    <dataField name="Total Profit" fld="19" baseField="0" baseItem="0" numFmtId="43"/>
  </dataField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358F6A-645B-4562-BC94-B5D425196DD2}" name="PivotTable8"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55:B66" firstHeaderRow="1" firstDataRow="1" firstDataCol="1"/>
  <pivotFields count="28">
    <pivotField showAll="0"/>
    <pivotField numFmtId="14" showAll="0">
      <items count="663">
        <item x="0"/>
        <item x="207"/>
        <item x="382"/>
        <item x="383"/>
        <item x="208"/>
        <item x="209"/>
        <item x="1"/>
        <item x="210"/>
        <item x="384"/>
        <item x="211"/>
        <item x="385"/>
        <item x="2"/>
        <item x="212"/>
        <item x="386"/>
        <item x="213"/>
        <item x="387"/>
        <item x="214"/>
        <item x="216"/>
        <item x="215"/>
        <item x="388"/>
        <item x="546"/>
        <item x="547"/>
        <item x="217"/>
        <item x="545"/>
        <item x="3"/>
        <item x="548"/>
        <item x="4"/>
        <item x="5"/>
        <item x="549"/>
        <item x="389"/>
        <item x="550"/>
        <item x="551"/>
        <item x="390"/>
        <item x="6"/>
        <item x="7"/>
        <item x="218"/>
        <item x="391"/>
        <item x="552"/>
        <item x="393"/>
        <item x="392"/>
        <item x="8"/>
        <item x="219"/>
        <item x="220"/>
        <item x="9"/>
        <item x="394"/>
        <item x="553"/>
        <item x="221"/>
        <item x="554"/>
        <item x="10"/>
        <item x="555"/>
        <item x="11"/>
        <item x="12"/>
        <item x="13"/>
        <item x="222"/>
        <item x="224"/>
        <item x="223"/>
        <item x="14"/>
        <item x="15"/>
        <item x="226"/>
        <item x="556"/>
        <item x="227"/>
        <item x="557"/>
        <item x="395"/>
        <item x="225"/>
        <item x="396"/>
        <item x="228"/>
        <item x="18"/>
        <item x="17"/>
        <item x="16"/>
        <item x="19"/>
        <item x="558"/>
        <item x="398"/>
        <item x="397"/>
        <item x="229"/>
        <item x="559"/>
        <item x="20"/>
        <item x="399"/>
        <item x="21"/>
        <item x="230"/>
        <item x="231"/>
        <item x="22"/>
        <item x="400"/>
        <item x="24"/>
        <item x="23"/>
        <item x="232"/>
        <item x="25"/>
        <item x="401"/>
        <item x="233"/>
        <item x="560"/>
        <item x="561"/>
        <item x="234"/>
        <item x="562"/>
        <item x="563"/>
        <item x="235"/>
        <item x="402"/>
        <item x="26"/>
        <item x="28"/>
        <item x="403"/>
        <item x="31"/>
        <item x="30"/>
        <item x="29"/>
        <item x="564"/>
        <item x="27"/>
        <item x="236"/>
        <item x="565"/>
        <item x="237"/>
        <item x="566"/>
        <item x="404"/>
        <item x="405"/>
        <item x="238"/>
        <item x="567"/>
        <item x="239"/>
        <item x="32"/>
        <item x="240"/>
        <item x="241"/>
        <item x="568"/>
        <item x="33"/>
        <item x="34"/>
        <item x="242"/>
        <item x="243"/>
        <item x="569"/>
        <item x="406"/>
        <item x="570"/>
        <item x="36"/>
        <item x="37"/>
        <item x="244"/>
        <item x="39"/>
        <item x="38"/>
        <item x="407"/>
        <item x="408"/>
        <item x="245"/>
        <item x="409"/>
        <item x="571"/>
        <item x="246"/>
        <item x="41"/>
        <item x="40"/>
        <item x="572"/>
        <item x="42"/>
        <item x="573"/>
        <item x="247"/>
        <item x="410"/>
        <item x="43"/>
        <item x="44"/>
        <item x="45"/>
        <item x="248"/>
        <item x="411"/>
        <item x="249"/>
        <item x="46"/>
        <item x="250"/>
        <item x="412"/>
        <item x="413"/>
        <item x="47"/>
        <item x="48"/>
        <item x="414"/>
        <item x="251"/>
        <item x="50"/>
        <item x="49"/>
        <item x="415"/>
        <item x="574"/>
        <item x="416"/>
        <item x="51"/>
        <item x="252"/>
        <item x="52"/>
        <item x="417"/>
        <item x="253"/>
        <item x="418"/>
        <item x="575"/>
        <item x="53"/>
        <item x="54"/>
        <item x="55"/>
        <item x="419"/>
        <item x="576"/>
        <item x="254"/>
        <item x="577"/>
        <item x="257"/>
        <item x="256"/>
        <item x="56"/>
        <item x="420"/>
        <item x="421"/>
        <item x="57"/>
        <item x="255"/>
        <item x="422"/>
        <item x="258"/>
        <item x="423"/>
        <item x="424"/>
        <item x="58"/>
        <item x="425"/>
        <item x="426"/>
        <item x="59"/>
        <item x="427"/>
        <item x="428"/>
        <item x="60"/>
        <item x="578"/>
        <item x="259"/>
        <item x="61"/>
        <item x="260"/>
        <item x="261"/>
        <item x="429"/>
        <item x="62"/>
        <item x="63"/>
        <item x="430"/>
        <item x="431"/>
        <item x="432"/>
        <item x="579"/>
        <item x="64"/>
        <item x="433"/>
        <item x="580"/>
        <item x="262"/>
        <item x="434"/>
        <item x="581"/>
        <item x="65"/>
        <item x="582"/>
        <item x="263"/>
        <item x="264"/>
        <item x="583"/>
        <item x="66"/>
        <item x="435"/>
        <item x="67"/>
        <item x="68"/>
        <item x="265"/>
        <item x="436"/>
        <item x="437"/>
        <item x="438"/>
        <item x="439"/>
        <item x="266"/>
        <item x="267"/>
        <item x="69"/>
        <item x="269"/>
        <item x="268"/>
        <item x="70"/>
        <item x="71"/>
        <item x="72"/>
        <item x="440"/>
        <item x="270"/>
        <item x="584"/>
        <item x="585"/>
        <item x="587"/>
        <item x="271"/>
        <item x="73"/>
        <item x="586"/>
        <item x="272"/>
        <item x="273"/>
        <item x="74"/>
        <item x="75"/>
        <item x="77"/>
        <item x="76"/>
        <item x="274"/>
        <item x="275"/>
        <item x="588"/>
        <item x="589"/>
        <item x="276"/>
        <item x="441"/>
        <item x="78"/>
        <item x="277"/>
        <item x="80"/>
        <item x="79"/>
        <item x="81"/>
        <item x="590"/>
        <item x="442"/>
        <item x="591"/>
        <item x="278"/>
        <item x="83"/>
        <item x="82"/>
        <item x="443"/>
        <item x="84"/>
        <item x="279"/>
        <item x="85"/>
        <item x="592"/>
        <item x="593"/>
        <item x="594"/>
        <item x="280"/>
        <item x="444"/>
        <item x="281"/>
        <item x="86"/>
        <item x="445"/>
        <item x="595"/>
        <item x="282"/>
        <item x="87"/>
        <item x="596"/>
        <item x="283"/>
        <item x="284"/>
        <item x="90"/>
        <item x="88"/>
        <item x="89"/>
        <item x="285"/>
        <item x="91"/>
        <item x="92"/>
        <item x="94"/>
        <item x="446"/>
        <item x="93"/>
        <item x="286"/>
        <item x="447"/>
        <item x="95"/>
        <item x="597"/>
        <item x="287"/>
        <item x="448"/>
        <item x="598"/>
        <item x="96"/>
        <item x="289"/>
        <item x="288"/>
        <item x="97"/>
        <item x="98"/>
        <item x="290"/>
        <item x="449"/>
        <item x="599"/>
        <item x="600"/>
        <item x="450"/>
        <item x="100"/>
        <item x="99"/>
        <item x="601"/>
        <item x="291"/>
        <item x="451"/>
        <item x="101"/>
        <item x="452"/>
        <item x="602"/>
        <item x="453"/>
        <item x="454"/>
        <item x="292"/>
        <item x="455"/>
        <item x="293"/>
        <item x="603"/>
        <item x="456"/>
        <item x="294"/>
        <item x="295"/>
        <item x="102"/>
        <item x="296"/>
        <item x="297"/>
        <item x="103"/>
        <item x="299"/>
        <item x="298"/>
        <item x="457"/>
        <item x="104"/>
        <item x="105"/>
        <item x="604"/>
        <item x="300"/>
        <item x="458"/>
        <item x="459"/>
        <item x="106"/>
        <item x="460"/>
        <item x="461"/>
        <item x="107"/>
        <item x="108"/>
        <item x="462"/>
        <item x="109"/>
        <item x="110"/>
        <item x="35"/>
        <item x="605"/>
        <item x="301"/>
        <item x="111"/>
        <item x="302"/>
        <item x="463"/>
        <item x="112"/>
        <item x="113"/>
        <item x="114"/>
        <item x="115"/>
        <item x="464"/>
        <item x="606"/>
        <item x="465"/>
        <item x="303"/>
        <item x="116"/>
        <item x="607"/>
        <item x="304"/>
        <item x="305"/>
        <item x="117"/>
        <item x="118"/>
        <item x="306"/>
        <item x="120"/>
        <item x="119"/>
        <item x="466"/>
        <item x="467"/>
        <item x="307"/>
        <item x="308"/>
        <item x="309"/>
        <item x="608"/>
        <item x="121"/>
        <item x="310"/>
        <item x="122"/>
        <item x="123"/>
        <item x="124"/>
        <item x="544"/>
        <item x="311"/>
        <item x="468"/>
        <item x="125"/>
        <item x="312"/>
        <item x="313"/>
        <item x="469"/>
        <item x="470"/>
        <item x="315"/>
        <item x="314"/>
        <item x="126"/>
        <item x="128"/>
        <item x="127"/>
        <item x="609"/>
        <item x="471"/>
        <item x="316"/>
        <item x="317"/>
        <item x="318"/>
        <item x="472"/>
        <item x="131"/>
        <item x="130"/>
        <item x="129"/>
        <item x="473"/>
        <item x="132"/>
        <item x="133"/>
        <item x="319"/>
        <item x="610"/>
        <item x="320"/>
        <item x="611"/>
        <item x="134"/>
        <item x="612"/>
        <item x="613"/>
        <item x="614"/>
        <item x="321"/>
        <item x="615"/>
        <item x="474"/>
        <item x="616"/>
        <item x="475"/>
        <item x="322"/>
        <item x="323"/>
        <item x="135"/>
        <item x="617"/>
        <item x="136"/>
        <item x="476"/>
        <item x="324"/>
        <item x="477"/>
        <item x="137"/>
        <item x="478"/>
        <item x="325"/>
        <item x="138"/>
        <item x="326"/>
        <item x="140"/>
        <item x="327"/>
        <item x="141"/>
        <item x="139"/>
        <item x="479"/>
        <item x="329"/>
        <item x="328"/>
        <item x="618"/>
        <item x="481"/>
        <item x="480"/>
        <item x="142"/>
        <item x="330"/>
        <item x="482"/>
        <item x="331"/>
        <item x="483"/>
        <item x="332"/>
        <item x="484"/>
        <item x="485"/>
        <item x="143"/>
        <item x="486"/>
        <item x="487"/>
        <item x="619"/>
        <item x="333"/>
        <item x="334"/>
        <item x="488"/>
        <item x="187"/>
        <item x="335"/>
        <item x="144"/>
        <item x="145"/>
        <item x="489"/>
        <item x="620"/>
        <item x="146"/>
        <item x="490"/>
        <item x="621"/>
        <item x="491"/>
        <item x="492"/>
        <item x="493"/>
        <item x="494"/>
        <item x="147"/>
        <item x="495"/>
        <item x="496"/>
        <item x="148"/>
        <item x="653"/>
        <item x="336"/>
        <item x="150"/>
        <item x="149"/>
        <item x="337"/>
        <item x="622"/>
        <item x="338"/>
        <item x="151"/>
        <item x="152"/>
        <item x="497"/>
        <item x="154"/>
        <item x="153"/>
        <item x="155"/>
        <item x="156"/>
        <item x="623"/>
        <item x="339"/>
        <item x="157"/>
        <item x="498"/>
        <item x="158"/>
        <item x="340"/>
        <item x="159"/>
        <item x="341"/>
        <item x="624"/>
        <item x="499"/>
        <item x="160"/>
        <item x="342"/>
        <item x="626"/>
        <item x="627"/>
        <item x="500"/>
        <item x="161"/>
        <item x="628"/>
        <item x="381"/>
        <item x="162"/>
        <item x="343"/>
        <item x="344"/>
        <item x="163"/>
        <item x="629"/>
        <item x="345"/>
        <item x="164"/>
        <item x="346"/>
        <item x="501"/>
        <item x="165"/>
        <item x="347"/>
        <item x="166"/>
        <item x="348"/>
        <item x="167"/>
        <item x="630"/>
        <item x="168"/>
        <item x="502"/>
        <item x="631"/>
        <item x="503"/>
        <item x="504"/>
        <item x="169"/>
        <item x="170"/>
        <item x="350"/>
        <item x="505"/>
        <item x="349"/>
        <item x="351"/>
        <item x="632"/>
        <item x="171"/>
        <item x="172"/>
        <item x="352"/>
        <item x="353"/>
        <item x="173"/>
        <item x="633"/>
        <item x="634"/>
        <item x="354"/>
        <item x="506"/>
        <item x="174"/>
        <item x="635"/>
        <item x="507"/>
        <item x="636"/>
        <item x="175"/>
        <item x="637"/>
        <item x="176"/>
        <item x="508"/>
        <item x="638"/>
        <item x="355"/>
        <item x="177"/>
        <item x="509"/>
        <item x="511"/>
        <item x="510"/>
        <item x="512"/>
        <item x="178"/>
        <item x="356"/>
        <item x="357"/>
        <item x="179"/>
        <item x="358"/>
        <item x="180"/>
        <item x="513"/>
        <item x="639"/>
        <item x="514"/>
        <item x="360"/>
        <item x="359"/>
        <item x="640"/>
        <item x="515"/>
        <item x="516"/>
        <item x="181"/>
        <item x="641"/>
        <item x="183"/>
        <item x="517"/>
        <item x="182"/>
        <item x="518"/>
        <item x="184"/>
        <item x="361"/>
        <item x="642"/>
        <item x="643"/>
        <item x="185"/>
        <item x="186"/>
        <item x="519"/>
        <item x="520"/>
        <item x="362"/>
        <item x="521"/>
        <item x="522"/>
        <item x="188"/>
        <item x="523"/>
        <item x="524"/>
        <item x="363"/>
        <item x="644"/>
        <item x="189"/>
        <item x="190"/>
        <item x="364"/>
        <item x="645"/>
        <item x="365"/>
        <item x="646"/>
        <item x="366"/>
        <item x="191"/>
        <item x="206"/>
        <item x="525"/>
        <item x="192"/>
        <item x="647"/>
        <item x="367"/>
        <item x="193"/>
        <item x="526"/>
        <item x="527"/>
        <item x="194"/>
        <item x="648"/>
        <item x="528"/>
        <item x="529"/>
        <item x="649"/>
        <item x="530"/>
        <item x="531"/>
        <item x="650"/>
        <item x="368"/>
        <item x="651"/>
        <item x="652"/>
        <item x="532"/>
        <item x="533"/>
        <item x="369"/>
        <item x="654"/>
        <item x="370"/>
        <item x="534"/>
        <item x="380"/>
        <item x="371"/>
        <item x="195"/>
        <item x="535"/>
        <item x="536"/>
        <item x="655"/>
        <item x="372"/>
        <item x="656"/>
        <item x="657"/>
        <item x="196"/>
        <item x="625"/>
        <item x="373"/>
        <item x="374"/>
        <item x="197"/>
        <item x="658"/>
        <item x="375"/>
        <item x="659"/>
        <item x="537"/>
        <item x="538"/>
        <item x="198"/>
        <item x="376"/>
        <item x="199"/>
        <item x="201"/>
        <item x="200"/>
        <item x="377"/>
        <item x="202"/>
        <item x="378"/>
        <item x="660"/>
        <item x="203"/>
        <item x="539"/>
        <item x="379"/>
        <item x="204"/>
        <item x="661"/>
        <item x="205"/>
        <item x="540"/>
        <item x="541"/>
        <item x="542"/>
        <item x="543"/>
        <item t="default"/>
      </items>
    </pivotField>
    <pivotField numFmtId="14" showAll="0"/>
    <pivotField showAll="0"/>
    <pivotField showAll="0"/>
    <pivotField showAll="0"/>
    <pivotField showAll="0"/>
    <pivotField showAll="0"/>
    <pivotField showAll="0"/>
    <pivotField showAll="0">
      <items count="5">
        <item x="0"/>
        <item x="2"/>
        <item x="3"/>
        <item x="1"/>
        <item t="default"/>
      </items>
    </pivotField>
    <pivotField axis="axisRow" showAll="0" measureFilter="1" sortType="ascending">
      <items count="29">
        <item x="21"/>
        <item x="27"/>
        <item x="26"/>
        <item x="25"/>
        <item x="17"/>
        <item x="19"/>
        <item x="13"/>
        <item x="3"/>
        <item x="9"/>
        <item x="5"/>
        <item x="8"/>
        <item x="23"/>
        <item x="11"/>
        <item x="1"/>
        <item x="18"/>
        <item x="2"/>
        <item x="10"/>
        <item x="4"/>
        <item x="20"/>
        <item x="15"/>
        <item x="22"/>
        <item x="0"/>
        <item x="7"/>
        <item x="14"/>
        <item x="6"/>
        <item x="12"/>
        <item x="16"/>
        <item x="2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43" showAll="0"/>
    <pivotField dataField="1" numFmtId="43" showAll="0"/>
    <pivotField numFmtId="43"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0"/>
  </rowFields>
  <rowItems count="11">
    <i>
      <x v="7"/>
    </i>
    <i>
      <x v="10"/>
    </i>
    <i>
      <x v="8"/>
    </i>
    <i>
      <x v="22"/>
    </i>
    <i>
      <x v="16"/>
    </i>
    <i>
      <x v="25"/>
    </i>
    <i>
      <x v="15"/>
    </i>
    <i>
      <x v="9"/>
    </i>
    <i>
      <x v="12"/>
    </i>
    <i>
      <x v="21"/>
    </i>
    <i t="grand">
      <x/>
    </i>
  </rowItems>
  <colItems count="1">
    <i/>
  </colItems>
  <dataFields count="1">
    <dataField name="Sum of Sales (₦)" fld="18" baseField="0" baseItem="0" numFmtId="43"/>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D8993B-4FC6-4FED-9958-5E086A43FCBD}" name="PivotTable1"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Region">
  <location ref="A2:C7" firstHeaderRow="0" firstDataRow="1" firstDataCol="1"/>
  <pivotFields count="28">
    <pivotField showAll="0"/>
    <pivotField numFmtId="14" showAll="0">
      <items count="663">
        <item x="0"/>
        <item x="207"/>
        <item x="382"/>
        <item x="383"/>
        <item x="208"/>
        <item x="209"/>
        <item x="1"/>
        <item x="210"/>
        <item x="384"/>
        <item x="211"/>
        <item x="385"/>
        <item x="2"/>
        <item x="212"/>
        <item x="386"/>
        <item x="213"/>
        <item x="387"/>
        <item x="214"/>
        <item x="216"/>
        <item x="215"/>
        <item x="388"/>
        <item x="546"/>
        <item x="547"/>
        <item x="217"/>
        <item x="545"/>
        <item x="3"/>
        <item x="548"/>
        <item x="4"/>
        <item x="5"/>
        <item x="549"/>
        <item x="389"/>
        <item x="550"/>
        <item x="551"/>
        <item x="390"/>
        <item x="6"/>
        <item x="7"/>
        <item x="218"/>
        <item x="391"/>
        <item x="552"/>
        <item x="393"/>
        <item x="392"/>
        <item x="8"/>
        <item x="219"/>
        <item x="220"/>
        <item x="9"/>
        <item x="394"/>
        <item x="553"/>
        <item x="221"/>
        <item x="554"/>
        <item x="10"/>
        <item x="555"/>
        <item x="11"/>
        <item x="12"/>
        <item x="13"/>
        <item x="222"/>
        <item x="224"/>
        <item x="223"/>
        <item x="14"/>
        <item x="15"/>
        <item x="226"/>
        <item x="556"/>
        <item x="227"/>
        <item x="557"/>
        <item x="395"/>
        <item x="225"/>
        <item x="396"/>
        <item x="228"/>
        <item x="18"/>
        <item x="17"/>
        <item x="16"/>
        <item x="19"/>
        <item x="558"/>
        <item x="398"/>
        <item x="397"/>
        <item x="229"/>
        <item x="559"/>
        <item x="20"/>
        <item x="399"/>
        <item x="21"/>
        <item x="230"/>
        <item x="231"/>
        <item x="22"/>
        <item x="400"/>
        <item x="24"/>
        <item x="23"/>
        <item x="232"/>
        <item x="25"/>
        <item x="401"/>
        <item x="233"/>
        <item x="560"/>
        <item x="561"/>
        <item x="234"/>
        <item x="562"/>
        <item x="563"/>
        <item x="235"/>
        <item x="402"/>
        <item x="26"/>
        <item x="28"/>
        <item x="403"/>
        <item x="31"/>
        <item x="30"/>
        <item x="29"/>
        <item x="564"/>
        <item x="27"/>
        <item x="236"/>
        <item x="565"/>
        <item x="237"/>
        <item x="566"/>
        <item x="404"/>
        <item x="405"/>
        <item x="238"/>
        <item x="567"/>
        <item x="239"/>
        <item x="32"/>
        <item x="240"/>
        <item x="241"/>
        <item x="568"/>
        <item x="33"/>
        <item x="34"/>
        <item x="242"/>
        <item x="243"/>
        <item x="569"/>
        <item x="406"/>
        <item x="570"/>
        <item x="36"/>
        <item x="37"/>
        <item x="244"/>
        <item x="39"/>
        <item x="38"/>
        <item x="407"/>
        <item x="408"/>
        <item x="245"/>
        <item x="409"/>
        <item x="571"/>
        <item x="246"/>
        <item x="41"/>
        <item x="40"/>
        <item x="572"/>
        <item x="42"/>
        <item x="573"/>
        <item x="247"/>
        <item x="410"/>
        <item x="43"/>
        <item x="44"/>
        <item x="45"/>
        <item x="248"/>
        <item x="411"/>
        <item x="249"/>
        <item x="46"/>
        <item x="250"/>
        <item x="412"/>
        <item x="413"/>
        <item x="47"/>
        <item x="48"/>
        <item x="414"/>
        <item x="251"/>
        <item x="50"/>
        <item x="49"/>
        <item x="415"/>
        <item x="574"/>
        <item x="416"/>
        <item x="51"/>
        <item x="252"/>
        <item x="52"/>
        <item x="417"/>
        <item x="253"/>
        <item x="418"/>
        <item x="575"/>
        <item x="53"/>
        <item x="54"/>
        <item x="55"/>
        <item x="419"/>
        <item x="576"/>
        <item x="254"/>
        <item x="577"/>
        <item x="257"/>
        <item x="256"/>
        <item x="56"/>
        <item x="420"/>
        <item x="421"/>
        <item x="57"/>
        <item x="255"/>
        <item x="422"/>
        <item x="258"/>
        <item x="423"/>
        <item x="424"/>
        <item x="58"/>
        <item x="425"/>
        <item x="426"/>
        <item x="59"/>
        <item x="427"/>
        <item x="428"/>
        <item x="60"/>
        <item x="578"/>
        <item x="259"/>
        <item x="61"/>
        <item x="260"/>
        <item x="261"/>
        <item x="429"/>
        <item x="62"/>
        <item x="63"/>
        <item x="430"/>
        <item x="431"/>
        <item x="432"/>
        <item x="579"/>
        <item x="64"/>
        <item x="433"/>
        <item x="580"/>
        <item x="262"/>
        <item x="434"/>
        <item x="581"/>
        <item x="65"/>
        <item x="582"/>
        <item x="263"/>
        <item x="264"/>
        <item x="583"/>
        <item x="66"/>
        <item x="435"/>
        <item x="67"/>
        <item x="68"/>
        <item x="265"/>
        <item x="436"/>
        <item x="437"/>
        <item x="438"/>
        <item x="439"/>
        <item x="266"/>
        <item x="267"/>
        <item x="69"/>
        <item x="269"/>
        <item x="268"/>
        <item x="70"/>
        <item x="71"/>
        <item x="72"/>
        <item x="440"/>
        <item x="270"/>
        <item x="584"/>
        <item x="585"/>
        <item x="587"/>
        <item x="271"/>
        <item x="73"/>
        <item x="586"/>
        <item x="272"/>
        <item x="273"/>
        <item x="74"/>
        <item x="75"/>
        <item x="77"/>
        <item x="76"/>
        <item x="274"/>
        <item x="275"/>
        <item x="588"/>
        <item x="589"/>
        <item x="276"/>
        <item x="441"/>
        <item x="78"/>
        <item x="277"/>
        <item x="80"/>
        <item x="79"/>
        <item x="81"/>
        <item x="590"/>
        <item x="442"/>
        <item x="591"/>
        <item x="278"/>
        <item x="83"/>
        <item x="82"/>
        <item x="443"/>
        <item x="84"/>
        <item x="279"/>
        <item x="85"/>
        <item x="592"/>
        <item x="593"/>
        <item x="594"/>
        <item x="280"/>
        <item x="444"/>
        <item x="281"/>
        <item x="86"/>
        <item x="445"/>
        <item x="595"/>
        <item x="282"/>
        <item x="87"/>
        <item x="596"/>
        <item x="283"/>
        <item x="284"/>
        <item x="90"/>
        <item x="88"/>
        <item x="89"/>
        <item x="285"/>
        <item x="91"/>
        <item x="92"/>
        <item x="94"/>
        <item x="446"/>
        <item x="93"/>
        <item x="286"/>
        <item x="447"/>
        <item x="95"/>
        <item x="597"/>
        <item x="287"/>
        <item x="448"/>
        <item x="598"/>
        <item x="96"/>
        <item x="289"/>
        <item x="288"/>
        <item x="97"/>
        <item x="98"/>
        <item x="290"/>
        <item x="449"/>
        <item x="599"/>
        <item x="600"/>
        <item x="450"/>
        <item x="100"/>
        <item x="99"/>
        <item x="601"/>
        <item x="291"/>
        <item x="451"/>
        <item x="101"/>
        <item x="452"/>
        <item x="602"/>
        <item x="453"/>
        <item x="454"/>
        <item x="292"/>
        <item x="455"/>
        <item x="293"/>
        <item x="603"/>
        <item x="456"/>
        <item x="294"/>
        <item x="295"/>
        <item x="102"/>
        <item x="296"/>
        <item x="297"/>
        <item x="103"/>
        <item x="299"/>
        <item x="298"/>
        <item x="457"/>
        <item x="104"/>
        <item x="105"/>
        <item x="604"/>
        <item x="300"/>
        <item x="458"/>
        <item x="459"/>
        <item x="106"/>
        <item x="460"/>
        <item x="461"/>
        <item x="107"/>
        <item x="108"/>
        <item x="462"/>
        <item x="109"/>
        <item x="110"/>
        <item x="35"/>
        <item x="605"/>
        <item x="301"/>
        <item x="111"/>
        <item x="302"/>
        <item x="463"/>
        <item x="112"/>
        <item x="113"/>
        <item x="114"/>
        <item x="115"/>
        <item x="464"/>
        <item x="606"/>
        <item x="465"/>
        <item x="303"/>
        <item x="116"/>
        <item x="607"/>
        <item x="304"/>
        <item x="305"/>
        <item x="117"/>
        <item x="118"/>
        <item x="306"/>
        <item x="120"/>
        <item x="119"/>
        <item x="466"/>
        <item x="467"/>
        <item x="307"/>
        <item x="308"/>
        <item x="309"/>
        <item x="608"/>
        <item x="121"/>
        <item x="310"/>
        <item x="122"/>
        <item x="123"/>
        <item x="124"/>
        <item x="544"/>
        <item x="311"/>
        <item x="468"/>
        <item x="125"/>
        <item x="312"/>
        <item x="313"/>
        <item x="469"/>
        <item x="470"/>
        <item x="315"/>
        <item x="314"/>
        <item x="126"/>
        <item x="128"/>
        <item x="127"/>
        <item x="609"/>
        <item x="471"/>
        <item x="316"/>
        <item x="317"/>
        <item x="318"/>
        <item x="472"/>
        <item x="131"/>
        <item x="130"/>
        <item x="129"/>
        <item x="473"/>
        <item x="132"/>
        <item x="133"/>
        <item x="319"/>
        <item x="610"/>
        <item x="320"/>
        <item x="611"/>
        <item x="134"/>
        <item x="612"/>
        <item x="613"/>
        <item x="614"/>
        <item x="321"/>
        <item x="615"/>
        <item x="474"/>
        <item x="616"/>
        <item x="475"/>
        <item x="322"/>
        <item x="323"/>
        <item x="135"/>
        <item x="617"/>
        <item x="136"/>
        <item x="476"/>
        <item x="324"/>
        <item x="477"/>
        <item x="137"/>
        <item x="478"/>
        <item x="325"/>
        <item x="138"/>
        <item x="326"/>
        <item x="140"/>
        <item x="327"/>
        <item x="141"/>
        <item x="139"/>
        <item x="479"/>
        <item x="329"/>
        <item x="328"/>
        <item x="618"/>
        <item x="481"/>
        <item x="480"/>
        <item x="142"/>
        <item x="330"/>
        <item x="482"/>
        <item x="331"/>
        <item x="483"/>
        <item x="332"/>
        <item x="484"/>
        <item x="485"/>
        <item x="143"/>
        <item x="486"/>
        <item x="487"/>
        <item x="619"/>
        <item x="333"/>
        <item x="334"/>
        <item x="488"/>
        <item x="187"/>
        <item x="335"/>
        <item x="144"/>
        <item x="145"/>
        <item x="489"/>
        <item x="620"/>
        <item x="146"/>
        <item x="490"/>
        <item x="621"/>
        <item x="491"/>
        <item x="492"/>
        <item x="493"/>
        <item x="494"/>
        <item x="147"/>
        <item x="495"/>
        <item x="496"/>
        <item x="148"/>
        <item x="653"/>
        <item x="336"/>
        <item x="150"/>
        <item x="149"/>
        <item x="337"/>
        <item x="622"/>
        <item x="338"/>
        <item x="151"/>
        <item x="152"/>
        <item x="497"/>
        <item x="154"/>
        <item x="153"/>
        <item x="155"/>
        <item x="156"/>
        <item x="623"/>
        <item x="339"/>
        <item x="157"/>
        <item x="498"/>
        <item x="158"/>
        <item x="340"/>
        <item x="159"/>
        <item x="341"/>
        <item x="624"/>
        <item x="499"/>
        <item x="160"/>
        <item x="342"/>
        <item x="626"/>
        <item x="627"/>
        <item x="500"/>
        <item x="161"/>
        <item x="628"/>
        <item x="381"/>
        <item x="162"/>
        <item x="343"/>
        <item x="344"/>
        <item x="163"/>
        <item x="629"/>
        <item x="345"/>
        <item x="164"/>
        <item x="346"/>
        <item x="501"/>
        <item x="165"/>
        <item x="347"/>
        <item x="166"/>
        <item x="348"/>
        <item x="167"/>
        <item x="630"/>
        <item x="168"/>
        <item x="502"/>
        <item x="631"/>
        <item x="503"/>
        <item x="504"/>
        <item x="169"/>
        <item x="170"/>
        <item x="350"/>
        <item x="505"/>
        <item x="349"/>
        <item x="351"/>
        <item x="632"/>
        <item x="171"/>
        <item x="172"/>
        <item x="352"/>
        <item x="353"/>
        <item x="173"/>
        <item x="633"/>
        <item x="634"/>
        <item x="354"/>
        <item x="506"/>
        <item x="174"/>
        <item x="635"/>
        <item x="507"/>
        <item x="636"/>
        <item x="175"/>
        <item x="637"/>
        <item x="176"/>
        <item x="508"/>
        <item x="638"/>
        <item x="355"/>
        <item x="177"/>
        <item x="509"/>
        <item x="511"/>
        <item x="510"/>
        <item x="512"/>
        <item x="178"/>
        <item x="356"/>
        <item x="357"/>
        <item x="179"/>
        <item x="358"/>
        <item x="180"/>
        <item x="513"/>
        <item x="639"/>
        <item x="514"/>
        <item x="360"/>
        <item x="359"/>
        <item x="640"/>
        <item x="515"/>
        <item x="516"/>
        <item x="181"/>
        <item x="641"/>
        <item x="183"/>
        <item x="517"/>
        <item x="182"/>
        <item x="518"/>
        <item x="184"/>
        <item x="361"/>
        <item x="642"/>
        <item x="643"/>
        <item x="185"/>
        <item x="186"/>
        <item x="519"/>
        <item x="520"/>
        <item x="362"/>
        <item x="521"/>
        <item x="522"/>
        <item x="188"/>
        <item x="523"/>
        <item x="524"/>
        <item x="363"/>
        <item x="644"/>
        <item x="189"/>
        <item x="190"/>
        <item x="364"/>
        <item x="645"/>
        <item x="365"/>
        <item x="646"/>
        <item x="366"/>
        <item x="191"/>
        <item x="206"/>
        <item x="525"/>
        <item x="192"/>
        <item x="647"/>
        <item x="367"/>
        <item x="193"/>
        <item x="526"/>
        <item x="527"/>
        <item x="194"/>
        <item x="648"/>
        <item x="528"/>
        <item x="529"/>
        <item x="649"/>
        <item x="530"/>
        <item x="531"/>
        <item x="650"/>
        <item x="368"/>
        <item x="651"/>
        <item x="652"/>
        <item x="532"/>
        <item x="533"/>
        <item x="369"/>
        <item x="654"/>
        <item x="370"/>
        <item x="534"/>
        <item x="380"/>
        <item x="371"/>
        <item x="195"/>
        <item x="535"/>
        <item x="536"/>
        <item x="655"/>
        <item x="372"/>
        <item x="656"/>
        <item x="657"/>
        <item x="196"/>
        <item x="625"/>
        <item x="373"/>
        <item x="374"/>
        <item x="197"/>
        <item x="658"/>
        <item x="375"/>
        <item x="659"/>
        <item x="537"/>
        <item x="538"/>
        <item x="198"/>
        <item x="376"/>
        <item x="199"/>
        <item x="201"/>
        <item x="200"/>
        <item x="377"/>
        <item x="202"/>
        <item x="378"/>
        <item x="660"/>
        <item x="203"/>
        <item x="539"/>
        <item x="379"/>
        <item x="204"/>
        <item x="661"/>
        <item x="205"/>
        <item x="540"/>
        <item x="541"/>
        <item x="542"/>
        <item x="543"/>
        <item t="default"/>
      </items>
    </pivotField>
    <pivotField numFmtId="14" showAll="0"/>
    <pivotField showAll="0"/>
    <pivotField showAll="0"/>
    <pivotField showAll="0"/>
    <pivotField showAll="0"/>
    <pivotField showAll="0"/>
    <pivotField showAll="0"/>
    <pivotField axis="axisRow" showAll="0">
      <items count="5">
        <item x="0"/>
        <item x="2"/>
        <item x="3"/>
        <item x="1"/>
        <item t="default"/>
      </items>
    </pivotField>
    <pivotField showAll="0"/>
    <pivotField showAll="0"/>
    <pivotField showAll="0"/>
    <pivotField showAll="0"/>
    <pivotField showAll="0"/>
    <pivotField showAll="0"/>
    <pivotField showAll="0"/>
    <pivotField numFmtId="43" showAll="0"/>
    <pivotField dataField="1" numFmtId="43" showAll="0"/>
    <pivotField dataField="1" numFmtId="43"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9"/>
  </rowFields>
  <rowItems count="5">
    <i>
      <x/>
    </i>
    <i>
      <x v="1"/>
    </i>
    <i>
      <x v="2"/>
    </i>
    <i>
      <x v="3"/>
    </i>
    <i t="grand">
      <x/>
    </i>
  </rowItems>
  <colFields count="1">
    <field x="-2"/>
  </colFields>
  <colItems count="2">
    <i>
      <x/>
    </i>
    <i i="1">
      <x v="1"/>
    </i>
  </colItems>
  <dataFields count="2">
    <dataField name="Sum of Sales (₦)" fld="18" baseField="0" baseItem="0" numFmtId="43"/>
    <dataField name="Sum of Profit (₦)" fld="19" baseField="0" baseItem="0" numFmtId="43"/>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DC53DB-23C9-45B8-B257-1086AFC3EFF8}" name="PivotTable2"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Segment">
  <location ref="A11:B15" firstHeaderRow="1" firstDataRow="1" firstDataCol="1"/>
  <pivotFields count="28">
    <pivotField showAll="0"/>
    <pivotField numFmtId="14" showAll="0">
      <items count="663">
        <item x="0"/>
        <item x="207"/>
        <item x="382"/>
        <item x="383"/>
        <item x="208"/>
        <item x="209"/>
        <item x="1"/>
        <item x="210"/>
        <item x="384"/>
        <item x="211"/>
        <item x="385"/>
        <item x="2"/>
        <item x="212"/>
        <item x="386"/>
        <item x="213"/>
        <item x="387"/>
        <item x="214"/>
        <item x="216"/>
        <item x="215"/>
        <item x="388"/>
        <item x="546"/>
        <item x="547"/>
        <item x="217"/>
        <item x="545"/>
        <item x="3"/>
        <item x="548"/>
        <item x="4"/>
        <item x="5"/>
        <item x="549"/>
        <item x="389"/>
        <item x="550"/>
        <item x="551"/>
        <item x="390"/>
        <item x="6"/>
        <item x="7"/>
        <item x="218"/>
        <item x="391"/>
        <item x="552"/>
        <item x="393"/>
        <item x="392"/>
        <item x="8"/>
        <item x="219"/>
        <item x="220"/>
        <item x="9"/>
        <item x="394"/>
        <item x="553"/>
        <item x="221"/>
        <item x="554"/>
        <item x="10"/>
        <item x="555"/>
        <item x="11"/>
        <item x="12"/>
        <item x="13"/>
        <item x="222"/>
        <item x="224"/>
        <item x="223"/>
        <item x="14"/>
        <item x="15"/>
        <item x="226"/>
        <item x="556"/>
        <item x="227"/>
        <item x="557"/>
        <item x="395"/>
        <item x="225"/>
        <item x="396"/>
        <item x="228"/>
        <item x="18"/>
        <item x="17"/>
        <item x="16"/>
        <item x="19"/>
        <item x="558"/>
        <item x="398"/>
        <item x="397"/>
        <item x="229"/>
        <item x="559"/>
        <item x="20"/>
        <item x="399"/>
        <item x="21"/>
        <item x="230"/>
        <item x="231"/>
        <item x="22"/>
        <item x="400"/>
        <item x="24"/>
        <item x="23"/>
        <item x="232"/>
        <item x="25"/>
        <item x="401"/>
        <item x="233"/>
        <item x="560"/>
        <item x="561"/>
        <item x="234"/>
        <item x="562"/>
        <item x="563"/>
        <item x="235"/>
        <item x="402"/>
        <item x="26"/>
        <item x="28"/>
        <item x="403"/>
        <item x="31"/>
        <item x="30"/>
        <item x="29"/>
        <item x="564"/>
        <item x="27"/>
        <item x="236"/>
        <item x="565"/>
        <item x="237"/>
        <item x="566"/>
        <item x="404"/>
        <item x="405"/>
        <item x="238"/>
        <item x="567"/>
        <item x="239"/>
        <item x="32"/>
        <item x="240"/>
        <item x="241"/>
        <item x="568"/>
        <item x="33"/>
        <item x="34"/>
        <item x="242"/>
        <item x="243"/>
        <item x="569"/>
        <item x="406"/>
        <item x="570"/>
        <item x="36"/>
        <item x="37"/>
        <item x="244"/>
        <item x="39"/>
        <item x="38"/>
        <item x="407"/>
        <item x="408"/>
        <item x="245"/>
        <item x="409"/>
        <item x="571"/>
        <item x="246"/>
        <item x="41"/>
        <item x="40"/>
        <item x="572"/>
        <item x="42"/>
        <item x="573"/>
        <item x="247"/>
        <item x="410"/>
        <item x="43"/>
        <item x="44"/>
        <item x="45"/>
        <item x="248"/>
        <item x="411"/>
        <item x="249"/>
        <item x="46"/>
        <item x="250"/>
        <item x="412"/>
        <item x="413"/>
        <item x="47"/>
        <item x="48"/>
        <item x="414"/>
        <item x="251"/>
        <item x="50"/>
        <item x="49"/>
        <item x="415"/>
        <item x="574"/>
        <item x="416"/>
        <item x="51"/>
        <item x="252"/>
        <item x="52"/>
        <item x="417"/>
        <item x="253"/>
        <item x="418"/>
        <item x="575"/>
        <item x="53"/>
        <item x="54"/>
        <item x="55"/>
        <item x="419"/>
        <item x="576"/>
        <item x="254"/>
        <item x="577"/>
        <item x="257"/>
        <item x="256"/>
        <item x="56"/>
        <item x="420"/>
        <item x="421"/>
        <item x="57"/>
        <item x="255"/>
        <item x="422"/>
        <item x="258"/>
        <item x="423"/>
        <item x="424"/>
        <item x="58"/>
        <item x="425"/>
        <item x="426"/>
        <item x="59"/>
        <item x="427"/>
        <item x="428"/>
        <item x="60"/>
        <item x="578"/>
        <item x="259"/>
        <item x="61"/>
        <item x="260"/>
        <item x="261"/>
        <item x="429"/>
        <item x="62"/>
        <item x="63"/>
        <item x="430"/>
        <item x="431"/>
        <item x="432"/>
        <item x="579"/>
        <item x="64"/>
        <item x="433"/>
        <item x="580"/>
        <item x="262"/>
        <item x="434"/>
        <item x="581"/>
        <item x="65"/>
        <item x="582"/>
        <item x="263"/>
        <item x="264"/>
        <item x="583"/>
        <item x="66"/>
        <item x="435"/>
        <item x="67"/>
        <item x="68"/>
        <item x="265"/>
        <item x="436"/>
        <item x="437"/>
        <item x="438"/>
        <item x="439"/>
        <item x="266"/>
        <item x="267"/>
        <item x="69"/>
        <item x="269"/>
        <item x="268"/>
        <item x="70"/>
        <item x="71"/>
        <item x="72"/>
        <item x="440"/>
        <item x="270"/>
        <item x="584"/>
        <item x="585"/>
        <item x="587"/>
        <item x="271"/>
        <item x="73"/>
        <item x="586"/>
        <item x="272"/>
        <item x="273"/>
        <item x="74"/>
        <item x="75"/>
        <item x="77"/>
        <item x="76"/>
        <item x="274"/>
        <item x="275"/>
        <item x="588"/>
        <item x="589"/>
        <item x="276"/>
        <item x="441"/>
        <item x="78"/>
        <item x="277"/>
        <item x="80"/>
        <item x="79"/>
        <item x="81"/>
        <item x="590"/>
        <item x="442"/>
        <item x="591"/>
        <item x="278"/>
        <item x="83"/>
        <item x="82"/>
        <item x="443"/>
        <item x="84"/>
        <item x="279"/>
        <item x="85"/>
        <item x="592"/>
        <item x="593"/>
        <item x="594"/>
        <item x="280"/>
        <item x="444"/>
        <item x="281"/>
        <item x="86"/>
        <item x="445"/>
        <item x="595"/>
        <item x="282"/>
        <item x="87"/>
        <item x="596"/>
        <item x="283"/>
        <item x="284"/>
        <item x="90"/>
        <item x="88"/>
        <item x="89"/>
        <item x="285"/>
        <item x="91"/>
        <item x="92"/>
        <item x="94"/>
        <item x="446"/>
        <item x="93"/>
        <item x="286"/>
        <item x="447"/>
        <item x="95"/>
        <item x="597"/>
        <item x="287"/>
        <item x="448"/>
        <item x="598"/>
        <item x="96"/>
        <item x="289"/>
        <item x="288"/>
        <item x="97"/>
        <item x="98"/>
        <item x="290"/>
        <item x="449"/>
        <item x="599"/>
        <item x="600"/>
        <item x="450"/>
        <item x="100"/>
        <item x="99"/>
        <item x="601"/>
        <item x="291"/>
        <item x="451"/>
        <item x="101"/>
        <item x="452"/>
        <item x="602"/>
        <item x="453"/>
        <item x="454"/>
        <item x="292"/>
        <item x="455"/>
        <item x="293"/>
        <item x="603"/>
        <item x="456"/>
        <item x="294"/>
        <item x="295"/>
        <item x="102"/>
        <item x="296"/>
        <item x="297"/>
        <item x="103"/>
        <item x="299"/>
        <item x="298"/>
        <item x="457"/>
        <item x="104"/>
        <item x="105"/>
        <item x="604"/>
        <item x="300"/>
        <item x="458"/>
        <item x="459"/>
        <item x="106"/>
        <item x="460"/>
        <item x="461"/>
        <item x="107"/>
        <item x="108"/>
        <item x="462"/>
        <item x="109"/>
        <item x="110"/>
        <item x="35"/>
        <item x="605"/>
        <item x="301"/>
        <item x="111"/>
        <item x="302"/>
        <item x="463"/>
        <item x="112"/>
        <item x="113"/>
        <item x="114"/>
        <item x="115"/>
        <item x="464"/>
        <item x="606"/>
        <item x="465"/>
        <item x="303"/>
        <item x="116"/>
        <item x="607"/>
        <item x="304"/>
        <item x="305"/>
        <item x="117"/>
        <item x="118"/>
        <item x="306"/>
        <item x="120"/>
        <item x="119"/>
        <item x="466"/>
        <item x="467"/>
        <item x="307"/>
        <item x="308"/>
        <item x="309"/>
        <item x="608"/>
        <item x="121"/>
        <item x="310"/>
        <item x="122"/>
        <item x="123"/>
        <item x="124"/>
        <item x="544"/>
        <item x="311"/>
        <item x="468"/>
        <item x="125"/>
        <item x="312"/>
        <item x="313"/>
        <item x="469"/>
        <item x="470"/>
        <item x="315"/>
        <item x="314"/>
        <item x="126"/>
        <item x="128"/>
        <item x="127"/>
        <item x="609"/>
        <item x="471"/>
        <item x="316"/>
        <item x="317"/>
        <item x="318"/>
        <item x="472"/>
        <item x="131"/>
        <item x="130"/>
        <item x="129"/>
        <item x="473"/>
        <item x="132"/>
        <item x="133"/>
        <item x="319"/>
        <item x="610"/>
        <item x="320"/>
        <item x="611"/>
        <item x="134"/>
        <item x="612"/>
        <item x="613"/>
        <item x="614"/>
        <item x="321"/>
        <item x="615"/>
        <item x="474"/>
        <item x="616"/>
        <item x="475"/>
        <item x="322"/>
        <item x="323"/>
        <item x="135"/>
        <item x="617"/>
        <item x="136"/>
        <item x="476"/>
        <item x="324"/>
        <item x="477"/>
        <item x="137"/>
        <item x="478"/>
        <item x="325"/>
        <item x="138"/>
        <item x="326"/>
        <item x="140"/>
        <item x="327"/>
        <item x="141"/>
        <item x="139"/>
        <item x="479"/>
        <item x="329"/>
        <item x="328"/>
        <item x="618"/>
        <item x="481"/>
        <item x="480"/>
        <item x="142"/>
        <item x="330"/>
        <item x="482"/>
        <item x="331"/>
        <item x="483"/>
        <item x="332"/>
        <item x="484"/>
        <item x="485"/>
        <item x="143"/>
        <item x="486"/>
        <item x="487"/>
        <item x="619"/>
        <item x="333"/>
        <item x="334"/>
        <item x="488"/>
        <item x="187"/>
        <item x="335"/>
        <item x="144"/>
        <item x="145"/>
        <item x="489"/>
        <item x="620"/>
        <item x="146"/>
        <item x="490"/>
        <item x="621"/>
        <item x="491"/>
        <item x="492"/>
        <item x="493"/>
        <item x="494"/>
        <item x="147"/>
        <item x="495"/>
        <item x="496"/>
        <item x="148"/>
        <item x="653"/>
        <item x="336"/>
        <item x="150"/>
        <item x="149"/>
        <item x="337"/>
        <item x="622"/>
        <item x="338"/>
        <item x="151"/>
        <item x="152"/>
        <item x="497"/>
        <item x="154"/>
        <item x="153"/>
        <item x="155"/>
        <item x="156"/>
        <item x="623"/>
        <item x="339"/>
        <item x="157"/>
        <item x="498"/>
        <item x="158"/>
        <item x="340"/>
        <item x="159"/>
        <item x="341"/>
        <item x="624"/>
        <item x="499"/>
        <item x="160"/>
        <item x="342"/>
        <item x="626"/>
        <item x="627"/>
        <item x="500"/>
        <item x="161"/>
        <item x="628"/>
        <item x="381"/>
        <item x="162"/>
        <item x="343"/>
        <item x="344"/>
        <item x="163"/>
        <item x="629"/>
        <item x="345"/>
        <item x="164"/>
        <item x="346"/>
        <item x="501"/>
        <item x="165"/>
        <item x="347"/>
        <item x="166"/>
        <item x="348"/>
        <item x="167"/>
        <item x="630"/>
        <item x="168"/>
        <item x="502"/>
        <item x="631"/>
        <item x="503"/>
        <item x="504"/>
        <item x="169"/>
        <item x="170"/>
        <item x="350"/>
        <item x="505"/>
        <item x="349"/>
        <item x="351"/>
        <item x="632"/>
        <item x="171"/>
        <item x="172"/>
        <item x="352"/>
        <item x="353"/>
        <item x="173"/>
        <item x="633"/>
        <item x="634"/>
        <item x="354"/>
        <item x="506"/>
        <item x="174"/>
        <item x="635"/>
        <item x="507"/>
        <item x="636"/>
        <item x="175"/>
        <item x="637"/>
        <item x="176"/>
        <item x="508"/>
        <item x="638"/>
        <item x="355"/>
        <item x="177"/>
        <item x="509"/>
        <item x="511"/>
        <item x="510"/>
        <item x="512"/>
        <item x="178"/>
        <item x="356"/>
        <item x="357"/>
        <item x="179"/>
        <item x="358"/>
        <item x="180"/>
        <item x="513"/>
        <item x="639"/>
        <item x="514"/>
        <item x="360"/>
        <item x="359"/>
        <item x="640"/>
        <item x="515"/>
        <item x="516"/>
        <item x="181"/>
        <item x="641"/>
        <item x="183"/>
        <item x="517"/>
        <item x="182"/>
        <item x="518"/>
        <item x="184"/>
        <item x="361"/>
        <item x="642"/>
        <item x="643"/>
        <item x="185"/>
        <item x="186"/>
        <item x="519"/>
        <item x="520"/>
        <item x="362"/>
        <item x="521"/>
        <item x="522"/>
        <item x="188"/>
        <item x="523"/>
        <item x="524"/>
        <item x="363"/>
        <item x="644"/>
        <item x="189"/>
        <item x="190"/>
        <item x="364"/>
        <item x="645"/>
        <item x="365"/>
        <item x="646"/>
        <item x="366"/>
        <item x="191"/>
        <item x="206"/>
        <item x="525"/>
        <item x="192"/>
        <item x="647"/>
        <item x="367"/>
        <item x="193"/>
        <item x="526"/>
        <item x="527"/>
        <item x="194"/>
        <item x="648"/>
        <item x="528"/>
        <item x="529"/>
        <item x="649"/>
        <item x="530"/>
        <item x="531"/>
        <item x="650"/>
        <item x="368"/>
        <item x="651"/>
        <item x="652"/>
        <item x="532"/>
        <item x="533"/>
        <item x="369"/>
        <item x="654"/>
        <item x="370"/>
        <item x="534"/>
        <item x="380"/>
        <item x="371"/>
        <item x="195"/>
        <item x="535"/>
        <item x="536"/>
        <item x="655"/>
        <item x="372"/>
        <item x="656"/>
        <item x="657"/>
        <item x="196"/>
        <item x="625"/>
        <item x="373"/>
        <item x="374"/>
        <item x="197"/>
        <item x="658"/>
        <item x="375"/>
        <item x="659"/>
        <item x="537"/>
        <item x="538"/>
        <item x="198"/>
        <item x="376"/>
        <item x="199"/>
        <item x="201"/>
        <item x="200"/>
        <item x="377"/>
        <item x="202"/>
        <item x="378"/>
        <item x="660"/>
        <item x="203"/>
        <item x="539"/>
        <item x="379"/>
        <item x="204"/>
        <item x="661"/>
        <item x="205"/>
        <item x="540"/>
        <item x="541"/>
        <item x="542"/>
        <item x="543"/>
        <item t="default"/>
      </items>
    </pivotField>
    <pivotField numFmtId="14" showAll="0"/>
    <pivotField showAll="0"/>
    <pivotField showAll="0"/>
    <pivotField showAll="0"/>
    <pivotField showAll="0"/>
    <pivotField showAll="0"/>
    <pivotField axis="axisRow" showAll="0">
      <items count="4">
        <item x="0"/>
        <item x="1"/>
        <item x="2"/>
        <item t="default"/>
      </items>
    </pivotField>
    <pivotField showAll="0">
      <items count="5">
        <item x="0"/>
        <item x="2"/>
        <item x="3"/>
        <item x="1"/>
        <item t="default"/>
      </items>
    </pivotField>
    <pivotField showAll="0"/>
    <pivotField showAll="0"/>
    <pivotField showAll="0"/>
    <pivotField showAll="0"/>
    <pivotField showAll="0"/>
    <pivotField showAll="0"/>
    <pivotField showAll="0"/>
    <pivotField numFmtId="43" showAll="0"/>
    <pivotField dataField="1" numFmtId="43" showAll="0"/>
    <pivotField numFmtId="43"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8"/>
  </rowFields>
  <rowItems count="4">
    <i>
      <x/>
    </i>
    <i>
      <x v="1"/>
    </i>
    <i>
      <x v="2"/>
    </i>
    <i t="grand">
      <x/>
    </i>
  </rowItems>
  <colItems count="1">
    <i/>
  </colItems>
  <dataFields count="1">
    <dataField name="Sum of Sales (₦)" fld="18" baseField="0" baseItem="0" numFmtId="43"/>
  </dataField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8" count="1" selected="0">
            <x v="0"/>
          </reference>
        </references>
      </pivotArea>
    </chartFormat>
    <chartFormat chart="4" format="7">
      <pivotArea type="data" outline="0" fieldPosition="0">
        <references count="2">
          <reference field="4294967294" count="1" selected="0">
            <x v="0"/>
          </reference>
          <reference field="8" count="1" selected="0">
            <x v="1"/>
          </reference>
        </references>
      </pivotArea>
    </chartFormat>
    <chartFormat chart="4"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DE2857-4546-43CD-9DC6-D7C0DCDF0FC0}" name="PivotTable3"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Segment">
  <location ref="A18:B22" firstHeaderRow="1" firstDataRow="1" firstDataCol="1"/>
  <pivotFields count="28">
    <pivotField showAll="0"/>
    <pivotField numFmtId="14" showAll="0">
      <items count="663">
        <item x="0"/>
        <item x="207"/>
        <item x="382"/>
        <item x="383"/>
        <item x="208"/>
        <item x="209"/>
        <item x="1"/>
        <item x="210"/>
        <item x="384"/>
        <item x="211"/>
        <item x="385"/>
        <item x="2"/>
        <item x="212"/>
        <item x="386"/>
        <item x="213"/>
        <item x="387"/>
        <item x="214"/>
        <item x="216"/>
        <item x="215"/>
        <item x="388"/>
        <item x="546"/>
        <item x="547"/>
        <item x="217"/>
        <item x="545"/>
        <item x="3"/>
        <item x="548"/>
        <item x="4"/>
        <item x="5"/>
        <item x="549"/>
        <item x="389"/>
        <item x="550"/>
        <item x="551"/>
        <item x="390"/>
        <item x="6"/>
        <item x="7"/>
        <item x="218"/>
        <item x="391"/>
        <item x="552"/>
        <item x="393"/>
        <item x="392"/>
        <item x="8"/>
        <item x="219"/>
        <item x="220"/>
        <item x="9"/>
        <item x="394"/>
        <item x="553"/>
        <item x="221"/>
        <item x="554"/>
        <item x="10"/>
        <item x="555"/>
        <item x="11"/>
        <item x="12"/>
        <item x="13"/>
        <item x="222"/>
        <item x="224"/>
        <item x="223"/>
        <item x="14"/>
        <item x="15"/>
        <item x="226"/>
        <item x="556"/>
        <item x="227"/>
        <item x="557"/>
        <item x="395"/>
        <item x="225"/>
        <item x="396"/>
        <item x="228"/>
        <item x="18"/>
        <item x="17"/>
        <item x="16"/>
        <item x="19"/>
        <item x="558"/>
        <item x="398"/>
        <item x="397"/>
        <item x="229"/>
        <item x="559"/>
        <item x="20"/>
        <item x="399"/>
        <item x="21"/>
        <item x="230"/>
        <item x="231"/>
        <item x="22"/>
        <item x="400"/>
        <item x="24"/>
        <item x="23"/>
        <item x="232"/>
        <item x="25"/>
        <item x="401"/>
        <item x="233"/>
        <item x="560"/>
        <item x="561"/>
        <item x="234"/>
        <item x="562"/>
        <item x="563"/>
        <item x="235"/>
        <item x="402"/>
        <item x="26"/>
        <item x="28"/>
        <item x="403"/>
        <item x="31"/>
        <item x="30"/>
        <item x="29"/>
        <item x="564"/>
        <item x="27"/>
        <item x="236"/>
        <item x="565"/>
        <item x="237"/>
        <item x="566"/>
        <item x="404"/>
        <item x="405"/>
        <item x="238"/>
        <item x="567"/>
        <item x="239"/>
        <item x="32"/>
        <item x="240"/>
        <item x="241"/>
        <item x="568"/>
        <item x="33"/>
        <item x="34"/>
        <item x="242"/>
        <item x="243"/>
        <item x="569"/>
        <item x="406"/>
        <item x="570"/>
        <item x="36"/>
        <item x="37"/>
        <item x="244"/>
        <item x="39"/>
        <item x="38"/>
        <item x="407"/>
        <item x="408"/>
        <item x="245"/>
        <item x="409"/>
        <item x="571"/>
        <item x="246"/>
        <item x="41"/>
        <item x="40"/>
        <item x="572"/>
        <item x="42"/>
        <item x="573"/>
        <item x="247"/>
        <item x="410"/>
        <item x="43"/>
        <item x="44"/>
        <item x="45"/>
        <item x="248"/>
        <item x="411"/>
        <item x="249"/>
        <item x="46"/>
        <item x="250"/>
        <item x="412"/>
        <item x="413"/>
        <item x="47"/>
        <item x="48"/>
        <item x="414"/>
        <item x="251"/>
        <item x="50"/>
        <item x="49"/>
        <item x="415"/>
        <item x="574"/>
        <item x="416"/>
        <item x="51"/>
        <item x="252"/>
        <item x="52"/>
        <item x="417"/>
        <item x="253"/>
        <item x="418"/>
        <item x="575"/>
        <item x="53"/>
        <item x="54"/>
        <item x="55"/>
        <item x="419"/>
        <item x="576"/>
        <item x="254"/>
        <item x="577"/>
        <item x="257"/>
        <item x="256"/>
        <item x="56"/>
        <item x="420"/>
        <item x="421"/>
        <item x="57"/>
        <item x="255"/>
        <item x="422"/>
        <item x="258"/>
        <item x="423"/>
        <item x="424"/>
        <item x="58"/>
        <item x="425"/>
        <item x="426"/>
        <item x="59"/>
        <item x="427"/>
        <item x="428"/>
        <item x="60"/>
        <item x="578"/>
        <item x="259"/>
        <item x="61"/>
        <item x="260"/>
        <item x="261"/>
        <item x="429"/>
        <item x="62"/>
        <item x="63"/>
        <item x="430"/>
        <item x="431"/>
        <item x="432"/>
        <item x="579"/>
        <item x="64"/>
        <item x="433"/>
        <item x="580"/>
        <item x="262"/>
        <item x="434"/>
        <item x="581"/>
        <item x="65"/>
        <item x="582"/>
        <item x="263"/>
        <item x="264"/>
        <item x="583"/>
        <item x="66"/>
        <item x="435"/>
        <item x="67"/>
        <item x="68"/>
        <item x="265"/>
        <item x="436"/>
        <item x="437"/>
        <item x="438"/>
        <item x="439"/>
        <item x="266"/>
        <item x="267"/>
        <item x="69"/>
        <item x="269"/>
        <item x="268"/>
        <item x="70"/>
        <item x="71"/>
        <item x="72"/>
        <item x="440"/>
        <item x="270"/>
        <item x="584"/>
        <item x="585"/>
        <item x="587"/>
        <item x="271"/>
        <item x="73"/>
        <item x="586"/>
        <item x="272"/>
        <item x="273"/>
        <item x="74"/>
        <item x="75"/>
        <item x="77"/>
        <item x="76"/>
        <item x="274"/>
        <item x="275"/>
        <item x="588"/>
        <item x="589"/>
        <item x="276"/>
        <item x="441"/>
        <item x="78"/>
        <item x="277"/>
        <item x="80"/>
        <item x="79"/>
        <item x="81"/>
        <item x="590"/>
        <item x="442"/>
        <item x="591"/>
        <item x="278"/>
        <item x="83"/>
        <item x="82"/>
        <item x="443"/>
        <item x="84"/>
        <item x="279"/>
        <item x="85"/>
        <item x="592"/>
        <item x="593"/>
        <item x="594"/>
        <item x="280"/>
        <item x="444"/>
        <item x="281"/>
        <item x="86"/>
        <item x="445"/>
        <item x="595"/>
        <item x="282"/>
        <item x="87"/>
        <item x="596"/>
        <item x="283"/>
        <item x="284"/>
        <item x="90"/>
        <item x="88"/>
        <item x="89"/>
        <item x="285"/>
        <item x="91"/>
        <item x="92"/>
        <item x="94"/>
        <item x="446"/>
        <item x="93"/>
        <item x="286"/>
        <item x="447"/>
        <item x="95"/>
        <item x="597"/>
        <item x="287"/>
        <item x="448"/>
        <item x="598"/>
        <item x="96"/>
        <item x="289"/>
        <item x="288"/>
        <item x="97"/>
        <item x="98"/>
        <item x="290"/>
        <item x="449"/>
        <item x="599"/>
        <item x="600"/>
        <item x="450"/>
        <item x="100"/>
        <item x="99"/>
        <item x="601"/>
        <item x="291"/>
        <item x="451"/>
        <item x="101"/>
        <item x="452"/>
        <item x="602"/>
        <item x="453"/>
        <item x="454"/>
        <item x="292"/>
        <item x="455"/>
        <item x="293"/>
        <item x="603"/>
        <item x="456"/>
        <item x="294"/>
        <item x="295"/>
        <item x="102"/>
        <item x="296"/>
        <item x="297"/>
        <item x="103"/>
        <item x="299"/>
        <item x="298"/>
        <item x="457"/>
        <item x="104"/>
        <item x="105"/>
        <item x="604"/>
        <item x="300"/>
        <item x="458"/>
        <item x="459"/>
        <item x="106"/>
        <item x="460"/>
        <item x="461"/>
        <item x="107"/>
        <item x="108"/>
        <item x="462"/>
        <item x="109"/>
        <item x="110"/>
        <item x="35"/>
        <item x="605"/>
        <item x="301"/>
        <item x="111"/>
        <item x="302"/>
        <item x="463"/>
        <item x="112"/>
        <item x="113"/>
        <item x="114"/>
        <item x="115"/>
        <item x="464"/>
        <item x="606"/>
        <item x="465"/>
        <item x="303"/>
        <item x="116"/>
        <item x="607"/>
        <item x="304"/>
        <item x="305"/>
        <item x="117"/>
        <item x="118"/>
        <item x="306"/>
        <item x="120"/>
        <item x="119"/>
        <item x="466"/>
        <item x="467"/>
        <item x="307"/>
        <item x="308"/>
        <item x="309"/>
        <item x="608"/>
        <item x="121"/>
        <item x="310"/>
        <item x="122"/>
        <item x="123"/>
        <item x="124"/>
        <item x="544"/>
        <item x="311"/>
        <item x="468"/>
        <item x="125"/>
        <item x="312"/>
        <item x="313"/>
        <item x="469"/>
        <item x="470"/>
        <item x="315"/>
        <item x="314"/>
        <item x="126"/>
        <item x="128"/>
        <item x="127"/>
        <item x="609"/>
        <item x="471"/>
        <item x="316"/>
        <item x="317"/>
        <item x="318"/>
        <item x="472"/>
        <item x="131"/>
        <item x="130"/>
        <item x="129"/>
        <item x="473"/>
        <item x="132"/>
        <item x="133"/>
        <item x="319"/>
        <item x="610"/>
        <item x="320"/>
        <item x="611"/>
        <item x="134"/>
        <item x="612"/>
        <item x="613"/>
        <item x="614"/>
        <item x="321"/>
        <item x="615"/>
        <item x="474"/>
        <item x="616"/>
        <item x="475"/>
        <item x="322"/>
        <item x="323"/>
        <item x="135"/>
        <item x="617"/>
        <item x="136"/>
        <item x="476"/>
        <item x="324"/>
        <item x="477"/>
        <item x="137"/>
        <item x="478"/>
        <item x="325"/>
        <item x="138"/>
        <item x="326"/>
        <item x="140"/>
        <item x="327"/>
        <item x="141"/>
        <item x="139"/>
        <item x="479"/>
        <item x="329"/>
        <item x="328"/>
        <item x="618"/>
        <item x="481"/>
        <item x="480"/>
        <item x="142"/>
        <item x="330"/>
        <item x="482"/>
        <item x="331"/>
        <item x="483"/>
        <item x="332"/>
        <item x="484"/>
        <item x="485"/>
        <item x="143"/>
        <item x="486"/>
        <item x="487"/>
        <item x="619"/>
        <item x="333"/>
        <item x="334"/>
        <item x="488"/>
        <item x="187"/>
        <item x="335"/>
        <item x="144"/>
        <item x="145"/>
        <item x="489"/>
        <item x="620"/>
        <item x="146"/>
        <item x="490"/>
        <item x="621"/>
        <item x="491"/>
        <item x="492"/>
        <item x="493"/>
        <item x="494"/>
        <item x="147"/>
        <item x="495"/>
        <item x="496"/>
        <item x="148"/>
        <item x="653"/>
        <item x="336"/>
        <item x="150"/>
        <item x="149"/>
        <item x="337"/>
        <item x="622"/>
        <item x="338"/>
        <item x="151"/>
        <item x="152"/>
        <item x="497"/>
        <item x="154"/>
        <item x="153"/>
        <item x="155"/>
        <item x="156"/>
        <item x="623"/>
        <item x="339"/>
        <item x="157"/>
        <item x="498"/>
        <item x="158"/>
        <item x="340"/>
        <item x="159"/>
        <item x="341"/>
        <item x="624"/>
        <item x="499"/>
        <item x="160"/>
        <item x="342"/>
        <item x="626"/>
        <item x="627"/>
        <item x="500"/>
        <item x="161"/>
        <item x="628"/>
        <item x="381"/>
        <item x="162"/>
        <item x="343"/>
        <item x="344"/>
        <item x="163"/>
        <item x="629"/>
        <item x="345"/>
        <item x="164"/>
        <item x="346"/>
        <item x="501"/>
        <item x="165"/>
        <item x="347"/>
        <item x="166"/>
        <item x="348"/>
        <item x="167"/>
        <item x="630"/>
        <item x="168"/>
        <item x="502"/>
        <item x="631"/>
        <item x="503"/>
        <item x="504"/>
        <item x="169"/>
        <item x="170"/>
        <item x="350"/>
        <item x="505"/>
        <item x="349"/>
        <item x="351"/>
        <item x="632"/>
        <item x="171"/>
        <item x="172"/>
        <item x="352"/>
        <item x="353"/>
        <item x="173"/>
        <item x="633"/>
        <item x="634"/>
        <item x="354"/>
        <item x="506"/>
        <item x="174"/>
        <item x="635"/>
        <item x="507"/>
        <item x="636"/>
        <item x="175"/>
        <item x="637"/>
        <item x="176"/>
        <item x="508"/>
        <item x="638"/>
        <item x="355"/>
        <item x="177"/>
        <item x="509"/>
        <item x="511"/>
        <item x="510"/>
        <item x="512"/>
        <item x="178"/>
        <item x="356"/>
        <item x="357"/>
        <item x="179"/>
        <item x="358"/>
        <item x="180"/>
        <item x="513"/>
        <item x="639"/>
        <item x="514"/>
        <item x="360"/>
        <item x="359"/>
        <item x="640"/>
        <item x="515"/>
        <item x="516"/>
        <item x="181"/>
        <item x="641"/>
        <item x="183"/>
        <item x="517"/>
        <item x="182"/>
        <item x="518"/>
        <item x="184"/>
        <item x="361"/>
        <item x="642"/>
        <item x="643"/>
        <item x="185"/>
        <item x="186"/>
        <item x="519"/>
        <item x="520"/>
        <item x="362"/>
        <item x="521"/>
        <item x="522"/>
        <item x="188"/>
        <item x="523"/>
        <item x="524"/>
        <item x="363"/>
        <item x="644"/>
        <item x="189"/>
        <item x="190"/>
        <item x="364"/>
        <item x="645"/>
        <item x="365"/>
        <item x="646"/>
        <item x="366"/>
        <item x="191"/>
        <item x="206"/>
        <item x="525"/>
        <item x="192"/>
        <item x="647"/>
        <item x="367"/>
        <item x="193"/>
        <item x="526"/>
        <item x="527"/>
        <item x="194"/>
        <item x="648"/>
        <item x="528"/>
        <item x="529"/>
        <item x="649"/>
        <item x="530"/>
        <item x="531"/>
        <item x="650"/>
        <item x="368"/>
        <item x="651"/>
        <item x="652"/>
        <item x="532"/>
        <item x="533"/>
        <item x="369"/>
        <item x="654"/>
        <item x="370"/>
        <item x="534"/>
        <item x="380"/>
        <item x="371"/>
        <item x="195"/>
        <item x="535"/>
        <item x="536"/>
        <item x="655"/>
        <item x="372"/>
        <item x="656"/>
        <item x="657"/>
        <item x="196"/>
        <item x="625"/>
        <item x="373"/>
        <item x="374"/>
        <item x="197"/>
        <item x="658"/>
        <item x="375"/>
        <item x="659"/>
        <item x="537"/>
        <item x="538"/>
        <item x="198"/>
        <item x="376"/>
        <item x="199"/>
        <item x="201"/>
        <item x="200"/>
        <item x="377"/>
        <item x="202"/>
        <item x="378"/>
        <item x="660"/>
        <item x="203"/>
        <item x="539"/>
        <item x="379"/>
        <item x="204"/>
        <item x="661"/>
        <item x="205"/>
        <item x="540"/>
        <item x="541"/>
        <item x="542"/>
        <item x="543"/>
        <item t="default"/>
      </items>
    </pivotField>
    <pivotField numFmtId="14" showAll="0"/>
    <pivotField showAll="0"/>
    <pivotField showAll="0"/>
    <pivotField showAll="0"/>
    <pivotField showAll="0"/>
    <pivotField showAll="0"/>
    <pivotField axis="axisRow" showAll="0">
      <items count="4">
        <item x="0"/>
        <item x="1"/>
        <item x="2"/>
        <item t="default"/>
      </items>
    </pivotField>
    <pivotField showAll="0">
      <items count="5">
        <item x="0"/>
        <item x="2"/>
        <item x="3"/>
        <item x="1"/>
        <item t="default"/>
      </items>
    </pivotField>
    <pivotField showAll="0"/>
    <pivotField showAll="0"/>
    <pivotField showAll="0"/>
    <pivotField showAll="0"/>
    <pivotField showAll="0"/>
    <pivotField showAll="0"/>
    <pivotField showAll="0"/>
    <pivotField numFmtId="43" showAll="0"/>
    <pivotField numFmtId="43" showAll="0"/>
    <pivotField dataField="1" numFmtId="43"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8"/>
  </rowFields>
  <rowItems count="4">
    <i>
      <x/>
    </i>
    <i>
      <x v="1"/>
    </i>
    <i>
      <x v="2"/>
    </i>
    <i t="grand">
      <x/>
    </i>
  </rowItems>
  <colItems count="1">
    <i/>
  </colItems>
  <dataFields count="1">
    <dataField name="Sum of Profit (₦)" fld="19" showDataAs="percentOfTotal" baseField="0" baseItem="0" numFmtId="10"/>
  </dataFields>
  <chartFormats count="5">
    <chartFormat chart="3"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8" count="1" selected="0">
            <x v="0"/>
          </reference>
        </references>
      </pivotArea>
    </chartFormat>
    <chartFormat chart="6" format="7">
      <pivotArea type="data" outline="0" fieldPosition="0">
        <references count="2">
          <reference field="4294967294" count="1" selected="0">
            <x v="0"/>
          </reference>
          <reference field="8" count="1" selected="0">
            <x v="1"/>
          </reference>
        </references>
      </pivotArea>
    </chartFormat>
    <chartFormat chart="6"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76B3C4-1810-47C9-9A0C-9CA92F037F1B}" name="PivotTable4"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Segment">
  <location ref="A26:B37" firstHeaderRow="1" firstDataRow="1" firstDataCol="1"/>
  <pivotFields count="28">
    <pivotField showAll="0"/>
    <pivotField numFmtId="14" showAll="0">
      <items count="663">
        <item x="0"/>
        <item x="207"/>
        <item x="382"/>
        <item x="383"/>
        <item x="208"/>
        <item x="209"/>
        <item x="1"/>
        <item x="210"/>
        <item x="384"/>
        <item x="211"/>
        <item x="385"/>
        <item x="2"/>
        <item x="212"/>
        <item x="386"/>
        <item x="213"/>
        <item x="387"/>
        <item x="214"/>
        <item x="216"/>
        <item x="215"/>
        <item x="388"/>
        <item x="546"/>
        <item x="547"/>
        <item x="217"/>
        <item x="545"/>
        <item x="3"/>
        <item x="548"/>
        <item x="4"/>
        <item x="5"/>
        <item x="549"/>
        <item x="389"/>
        <item x="550"/>
        <item x="551"/>
        <item x="390"/>
        <item x="6"/>
        <item x="7"/>
        <item x="218"/>
        <item x="391"/>
        <item x="552"/>
        <item x="393"/>
        <item x="392"/>
        <item x="8"/>
        <item x="219"/>
        <item x="220"/>
        <item x="9"/>
        <item x="394"/>
        <item x="553"/>
        <item x="221"/>
        <item x="554"/>
        <item x="10"/>
        <item x="555"/>
        <item x="11"/>
        <item x="12"/>
        <item x="13"/>
        <item x="222"/>
        <item x="224"/>
        <item x="223"/>
        <item x="14"/>
        <item x="15"/>
        <item x="226"/>
        <item x="556"/>
        <item x="227"/>
        <item x="557"/>
        <item x="395"/>
        <item x="225"/>
        <item x="396"/>
        <item x="228"/>
        <item x="18"/>
        <item x="17"/>
        <item x="16"/>
        <item x="19"/>
        <item x="558"/>
        <item x="398"/>
        <item x="397"/>
        <item x="229"/>
        <item x="559"/>
        <item x="20"/>
        <item x="399"/>
        <item x="21"/>
        <item x="230"/>
        <item x="231"/>
        <item x="22"/>
        <item x="400"/>
        <item x="24"/>
        <item x="23"/>
        <item x="232"/>
        <item x="25"/>
        <item x="401"/>
        <item x="233"/>
        <item x="560"/>
        <item x="561"/>
        <item x="234"/>
        <item x="562"/>
        <item x="563"/>
        <item x="235"/>
        <item x="402"/>
        <item x="26"/>
        <item x="28"/>
        <item x="403"/>
        <item x="31"/>
        <item x="30"/>
        <item x="29"/>
        <item x="564"/>
        <item x="27"/>
        <item x="236"/>
        <item x="565"/>
        <item x="237"/>
        <item x="566"/>
        <item x="404"/>
        <item x="405"/>
        <item x="238"/>
        <item x="567"/>
        <item x="239"/>
        <item x="32"/>
        <item x="240"/>
        <item x="241"/>
        <item x="568"/>
        <item x="33"/>
        <item x="34"/>
        <item x="242"/>
        <item x="243"/>
        <item x="569"/>
        <item x="406"/>
        <item x="570"/>
        <item x="36"/>
        <item x="37"/>
        <item x="244"/>
        <item x="39"/>
        <item x="38"/>
        <item x="407"/>
        <item x="408"/>
        <item x="245"/>
        <item x="409"/>
        <item x="571"/>
        <item x="246"/>
        <item x="41"/>
        <item x="40"/>
        <item x="572"/>
        <item x="42"/>
        <item x="573"/>
        <item x="247"/>
        <item x="410"/>
        <item x="43"/>
        <item x="44"/>
        <item x="45"/>
        <item x="248"/>
        <item x="411"/>
        <item x="249"/>
        <item x="46"/>
        <item x="250"/>
        <item x="412"/>
        <item x="413"/>
        <item x="47"/>
        <item x="48"/>
        <item x="414"/>
        <item x="251"/>
        <item x="50"/>
        <item x="49"/>
        <item x="415"/>
        <item x="574"/>
        <item x="416"/>
        <item x="51"/>
        <item x="252"/>
        <item x="52"/>
        <item x="417"/>
        <item x="253"/>
        <item x="418"/>
        <item x="575"/>
        <item x="53"/>
        <item x="54"/>
        <item x="55"/>
        <item x="419"/>
        <item x="576"/>
        <item x="254"/>
        <item x="577"/>
        <item x="257"/>
        <item x="256"/>
        <item x="56"/>
        <item x="420"/>
        <item x="421"/>
        <item x="57"/>
        <item x="255"/>
        <item x="422"/>
        <item x="258"/>
        <item x="423"/>
        <item x="424"/>
        <item x="58"/>
        <item x="425"/>
        <item x="426"/>
        <item x="59"/>
        <item x="427"/>
        <item x="428"/>
        <item x="60"/>
        <item x="578"/>
        <item x="259"/>
        <item x="61"/>
        <item x="260"/>
        <item x="261"/>
        <item x="429"/>
        <item x="62"/>
        <item x="63"/>
        <item x="430"/>
        <item x="431"/>
        <item x="432"/>
        <item x="579"/>
        <item x="64"/>
        <item x="433"/>
        <item x="580"/>
        <item x="262"/>
        <item x="434"/>
        <item x="581"/>
        <item x="65"/>
        <item x="582"/>
        <item x="263"/>
        <item x="264"/>
        <item x="583"/>
        <item x="66"/>
        <item x="435"/>
        <item x="67"/>
        <item x="68"/>
        <item x="265"/>
        <item x="436"/>
        <item x="437"/>
        <item x="438"/>
        <item x="439"/>
        <item x="266"/>
        <item x="267"/>
        <item x="69"/>
        <item x="269"/>
        <item x="268"/>
        <item x="70"/>
        <item x="71"/>
        <item x="72"/>
        <item x="440"/>
        <item x="270"/>
        <item x="584"/>
        <item x="585"/>
        <item x="587"/>
        <item x="271"/>
        <item x="73"/>
        <item x="586"/>
        <item x="272"/>
        <item x="273"/>
        <item x="74"/>
        <item x="75"/>
        <item x="77"/>
        <item x="76"/>
        <item x="274"/>
        <item x="275"/>
        <item x="588"/>
        <item x="589"/>
        <item x="276"/>
        <item x="441"/>
        <item x="78"/>
        <item x="277"/>
        <item x="80"/>
        <item x="79"/>
        <item x="81"/>
        <item x="590"/>
        <item x="442"/>
        <item x="591"/>
        <item x="278"/>
        <item x="83"/>
        <item x="82"/>
        <item x="443"/>
        <item x="84"/>
        <item x="279"/>
        <item x="85"/>
        <item x="592"/>
        <item x="593"/>
        <item x="594"/>
        <item x="280"/>
        <item x="444"/>
        <item x="281"/>
        <item x="86"/>
        <item x="445"/>
        <item x="595"/>
        <item x="282"/>
        <item x="87"/>
        <item x="596"/>
        <item x="283"/>
        <item x="284"/>
        <item x="90"/>
        <item x="88"/>
        <item x="89"/>
        <item x="285"/>
        <item x="91"/>
        <item x="92"/>
        <item x="94"/>
        <item x="446"/>
        <item x="93"/>
        <item x="286"/>
        <item x="447"/>
        <item x="95"/>
        <item x="597"/>
        <item x="287"/>
        <item x="448"/>
        <item x="598"/>
        <item x="96"/>
        <item x="289"/>
        <item x="288"/>
        <item x="97"/>
        <item x="98"/>
        <item x="290"/>
        <item x="449"/>
        <item x="599"/>
        <item x="600"/>
        <item x="450"/>
        <item x="100"/>
        <item x="99"/>
        <item x="601"/>
        <item x="291"/>
        <item x="451"/>
        <item x="101"/>
        <item x="452"/>
        <item x="602"/>
        <item x="453"/>
        <item x="454"/>
        <item x="292"/>
        <item x="455"/>
        <item x="293"/>
        <item x="603"/>
        <item x="456"/>
        <item x="294"/>
        <item x="295"/>
        <item x="102"/>
        <item x="296"/>
        <item x="297"/>
        <item x="103"/>
        <item x="299"/>
        <item x="298"/>
        <item x="457"/>
        <item x="104"/>
        <item x="105"/>
        <item x="604"/>
        <item x="300"/>
        <item x="458"/>
        <item x="459"/>
        <item x="106"/>
        <item x="460"/>
        <item x="461"/>
        <item x="107"/>
        <item x="108"/>
        <item x="462"/>
        <item x="109"/>
        <item x="110"/>
        <item x="35"/>
        <item x="605"/>
        <item x="301"/>
        <item x="111"/>
        <item x="302"/>
        <item x="463"/>
        <item x="112"/>
        <item x="113"/>
        <item x="114"/>
        <item x="115"/>
        <item x="464"/>
        <item x="606"/>
        <item x="465"/>
        <item x="303"/>
        <item x="116"/>
        <item x="607"/>
        <item x="304"/>
        <item x="305"/>
        <item x="117"/>
        <item x="118"/>
        <item x="306"/>
        <item x="120"/>
        <item x="119"/>
        <item x="466"/>
        <item x="467"/>
        <item x="307"/>
        <item x="308"/>
        <item x="309"/>
        <item x="608"/>
        <item x="121"/>
        <item x="310"/>
        <item x="122"/>
        <item x="123"/>
        <item x="124"/>
        <item x="544"/>
        <item x="311"/>
        <item x="468"/>
        <item x="125"/>
        <item x="312"/>
        <item x="313"/>
        <item x="469"/>
        <item x="470"/>
        <item x="315"/>
        <item x="314"/>
        <item x="126"/>
        <item x="128"/>
        <item x="127"/>
        <item x="609"/>
        <item x="471"/>
        <item x="316"/>
        <item x="317"/>
        <item x="318"/>
        <item x="472"/>
        <item x="131"/>
        <item x="130"/>
        <item x="129"/>
        <item x="473"/>
        <item x="132"/>
        <item x="133"/>
        <item x="319"/>
        <item x="610"/>
        <item x="320"/>
        <item x="611"/>
        <item x="134"/>
        <item x="612"/>
        <item x="613"/>
        <item x="614"/>
        <item x="321"/>
        <item x="615"/>
        <item x="474"/>
        <item x="616"/>
        <item x="475"/>
        <item x="322"/>
        <item x="323"/>
        <item x="135"/>
        <item x="617"/>
        <item x="136"/>
        <item x="476"/>
        <item x="324"/>
        <item x="477"/>
        <item x="137"/>
        <item x="478"/>
        <item x="325"/>
        <item x="138"/>
        <item x="326"/>
        <item x="140"/>
        <item x="327"/>
        <item x="141"/>
        <item x="139"/>
        <item x="479"/>
        <item x="329"/>
        <item x="328"/>
        <item x="618"/>
        <item x="481"/>
        <item x="480"/>
        <item x="142"/>
        <item x="330"/>
        <item x="482"/>
        <item x="331"/>
        <item x="483"/>
        <item x="332"/>
        <item x="484"/>
        <item x="485"/>
        <item x="143"/>
        <item x="486"/>
        <item x="487"/>
        <item x="619"/>
        <item x="333"/>
        <item x="334"/>
        <item x="488"/>
        <item x="187"/>
        <item x="335"/>
        <item x="144"/>
        <item x="145"/>
        <item x="489"/>
        <item x="620"/>
        <item x="146"/>
        <item x="490"/>
        <item x="621"/>
        <item x="491"/>
        <item x="492"/>
        <item x="493"/>
        <item x="494"/>
        <item x="147"/>
        <item x="495"/>
        <item x="496"/>
        <item x="148"/>
        <item x="653"/>
        <item x="336"/>
        <item x="150"/>
        <item x="149"/>
        <item x="337"/>
        <item x="622"/>
        <item x="338"/>
        <item x="151"/>
        <item x="152"/>
        <item x="497"/>
        <item x="154"/>
        <item x="153"/>
        <item x="155"/>
        <item x="156"/>
        <item x="623"/>
        <item x="339"/>
        <item x="157"/>
        <item x="498"/>
        <item x="158"/>
        <item x="340"/>
        <item x="159"/>
        <item x="341"/>
        <item x="624"/>
        <item x="499"/>
        <item x="160"/>
        <item x="342"/>
        <item x="626"/>
        <item x="627"/>
        <item x="500"/>
        <item x="161"/>
        <item x="628"/>
        <item x="381"/>
        <item x="162"/>
        <item x="343"/>
        <item x="344"/>
        <item x="163"/>
        <item x="629"/>
        <item x="345"/>
        <item x="164"/>
        <item x="346"/>
        <item x="501"/>
        <item x="165"/>
        <item x="347"/>
        <item x="166"/>
        <item x="348"/>
        <item x="167"/>
        <item x="630"/>
        <item x="168"/>
        <item x="502"/>
        <item x="631"/>
        <item x="503"/>
        <item x="504"/>
        <item x="169"/>
        <item x="170"/>
        <item x="350"/>
        <item x="505"/>
        <item x="349"/>
        <item x="351"/>
        <item x="632"/>
        <item x="171"/>
        <item x="172"/>
        <item x="352"/>
        <item x="353"/>
        <item x="173"/>
        <item x="633"/>
        <item x="634"/>
        <item x="354"/>
        <item x="506"/>
        <item x="174"/>
        <item x="635"/>
        <item x="507"/>
        <item x="636"/>
        <item x="175"/>
        <item x="637"/>
        <item x="176"/>
        <item x="508"/>
        <item x="638"/>
        <item x="355"/>
        <item x="177"/>
        <item x="509"/>
        <item x="511"/>
        <item x="510"/>
        <item x="512"/>
        <item x="178"/>
        <item x="356"/>
        <item x="357"/>
        <item x="179"/>
        <item x="358"/>
        <item x="180"/>
        <item x="513"/>
        <item x="639"/>
        <item x="514"/>
        <item x="360"/>
        <item x="359"/>
        <item x="640"/>
        <item x="515"/>
        <item x="516"/>
        <item x="181"/>
        <item x="641"/>
        <item x="183"/>
        <item x="517"/>
        <item x="182"/>
        <item x="518"/>
        <item x="184"/>
        <item x="361"/>
        <item x="642"/>
        <item x="643"/>
        <item x="185"/>
        <item x="186"/>
        <item x="519"/>
        <item x="520"/>
        <item x="362"/>
        <item x="521"/>
        <item x="522"/>
        <item x="188"/>
        <item x="523"/>
        <item x="524"/>
        <item x="363"/>
        <item x="644"/>
        <item x="189"/>
        <item x="190"/>
        <item x="364"/>
        <item x="645"/>
        <item x="365"/>
        <item x="646"/>
        <item x="366"/>
        <item x="191"/>
        <item x="206"/>
        <item x="525"/>
        <item x="192"/>
        <item x="647"/>
        <item x="367"/>
        <item x="193"/>
        <item x="526"/>
        <item x="527"/>
        <item x="194"/>
        <item x="648"/>
        <item x="528"/>
        <item x="529"/>
        <item x="649"/>
        <item x="530"/>
        <item x="531"/>
        <item x="650"/>
        <item x="368"/>
        <item x="651"/>
        <item x="652"/>
        <item x="532"/>
        <item x="533"/>
        <item x="369"/>
        <item x="654"/>
        <item x="370"/>
        <item x="534"/>
        <item x="380"/>
        <item x="371"/>
        <item x="195"/>
        <item x="535"/>
        <item x="536"/>
        <item x="655"/>
        <item x="372"/>
        <item x="656"/>
        <item x="657"/>
        <item x="196"/>
        <item x="625"/>
        <item x="373"/>
        <item x="374"/>
        <item x="197"/>
        <item x="658"/>
        <item x="375"/>
        <item x="659"/>
        <item x="537"/>
        <item x="538"/>
        <item x="198"/>
        <item x="376"/>
        <item x="199"/>
        <item x="201"/>
        <item x="200"/>
        <item x="377"/>
        <item x="202"/>
        <item x="378"/>
        <item x="660"/>
        <item x="203"/>
        <item x="539"/>
        <item x="379"/>
        <item x="204"/>
        <item x="661"/>
        <item x="205"/>
        <item x="540"/>
        <item x="541"/>
        <item x="542"/>
        <item x="543"/>
        <item t="default"/>
      </items>
    </pivotField>
    <pivotField numFmtId="14" showAll="0"/>
    <pivotField showAll="0"/>
    <pivotField showAll="0"/>
    <pivotField showAll="0"/>
    <pivotField showAll="0"/>
    <pivotField showAll="0"/>
    <pivotField showAll="0"/>
    <pivotField showAll="0">
      <items count="5">
        <item x="0"/>
        <item x="2"/>
        <item x="3"/>
        <item x="1"/>
        <item t="default"/>
      </items>
    </pivotField>
    <pivotField showAll="0"/>
    <pivotField showAll="0"/>
    <pivotField showAll="0"/>
    <pivotField axis="axisRow" showAll="0" measureFilter="1" sortType="ascending">
      <items count="146">
        <item x="143"/>
        <item x="99"/>
        <item x="51"/>
        <item x="47"/>
        <item x="92"/>
        <item x="105"/>
        <item x="44"/>
        <item x="123"/>
        <item x="63"/>
        <item x="88"/>
        <item x="40"/>
        <item x="113"/>
        <item x="50"/>
        <item x="12"/>
        <item x="76"/>
        <item x="133"/>
        <item x="129"/>
        <item x="34"/>
        <item x="79"/>
        <item x="110"/>
        <item x="142"/>
        <item x="144"/>
        <item x="104"/>
        <item x="0"/>
        <item x="77"/>
        <item x="3"/>
        <item x="55"/>
        <item x="89"/>
        <item x="80"/>
        <item x="33"/>
        <item x="58"/>
        <item x="119"/>
        <item x="102"/>
        <item x="78"/>
        <item x="5"/>
        <item x="84"/>
        <item x="57"/>
        <item x="75"/>
        <item x="126"/>
        <item x="1"/>
        <item x="21"/>
        <item x="42"/>
        <item x="9"/>
        <item x="112"/>
        <item x="115"/>
        <item x="69"/>
        <item x="114"/>
        <item x="70"/>
        <item x="49"/>
        <item x="130"/>
        <item x="18"/>
        <item x="53"/>
        <item x="72"/>
        <item x="38"/>
        <item x="135"/>
        <item x="60"/>
        <item x="32"/>
        <item x="43"/>
        <item x="111"/>
        <item x="15"/>
        <item x="127"/>
        <item x="20"/>
        <item x="121"/>
        <item x="93"/>
        <item x="66"/>
        <item x="71"/>
        <item x="54"/>
        <item x="48"/>
        <item x="14"/>
        <item x="136"/>
        <item x="2"/>
        <item x="52"/>
        <item x="30"/>
        <item x="83"/>
        <item x="98"/>
        <item x="81"/>
        <item x="45"/>
        <item x="139"/>
        <item x="86"/>
        <item x="10"/>
        <item x="56"/>
        <item x="27"/>
        <item x="90"/>
        <item x="62"/>
        <item x="97"/>
        <item x="8"/>
        <item x="138"/>
        <item x="128"/>
        <item x="125"/>
        <item x="25"/>
        <item x="94"/>
        <item x="141"/>
        <item x="23"/>
        <item x="28"/>
        <item x="46"/>
        <item x="108"/>
        <item x="16"/>
        <item x="82"/>
        <item x="29"/>
        <item x="64"/>
        <item x="91"/>
        <item x="61"/>
        <item x="65"/>
        <item x="73"/>
        <item x="109"/>
        <item x="124"/>
        <item x="116"/>
        <item x="100"/>
        <item x="36"/>
        <item x="122"/>
        <item x="117"/>
        <item x="39"/>
        <item x="132"/>
        <item x="87"/>
        <item x="74"/>
        <item x="37"/>
        <item x="120"/>
        <item x="68"/>
        <item x="106"/>
        <item x="107"/>
        <item x="26"/>
        <item x="134"/>
        <item x="19"/>
        <item x="24"/>
        <item x="85"/>
        <item x="22"/>
        <item x="59"/>
        <item x="103"/>
        <item x="6"/>
        <item x="41"/>
        <item x="95"/>
        <item x="11"/>
        <item x="118"/>
        <item x="137"/>
        <item x="7"/>
        <item x="101"/>
        <item x="140"/>
        <item x="96"/>
        <item x="35"/>
        <item x="67"/>
        <item x="131"/>
        <item x="31"/>
        <item x="13"/>
        <item x="17"/>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43" showAll="0"/>
    <pivotField dataField="1" numFmtId="43" showAll="0"/>
    <pivotField numFmtId="43"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3"/>
  </rowFields>
  <rowItems count="11">
    <i>
      <x v="73"/>
    </i>
    <i>
      <x v="46"/>
    </i>
    <i>
      <x v="125"/>
    </i>
    <i>
      <x v="111"/>
    </i>
    <i>
      <x v="61"/>
    </i>
    <i>
      <x v="40"/>
    </i>
    <i>
      <x v="65"/>
    </i>
    <i>
      <x v="64"/>
    </i>
    <i>
      <x v="144"/>
    </i>
    <i>
      <x v="72"/>
    </i>
    <i t="grand">
      <x/>
    </i>
  </rowItems>
  <colItems count="1">
    <i/>
  </colItems>
  <dataFields count="1">
    <dataField name="Sum of Sales (₦)" fld="18" baseField="0" baseItem="0" numFmtId="43"/>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BFFBA16-C436-4170-9210-86C20D7DC71F}" name="PivotTable5"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Segment">
  <location ref="A40:B51" firstHeaderRow="1" firstDataRow="1" firstDataCol="1"/>
  <pivotFields count="28">
    <pivotField showAll="0"/>
    <pivotField numFmtId="14" showAll="0">
      <items count="663">
        <item x="0"/>
        <item x="207"/>
        <item x="382"/>
        <item x="383"/>
        <item x="208"/>
        <item x="209"/>
        <item x="1"/>
        <item x="210"/>
        <item x="384"/>
        <item x="211"/>
        <item x="385"/>
        <item x="2"/>
        <item x="212"/>
        <item x="386"/>
        <item x="213"/>
        <item x="387"/>
        <item x="214"/>
        <item x="216"/>
        <item x="215"/>
        <item x="388"/>
        <item x="546"/>
        <item x="547"/>
        <item x="217"/>
        <item x="545"/>
        <item x="3"/>
        <item x="548"/>
        <item x="4"/>
        <item x="5"/>
        <item x="549"/>
        <item x="389"/>
        <item x="550"/>
        <item x="551"/>
        <item x="390"/>
        <item x="6"/>
        <item x="7"/>
        <item x="218"/>
        <item x="391"/>
        <item x="552"/>
        <item x="393"/>
        <item x="392"/>
        <item x="8"/>
        <item x="219"/>
        <item x="220"/>
        <item x="9"/>
        <item x="394"/>
        <item x="553"/>
        <item x="221"/>
        <item x="554"/>
        <item x="10"/>
        <item x="555"/>
        <item x="11"/>
        <item x="12"/>
        <item x="13"/>
        <item x="222"/>
        <item x="224"/>
        <item x="223"/>
        <item x="14"/>
        <item x="15"/>
        <item x="226"/>
        <item x="556"/>
        <item x="227"/>
        <item x="557"/>
        <item x="395"/>
        <item x="225"/>
        <item x="396"/>
        <item x="228"/>
        <item x="18"/>
        <item x="17"/>
        <item x="16"/>
        <item x="19"/>
        <item x="558"/>
        <item x="398"/>
        <item x="397"/>
        <item x="229"/>
        <item x="559"/>
        <item x="20"/>
        <item x="399"/>
        <item x="21"/>
        <item x="230"/>
        <item x="231"/>
        <item x="22"/>
        <item x="400"/>
        <item x="24"/>
        <item x="23"/>
        <item x="232"/>
        <item x="25"/>
        <item x="401"/>
        <item x="233"/>
        <item x="560"/>
        <item x="561"/>
        <item x="234"/>
        <item x="562"/>
        <item x="563"/>
        <item x="235"/>
        <item x="402"/>
        <item x="26"/>
        <item x="28"/>
        <item x="403"/>
        <item x="31"/>
        <item x="30"/>
        <item x="29"/>
        <item x="564"/>
        <item x="27"/>
        <item x="236"/>
        <item x="565"/>
        <item x="237"/>
        <item x="566"/>
        <item x="404"/>
        <item x="405"/>
        <item x="238"/>
        <item x="567"/>
        <item x="239"/>
        <item x="32"/>
        <item x="240"/>
        <item x="241"/>
        <item x="568"/>
        <item x="33"/>
        <item x="34"/>
        <item x="242"/>
        <item x="243"/>
        <item x="569"/>
        <item x="406"/>
        <item x="570"/>
        <item x="36"/>
        <item x="37"/>
        <item x="244"/>
        <item x="39"/>
        <item x="38"/>
        <item x="407"/>
        <item x="408"/>
        <item x="245"/>
        <item x="409"/>
        <item x="571"/>
        <item x="246"/>
        <item x="41"/>
        <item x="40"/>
        <item x="572"/>
        <item x="42"/>
        <item x="573"/>
        <item x="247"/>
        <item x="410"/>
        <item x="43"/>
        <item x="44"/>
        <item x="45"/>
        <item x="248"/>
        <item x="411"/>
        <item x="249"/>
        <item x="46"/>
        <item x="250"/>
        <item x="412"/>
        <item x="413"/>
        <item x="47"/>
        <item x="48"/>
        <item x="414"/>
        <item x="251"/>
        <item x="50"/>
        <item x="49"/>
        <item x="415"/>
        <item x="574"/>
        <item x="416"/>
        <item x="51"/>
        <item x="252"/>
        <item x="52"/>
        <item x="417"/>
        <item x="253"/>
        <item x="418"/>
        <item x="575"/>
        <item x="53"/>
        <item x="54"/>
        <item x="55"/>
        <item x="419"/>
        <item x="576"/>
        <item x="254"/>
        <item x="577"/>
        <item x="257"/>
        <item x="256"/>
        <item x="56"/>
        <item x="420"/>
        <item x="421"/>
        <item x="57"/>
        <item x="255"/>
        <item x="422"/>
        <item x="258"/>
        <item x="423"/>
        <item x="424"/>
        <item x="58"/>
        <item x="425"/>
        <item x="426"/>
        <item x="59"/>
        <item x="427"/>
        <item x="428"/>
        <item x="60"/>
        <item x="578"/>
        <item x="259"/>
        <item x="61"/>
        <item x="260"/>
        <item x="261"/>
        <item x="429"/>
        <item x="62"/>
        <item x="63"/>
        <item x="430"/>
        <item x="431"/>
        <item x="432"/>
        <item x="579"/>
        <item x="64"/>
        <item x="433"/>
        <item x="580"/>
        <item x="262"/>
        <item x="434"/>
        <item x="581"/>
        <item x="65"/>
        <item x="582"/>
        <item x="263"/>
        <item x="264"/>
        <item x="583"/>
        <item x="66"/>
        <item x="435"/>
        <item x="67"/>
        <item x="68"/>
        <item x="265"/>
        <item x="436"/>
        <item x="437"/>
        <item x="438"/>
        <item x="439"/>
        <item x="266"/>
        <item x="267"/>
        <item x="69"/>
        <item x="269"/>
        <item x="268"/>
        <item x="70"/>
        <item x="71"/>
        <item x="72"/>
        <item x="440"/>
        <item x="270"/>
        <item x="584"/>
        <item x="585"/>
        <item x="587"/>
        <item x="271"/>
        <item x="73"/>
        <item x="586"/>
        <item x="272"/>
        <item x="273"/>
        <item x="74"/>
        <item x="75"/>
        <item x="77"/>
        <item x="76"/>
        <item x="274"/>
        <item x="275"/>
        <item x="588"/>
        <item x="589"/>
        <item x="276"/>
        <item x="441"/>
        <item x="78"/>
        <item x="277"/>
        <item x="80"/>
        <item x="79"/>
        <item x="81"/>
        <item x="590"/>
        <item x="442"/>
        <item x="591"/>
        <item x="278"/>
        <item x="83"/>
        <item x="82"/>
        <item x="443"/>
        <item x="84"/>
        <item x="279"/>
        <item x="85"/>
        <item x="592"/>
        <item x="593"/>
        <item x="594"/>
        <item x="280"/>
        <item x="444"/>
        <item x="281"/>
        <item x="86"/>
        <item x="445"/>
        <item x="595"/>
        <item x="282"/>
        <item x="87"/>
        <item x="596"/>
        <item x="283"/>
        <item x="284"/>
        <item x="90"/>
        <item x="88"/>
        <item x="89"/>
        <item x="285"/>
        <item x="91"/>
        <item x="92"/>
        <item x="94"/>
        <item x="446"/>
        <item x="93"/>
        <item x="286"/>
        <item x="447"/>
        <item x="95"/>
        <item x="597"/>
        <item x="287"/>
        <item x="448"/>
        <item x="598"/>
        <item x="96"/>
        <item x="289"/>
        <item x="288"/>
        <item x="97"/>
        <item x="98"/>
        <item x="290"/>
        <item x="449"/>
        <item x="599"/>
        <item x="600"/>
        <item x="450"/>
        <item x="100"/>
        <item x="99"/>
        <item x="601"/>
        <item x="291"/>
        <item x="451"/>
        <item x="101"/>
        <item x="452"/>
        <item x="602"/>
        <item x="453"/>
        <item x="454"/>
        <item x="292"/>
        <item x="455"/>
        <item x="293"/>
        <item x="603"/>
        <item x="456"/>
        <item x="294"/>
        <item x="295"/>
        <item x="102"/>
        <item x="296"/>
        <item x="297"/>
        <item x="103"/>
        <item x="299"/>
        <item x="298"/>
        <item x="457"/>
        <item x="104"/>
        <item x="105"/>
        <item x="604"/>
        <item x="300"/>
        <item x="458"/>
        <item x="459"/>
        <item x="106"/>
        <item x="460"/>
        <item x="461"/>
        <item x="107"/>
        <item x="108"/>
        <item x="462"/>
        <item x="109"/>
        <item x="110"/>
        <item x="35"/>
        <item x="605"/>
        <item x="301"/>
        <item x="111"/>
        <item x="302"/>
        <item x="463"/>
        <item x="112"/>
        <item x="113"/>
        <item x="114"/>
        <item x="115"/>
        <item x="464"/>
        <item x="606"/>
        <item x="465"/>
        <item x="303"/>
        <item x="116"/>
        <item x="607"/>
        <item x="304"/>
        <item x="305"/>
        <item x="117"/>
        <item x="118"/>
        <item x="306"/>
        <item x="120"/>
        <item x="119"/>
        <item x="466"/>
        <item x="467"/>
        <item x="307"/>
        <item x="308"/>
        <item x="309"/>
        <item x="608"/>
        <item x="121"/>
        <item x="310"/>
        <item x="122"/>
        <item x="123"/>
        <item x="124"/>
        <item x="544"/>
        <item x="311"/>
        <item x="468"/>
        <item x="125"/>
        <item x="312"/>
        <item x="313"/>
        <item x="469"/>
        <item x="470"/>
        <item x="315"/>
        <item x="314"/>
        <item x="126"/>
        <item x="128"/>
        <item x="127"/>
        <item x="609"/>
        <item x="471"/>
        <item x="316"/>
        <item x="317"/>
        <item x="318"/>
        <item x="472"/>
        <item x="131"/>
        <item x="130"/>
        <item x="129"/>
        <item x="473"/>
        <item x="132"/>
        <item x="133"/>
        <item x="319"/>
        <item x="610"/>
        <item x="320"/>
        <item x="611"/>
        <item x="134"/>
        <item x="612"/>
        <item x="613"/>
        <item x="614"/>
        <item x="321"/>
        <item x="615"/>
        <item x="474"/>
        <item x="616"/>
        <item x="475"/>
        <item x="322"/>
        <item x="323"/>
        <item x="135"/>
        <item x="617"/>
        <item x="136"/>
        <item x="476"/>
        <item x="324"/>
        <item x="477"/>
        <item x="137"/>
        <item x="478"/>
        <item x="325"/>
        <item x="138"/>
        <item x="326"/>
        <item x="140"/>
        <item x="327"/>
        <item x="141"/>
        <item x="139"/>
        <item x="479"/>
        <item x="329"/>
        <item x="328"/>
        <item x="618"/>
        <item x="481"/>
        <item x="480"/>
        <item x="142"/>
        <item x="330"/>
        <item x="482"/>
        <item x="331"/>
        <item x="483"/>
        <item x="332"/>
        <item x="484"/>
        <item x="485"/>
        <item x="143"/>
        <item x="486"/>
        <item x="487"/>
        <item x="619"/>
        <item x="333"/>
        <item x="334"/>
        <item x="488"/>
        <item x="187"/>
        <item x="335"/>
        <item x="144"/>
        <item x="145"/>
        <item x="489"/>
        <item x="620"/>
        <item x="146"/>
        <item x="490"/>
        <item x="621"/>
        <item x="491"/>
        <item x="492"/>
        <item x="493"/>
        <item x="494"/>
        <item x="147"/>
        <item x="495"/>
        <item x="496"/>
        <item x="148"/>
        <item x="653"/>
        <item x="336"/>
        <item x="150"/>
        <item x="149"/>
        <item x="337"/>
        <item x="622"/>
        <item x="338"/>
        <item x="151"/>
        <item x="152"/>
        <item x="497"/>
        <item x="154"/>
        <item x="153"/>
        <item x="155"/>
        <item x="156"/>
        <item x="623"/>
        <item x="339"/>
        <item x="157"/>
        <item x="498"/>
        <item x="158"/>
        <item x="340"/>
        <item x="159"/>
        <item x="341"/>
        <item x="624"/>
        <item x="499"/>
        <item x="160"/>
        <item x="342"/>
        <item x="626"/>
        <item x="627"/>
        <item x="500"/>
        <item x="161"/>
        <item x="628"/>
        <item x="381"/>
        <item x="162"/>
        <item x="343"/>
        <item x="344"/>
        <item x="163"/>
        <item x="629"/>
        <item x="345"/>
        <item x="164"/>
        <item x="346"/>
        <item x="501"/>
        <item x="165"/>
        <item x="347"/>
        <item x="166"/>
        <item x="348"/>
        <item x="167"/>
        <item x="630"/>
        <item x="168"/>
        <item x="502"/>
        <item x="631"/>
        <item x="503"/>
        <item x="504"/>
        <item x="169"/>
        <item x="170"/>
        <item x="350"/>
        <item x="505"/>
        <item x="349"/>
        <item x="351"/>
        <item x="632"/>
        <item x="171"/>
        <item x="172"/>
        <item x="352"/>
        <item x="353"/>
        <item x="173"/>
        <item x="633"/>
        <item x="634"/>
        <item x="354"/>
        <item x="506"/>
        <item x="174"/>
        <item x="635"/>
        <item x="507"/>
        <item x="636"/>
        <item x="175"/>
        <item x="637"/>
        <item x="176"/>
        <item x="508"/>
        <item x="638"/>
        <item x="355"/>
        <item x="177"/>
        <item x="509"/>
        <item x="511"/>
        <item x="510"/>
        <item x="512"/>
        <item x="178"/>
        <item x="356"/>
        <item x="357"/>
        <item x="179"/>
        <item x="358"/>
        <item x="180"/>
        <item x="513"/>
        <item x="639"/>
        <item x="514"/>
        <item x="360"/>
        <item x="359"/>
        <item x="640"/>
        <item x="515"/>
        <item x="516"/>
        <item x="181"/>
        <item x="641"/>
        <item x="183"/>
        <item x="517"/>
        <item x="182"/>
        <item x="518"/>
        <item x="184"/>
        <item x="361"/>
        <item x="642"/>
        <item x="643"/>
        <item x="185"/>
        <item x="186"/>
        <item x="519"/>
        <item x="520"/>
        <item x="362"/>
        <item x="521"/>
        <item x="522"/>
        <item x="188"/>
        <item x="523"/>
        <item x="524"/>
        <item x="363"/>
        <item x="644"/>
        <item x="189"/>
        <item x="190"/>
        <item x="364"/>
        <item x="645"/>
        <item x="365"/>
        <item x="646"/>
        <item x="366"/>
        <item x="191"/>
        <item x="206"/>
        <item x="525"/>
        <item x="192"/>
        <item x="647"/>
        <item x="367"/>
        <item x="193"/>
        <item x="526"/>
        <item x="527"/>
        <item x="194"/>
        <item x="648"/>
        <item x="528"/>
        <item x="529"/>
        <item x="649"/>
        <item x="530"/>
        <item x="531"/>
        <item x="650"/>
        <item x="368"/>
        <item x="651"/>
        <item x="652"/>
        <item x="532"/>
        <item x="533"/>
        <item x="369"/>
        <item x="654"/>
        <item x="370"/>
        <item x="534"/>
        <item x="380"/>
        <item x="371"/>
        <item x="195"/>
        <item x="535"/>
        <item x="536"/>
        <item x="655"/>
        <item x="372"/>
        <item x="656"/>
        <item x="657"/>
        <item x="196"/>
        <item x="625"/>
        <item x="373"/>
        <item x="374"/>
        <item x="197"/>
        <item x="658"/>
        <item x="375"/>
        <item x="659"/>
        <item x="537"/>
        <item x="538"/>
        <item x="198"/>
        <item x="376"/>
        <item x="199"/>
        <item x="201"/>
        <item x="200"/>
        <item x="377"/>
        <item x="202"/>
        <item x="378"/>
        <item x="660"/>
        <item x="203"/>
        <item x="539"/>
        <item x="379"/>
        <item x="204"/>
        <item x="661"/>
        <item x="205"/>
        <item x="540"/>
        <item x="541"/>
        <item x="542"/>
        <item x="543"/>
        <item t="default"/>
      </items>
    </pivotField>
    <pivotField numFmtId="14" showAll="0"/>
    <pivotField showAll="0"/>
    <pivotField showAll="0"/>
    <pivotField showAll="0"/>
    <pivotField showAll="0"/>
    <pivotField showAll="0"/>
    <pivotField showAll="0"/>
    <pivotField showAll="0">
      <items count="5">
        <item x="0"/>
        <item x="2"/>
        <item x="3"/>
        <item x="1"/>
        <item t="default"/>
      </items>
    </pivotField>
    <pivotField showAll="0"/>
    <pivotField showAll="0"/>
    <pivotField showAll="0"/>
    <pivotField axis="axisRow" showAll="0" measureFilter="1" sortType="ascending">
      <items count="146">
        <item x="143"/>
        <item x="99"/>
        <item x="51"/>
        <item x="47"/>
        <item x="92"/>
        <item x="105"/>
        <item x="44"/>
        <item x="123"/>
        <item x="63"/>
        <item x="88"/>
        <item x="40"/>
        <item x="113"/>
        <item x="50"/>
        <item x="12"/>
        <item x="76"/>
        <item x="133"/>
        <item x="129"/>
        <item x="34"/>
        <item x="79"/>
        <item x="110"/>
        <item x="142"/>
        <item x="144"/>
        <item x="104"/>
        <item x="0"/>
        <item x="77"/>
        <item x="3"/>
        <item x="55"/>
        <item x="89"/>
        <item x="80"/>
        <item x="33"/>
        <item x="58"/>
        <item x="119"/>
        <item x="102"/>
        <item x="78"/>
        <item x="5"/>
        <item x="84"/>
        <item x="57"/>
        <item x="75"/>
        <item x="126"/>
        <item x="1"/>
        <item x="21"/>
        <item x="42"/>
        <item x="9"/>
        <item x="112"/>
        <item x="115"/>
        <item x="69"/>
        <item x="114"/>
        <item x="70"/>
        <item x="49"/>
        <item x="130"/>
        <item x="18"/>
        <item x="53"/>
        <item x="72"/>
        <item x="38"/>
        <item x="135"/>
        <item x="60"/>
        <item x="32"/>
        <item x="43"/>
        <item x="111"/>
        <item x="15"/>
        <item x="127"/>
        <item x="20"/>
        <item x="121"/>
        <item x="93"/>
        <item x="66"/>
        <item x="71"/>
        <item x="54"/>
        <item x="48"/>
        <item x="14"/>
        <item x="136"/>
        <item x="2"/>
        <item x="52"/>
        <item x="30"/>
        <item x="83"/>
        <item x="98"/>
        <item x="81"/>
        <item x="45"/>
        <item x="139"/>
        <item x="86"/>
        <item x="10"/>
        <item x="56"/>
        <item x="27"/>
        <item x="90"/>
        <item x="62"/>
        <item x="97"/>
        <item x="8"/>
        <item x="138"/>
        <item x="128"/>
        <item x="125"/>
        <item x="25"/>
        <item x="94"/>
        <item x="141"/>
        <item x="23"/>
        <item x="28"/>
        <item x="46"/>
        <item x="108"/>
        <item x="16"/>
        <item x="82"/>
        <item x="29"/>
        <item x="64"/>
        <item x="91"/>
        <item x="61"/>
        <item x="65"/>
        <item x="73"/>
        <item x="109"/>
        <item x="124"/>
        <item x="116"/>
        <item x="100"/>
        <item x="36"/>
        <item x="122"/>
        <item x="117"/>
        <item x="39"/>
        <item x="132"/>
        <item x="87"/>
        <item x="74"/>
        <item x="37"/>
        <item x="120"/>
        <item x="68"/>
        <item x="106"/>
        <item x="107"/>
        <item x="26"/>
        <item x="134"/>
        <item x="19"/>
        <item x="24"/>
        <item x="85"/>
        <item x="22"/>
        <item x="59"/>
        <item x="103"/>
        <item x="6"/>
        <item x="41"/>
        <item x="95"/>
        <item x="11"/>
        <item x="118"/>
        <item x="137"/>
        <item x="7"/>
        <item x="101"/>
        <item x="140"/>
        <item x="96"/>
        <item x="35"/>
        <item x="67"/>
        <item x="131"/>
        <item x="31"/>
        <item x="13"/>
        <item x="17"/>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43" showAll="0"/>
    <pivotField numFmtId="43" showAll="0"/>
    <pivotField dataField="1" numFmtId="43"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3"/>
  </rowFields>
  <rowItems count="11">
    <i>
      <x v="46"/>
    </i>
    <i>
      <x v="17"/>
    </i>
    <i>
      <x v="26"/>
    </i>
    <i>
      <x v="108"/>
    </i>
    <i>
      <x v="143"/>
    </i>
    <i>
      <x v="123"/>
    </i>
    <i>
      <x v="22"/>
    </i>
    <i>
      <x v="111"/>
    </i>
    <i>
      <x v="131"/>
    </i>
    <i>
      <x v="72"/>
    </i>
    <i t="grand">
      <x/>
    </i>
  </rowItems>
  <colItems count="1">
    <i/>
  </colItems>
  <dataFields count="1">
    <dataField name="Sum of Profit (₦)" fld="19" baseField="0" baseItem="0" numFmtId="43"/>
  </dataFields>
  <chartFormats count="3">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F44F213-5BFA-429A-95E1-BCBB66C580B9}" name="PivotTable6" cacheId="14"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rowHeaderCaption="Segment">
  <location ref="B29:D48" firstHeaderRow="1" firstDataRow="1" firstDataCol="2"/>
  <pivotFields count="28">
    <pivotField compact="0" outline="0" showAll="0">
      <extLst>
        <ext xmlns:x14="http://schemas.microsoft.com/office/spreadsheetml/2009/9/main" uri="{2946ED86-A175-432a-8AC1-64E0C546D7DE}">
          <x14:pivotField fillDownLabels="1"/>
        </ext>
      </extLst>
    </pivotField>
    <pivotField compact="0" numFmtId="14" outline="0" showAll="0">
      <items count="663">
        <item x="0"/>
        <item x="207"/>
        <item x="382"/>
        <item x="383"/>
        <item x="208"/>
        <item x="209"/>
        <item x="1"/>
        <item x="210"/>
        <item x="384"/>
        <item x="211"/>
        <item x="385"/>
        <item x="2"/>
        <item x="212"/>
        <item x="386"/>
        <item x="213"/>
        <item x="387"/>
        <item x="214"/>
        <item x="216"/>
        <item x="215"/>
        <item x="388"/>
        <item x="546"/>
        <item x="547"/>
        <item x="217"/>
        <item x="545"/>
        <item x="3"/>
        <item x="548"/>
        <item x="4"/>
        <item x="5"/>
        <item x="549"/>
        <item x="389"/>
        <item x="550"/>
        <item x="551"/>
        <item x="390"/>
        <item x="6"/>
        <item x="7"/>
        <item x="218"/>
        <item x="391"/>
        <item x="552"/>
        <item x="393"/>
        <item x="392"/>
        <item x="8"/>
        <item x="219"/>
        <item x="220"/>
        <item x="9"/>
        <item x="394"/>
        <item x="553"/>
        <item x="221"/>
        <item x="554"/>
        <item x="10"/>
        <item x="555"/>
        <item x="11"/>
        <item x="12"/>
        <item x="13"/>
        <item x="222"/>
        <item x="224"/>
        <item x="223"/>
        <item x="14"/>
        <item x="15"/>
        <item x="226"/>
        <item x="556"/>
        <item x="227"/>
        <item x="557"/>
        <item x="395"/>
        <item x="225"/>
        <item x="396"/>
        <item x="228"/>
        <item x="18"/>
        <item x="17"/>
        <item x="16"/>
        <item x="19"/>
        <item x="558"/>
        <item x="398"/>
        <item x="397"/>
        <item x="229"/>
        <item x="559"/>
        <item x="20"/>
        <item x="399"/>
        <item x="21"/>
        <item x="230"/>
        <item x="231"/>
        <item x="22"/>
        <item x="400"/>
        <item x="24"/>
        <item x="23"/>
        <item x="232"/>
        <item x="25"/>
        <item x="401"/>
        <item x="233"/>
        <item x="560"/>
        <item x="561"/>
        <item x="234"/>
        <item x="562"/>
        <item x="563"/>
        <item x="235"/>
        <item x="402"/>
        <item x="26"/>
        <item x="28"/>
        <item x="403"/>
        <item x="31"/>
        <item x="30"/>
        <item x="29"/>
        <item x="564"/>
        <item x="27"/>
        <item x="236"/>
        <item x="565"/>
        <item x="237"/>
        <item x="566"/>
        <item x="404"/>
        <item x="405"/>
        <item x="238"/>
        <item x="567"/>
        <item x="239"/>
        <item x="32"/>
        <item x="240"/>
        <item x="241"/>
        <item x="568"/>
        <item x="33"/>
        <item x="34"/>
        <item x="242"/>
        <item x="243"/>
        <item x="569"/>
        <item x="406"/>
        <item x="570"/>
        <item x="36"/>
        <item x="37"/>
        <item x="244"/>
        <item x="39"/>
        <item x="38"/>
        <item x="407"/>
        <item x="408"/>
        <item x="245"/>
        <item x="409"/>
        <item x="571"/>
        <item x="246"/>
        <item x="41"/>
        <item x="40"/>
        <item x="572"/>
        <item x="42"/>
        <item x="573"/>
        <item x="247"/>
        <item x="410"/>
        <item x="43"/>
        <item x="44"/>
        <item x="45"/>
        <item x="248"/>
        <item x="411"/>
        <item x="249"/>
        <item x="46"/>
        <item x="250"/>
        <item x="412"/>
        <item x="413"/>
        <item x="47"/>
        <item x="48"/>
        <item x="414"/>
        <item x="251"/>
        <item x="50"/>
        <item x="49"/>
        <item x="415"/>
        <item x="574"/>
        <item x="416"/>
        <item x="51"/>
        <item x="252"/>
        <item x="52"/>
        <item x="417"/>
        <item x="253"/>
        <item x="418"/>
        <item x="575"/>
        <item x="53"/>
        <item x="54"/>
        <item x="55"/>
        <item x="419"/>
        <item x="576"/>
        <item x="254"/>
        <item x="577"/>
        <item x="257"/>
        <item x="256"/>
        <item x="56"/>
        <item x="420"/>
        <item x="421"/>
        <item x="57"/>
        <item x="255"/>
        <item x="422"/>
        <item x="258"/>
        <item x="423"/>
        <item x="424"/>
        <item x="58"/>
        <item x="425"/>
        <item x="426"/>
        <item x="59"/>
        <item x="427"/>
        <item x="428"/>
        <item x="60"/>
        <item x="578"/>
        <item x="259"/>
        <item x="61"/>
        <item x="260"/>
        <item x="261"/>
        <item x="429"/>
        <item x="62"/>
        <item x="63"/>
        <item x="430"/>
        <item x="431"/>
        <item x="432"/>
        <item x="579"/>
        <item x="64"/>
        <item x="433"/>
        <item x="580"/>
        <item x="262"/>
        <item x="434"/>
        <item x="581"/>
        <item x="65"/>
        <item x="582"/>
        <item x="263"/>
        <item x="264"/>
        <item x="583"/>
        <item x="66"/>
        <item x="435"/>
        <item x="67"/>
        <item x="68"/>
        <item x="265"/>
        <item x="436"/>
        <item x="437"/>
        <item x="438"/>
        <item x="439"/>
        <item x="266"/>
        <item x="267"/>
        <item x="69"/>
        <item x="269"/>
        <item x="268"/>
        <item x="70"/>
        <item x="71"/>
        <item x="72"/>
        <item x="440"/>
        <item x="270"/>
        <item x="584"/>
        <item x="585"/>
        <item x="587"/>
        <item x="271"/>
        <item x="73"/>
        <item x="586"/>
        <item x="272"/>
        <item x="273"/>
        <item x="74"/>
        <item x="75"/>
        <item x="77"/>
        <item x="76"/>
        <item x="274"/>
        <item x="275"/>
        <item x="588"/>
        <item x="589"/>
        <item x="276"/>
        <item x="441"/>
        <item x="78"/>
        <item x="277"/>
        <item x="80"/>
        <item x="79"/>
        <item x="81"/>
        <item x="590"/>
        <item x="442"/>
        <item x="591"/>
        <item x="278"/>
        <item x="83"/>
        <item x="82"/>
        <item x="443"/>
        <item x="84"/>
        <item x="279"/>
        <item x="85"/>
        <item x="592"/>
        <item x="593"/>
        <item x="594"/>
        <item x="280"/>
        <item x="444"/>
        <item x="281"/>
        <item x="86"/>
        <item x="445"/>
        <item x="595"/>
        <item x="282"/>
        <item x="87"/>
        <item x="596"/>
        <item x="283"/>
        <item x="284"/>
        <item x="90"/>
        <item x="88"/>
        <item x="89"/>
        <item x="285"/>
        <item x="91"/>
        <item x="92"/>
        <item x="94"/>
        <item x="446"/>
        <item x="93"/>
        <item x="286"/>
        <item x="447"/>
        <item x="95"/>
        <item x="597"/>
        <item x="287"/>
        <item x="448"/>
        <item x="598"/>
        <item x="96"/>
        <item x="289"/>
        <item x="288"/>
        <item x="97"/>
        <item x="98"/>
        <item x="290"/>
        <item x="449"/>
        <item x="599"/>
        <item x="600"/>
        <item x="450"/>
        <item x="100"/>
        <item x="99"/>
        <item x="601"/>
        <item x="291"/>
        <item x="451"/>
        <item x="101"/>
        <item x="452"/>
        <item x="602"/>
        <item x="453"/>
        <item x="454"/>
        <item x="292"/>
        <item x="455"/>
        <item x="293"/>
        <item x="603"/>
        <item x="456"/>
        <item x="294"/>
        <item x="295"/>
        <item x="102"/>
        <item x="296"/>
        <item x="297"/>
        <item x="103"/>
        <item x="299"/>
        <item x="298"/>
        <item x="457"/>
        <item x="104"/>
        <item x="105"/>
        <item x="604"/>
        <item x="300"/>
        <item x="458"/>
        <item x="459"/>
        <item x="106"/>
        <item x="460"/>
        <item x="461"/>
        <item x="107"/>
        <item x="108"/>
        <item x="462"/>
        <item x="109"/>
        <item x="110"/>
        <item x="35"/>
        <item x="605"/>
        <item x="301"/>
        <item x="111"/>
        <item x="302"/>
        <item x="463"/>
        <item x="112"/>
        <item x="113"/>
        <item x="114"/>
        <item x="115"/>
        <item x="464"/>
        <item x="606"/>
        <item x="465"/>
        <item x="303"/>
        <item x="116"/>
        <item x="607"/>
        <item x="304"/>
        <item x="305"/>
        <item x="117"/>
        <item x="118"/>
        <item x="306"/>
        <item x="120"/>
        <item x="119"/>
        <item x="466"/>
        <item x="467"/>
        <item x="307"/>
        <item x="308"/>
        <item x="309"/>
        <item x="608"/>
        <item x="121"/>
        <item x="310"/>
        <item x="122"/>
        <item x="123"/>
        <item x="124"/>
        <item x="544"/>
        <item x="311"/>
        <item x="468"/>
        <item x="125"/>
        <item x="312"/>
        <item x="313"/>
        <item x="469"/>
        <item x="470"/>
        <item x="315"/>
        <item x="314"/>
        <item x="126"/>
        <item x="128"/>
        <item x="127"/>
        <item x="609"/>
        <item x="471"/>
        <item x="316"/>
        <item x="317"/>
        <item x="318"/>
        <item x="472"/>
        <item x="131"/>
        <item x="130"/>
        <item x="129"/>
        <item x="473"/>
        <item x="132"/>
        <item x="133"/>
        <item x="319"/>
        <item x="610"/>
        <item x="320"/>
        <item x="611"/>
        <item x="134"/>
        <item x="612"/>
        <item x="613"/>
        <item x="614"/>
        <item x="321"/>
        <item x="615"/>
        <item x="474"/>
        <item x="616"/>
        <item x="475"/>
        <item x="322"/>
        <item x="323"/>
        <item x="135"/>
        <item x="617"/>
        <item x="136"/>
        <item x="476"/>
        <item x="324"/>
        <item x="477"/>
        <item x="137"/>
        <item x="478"/>
        <item x="325"/>
        <item x="138"/>
        <item x="326"/>
        <item x="140"/>
        <item x="327"/>
        <item x="141"/>
        <item x="139"/>
        <item x="479"/>
        <item x="329"/>
        <item x="328"/>
        <item x="618"/>
        <item x="481"/>
        <item x="480"/>
        <item x="142"/>
        <item x="330"/>
        <item x="482"/>
        <item x="331"/>
        <item x="483"/>
        <item x="332"/>
        <item x="484"/>
        <item x="485"/>
        <item x="143"/>
        <item x="486"/>
        <item x="487"/>
        <item x="619"/>
        <item x="333"/>
        <item x="334"/>
        <item x="488"/>
        <item x="187"/>
        <item x="335"/>
        <item x="144"/>
        <item x="145"/>
        <item x="489"/>
        <item x="620"/>
        <item x="146"/>
        <item x="490"/>
        <item x="621"/>
        <item x="491"/>
        <item x="492"/>
        <item x="493"/>
        <item x="494"/>
        <item x="147"/>
        <item x="495"/>
        <item x="496"/>
        <item x="148"/>
        <item x="653"/>
        <item x="336"/>
        <item x="150"/>
        <item x="149"/>
        <item x="337"/>
        <item x="622"/>
        <item x="338"/>
        <item x="151"/>
        <item x="152"/>
        <item x="497"/>
        <item x="154"/>
        <item x="153"/>
        <item x="155"/>
        <item x="156"/>
        <item x="623"/>
        <item x="339"/>
        <item x="157"/>
        <item x="498"/>
        <item x="158"/>
        <item x="340"/>
        <item x="159"/>
        <item x="341"/>
        <item x="624"/>
        <item x="499"/>
        <item x="160"/>
        <item x="342"/>
        <item x="626"/>
        <item x="627"/>
        <item x="500"/>
        <item x="161"/>
        <item x="628"/>
        <item x="381"/>
        <item x="162"/>
        <item x="343"/>
        <item x="344"/>
        <item x="163"/>
        <item x="629"/>
        <item x="345"/>
        <item x="164"/>
        <item x="346"/>
        <item x="501"/>
        <item x="165"/>
        <item x="347"/>
        <item x="166"/>
        <item x="348"/>
        <item x="167"/>
        <item x="630"/>
        <item x="168"/>
        <item x="502"/>
        <item x="631"/>
        <item x="503"/>
        <item x="504"/>
        <item x="169"/>
        <item x="170"/>
        <item x="350"/>
        <item x="505"/>
        <item x="349"/>
        <item x="351"/>
        <item x="632"/>
        <item x="171"/>
        <item x="172"/>
        <item x="352"/>
        <item x="353"/>
        <item x="173"/>
        <item x="633"/>
        <item x="634"/>
        <item x="354"/>
        <item x="506"/>
        <item x="174"/>
        <item x="635"/>
        <item x="507"/>
        <item x="636"/>
        <item x="175"/>
        <item x="637"/>
        <item x="176"/>
        <item x="508"/>
        <item x="638"/>
        <item x="355"/>
        <item x="177"/>
        <item x="509"/>
        <item x="511"/>
        <item x="510"/>
        <item x="512"/>
        <item x="178"/>
        <item x="356"/>
        <item x="357"/>
        <item x="179"/>
        <item x="358"/>
        <item x="180"/>
        <item x="513"/>
        <item x="639"/>
        <item x="514"/>
        <item x="360"/>
        <item x="359"/>
        <item x="640"/>
        <item x="515"/>
        <item x="516"/>
        <item x="181"/>
        <item x="641"/>
        <item x="183"/>
        <item x="517"/>
        <item x="182"/>
        <item x="518"/>
        <item x="184"/>
        <item x="361"/>
        <item x="642"/>
        <item x="643"/>
        <item x="185"/>
        <item x="186"/>
        <item x="519"/>
        <item x="520"/>
        <item x="362"/>
        <item x="521"/>
        <item x="522"/>
        <item x="188"/>
        <item x="523"/>
        <item x="524"/>
        <item x="363"/>
        <item x="644"/>
        <item x="189"/>
        <item x="190"/>
        <item x="364"/>
        <item x="645"/>
        <item x="365"/>
        <item x="646"/>
        <item x="366"/>
        <item x="191"/>
        <item x="206"/>
        <item x="525"/>
        <item x="192"/>
        <item x="647"/>
        <item x="367"/>
        <item x="193"/>
        <item x="526"/>
        <item x="527"/>
        <item x="194"/>
        <item x="648"/>
        <item x="528"/>
        <item x="529"/>
        <item x="649"/>
        <item x="530"/>
        <item x="531"/>
        <item x="650"/>
        <item x="368"/>
        <item x="651"/>
        <item x="652"/>
        <item x="532"/>
        <item x="533"/>
        <item x="369"/>
        <item x="654"/>
        <item x="370"/>
        <item x="534"/>
        <item x="380"/>
        <item x="371"/>
        <item x="195"/>
        <item x="535"/>
        <item x="536"/>
        <item x="655"/>
        <item x="372"/>
        <item x="656"/>
        <item x="657"/>
        <item x="196"/>
        <item x="625"/>
        <item x="373"/>
        <item x="374"/>
        <item x="197"/>
        <item x="658"/>
        <item x="375"/>
        <item x="659"/>
        <item x="537"/>
        <item x="538"/>
        <item x="198"/>
        <item x="376"/>
        <item x="199"/>
        <item x="201"/>
        <item x="200"/>
        <item x="377"/>
        <item x="202"/>
        <item x="378"/>
        <item x="660"/>
        <item x="203"/>
        <item x="539"/>
        <item x="379"/>
        <item x="204"/>
        <item x="661"/>
        <item x="205"/>
        <item x="540"/>
        <item x="541"/>
        <item x="542"/>
        <item x="543"/>
        <item t="default"/>
      </items>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4">
        <item x="0"/>
        <item x="1"/>
        <item x="2"/>
        <item t="default"/>
      </items>
      <extLst>
        <ext xmlns:x14="http://schemas.microsoft.com/office/spreadsheetml/2009/9/main" uri="{2946ED86-A175-432a-8AC1-64E0C546D7DE}">
          <x14:pivotField fillDownLabels="1"/>
        </ext>
      </extLst>
    </pivotField>
    <pivotField compact="0" outline="0" showAll="0">
      <items count="5">
        <item x="0"/>
        <item x="2"/>
        <item x="3"/>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10">
        <item x="1"/>
        <item x="4"/>
        <item m="1" x="8"/>
        <item m="1" x="7"/>
        <item m="1" x="6"/>
        <item x="3"/>
        <item x="0"/>
        <item x="5"/>
        <item x="2"/>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43" outline="0" showAll="0">
      <extLst>
        <ext xmlns:x14="http://schemas.microsoft.com/office/spreadsheetml/2009/9/main" uri="{2946ED86-A175-432a-8AC1-64E0C546D7DE}">
          <x14:pivotField fillDownLabels="1"/>
        </ext>
      </extLst>
    </pivotField>
    <pivotField dataField="1" compact="0" numFmtId="43" outline="0" showAll="0">
      <extLst>
        <ext xmlns:x14="http://schemas.microsoft.com/office/spreadsheetml/2009/9/main" uri="{2946ED86-A175-432a-8AC1-64E0C546D7DE}">
          <x14:pivotField fillDownLabels="1"/>
        </ext>
      </extLst>
    </pivotField>
    <pivotField compact="0" numFmtId="43"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outline="0" showAll="0">
      <items count="7">
        <item x="0"/>
        <item x="1"/>
        <item x="2"/>
        <item x="3"/>
        <item x="4"/>
        <item x="5"/>
        <item t="default"/>
      </items>
      <extLst>
        <ext xmlns:x14="http://schemas.microsoft.com/office/spreadsheetml/2009/9/main" uri="{2946ED86-A175-432a-8AC1-64E0C546D7DE}">
          <x14:pivotField fillDownLabels="1"/>
        </ext>
      </extLst>
    </pivotField>
    <pivotField compact="0" outline="0" showAll="0">
      <items count="7">
        <item x="0"/>
        <item x="1"/>
        <item x="2"/>
        <item x="3"/>
        <item x="4"/>
        <item x="5"/>
        <item t="default"/>
      </items>
      <extLst>
        <ext xmlns:x14="http://schemas.microsoft.com/office/spreadsheetml/2009/9/main" uri="{2946ED86-A175-432a-8AC1-64E0C546D7DE}">
          <x14:pivotField fillDownLabels="1"/>
        </ext>
      </extLst>
    </pivotField>
  </pivotFields>
  <rowFields count="2">
    <field x="8"/>
    <field x="11"/>
  </rowFields>
  <rowItems count="19">
    <i>
      <x/>
      <x/>
    </i>
    <i r="1">
      <x v="1"/>
    </i>
    <i r="1">
      <x v="5"/>
    </i>
    <i r="1">
      <x v="6"/>
    </i>
    <i r="1">
      <x v="7"/>
    </i>
    <i r="1">
      <x v="8"/>
    </i>
    <i t="default">
      <x/>
    </i>
    <i>
      <x v="1"/>
      <x/>
    </i>
    <i r="1">
      <x v="1"/>
    </i>
    <i r="1">
      <x v="5"/>
    </i>
    <i r="1">
      <x v="6"/>
    </i>
    <i r="1">
      <x v="8"/>
    </i>
    <i t="default">
      <x v="1"/>
    </i>
    <i>
      <x v="2"/>
      <x/>
    </i>
    <i r="1">
      <x v="1"/>
    </i>
    <i r="1">
      <x v="5"/>
    </i>
    <i r="1">
      <x v="6"/>
    </i>
    <i r="1">
      <x v="8"/>
    </i>
    <i t="default">
      <x v="2"/>
    </i>
  </rowItems>
  <colItems count="1">
    <i/>
  </colItems>
  <dataFields count="1">
    <dataField name="Sum of Sales (₦)" fld="18" baseField="0" baseItem="0" numFmtId="43"/>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A2E6DE0-7299-4751-9A17-AB8DD55E1943}" name="PivotTable2"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rowHeaderCaption="Region">
  <location ref="B2:D7" firstHeaderRow="0" firstDataRow="1" firstDataCol="1"/>
  <pivotFields count="28">
    <pivotField showAll="0"/>
    <pivotField numFmtId="14" showAll="0">
      <items count="663">
        <item x="0"/>
        <item x="207"/>
        <item x="382"/>
        <item x="383"/>
        <item x="208"/>
        <item x="209"/>
        <item x="1"/>
        <item x="210"/>
        <item x="384"/>
        <item x="211"/>
        <item x="385"/>
        <item x="2"/>
        <item x="212"/>
        <item x="386"/>
        <item x="213"/>
        <item x="387"/>
        <item x="214"/>
        <item x="216"/>
        <item x="215"/>
        <item x="388"/>
        <item x="546"/>
        <item x="547"/>
        <item x="217"/>
        <item x="545"/>
        <item x="3"/>
        <item x="548"/>
        <item x="4"/>
        <item x="5"/>
        <item x="549"/>
        <item x="389"/>
        <item x="550"/>
        <item x="551"/>
        <item x="390"/>
        <item x="6"/>
        <item x="7"/>
        <item x="218"/>
        <item x="391"/>
        <item x="552"/>
        <item x="393"/>
        <item x="392"/>
        <item x="8"/>
        <item x="219"/>
        <item x="220"/>
        <item x="9"/>
        <item x="394"/>
        <item x="553"/>
        <item x="221"/>
        <item x="554"/>
        <item x="10"/>
        <item x="555"/>
        <item x="11"/>
        <item x="12"/>
        <item x="13"/>
        <item x="222"/>
        <item x="224"/>
        <item x="223"/>
        <item x="14"/>
        <item x="15"/>
        <item x="226"/>
        <item x="556"/>
        <item x="227"/>
        <item x="557"/>
        <item x="395"/>
        <item x="225"/>
        <item x="396"/>
        <item x="228"/>
        <item x="18"/>
        <item x="17"/>
        <item x="16"/>
        <item x="19"/>
        <item x="558"/>
        <item x="398"/>
        <item x="397"/>
        <item x="229"/>
        <item x="559"/>
        <item x="20"/>
        <item x="399"/>
        <item x="21"/>
        <item x="230"/>
        <item x="231"/>
        <item x="22"/>
        <item x="400"/>
        <item x="24"/>
        <item x="23"/>
        <item x="232"/>
        <item x="25"/>
        <item x="401"/>
        <item x="233"/>
        <item x="560"/>
        <item x="561"/>
        <item x="234"/>
        <item x="562"/>
        <item x="563"/>
        <item x="235"/>
        <item x="402"/>
        <item x="26"/>
        <item x="28"/>
        <item x="403"/>
        <item x="31"/>
        <item x="30"/>
        <item x="29"/>
        <item x="564"/>
        <item x="27"/>
        <item x="236"/>
        <item x="565"/>
        <item x="237"/>
        <item x="566"/>
        <item x="404"/>
        <item x="405"/>
        <item x="238"/>
        <item x="567"/>
        <item x="239"/>
        <item x="32"/>
        <item x="240"/>
        <item x="241"/>
        <item x="568"/>
        <item x="33"/>
        <item x="34"/>
        <item x="242"/>
        <item x="243"/>
        <item x="569"/>
        <item x="406"/>
        <item x="570"/>
        <item x="36"/>
        <item x="37"/>
        <item x="244"/>
        <item x="39"/>
        <item x="38"/>
        <item x="407"/>
        <item x="408"/>
        <item x="245"/>
        <item x="409"/>
        <item x="571"/>
        <item x="246"/>
        <item x="41"/>
        <item x="40"/>
        <item x="572"/>
        <item x="42"/>
        <item x="573"/>
        <item x="247"/>
        <item x="410"/>
        <item x="43"/>
        <item x="44"/>
        <item x="45"/>
        <item x="248"/>
        <item x="411"/>
        <item x="249"/>
        <item x="46"/>
        <item x="250"/>
        <item x="412"/>
        <item x="413"/>
        <item x="47"/>
        <item x="48"/>
        <item x="414"/>
        <item x="251"/>
        <item x="50"/>
        <item x="49"/>
        <item x="415"/>
        <item x="574"/>
        <item x="416"/>
        <item x="51"/>
        <item x="252"/>
        <item x="52"/>
        <item x="417"/>
        <item x="253"/>
        <item x="418"/>
        <item x="575"/>
        <item x="53"/>
        <item x="54"/>
        <item x="55"/>
        <item x="419"/>
        <item x="576"/>
        <item x="254"/>
        <item x="577"/>
        <item x="257"/>
        <item x="256"/>
        <item x="56"/>
        <item x="420"/>
        <item x="421"/>
        <item x="57"/>
        <item x="255"/>
        <item x="422"/>
        <item x="258"/>
        <item x="423"/>
        <item x="424"/>
        <item x="58"/>
        <item x="425"/>
        <item x="426"/>
        <item x="59"/>
        <item x="427"/>
        <item x="428"/>
        <item x="60"/>
        <item x="578"/>
        <item x="259"/>
        <item x="61"/>
        <item x="260"/>
        <item x="261"/>
        <item x="429"/>
        <item x="62"/>
        <item x="63"/>
        <item x="430"/>
        <item x="431"/>
        <item x="432"/>
        <item x="579"/>
        <item x="64"/>
        <item x="433"/>
        <item x="580"/>
        <item x="262"/>
        <item x="434"/>
        <item x="581"/>
        <item x="65"/>
        <item x="582"/>
        <item x="263"/>
        <item x="264"/>
        <item x="583"/>
        <item x="66"/>
        <item x="435"/>
        <item x="67"/>
        <item x="68"/>
        <item x="265"/>
        <item x="436"/>
        <item x="437"/>
        <item x="438"/>
        <item x="439"/>
        <item x="266"/>
        <item x="267"/>
        <item x="69"/>
        <item x="269"/>
        <item x="268"/>
        <item x="70"/>
        <item x="71"/>
        <item x="72"/>
        <item x="440"/>
        <item x="270"/>
        <item x="584"/>
        <item x="585"/>
        <item x="587"/>
        <item x="271"/>
        <item x="73"/>
        <item x="586"/>
        <item x="272"/>
        <item x="273"/>
        <item x="74"/>
        <item x="75"/>
        <item x="77"/>
        <item x="76"/>
        <item x="274"/>
        <item x="275"/>
        <item x="588"/>
        <item x="589"/>
        <item x="276"/>
        <item x="441"/>
        <item x="78"/>
        <item x="277"/>
        <item x="80"/>
        <item x="79"/>
        <item x="81"/>
        <item x="590"/>
        <item x="442"/>
        <item x="591"/>
        <item x="278"/>
        <item x="83"/>
        <item x="82"/>
        <item x="443"/>
        <item x="84"/>
        <item x="279"/>
        <item x="85"/>
        <item x="592"/>
        <item x="593"/>
        <item x="594"/>
        <item x="280"/>
        <item x="444"/>
        <item x="281"/>
        <item x="86"/>
        <item x="445"/>
        <item x="595"/>
        <item x="282"/>
        <item x="87"/>
        <item x="596"/>
        <item x="283"/>
        <item x="284"/>
        <item x="90"/>
        <item x="88"/>
        <item x="89"/>
        <item x="285"/>
        <item x="91"/>
        <item x="92"/>
        <item x="94"/>
        <item x="446"/>
        <item x="93"/>
        <item x="286"/>
        <item x="447"/>
        <item x="95"/>
        <item x="597"/>
        <item x="287"/>
        <item x="448"/>
        <item x="598"/>
        <item x="96"/>
        <item x="289"/>
        <item x="288"/>
        <item x="97"/>
        <item x="98"/>
        <item x="290"/>
        <item x="449"/>
        <item x="599"/>
        <item x="600"/>
        <item x="450"/>
        <item x="100"/>
        <item x="99"/>
        <item x="601"/>
        <item x="291"/>
        <item x="451"/>
        <item x="101"/>
        <item x="452"/>
        <item x="602"/>
        <item x="453"/>
        <item x="454"/>
        <item x="292"/>
        <item x="455"/>
        <item x="293"/>
        <item x="603"/>
        <item x="456"/>
        <item x="294"/>
        <item x="295"/>
        <item x="102"/>
        <item x="296"/>
        <item x="297"/>
        <item x="103"/>
        <item x="299"/>
        <item x="298"/>
        <item x="457"/>
        <item x="104"/>
        <item x="105"/>
        <item x="604"/>
        <item x="300"/>
        <item x="458"/>
        <item x="459"/>
        <item x="106"/>
        <item x="460"/>
        <item x="461"/>
        <item x="107"/>
        <item x="108"/>
        <item x="462"/>
        <item x="109"/>
        <item x="110"/>
        <item x="35"/>
        <item x="605"/>
        <item x="301"/>
        <item x="111"/>
        <item x="302"/>
        <item x="463"/>
        <item x="112"/>
        <item x="113"/>
        <item x="114"/>
        <item x="115"/>
        <item x="464"/>
        <item x="606"/>
        <item x="465"/>
        <item x="303"/>
        <item x="116"/>
        <item x="607"/>
        <item x="304"/>
        <item x="305"/>
        <item x="117"/>
        <item x="118"/>
        <item x="306"/>
        <item x="120"/>
        <item x="119"/>
        <item x="466"/>
        <item x="467"/>
        <item x="307"/>
        <item x="308"/>
        <item x="309"/>
        <item x="608"/>
        <item x="121"/>
        <item x="310"/>
        <item x="122"/>
        <item x="123"/>
        <item x="124"/>
        <item x="544"/>
        <item x="311"/>
        <item x="468"/>
        <item x="125"/>
        <item x="312"/>
        <item x="313"/>
        <item x="469"/>
        <item x="470"/>
        <item x="315"/>
        <item x="314"/>
        <item x="126"/>
        <item x="128"/>
        <item x="127"/>
        <item x="609"/>
        <item x="471"/>
        <item x="316"/>
        <item x="317"/>
        <item x="318"/>
        <item x="472"/>
        <item x="131"/>
        <item x="130"/>
        <item x="129"/>
        <item x="473"/>
        <item x="132"/>
        <item x="133"/>
        <item x="319"/>
        <item x="610"/>
        <item x="320"/>
        <item x="611"/>
        <item x="134"/>
        <item x="612"/>
        <item x="613"/>
        <item x="614"/>
        <item x="321"/>
        <item x="615"/>
        <item x="474"/>
        <item x="616"/>
        <item x="475"/>
        <item x="322"/>
        <item x="323"/>
        <item x="135"/>
        <item x="617"/>
        <item x="136"/>
        <item x="476"/>
        <item x="324"/>
        <item x="477"/>
        <item x="137"/>
        <item x="478"/>
        <item x="325"/>
        <item x="138"/>
        <item x="326"/>
        <item x="140"/>
        <item x="327"/>
        <item x="141"/>
        <item x="139"/>
        <item x="479"/>
        <item x="329"/>
        <item x="328"/>
        <item x="618"/>
        <item x="481"/>
        <item x="480"/>
        <item x="142"/>
        <item x="330"/>
        <item x="482"/>
        <item x="331"/>
        <item x="483"/>
        <item x="332"/>
        <item x="484"/>
        <item x="485"/>
        <item x="143"/>
        <item x="486"/>
        <item x="487"/>
        <item x="619"/>
        <item x="333"/>
        <item x="334"/>
        <item x="488"/>
        <item x="187"/>
        <item x="335"/>
        <item x="144"/>
        <item x="145"/>
        <item x="489"/>
        <item x="620"/>
        <item x="146"/>
        <item x="490"/>
        <item x="621"/>
        <item x="491"/>
        <item x="492"/>
        <item x="493"/>
        <item x="494"/>
        <item x="147"/>
        <item x="495"/>
        <item x="496"/>
        <item x="148"/>
        <item x="653"/>
        <item x="336"/>
        <item x="150"/>
        <item x="149"/>
        <item x="337"/>
        <item x="622"/>
        <item x="338"/>
        <item x="151"/>
        <item x="152"/>
        <item x="497"/>
        <item x="154"/>
        <item x="153"/>
        <item x="155"/>
        <item x="156"/>
        <item x="623"/>
        <item x="339"/>
        <item x="157"/>
        <item x="498"/>
        <item x="158"/>
        <item x="340"/>
        <item x="159"/>
        <item x="341"/>
        <item x="624"/>
        <item x="499"/>
        <item x="160"/>
        <item x="342"/>
        <item x="626"/>
        <item x="627"/>
        <item x="500"/>
        <item x="161"/>
        <item x="628"/>
        <item x="381"/>
        <item x="162"/>
        <item x="343"/>
        <item x="344"/>
        <item x="163"/>
        <item x="629"/>
        <item x="345"/>
        <item x="164"/>
        <item x="346"/>
        <item x="501"/>
        <item x="165"/>
        <item x="347"/>
        <item x="166"/>
        <item x="348"/>
        <item x="167"/>
        <item x="630"/>
        <item x="168"/>
        <item x="502"/>
        <item x="631"/>
        <item x="503"/>
        <item x="504"/>
        <item x="169"/>
        <item x="170"/>
        <item x="350"/>
        <item x="505"/>
        <item x="349"/>
        <item x="351"/>
        <item x="632"/>
        <item x="171"/>
        <item x="172"/>
        <item x="352"/>
        <item x="353"/>
        <item x="173"/>
        <item x="633"/>
        <item x="634"/>
        <item x="354"/>
        <item x="506"/>
        <item x="174"/>
        <item x="635"/>
        <item x="507"/>
        <item x="636"/>
        <item x="175"/>
        <item x="637"/>
        <item x="176"/>
        <item x="508"/>
        <item x="638"/>
        <item x="355"/>
        <item x="177"/>
        <item x="509"/>
        <item x="511"/>
        <item x="510"/>
        <item x="512"/>
        <item x="178"/>
        <item x="356"/>
        <item x="357"/>
        <item x="179"/>
        <item x="358"/>
        <item x="180"/>
        <item x="513"/>
        <item x="639"/>
        <item x="514"/>
        <item x="360"/>
        <item x="359"/>
        <item x="640"/>
        <item x="515"/>
        <item x="516"/>
        <item x="181"/>
        <item x="641"/>
        <item x="183"/>
        <item x="517"/>
        <item x="182"/>
        <item x="518"/>
        <item x="184"/>
        <item x="361"/>
        <item x="642"/>
        <item x="643"/>
        <item x="185"/>
        <item x="186"/>
        <item x="519"/>
        <item x="520"/>
        <item x="362"/>
        <item x="521"/>
        <item x="522"/>
        <item x="188"/>
        <item x="523"/>
        <item x="524"/>
        <item x="363"/>
        <item x="644"/>
        <item x="189"/>
        <item x="190"/>
        <item x="364"/>
        <item x="645"/>
        <item x="365"/>
        <item x="646"/>
        <item x="366"/>
        <item x="191"/>
        <item x="206"/>
        <item x="525"/>
        <item x="192"/>
        <item x="647"/>
        <item x="367"/>
        <item x="193"/>
        <item x="526"/>
        <item x="527"/>
        <item x="194"/>
        <item x="648"/>
        <item x="528"/>
        <item x="529"/>
        <item x="649"/>
        <item x="530"/>
        <item x="531"/>
        <item x="650"/>
        <item x="368"/>
        <item x="651"/>
        <item x="652"/>
        <item x="532"/>
        <item x="533"/>
        <item x="369"/>
        <item x="654"/>
        <item x="370"/>
        <item x="534"/>
        <item x="380"/>
        <item x="371"/>
        <item x="195"/>
        <item x="535"/>
        <item x="536"/>
        <item x="655"/>
        <item x="372"/>
        <item x="656"/>
        <item x="657"/>
        <item x="196"/>
        <item x="625"/>
        <item x="373"/>
        <item x="374"/>
        <item x="197"/>
        <item x="658"/>
        <item x="375"/>
        <item x="659"/>
        <item x="537"/>
        <item x="538"/>
        <item x="198"/>
        <item x="376"/>
        <item x="199"/>
        <item x="201"/>
        <item x="200"/>
        <item x="377"/>
        <item x="202"/>
        <item x="378"/>
        <item x="660"/>
        <item x="203"/>
        <item x="539"/>
        <item x="379"/>
        <item x="204"/>
        <item x="661"/>
        <item x="205"/>
        <item x="540"/>
        <item x="541"/>
        <item x="542"/>
        <item x="543"/>
        <item t="default"/>
      </items>
    </pivotField>
    <pivotField numFmtId="14" showAll="0"/>
    <pivotField showAll="0"/>
    <pivotField showAll="0"/>
    <pivotField showAll="0"/>
    <pivotField showAll="0"/>
    <pivotField showAll="0"/>
    <pivotField showAll="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43" showAll="0"/>
    <pivotField dataField="1" numFmtId="43" showAll="0"/>
    <pivotField dataField="1" numFmtId="43"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5">
    <i>
      <x v="3"/>
    </i>
    <i>
      <x v="1"/>
    </i>
    <i>
      <x v="2"/>
    </i>
    <i>
      <x/>
    </i>
    <i t="grand">
      <x/>
    </i>
  </rowItems>
  <colFields count="1">
    <field x="-2"/>
  </colFields>
  <colItems count="2">
    <i>
      <x/>
    </i>
    <i i="1">
      <x v="1"/>
    </i>
  </colItems>
  <dataFields count="2">
    <dataField name="Total Sales (₦)" fld="18" baseField="0" baseItem="0" numFmtId="166"/>
    <dataField name="Total Profit (₦)" fld="19" baseField="0" baseItem="0" numFmtId="167"/>
  </dataFields>
  <chartFormats count="2">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E9583CD-F1BF-4435-B2E0-EC60617C2004}" name="PivotTable4"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Segment">
  <location ref="B11:G16" firstHeaderRow="1" firstDataRow="2" firstDataCol="1"/>
  <pivotFields count="28">
    <pivotField showAll="0"/>
    <pivotField numFmtId="14" showAll="0">
      <items count="663">
        <item x="0"/>
        <item x="207"/>
        <item x="382"/>
        <item x="383"/>
        <item x="208"/>
        <item x="209"/>
        <item x="1"/>
        <item x="210"/>
        <item x="384"/>
        <item x="211"/>
        <item x="385"/>
        <item x="2"/>
        <item x="212"/>
        <item x="386"/>
        <item x="213"/>
        <item x="387"/>
        <item x="214"/>
        <item x="216"/>
        <item x="215"/>
        <item x="388"/>
        <item x="546"/>
        <item x="547"/>
        <item x="217"/>
        <item x="545"/>
        <item x="3"/>
        <item x="548"/>
        <item x="4"/>
        <item x="5"/>
        <item x="549"/>
        <item x="389"/>
        <item x="550"/>
        <item x="551"/>
        <item x="390"/>
        <item x="6"/>
        <item x="7"/>
        <item x="218"/>
        <item x="391"/>
        <item x="552"/>
        <item x="393"/>
        <item x="392"/>
        <item x="8"/>
        <item x="219"/>
        <item x="220"/>
        <item x="9"/>
        <item x="394"/>
        <item x="553"/>
        <item x="221"/>
        <item x="554"/>
        <item x="10"/>
        <item x="555"/>
        <item x="11"/>
        <item x="12"/>
        <item x="13"/>
        <item x="222"/>
        <item x="224"/>
        <item x="223"/>
        <item x="14"/>
        <item x="15"/>
        <item x="226"/>
        <item x="556"/>
        <item x="227"/>
        <item x="557"/>
        <item x="395"/>
        <item x="225"/>
        <item x="396"/>
        <item x="228"/>
        <item x="18"/>
        <item x="17"/>
        <item x="16"/>
        <item x="19"/>
        <item x="558"/>
        <item x="398"/>
        <item x="397"/>
        <item x="229"/>
        <item x="559"/>
        <item x="20"/>
        <item x="399"/>
        <item x="21"/>
        <item x="230"/>
        <item x="231"/>
        <item x="22"/>
        <item x="400"/>
        <item x="24"/>
        <item x="23"/>
        <item x="232"/>
        <item x="25"/>
        <item x="401"/>
        <item x="233"/>
        <item x="560"/>
        <item x="561"/>
        <item x="234"/>
        <item x="562"/>
        <item x="563"/>
        <item x="235"/>
        <item x="402"/>
        <item x="26"/>
        <item x="28"/>
        <item x="403"/>
        <item x="31"/>
        <item x="30"/>
        <item x="29"/>
        <item x="564"/>
        <item x="27"/>
        <item x="236"/>
        <item x="565"/>
        <item x="237"/>
        <item x="566"/>
        <item x="404"/>
        <item x="405"/>
        <item x="238"/>
        <item x="567"/>
        <item x="239"/>
        <item x="32"/>
        <item x="240"/>
        <item x="241"/>
        <item x="568"/>
        <item x="33"/>
        <item x="34"/>
        <item x="242"/>
        <item x="243"/>
        <item x="569"/>
        <item x="406"/>
        <item x="570"/>
        <item x="36"/>
        <item x="37"/>
        <item x="244"/>
        <item x="39"/>
        <item x="38"/>
        <item x="407"/>
        <item x="408"/>
        <item x="245"/>
        <item x="409"/>
        <item x="571"/>
        <item x="246"/>
        <item x="41"/>
        <item x="40"/>
        <item x="572"/>
        <item x="42"/>
        <item x="573"/>
        <item x="247"/>
        <item x="410"/>
        <item x="43"/>
        <item x="44"/>
        <item x="45"/>
        <item x="248"/>
        <item x="411"/>
        <item x="249"/>
        <item x="46"/>
        <item x="250"/>
        <item x="412"/>
        <item x="413"/>
        <item x="47"/>
        <item x="48"/>
        <item x="414"/>
        <item x="251"/>
        <item x="50"/>
        <item x="49"/>
        <item x="415"/>
        <item x="574"/>
        <item x="416"/>
        <item x="51"/>
        <item x="252"/>
        <item x="52"/>
        <item x="417"/>
        <item x="253"/>
        <item x="418"/>
        <item x="575"/>
        <item x="53"/>
        <item x="54"/>
        <item x="55"/>
        <item x="419"/>
        <item x="576"/>
        <item x="254"/>
        <item x="577"/>
        <item x="257"/>
        <item x="256"/>
        <item x="56"/>
        <item x="420"/>
        <item x="421"/>
        <item x="57"/>
        <item x="255"/>
        <item x="422"/>
        <item x="258"/>
        <item x="423"/>
        <item x="424"/>
        <item x="58"/>
        <item x="425"/>
        <item x="426"/>
        <item x="59"/>
        <item x="427"/>
        <item x="428"/>
        <item x="60"/>
        <item x="578"/>
        <item x="259"/>
        <item x="61"/>
        <item x="260"/>
        <item x="261"/>
        <item x="429"/>
        <item x="62"/>
        <item x="63"/>
        <item x="430"/>
        <item x="431"/>
        <item x="432"/>
        <item x="579"/>
        <item x="64"/>
        <item x="433"/>
        <item x="580"/>
        <item x="262"/>
        <item x="434"/>
        <item x="581"/>
        <item x="65"/>
        <item x="582"/>
        <item x="263"/>
        <item x="264"/>
        <item x="583"/>
        <item x="66"/>
        <item x="435"/>
        <item x="67"/>
        <item x="68"/>
        <item x="265"/>
        <item x="436"/>
        <item x="437"/>
        <item x="438"/>
        <item x="439"/>
        <item x="266"/>
        <item x="267"/>
        <item x="69"/>
        <item x="269"/>
        <item x="268"/>
        <item x="70"/>
        <item x="71"/>
        <item x="72"/>
        <item x="440"/>
        <item x="270"/>
        <item x="584"/>
        <item x="585"/>
        <item x="587"/>
        <item x="271"/>
        <item x="73"/>
        <item x="586"/>
        <item x="272"/>
        <item x="273"/>
        <item x="74"/>
        <item x="75"/>
        <item x="77"/>
        <item x="76"/>
        <item x="274"/>
        <item x="275"/>
        <item x="588"/>
        <item x="589"/>
        <item x="276"/>
        <item x="441"/>
        <item x="78"/>
        <item x="277"/>
        <item x="80"/>
        <item x="79"/>
        <item x="81"/>
        <item x="590"/>
        <item x="442"/>
        <item x="591"/>
        <item x="278"/>
        <item x="83"/>
        <item x="82"/>
        <item x="443"/>
        <item x="84"/>
        <item x="279"/>
        <item x="85"/>
        <item x="592"/>
        <item x="593"/>
        <item x="594"/>
        <item x="280"/>
        <item x="444"/>
        <item x="281"/>
        <item x="86"/>
        <item x="445"/>
        <item x="595"/>
        <item x="282"/>
        <item x="87"/>
        <item x="596"/>
        <item x="283"/>
        <item x="284"/>
        <item x="90"/>
        <item x="88"/>
        <item x="89"/>
        <item x="285"/>
        <item x="91"/>
        <item x="92"/>
        <item x="94"/>
        <item x="446"/>
        <item x="93"/>
        <item x="286"/>
        <item x="447"/>
        <item x="95"/>
        <item x="597"/>
        <item x="287"/>
        <item x="448"/>
        <item x="598"/>
        <item x="96"/>
        <item x="289"/>
        <item x="288"/>
        <item x="97"/>
        <item x="98"/>
        <item x="290"/>
        <item x="449"/>
        <item x="599"/>
        <item x="600"/>
        <item x="450"/>
        <item x="100"/>
        <item x="99"/>
        <item x="601"/>
        <item x="291"/>
        <item x="451"/>
        <item x="101"/>
        <item x="452"/>
        <item x="602"/>
        <item x="453"/>
        <item x="454"/>
        <item x="292"/>
        <item x="455"/>
        <item x="293"/>
        <item x="603"/>
        <item x="456"/>
        <item x="294"/>
        <item x="295"/>
        <item x="102"/>
        <item x="296"/>
        <item x="297"/>
        <item x="103"/>
        <item x="299"/>
        <item x="298"/>
        <item x="457"/>
        <item x="104"/>
        <item x="105"/>
        <item x="604"/>
        <item x="300"/>
        <item x="458"/>
        <item x="459"/>
        <item x="106"/>
        <item x="460"/>
        <item x="461"/>
        <item x="107"/>
        <item x="108"/>
        <item x="462"/>
        <item x="109"/>
        <item x="110"/>
        <item x="35"/>
        <item x="605"/>
        <item x="301"/>
        <item x="111"/>
        <item x="302"/>
        <item x="463"/>
        <item x="112"/>
        <item x="113"/>
        <item x="114"/>
        <item x="115"/>
        <item x="464"/>
        <item x="606"/>
        <item x="465"/>
        <item x="303"/>
        <item x="116"/>
        <item x="607"/>
        <item x="304"/>
        <item x="305"/>
        <item x="117"/>
        <item x="118"/>
        <item x="306"/>
        <item x="120"/>
        <item x="119"/>
        <item x="466"/>
        <item x="467"/>
        <item x="307"/>
        <item x="308"/>
        <item x="309"/>
        <item x="608"/>
        <item x="121"/>
        <item x="310"/>
        <item x="122"/>
        <item x="123"/>
        <item x="124"/>
        <item x="544"/>
        <item x="311"/>
        <item x="468"/>
        <item x="125"/>
        <item x="312"/>
        <item x="313"/>
        <item x="469"/>
        <item x="470"/>
        <item x="315"/>
        <item x="314"/>
        <item x="126"/>
        <item x="128"/>
        <item x="127"/>
        <item x="609"/>
        <item x="471"/>
        <item x="316"/>
        <item x="317"/>
        <item x="318"/>
        <item x="472"/>
        <item x="131"/>
        <item x="130"/>
        <item x="129"/>
        <item x="473"/>
        <item x="132"/>
        <item x="133"/>
        <item x="319"/>
        <item x="610"/>
        <item x="320"/>
        <item x="611"/>
        <item x="134"/>
        <item x="612"/>
        <item x="613"/>
        <item x="614"/>
        <item x="321"/>
        <item x="615"/>
        <item x="474"/>
        <item x="616"/>
        <item x="475"/>
        <item x="322"/>
        <item x="323"/>
        <item x="135"/>
        <item x="617"/>
        <item x="136"/>
        <item x="476"/>
        <item x="324"/>
        <item x="477"/>
        <item x="137"/>
        <item x="478"/>
        <item x="325"/>
        <item x="138"/>
        <item x="326"/>
        <item x="140"/>
        <item x="327"/>
        <item x="141"/>
        <item x="139"/>
        <item x="479"/>
        <item x="329"/>
        <item x="328"/>
        <item x="618"/>
        <item x="481"/>
        <item x="480"/>
        <item x="142"/>
        <item x="330"/>
        <item x="482"/>
        <item x="331"/>
        <item x="483"/>
        <item x="332"/>
        <item x="484"/>
        <item x="485"/>
        <item x="143"/>
        <item x="486"/>
        <item x="487"/>
        <item x="619"/>
        <item x="333"/>
        <item x="334"/>
        <item x="488"/>
        <item x="187"/>
        <item x="335"/>
        <item x="144"/>
        <item x="145"/>
        <item x="489"/>
        <item x="620"/>
        <item x="146"/>
        <item x="490"/>
        <item x="621"/>
        <item x="491"/>
        <item x="492"/>
        <item x="493"/>
        <item x="494"/>
        <item x="147"/>
        <item x="495"/>
        <item x="496"/>
        <item x="148"/>
        <item x="653"/>
        <item x="336"/>
        <item x="150"/>
        <item x="149"/>
        <item x="337"/>
        <item x="622"/>
        <item x="338"/>
        <item x="151"/>
        <item x="152"/>
        <item x="497"/>
        <item x="154"/>
        <item x="153"/>
        <item x="155"/>
        <item x="156"/>
        <item x="623"/>
        <item x="339"/>
        <item x="157"/>
        <item x="498"/>
        <item x="158"/>
        <item x="340"/>
        <item x="159"/>
        <item x="341"/>
        <item x="624"/>
        <item x="499"/>
        <item x="160"/>
        <item x="342"/>
        <item x="626"/>
        <item x="627"/>
        <item x="500"/>
        <item x="161"/>
        <item x="628"/>
        <item x="381"/>
        <item x="162"/>
        <item x="343"/>
        <item x="344"/>
        <item x="163"/>
        <item x="629"/>
        <item x="345"/>
        <item x="164"/>
        <item x="346"/>
        <item x="501"/>
        <item x="165"/>
        <item x="347"/>
        <item x="166"/>
        <item x="348"/>
        <item x="167"/>
        <item x="630"/>
        <item x="168"/>
        <item x="502"/>
        <item x="631"/>
        <item x="503"/>
        <item x="504"/>
        <item x="169"/>
        <item x="170"/>
        <item x="350"/>
        <item x="505"/>
        <item x="349"/>
        <item x="351"/>
        <item x="632"/>
        <item x="171"/>
        <item x="172"/>
        <item x="352"/>
        <item x="353"/>
        <item x="173"/>
        <item x="633"/>
        <item x="634"/>
        <item x="354"/>
        <item x="506"/>
        <item x="174"/>
        <item x="635"/>
        <item x="507"/>
        <item x="636"/>
        <item x="175"/>
        <item x="637"/>
        <item x="176"/>
        <item x="508"/>
        <item x="638"/>
        <item x="355"/>
        <item x="177"/>
        <item x="509"/>
        <item x="511"/>
        <item x="510"/>
        <item x="512"/>
        <item x="178"/>
        <item x="356"/>
        <item x="357"/>
        <item x="179"/>
        <item x="358"/>
        <item x="180"/>
        <item x="513"/>
        <item x="639"/>
        <item x="514"/>
        <item x="360"/>
        <item x="359"/>
        <item x="640"/>
        <item x="515"/>
        <item x="516"/>
        <item x="181"/>
        <item x="641"/>
        <item x="183"/>
        <item x="517"/>
        <item x="182"/>
        <item x="518"/>
        <item x="184"/>
        <item x="361"/>
        <item x="642"/>
        <item x="643"/>
        <item x="185"/>
        <item x="186"/>
        <item x="519"/>
        <item x="520"/>
        <item x="362"/>
        <item x="521"/>
        <item x="522"/>
        <item x="188"/>
        <item x="523"/>
        <item x="524"/>
        <item x="363"/>
        <item x="644"/>
        <item x="189"/>
        <item x="190"/>
        <item x="364"/>
        <item x="645"/>
        <item x="365"/>
        <item x="646"/>
        <item x="366"/>
        <item x="191"/>
        <item x="206"/>
        <item x="525"/>
        <item x="192"/>
        <item x="647"/>
        <item x="367"/>
        <item x="193"/>
        <item x="526"/>
        <item x="527"/>
        <item x="194"/>
        <item x="648"/>
        <item x="528"/>
        <item x="529"/>
        <item x="649"/>
        <item x="530"/>
        <item x="531"/>
        <item x="650"/>
        <item x="368"/>
        <item x="651"/>
        <item x="652"/>
        <item x="532"/>
        <item x="533"/>
        <item x="369"/>
        <item x="654"/>
        <item x="370"/>
        <item x="534"/>
        <item x="380"/>
        <item x="371"/>
        <item x="195"/>
        <item x="535"/>
        <item x="536"/>
        <item x="655"/>
        <item x="372"/>
        <item x="656"/>
        <item x="657"/>
        <item x="196"/>
        <item x="625"/>
        <item x="373"/>
        <item x="374"/>
        <item x="197"/>
        <item x="658"/>
        <item x="375"/>
        <item x="659"/>
        <item x="537"/>
        <item x="538"/>
        <item x="198"/>
        <item x="376"/>
        <item x="199"/>
        <item x="201"/>
        <item x="200"/>
        <item x="377"/>
        <item x="202"/>
        <item x="378"/>
        <item x="660"/>
        <item x="203"/>
        <item x="539"/>
        <item x="379"/>
        <item x="204"/>
        <item x="661"/>
        <item x="205"/>
        <item x="540"/>
        <item x="541"/>
        <item x="542"/>
        <item x="543"/>
        <item t="default"/>
      </items>
    </pivotField>
    <pivotField numFmtId="14" showAll="0"/>
    <pivotField showAll="0"/>
    <pivotField showAll="0"/>
    <pivotField showAll="0"/>
    <pivotField showAll="0"/>
    <pivotField showAll="0"/>
    <pivotField axis="axisRow" showAll="0">
      <items count="4">
        <item x="0"/>
        <item x="1"/>
        <item x="2"/>
        <item t="default"/>
      </items>
    </pivotField>
    <pivotField axis="axisCol" showAll="0">
      <items count="5">
        <item x="0"/>
        <item x="2"/>
        <item x="3"/>
        <item x="1"/>
        <item t="default"/>
      </items>
    </pivotField>
    <pivotField showAll="0"/>
    <pivotField showAll="0"/>
    <pivotField showAll="0"/>
    <pivotField showAll="0"/>
    <pivotField showAll="0"/>
    <pivotField showAll="0"/>
    <pivotField showAll="0"/>
    <pivotField numFmtId="43" showAll="0"/>
    <pivotField dataField="1" numFmtId="43" showAll="0"/>
    <pivotField numFmtId="43"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4">
    <i>
      <x/>
    </i>
    <i>
      <x v="1"/>
    </i>
    <i>
      <x v="2"/>
    </i>
    <i t="grand">
      <x/>
    </i>
  </rowItems>
  <colFields count="1">
    <field x="9"/>
  </colFields>
  <colItems count="5">
    <i>
      <x/>
    </i>
    <i>
      <x v="1"/>
    </i>
    <i>
      <x v="2"/>
    </i>
    <i>
      <x v="3"/>
    </i>
    <i t="grand">
      <x/>
    </i>
  </colItems>
  <dataFields count="1">
    <dataField name="Sum of Sales (₦)" fld="18" baseField="0" baseItem="0" numFmtId="43"/>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9A0A6CE-963E-4FAB-9D95-C25A0AA0BF89}" name="PivotTable5"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Year">
  <location ref="B22:C26" firstHeaderRow="1" firstDataRow="1" firstDataCol="1" rowPageCount="1" colPageCount="1"/>
  <pivotFields count="28">
    <pivotField showAll="0"/>
    <pivotField numFmtId="14" showAll="0">
      <items count="663">
        <item x="0"/>
        <item x="207"/>
        <item x="382"/>
        <item x="383"/>
        <item x="208"/>
        <item x="209"/>
        <item x="1"/>
        <item x="210"/>
        <item x="384"/>
        <item x="211"/>
        <item x="385"/>
        <item x="2"/>
        <item x="212"/>
        <item x="386"/>
        <item x="213"/>
        <item x="387"/>
        <item x="214"/>
        <item x="216"/>
        <item x="215"/>
        <item x="388"/>
        <item x="546"/>
        <item x="547"/>
        <item x="217"/>
        <item x="545"/>
        <item x="3"/>
        <item x="548"/>
        <item x="4"/>
        <item x="5"/>
        <item x="549"/>
        <item x="389"/>
        <item x="550"/>
        <item x="551"/>
        <item x="390"/>
        <item x="6"/>
        <item x="7"/>
        <item x="218"/>
        <item x="391"/>
        <item x="552"/>
        <item x="393"/>
        <item x="392"/>
        <item x="8"/>
        <item x="219"/>
        <item x="220"/>
        <item x="9"/>
        <item x="394"/>
        <item x="553"/>
        <item x="221"/>
        <item x="554"/>
        <item x="10"/>
        <item x="555"/>
        <item x="11"/>
        <item x="12"/>
        <item x="13"/>
        <item x="222"/>
        <item x="224"/>
        <item x="223"/>
        <item x="14"/>
        <item x="15"/>
        <item x="226"/>
        <item x="556"/>
        <item x="227"/>
        <item x="557"/>
        <item x="395"/>
        <item x="225"/>
        <item x="396"/>
        <item x="228"/>
        <item x="18"/>
        <item x="17"/>
        <item x="16"/>
        <item x="19"/>
        <item x="558"/>
        <item x="398"/>
        <item x="397"/>
        <item x="229"/>
        <item x="559"/>
        <item x="20"/>
        <item x="399"/>
        <item x="21"/>
        <item x="230"/>
        <item x="231"/>
        <item x="22"/>
        <item x="400"/>
        <item x="24"/>
        <item x="23"/>
        <item x="232"/>
        <item x="25"/>
        <item x="401"/>
        <item x="233"/>
        <item x="560"/>
        <item x="561"/>
        <item x="234"/>
        <item x="562"/>
        <item x="563"/>
        <item x="235"/>
        <item x="402"/>
        <item x="26"/>
        <item x="28"/>
        <item x="403"/>
        <item x="31"/>
        <item x="30"/>
        <item x="29"/>
        <item x="564"/>
        <item x="27"/>
        <item x="236"/>
        <item x="565"/>
        <item x="237"/>
        <item x="566"/>
        <item x="404"/>
        <item x="405"/>
        <item x="238"/>
        <item x="567"/>
        <item x="239"/>
        <item x="32"/>
        <item x="240"/>
        <item x="241"/>
        <item x="568"/>
        <item x="33"/>
        <item x="34"/>
        <item x="242"/>
        <item x="243"/>
        <item x="569"/>
        <item x="406"/>
        <item x="570"/>
        <item x="36"/>
        <item x="37"/>
        <item x="244"/>
        <item x="39"/>
        <item x="38"/>
        <item x="407"/>
        <item x="408"/>
        <item x="245"/>
        <item x="409"/>
        <item x="571"/>
        <item x="246"/>
        <item x="41"/>
        <item x="40"/>
        <item x="572"/>
        <item x="42"/>
        <item x="573"/>
        <item x="247"/>
        <item x="410"/>
        <item x="43"/>
        <item x="44"/>
        <item x="45"/>
        <item x="248"/>
        <item x="411"/>
        <item x="249"/>
        <item x="46"/>
        <item x="250"/>
        <item x="412"/>
        <item x="413"/>
        <item x="47"/>
        <item x="48"/>
        <item x="414"/>
        <item x="251"/>
        <item x="50"/>
        <item x="49"/>
        <item x="415"/>
        <item x="574"/>
        <item x="416"/>
        <item x="51"/>
        <item x="252"/>
        <item x="52"/>
        <item x="417"/>
        <item x="253"/>
        <item x="418"/>
        <item x="575"/>
        <item x="53"/>
        <item x="54"/>
        <item x="55"/>
        <item x="419"/>
        <item x="576"/>
        <item x="254"/>
        <item x="577"/>
        <item x="257"/>
        <item x="256"/>
        <item x="56"/>
        <item x="420"/>
        <item x="421"/>
        <item x="57"/>
        <item x="255"/>
        <item x="422"/>
        <item x="258"/>
        <item x="423"/>
        <item x="424"/>
        <item x="58"/>
        <item x="425"/>
        <item x="426"/>
        <item x="59"/>
        <item x="427"/>
        <item x="428"/>
        <item x="60"/>
        <item x="578"/>
        <item x="259"/>
        <item x="61"/>
        <item x="260"/>
        <item x="261"/>
        <item x="429"/>
        <item x="62"/>
        <item x="63"/>
        <item x="430"/>
        <item x="431"/>
        <item x="432"/>
        <item x="579"/>
        <item x="64"/>
        <item x="433"/>
        <item x="580"/>
        <item x="262"/>
        <item x="434"/>
        <item x="581"/>
        <item x="65"/>
        <item x="582"/>
        <item x="263"/>
        <item x="264"/>
        <item x="583"/>
        <item x="66"/>
        <item x="435"/>
        <item x="67"/>
        <item x="68"/>
        <item x="265"/>
        <item x="436"/>
        <item x="437"/>
        <item x="438"/>
        <item x="439"/>
        <item x="266"/>
        <item x="267"/>
        <item x="69"/>
        <item x="269"/>
        <item x="268"/>
        <item x="70"/>
        <item x="71"/>
        <item x="72"/>
        <item x="440"/>
        <item x="270"/>
        <item x="584"/>
        <item x="585"/>
        <item x="587"/>
        <item x="271"/>
        <item x="73"/>
        <item x="586"/>
        <item x="272"/>
        <item x="273"/>
        <item x="74"/>
        <item x="75"/>
        <item x="77"/>
        <item x="76"/>
        <item x="274"/>
        <item x="275"/>
        <item x="588"/>
        <item x="589"/>
        <item x="276"/>
        <item x="441"/>
        <item x="78"/>
        <item x="277"/>
        <item x="80"/>
        <item x="79"/>
        <item x="81"/>
        <item x="590"/>
        <item x="442"/>
        <item x="591"/>
        <item x="278"/>
        <item x="83"/>
        <item x="82"/>
        <item x="443"/>
        <item x="84"/>
        <item x="279"/>
        <item x="85"/>
        <item x="592"/>
        <item x="593"/>
        <item x="594"/>
        <item x="280"/>
        <item x="444"/>
        <item x="281"/>
        <item x="86"/>
        <item x="445"/>
        <item x="595"/>
        <item x="282"/>
        <item x="87"/>
        <item x="596"/>
        <item x="283"/>
        <item x="284"/>
        <item x="90"/>
        <item x="88"/>
        <item x="89"/>
        <item x="285"/>
        <item x="91"/>
        <item x="92"/>
        <item x="94"/>
        <item x="446"/>
        <item x="93"/>
        <item x="286"/>
        <item x="447"/>
        <item x="95"/>
        <item x="597"/>
        <item x="287"/>
        <item x="448"/>
        <item x="598"/>
        <item x="96"/>
        <item x="289"/>
        <item x="288"/>
        <item x="97"/>
        <item x="98"/>
        <item x="290"/>
        <item x="449"/>
        <item x="599"/>
        <item x="600"/>
        <item x="450"/>
        <item x="100"/>
        <item x="99"/>
        <item x="601"/>
        <item x="291"/>
        <item x="451"/>
        <item x="101"/>
        <item x="452"/>
        <item x="602"/>
        <item x="453"/>
        <item x="454"/>
        <item x="292"/>
        <item x="455"/>
        <item x="293"/>
        <item x="603"/>
        <item x="456"/>
        <item x="294"/>
        <item x="295"/>
        <item x="102"/>
        <item x="296"/>
        <item x="297"/>
        <item x="103"/>
        <item x="299"/>
        <item x="298"/>
        <item x="457"/>
        <item x="104"/>
        <item x="105"/>
        <item x="604"/>
        <item x="300"/>
        <item x="458"/>
        <item x="459"/>
        <item x="106"/>
        <item x="460"/>
        <item x="461"/>
        <item x="107"/>
        <item x="108"/>
        <item x="462"/>
        <item x="109"/>
        <item x="110"/>
        <item x="35"/>
        <item x="605"/>
        <item x="301"/>
        <item x="111"/>
        <item x="302"/>
        <item x="463"/>
        <item x="112"/>
        <item x="113"/>
        <item x="114"/>
        <item x="115"/>
        <item x="464"/>
        <item x="606"/>
        <item x="465"/>
        <item x="303"/>
        <item x="116"/>
        <item x="607"/>
        <item x="304"/>
        <item x="305"/>
        <item x="117"/>
        <item x="118"/>
        <item x="306"/>
        <item x="120"/>
        <item x="119"/>
        <item x="466"/>
        <item x="467"/>
        <item x="307"/>
        <item x="308"/>
        <item x="309"/>
        <item x="608"/>
        <item x="121"/>
        <item x="310"/>
        <item x="122"/>
        <item x="123"/>
        <item x="124"/>
        <item x="544"/>
        <item x="311"/>
        <item x="468"/>
        <item x="125"/>
        <item x="312"/>
        <item x="313"/>
        <item x="469"/>
        <item x="470"/>
        <item x="315"/>
        <item x="314"/>
        <item x="126"/>
        <item x="128"/>
        <item x="127"/>
        <item x="609"/>
        <item x="471"/>
        <item x="316"/>
        <item x="317"/>
        <item x="318"/>
        <item x="472"/>
        <item x="131"/>
        <item x="130"/>
        <item x="129"/>
        <item x="473"/>
        <item x="132"/>
        <item x="133"/>
        <item x="319"/>
        <item x="610"/>
        <item x="320"/>
        <item x="611"/>
        <item x="134"/>
        <item x="612"/>
        <item x="613"/>
        <item x="614"/>
        <item x="321"/>
        <item x="615"/>
        <item x="474"/>
        <item x="616"/>
        <item x="475"/>
        <item x="322"/>
        <item x="323"/>
        <item x="135"/>
        <item x="617"/>
        <item x="136"/>
        <item x="476"/>
        <item x="324"/>
        <item x="477"/>
        <item x="137"/>
        <item x="478"/>
        <item x="325"/>
        <item x="138"/>
        <item x="326"/>
        <item x="140"/>
        <item x="327"/>
        <item x="141"/>
        <item x="139"/>
        <item x="479"/>
        <item x="329"/>
        <item x="328"/>
        <item x="618"/>
        <item x="481"/>
        <item x="480"/>
        <item x="142"/>
        <item x="330"/>
        <item x="482"/>
        <item x="331"/>
        <item x="483"/>
        <item x="332"/>
        <item x="484"/>
        <item x="485"/>
        <item x="143"/>
        <item x="486"/>
        <item x="487"/>
        <item x="619"/>
        <item x="333"/>
        <item x="334"/>
        <item x="488"/>
        <item x="187"/>
        <item x="335"/>
        <item x="144"/>
        <item x="145"/>
        <item x="489"/>
        <item x="620"/>
        <item x="146"/>
        <item x="490"/>
        <item x="621"/>
        <item x="491"/>
        <item x="492"/>
        <item x="493"/>
        <item x="494"/>
        <item x="147"/>
        <item x="495"/>
        <item x="496"/>
        <item x="148"/>
        <item x="653"/>
        <item x="336"/>
        <item x="150"/>
        <item x="149"/>
        <item x="337"/>
        <item x="622"/>
        <item x="338"/>
        <item x="151"/>
        <item x="152"/>
        <item x="497"/>
        <item x="154"/>
        <item x="153"/>
        <item x="155"/>
        <item x="156"/>
        <item x="623"/>
        <item x="339"/>
        <item x="157"/>
        <item x="498"/>
        <item x="158"/>
        <item x="340"/>
        <item x="159"/>
        <item x="341"/>
        <item x="624"/>
        <item x="499"/>
        <item x="160"/>
        <item x="342"/>
        <item x="626"/>
        <item x="627"/>
        <item x="500"/>
        <item x="161"/>
        <item x="628"/>
        <item x="381"/>
        <item x="162"/>
        <item x="343"/>
        <item x="344"/>
        <item x="163"/>
        <item x="629"/>
        <item x="345"/>
        <item x="164"/>
        <item x="346"/>
        <item x="501"/>
        <item x="165"/>
        <item x="347"/>
        <item x="166"/>
        <item x="348"/>
        <item x="167"/>
        <item x="630"/>
        <item x="168"/>
        <item x="502"/>
        <item x="631"/>
        <item x="503"/>
        <item x="504"/>
        <item x="169"/>
        <item x="170"/>
        <item x="350"/>
        <item x="505"/>
        <item x="349"/>
        <item x="351"/>
        <item x="632"/>
        <item x="171"/>
        <item x="172"/>
        <item x="352"/>
        <item x="353"/>
        <item x="173"/>
        <item x="633"/>
        <item x="634"/>
        <item x="354"/>
        <item x="506"/>
        <item x="174"/>
        <item x="635"/>
        <item x="507"/>
        <item x="636"/>
        <item x="175"/>
        <item x="637"/>
        <item x="176"/>
        <item x="508"/>
        <item x="638"/>
        <item x="355"/>
        <item x="177"/>
        <item x="509"/>
        <item x="511"/>
        <item x="510"/>
        <item x="512"/>
        <item x="178"/>
        <item x="356"/>
        <item x="357"/>
        <item x="179"/>
        <item x="358"/>
        <item x="180"/>
        <item x="513"/>
        <item x="639"/>
        <item x="514"/>
        <item x="360"/>
        <item x="359"/>
        <item x="640"/>
        <item x="515"/>
        <item x="516"/>
        <item x="181"/>
        <item x="641"/>
        <item x="183"/>
        <item x="517"/>
        <item x="182"/>
        <item x="518"/>
        <item x="184"/>
        <item x="361"/>
        <item x="642"/>
        <item x="643"/>
        <item x="185"/>
        <item x="186"/>
        <item x="519"/>
        <item x="520"/>
        <item x="362"/>
        <item x="521"/>
        <item x="522"/>
        <item x="188"/>
        <item x="523"/>
        <item x="524"/>
        <item x="363"/>
        <item x="644"/>
        <item x="189"/>
        <item x="190"/>
        <item x="364"/>
        <item x="645"/>
        <item x="365"/>
        <item x="646"/>
        <item x="366"/>
        <item x="191"/>
        <item x="206"/>
        <item x="525"/>
        <item x="192"/>
        <item x="647"/>
        <item x="367"/>
        <item x="193"/>
        <item x="526"/>
        <item x="527"/>
        <item x="194"/>
        <item x="648"/>
        <item x="528"/>
        <item x="529"/>
        <item x="649"/>
        <item x="530"/>
        <item x="531"/>
        <item x="650"/>
        <item x="368"/>
        <item x="651"/>
        <item x="652"/>
        <item x="532"/>
        <item x="533"/>
        <item x="369"/>
        <item x="654"/>
        <item x="370"/>
        <item x="534"/>
        <item x="380"/>
        <item x="371"/>
        <item x="195"/>
        <item x="535"/>
        <item x="536"/>
        <item x="655"/>
        <item x="372"/>
        <item x="656"/>
        <item x="657"/>
        <item x="196"/>
        <item x="625"/>
        <item x="373"/>
        <item x="374"/>
        <item x="197"/>
        <item x="658"/>
        <item x="375"/>
        <item x="659"/>
        <item x="537"/>
        <item x="538"/>
        <item x="198"/>
        <item x="376"/>
        <item x="199"/>
        <item x="201"/>
        <item x="200"/>
        <item x="377"/>
        <item x="202"/>
        <item x="378"/>
        <item x="660"/>
        <item x="203"/>
        <item x="539"/>
        <item x="379"/>
        <item x="204"/>
        <item x="661"/>
        <item x="205"/>
        <item x="540"/>
        <item x="541"/>
        <item x="542"/>
        <item x="543"/>
        <item t="default"/>
      </items>
    </pivotField>
    <pivotField numFmtId="14" showAll="0"/>
    <pivotField showAll="0"/>
    <pivotField showAll="0"/>
    <pivotField showAll="0"/>
    <pivotField showAll="0"/>
    <pivotField showAll="0"/>
    <pivotField showAll="0"/>
    <pivotField axis="axisPage" multipleItemSelectionAllowed="1" showAll="0">
      <items count="5">
        <item x="0"/>
        <item x="2"/>
        <item x="3"/>
        <item x="1"/>
        <item t="default"/>
      </items>
    </pivotField>
    <pivotField showAll="0"/>
    <pivotField showAll="0"/>
    <pivotField showAll="0"/>
    <pivotField showAll="0"/>
    <pivotField showAll="0"/>
    <pivotField showAll="0"/>
    <pivotField showAll="0"/>
    <pivotField numFmtId="43" showAll="0"/>
    <pivotField dataField="1" numFmtId="43" showAll="0"/>
    <pivotField numFmtId="43"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27"/>
  </rowFields>
  <rowItems count="4">
    <i>
      <x v="1"/>
    </i>
    <i>
      <x v="2"/>
    </i>
    <i>
      <x v="3"/>
    </i>
    <i t="grand">
      <x/>
    </i>
  </rowItems>
  <colItems count="1">
    <i/>
  </colItems>
  <pageFields count="1">
    <pageField fld="9" hier="-1"/>
  </pageFields>
  <dataFields count="1">
    <dataField name="Sum of Sales (₦)" fld="18" baseField="0" baseItem="0" numFmtId="43"/>
  </dataFields>
  <chartFormats count="1">
    <chartFormat chart="0" format="0"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AA242A58-6389-4AF4-ACD5-2E5054F8EFA6}" sourceName="Region">
  <pivotTables>
    <pivotTable tabId="17" name="PivotTable1"/>
    <pivotTable tabId="16" name="PivotTable6"/>
    <pivotTable tabId="16" name="PivotTable5"/>
    <pivotTable tabId="16" name="PivotTable2"/>
    <pivotTable tabId="16" name="PivotTable4"/>
    <pivotTable tabId="17" name="PivotTable10"/>
    <pivotTable tabId="17" name="PivotTable2"/>
    <pivotTable tabId="17" name="PivotTable3"/>
    <pivotTable tabId="17" name="PivotTable4"/>
    <pivotTable tabId="17" name="PivotTable5"/>
    <pivotTable tabId="17" name="PivotTable8"/>
    <pivotTable tabId="17" name="PivotTable9"/>
  </pivotTables>
  <data>
    <tabular pivotCacheId="1969058787">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1FA6FC4-9DD2-4447-AEE9-6FC4932B7FE8}" cache="Slicer_Region1" caption="Region" style="SlicerStyleLight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34D707C-B0E1-4A46-AF40-3C10854B6F0F}" cache="Slicer_Region1"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FAD4E8-5B53-4C34-80BF-FE375EFC17DE}" name="Table2" displayName="Table2" ref="A1:U1021" totalsRowShown="0">
  <autoFilter ref="A1:U1021" xr:uid="{9FFAD4E8-5B53-4C34-80BF-FE375EFC17DE}"/>
  <tableColumns count="21">
    <tableColumn id="1" xr3:uid="{9C5CA3F6-53CE-4BD9-A907-83732A5FEA2D}" name="Order ID">
      <calculatedColumnFormula>A1</calculatedColumnFormula>
    </tableColumn>
    <tableColumn id="2" xr3:uid="{F4EF93E3-4E5D-46F7-8E11-E9895CB104E6}" name="Order Date" dataDxfId="13">
      <calculatedColumnFormula>B1</calculatedColumnFormula>
    </tableColumn>
    <tableColumn id="3" xr3:uid="{50251EFC-B470-425B-8754-D917E9BD7303}" name="Ship Date" dataDxfId="12">
      <calculatedColumnFormula>C1</calculatedColumnFormula>
    </tableColumn>
    <tableColumn id="4" xr3:uid="{E430D914-99A5-4B84-BEE4-0A4C73CC37CB}" name="Ship Mode">
      <calculatedColumnFormula>D1</calculatedColumnFormula>
    </tableColumn>
    <tableColumn id="5" xr3:uid="{9BDB8D34-D4EC-4BA3-85B0-5EB6B8408A71}" name="First Name">
      <calculatedColumnFormula>E1</calculatedColumnFormula>
    </tableColumn>
    <tableColumn id="6" xr3:uid="{811F5DC4-FA73-4C0F-8DA4-1C3EF24A6288}" name="Last Name">
      <calculatedColumnFormula>F1</calculatedColumnFormula>
    </tableColumn>
    <tableColumn id="7" xr3:uid="{708AF113-3A6C-4BF9-85E6-2EB350225746}" name="Email">
      <calculatedColumnFormula>G1</calculatedColumnFormula>
    </tableColumn>
    <tableColumn id="8" xr3:uid="{01912F7E-49CD-4AD5-B15D-37E3A76D2224}" name="Phone">
      <calculatedColumnFormula>H1</calculatedColumnFormula>
    </tableColumn>
    <tableColumn id="9" xr3:uid="{D868B51B-B8D0-4ADC-8773-CFC4EBDC424C}" name="Segment">
      <calculatedColumnFormula>I1</calculatedColumnFormula>
    </tableColumn>
    <tableColumn id="10" xr3:uid="{34AEB181-375D-4006-B03A-62226267DFE5}" name="Region">
      <calculatedColumnFormula>J1</calculatedColumnFormula>
    </tableColumn>
    <tableColumn id="11" xr3:uid="{D313C350-7C1C-4FAB-BDC1-6F1E2A2DE067}" name="State">
      <calculatedColumnFormula>K1</calculatedColumnFormula>
    </tableColumn>
    <tableColumn id="12" xr3:uid="{4C4035F2-6927-472D-898E-1D9B4716125B}" name="Category">
      <calculatedColumnFormula>L1</calculatedColumnFormula>
    </tableColumn>
    <tableColumn id="21" xr3:uid="{62040A3A-46DE-42F4-9E05-C470630F0CF3}" name="Category Clean" dataDxfId="11">
      <calculatedColumnFormula>TRIM(Table2[[#This Row],[Category]])</calculatedColumnFormula>
    </tableColumn>
    <tableColumn id="13" xr3:uid="{28D0FCD4-C6BC-4A86-91B4-AC36F7810787}" name="Sub-Category">
      <calculatedColumnFormula>N1</calculatedColumnFormula>
    </tableColumn>
    <tableColumn id="14" xr3:uid="{F3C4C939-C7BD-40EA-AD17-DCC7AEFB1942}" name="Product Name">
      <calculatedColumnFormula>O1</calculatedColumnFormula>
    </tableColumn>
    <tableColumn id="15" xr3:uid="{362E6965-56EC-4682-BB13-BE322AA6E352}" name="Quantity">
      <calculatedColumnFormula>P1</calculatedColumnFormula>
    </tableColumn>
    <tableColumn id="16" xr3:uid="{36F476EE-FD55-4003-9F0C-EE139CC46BE3}" name="Unit Price (₦)">
      <calculatedColumnFormula>Q1</calculatedColumnFormula>
    </tableColumn>
    <tableColumn id="17" xr3:uid="{AABDB7D6-67C5-49F3-BA28-045DA7497C75}" name="Discount (%)">
      <calculatedColumnFormula>R1</calculatedColumnFormula>
    </tableColumn>
    <tableColumn id="18" xr3:uid="{89CB1C32-97F8-4FCC-ABA5-D7C61DE6B255}" name="Discount Amount (₦)">
      <calculatedColumnFormula>S1</calculatedColumnFormula>
    </tableColumn>
    <tableColumn id="19" xr3:uid="{EC3B0ED9-5182-453C-976C-BA89FCC8F096}" name="Sales (₦)">
      <calculatedColumnFormula>T1</calculatedColumnFormula>
    </tableColumn>
    <tableColumn id="20" xr3:uid="{A4F7AD9D-C4A0-4815-B50C-EACD9D843A08}" name="Profit (₦)">
      <calculatedColumnFormula>U1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0C6ABFA-7694-4A6F-ACCE-0CCDCAA8F371}" name="Sales" displayName="Sales" ref="A1:Y1011" totalsRowCount="1">
  <autoFilter ref="A1:Y1010" xr:uid="{10C6ABFA-7694-4A6F-ACCE-0CCDCAA8F371}"/>
  <tableColumns count="25">
    <tableColumn id="1" xr3:uid="{E3B94528-184F-4179-81CC-E7B1517C9B99}" name="Order ID"/>
    <tableColumn id="2" xr3:uid="{E506DF06-6160-4F53-87C5-9D8CD95D7224}" name="Order Date" dataDxfId="10" totalsRowDxfId="4"/>
    <tableColumn id="3" xr3:uid="{F631B99B-6518-4031-8EE1-F4605AFD8F16}" name="Ship Date" dataDxfId="9" totalsRowDxfId="3"/>
    <tableColumn id="4" xr3:uid="{233D2475-DE26-4D12-8643-281570FBEA11}" name="Ship Mode"/>
    <tableColumn id="5" xr3:uid="{EA10B277-23EE-4DCA-BA6A-DE2535C8056E}" name="First Name"/>
    <tableColumn id="6" xr3:uid="{222FBEBD-CA92-4647-9CC2-309FECA1C275}" name="Last Name"/>
    <tableColumn id="7" xr3:uid="{16051A1B-7CE4-4765-B715-9E9474BA562C}" name="Email"/>
    <tableColumn id="8" xr3:uid="{1B6FB69E-6869-4189-94E7-51D00AFA5F1E}" name="Phone"/>
    <tableColumn id="9" xr3:uid="{2E989FB5-30C2-435E-A432-91A83A5CF515}" name="Segment"/>
    <tableColumn id="26" xr3:uid="{0571DD88-8046-40A8-A878-9C0781D917E4}" name="Region" dataDxfId="8"/>
    <tableColumn id="11" xr3:uid="{C541A010-A696-4460-B9B4-69C60DFBB2F6}" name="State"/>
    <tableColumn id="12" xr3:uid="{5BCDD9DD-E695-4387-90C2-8D73A03E84BF}" name="Category"/>
    <tableColumn id="13" xr3:uid="{2F7D7A93-E01C-4E8D-B7A2-52ADE37882D0}" name="Sub-Category"/>
    <tableColumn id="14" xr3:uid="{49C0E74D-38FB-4D77-A025-EDA94757AA02}" name="Product Name"/>
    <tableColumn id="15" xr3:uid="{5B904405-50DE-407B-BE4B-2FCB40526BA2}" name="Quantity"/>
    <tableColumn id="16" xr3:uid="{00327E48-B689-4147-B03C-C8E30CC5E0A9}" name="Unit Price (₦)"/>
    <tableColumn id="17" xr3:uid="{94F5BD3D-2D02-49DE-A63C-8888CED0B429}" name="Discount (%)"/>
    <tableColumn id="18" xr3:uid="{9755FFC4-5356-4AB7-9D86-952D4A5812D0}" name="Discount Amount (₦)" totalsRowDxfId="2" dataCellStyle="Comma"/>
    <tableColumn id="19" xr3:uid="{31D416D0-6764-4793-B24C-4A0095FA5BB5}" name="Sales (₦)" totalsRowDxfId="1" dataCellStyle="Comma"/>
    <tableColumn id="20" xr3:uid="{D72E0E89-8877-4899-AD91-72BFF4E94332}" name="Profit (₦)" totalsRowDxfId="0" dataCellStyle="Comma"/>
    <tableColumn id="21" xr3:uid="{881ABE06-F2FE-497A-8704-7CC4D31ED7A1}" name="Category_titleCase">
      <calculatedColumnFormula>PROPER(L2)</calculatedColumnFormula>
    </tableColumn>
    <tableColumn id="22" xr3:uid="{BA74CAEC-DBD4-453C-BDED-538258C658CA}" name="ABS(Absolute Value)">
      <calculatedColumnFormula>ABS(T2)</calculatedColumnFormula>
    </tableColumn>
    <tableColumn id="23" xr3:uid="{554193B1-26C0-4EE6-9038-AA7C1ADBC59D}" name="Order Classification" dataDxfId="7">
      <calculatedColumnFormula>IF(Sales[[#This Row],[Quantity]]&gt;=15, "Large","Small")</calculatedColumnFormula>
    </tableColumn>
    <tableColumn id="24" xr3:uid="{347E596C-489E-434E-914B-4D10DE83D577}" name="Nested If Condition" dataDxfId="6">
      <calculatedColumnFormula>IF(Sales[[#This Row],[Quantity]]&gt;=15,"Large",IF(Sales[[#This Row],[Quantity]]=14,"Medium","Small"))</calculatedColumnFormula>
    </tableColumn>
    <tableColumn id="25" xr3:uid="{BB7E91C4-2EEC-42D0-AEC6-CCDB4CDDD7D2}" name="Discount Decision" dataDxfId="5">
      <calculatedColumnFormula>IF(AND(Sales[[#This Row],[Unit Price (₦)]]&gt;68000,Sales[[#This Row],[Quantity]]&gt;15),"Offer Discount", "No Discount")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41601CF3-14E1-48BF-910C-1C2FE6CB7E84}" sourceName="Order Date">
  <pivotTables>
    <pivotTable tabId="17" name="PivotTable1"/>
    <pivotTable tabId="16" name="PivotTable5"/>
    <pivotTable tabId="16" name="PivotTable2"/>
    <pivotTable tabId="16" name="PivotTable4"/>
    <pivotTable tabId="16" name="PivotTable6"/>
    <pivotTable tabId="17" name="PivotTable10"/>
    <pivotTable tabId="17" name="PivotTable2"/>
    <pivotTable tabId="17" name="PivotTable3"/>
    <pivotTable tabId="17" name="PivotTable4"/>
    <pivotTable tabId="17" name="PivotTable5"/>
    <pivotTable tabId="17" name="PivotTable8"/>
    <pivotTable tabId="17" name="PivotTable9"/>
  </pivotTables>
  <state minimalRefreshVersion="6" lastRefreshVersion="6" pivotCacheId="1969058787" filterType="unknown">
    <bounds startDate="2022-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EA036E2B-FD43-426F-9212-CC4BF430634F}" cache="NativeTimeline_Order_Date1" caption="Order Date" level="0" selectionLevel="0" scrollPosition="2022-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86BA192-6FB2-481B-B061-BEA8E268EC71}" cache="NativeTimeline_Order_Date1" caption="Order Date" level="0" selectionLevel="0" scrollPosition="2022-01-01T00:00:00"/>
</timelines>
</file>

<file path=xl/worksheets/_rels/sheet1.xml.rels><?xml version="1.0" encoding="UTF-8" standalone="yes"?>
<Relationships xmlns="http://schemas.openxmlformats.org/package/2006/relationships"><Relationship Id="rId3" Type="http://schemas.openxmlformats.org/officeDocument/2006/relationships/hyperlink" Target="mailto:chibundo.danjuma@gmail.com" TargetMode="External"/><Relationship Id="rId2" Type="http://schemas.openxmlformats.org/officeDocument/2006/relationships/hyperlink" Target="mailto:olumide.atiku@yahoo.com" TargetMode="External"/><Relationship Id="rId1" Type="http://schemas.openxmlformats.org/officeDocument/2006/relationships/hyperlink" Target="mailto:kemi.buhari@hotmail.com"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mailto:nike.adeleke@outlook.com" TargetMode="Externa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1.xml"/><Relationship Id="rId7" Type="http://schemas.microsoft.com/office/2011/relationships/timeline" Target="../timelines/timeline2.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microsoft.com/office/2007/relationships/slicer" Target="../slicers/slicer2.xml"/><Relationship Id="rId5" Type="http://schemas.openxmlformats.org/officeDocument/2006/relationships/drawing" Target="../drawings/drawing3.xml"/><Relationship Id="rId4"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60D36-85BC-428F-A9D5-1DE24AAE19FE}">
  <sheetPr>
    <tabColor rgb="FF0F2044"/>
  </sheetPr>
  <dimension ref="A1:U1021"/>
  <sheetViews>
    <sheetView zoomScale="97" zoomScaleNormal="115" workbookViewId="0">
      <selection activeCell="G6" sqref="G6"/>
    </sheetView>
  </sheetViews>
  <sheetFormatPr defaultColWidth="8.7109375" defaultRowHeight="15" x14ac:dyDescent="0.25"/>
  <cols>
    <col min="1" max="1" width="14" customWidth="1"/>
    <col min="2" max="2" width="18" style="8" customWidth="1"/>
    <col min="3" max="3" width="13" style="8" customWidth="1"/>
    <col min="4" max="4" width="20.7109375" customWidth="1"/>
    <col min="5" max="6" width="22" customWidth="1"/>
    <col min="7" max="7" width="30.42578125" bestFit="1" customWidth="1"/>
    <col min="8" max="8" width="20" customWidth="1"/>
    <col min="9" max="9" width="14" customWidth="1"/>
    <col min="10" max="10" width="10" customWidth="1"/>
    <col min="11" max="13" width="16" customWidth="1"/>
    <col min="14" max="14" width="28" customWidth="1"/>
    <col min="15" max="15" width="11.28515625" customWidth="1"/>
    <col min="16" max="16" width="16" customWidth="1"/>
    <col min="17" max="17" width="13" customWidth="1"/>
    <col min="18" max="18" width="18" customWidth="1"/>
    <col min="19" max="19" width="14" style="11" customWidth="1"/>
    <col min="20" max="20" width="14" customWidth="1"/>
    <col min="21" max="21" width="8.7109375" customWidth="1"/>
  </cols>
  <sheetData>
    <row r="1" spans="1:21" ht="34.5" customHeight="1" x14ac:dyDescent="0.25">
      <c r="A1" t="s">
        <v>0</v>
      </c>
      <c r="B1" s="8" t="s">
        <v>1</v>
      </c>
      <c r="C1" s="8" t="s">
        <v>2</v>
      </c>
      <c r="D1" t="s">
        <v>3</v>
      </c>
      <c r="E1" t="s">
        <v>3104</v>
      </c>
      <c r="F1" t="s">
        <v>3105</v>
      </c>
      <c r="G1" t="s">
        <v>5</v>
      </c>
      <c r="H1" t="s">
        <v>6</v>
      </c>
      <c r="I1" t="s">
        <v>7</v>
      </c>
      <c r="J1" t="s">
        <v>8</v>
      </c>
      <c r="K1" t="s">
        <v>9</v>
      </c>
      <c r="L1" t="s">
        <v>10</v>
      </c>
      <c r="M1" t="s">
        <v>11</v>
      </c>
      <c r="N1" t="s">
        <v>12</v>
      </c>
      <c r="O1" t="s">
        <v>13</v>
      </c>
      <c r="P1" t="s">
        <v>14</v>
      </c>
      <c r="Q1" t="s">
        <v>15</v>
      </c>
      <c r="R1" t="s">
        <v>16</v>
      </c>
      <c r="S1" s="11" t="s">
        <v>17</v>
      </c>
      <c r="T1" t="s">
        <v>18</v>
      </c>
    </row>
    <row r="2" spans="1:21" ht="15" customHeight="1" x14ac:dyDescent="0.25">
      <c r="A2" t="s">
        <v>2629</v>
      </c>
      <c r="B2" s="8">
        <v>44562</v>
      </c>
      <c r="C2" s="8">
        <v>44567</v>
      </c>
      <c r="D2" t="s">
        <v>48</v>
      </c>
      <c r="E2" t="s">
        <v>3085</v>
      </c>
      <c r="F2" t="s">
        <v>3090</v>
      </c>
      <c r="G2" t="s">
        <v>2631</v>
      </c>
      <c r="H2">
        <v>8161000159</v>
      </c>
      <c r="I2" t="s">
        <v>35</v>
      </c>
      <c r="J2" t="s">
        <v>51</v>
      </c>
      <c r="K2" t="s">
        <v>131</v>
      </c>
      <c r="L2" t="s">
        <v>63</v>
      </c>
      <c r="M2" t="s">
        <v>64</v>
      </c>
      <c r="N2" t="s">
        <v>104</v>
      </c>
      <c r="O2">
        <v>6</v>
      </c>
      <c r="P2">
        <v>18354.330000000002</v>
      </c>
      <c r="Q2">
        <v>0</v>
      </c>
      <c r="R2">
        <v>0</v>
      </c>
      <c r="S2" s="11">
        <v>110125.98</v>
      </c>
      <c r="T2">
        <v>-12981.35</v>
      </c>
      <c r="U2">
        <f t="shared" ref="U2:U65" si="0">VALUE(S2)</f>
        <v>110125.98</v>
      </c>
    </row>
    <row r="3" spans="1:21" ht="15" customHeight="1" x14ac:dyDescent="0.25">
      <c r="A3" t="s">
        <v>1040</v>
      </c>
      <c r="B3" s="8">
        <v>44562</v>
      </c>
      <c r="C3" s="8">
        <v>44565</v>
      </c>
      <c r="D3" t="s">
        <v>73</v>
      </c>
      <c r="E3" t="s">
        <v>3081</v>
      </c>
      <c r="F3" t="s">
        <v>3036</v>
      </c>
      <c r="G3" t="s">
        <v>1042</v>
      </c>
      <c r="H3">
        <v>7037629401</v>
      </c>
      <c r="I3" t="s">
        <v>43</v>
      </c>
      <c r="J3" t="s">
        <v>61</v>
      </c>
      <c r="K3" t="s">
        <v>95</v>
      </c>
      <c r="L3" t="s">
        <v>108</v>
      </c>
      <c r="M3" t="s">
        <v>189</v>
      </c>
      <c r="N3" t="s">
        <v>190</v>
      </c>
      <c r="O3">
        <v>3</v>
      </c>
      <c r="P3">
        <v>24262.94</v>
      </c>
      <c r="Q3">
        <v>0</v>
      </c>
      <c r="R3">
        <v>0</v>
      </c>
      <c r="S3" s="11">
        <v>72788.820000000007</v>
      </c>
      <c r="T3">
        <v>13084.2</v>
      </c>
      <c r="U3">
        <f t="shared" si="0"/>
        <v>72788.820000000007</v>
      </c>
    </row>
    <row r="4" spans="1:21" ht="15" customHeight="1" x14ac:dyDescent="0.25">
      <c r="A4" t="s">
        <v>2649</v>
      </c>
      <c r="B4" s="8">
        <v>44563</v>
      </c>
      <c r="C4" s="8">
        <v>44568</v>
      </c>
      <c r="D4" t="s">
        <v>73</v>
      </c>
      <c r="E4" t="s">
        <v>3072</v>
      </c>
      <c r="F4" t="s">
        <v>3083</v>
      </c>
      <c r="G4" t="s">
        <v>1723</v>
      </c>
      <c r="H4">
        <v>8066143155</v>
      </c>
      <c r="I4" t="s">
        <v>24</v>
      </c>
      <c r="K4" t="s">
        <v>119</v>
      </c>
      <c r="L4" t="s">
        <v>85</v>
      </c>
      <c r="M4" t="s">
        <v>486</v>
      </c>
      <c r="N4" t="s">
        <v>2650</v>
      </c>
      <c r="O4">
        <v>18</v>
      </c>
      <c r="P4">
        <v>149939.9</v>
      </c>
      <c r="Q4">
        <v>0</v>
      </c>
      <c r="R4">
        <v>0</v>
      </c>
      <c r="S4" s="11">
        <v>2698918.2</v>
      </c>
      <c r="T4">
        <v>1136056.56</v>
      </c>
      <c r="U4">
        <f t="shared" si="0"/>
        <v>2698918.2</v>
      </c>
    </row>
    <row r="5" spans="1:21" ht="15" customHeight="1" x14ac:dyDescent="0.25">
      <c r="A5" t="s">
        <v>1637</v>
      </c>
      <c r="B5" s="8">
        <v>44563</v>
      </c>
      <c r="C5" s="8">
        <v>44566</v>
      </c>
      <c r="D5" t="s">
        <v>73</v>
      </c>
      <c r="E5" t="s">
        <v>3055</v>
      </c>
      <c r="F5" t="s">
        <v>3036</v>
      </c>
      <c r="G5" t="s">
        <v>1639</v>
      </c>
      <c r="H5">
        <v>8037377917</v>
      </c>
      <c r="I5" t="s">
        <v>43</v>
      </c>
      <c r="J5" t="s">
        <v>69</v>
      </c>
      <c r="K5" t="s">
        <v>155</v>
      </c>
      <c r="L5" t="s">
        <v>1640</v>
      </c>
      <c r="M5" t="s">
        <v>194</v>
      </c>
      <c r="N5" t="s">
        <v>336</v>
      </c>
      <c r="O5">
        <v>17</v>
      </c>
      <c r="P5">
        <v>14836.4</v>
      </c>
      <c r="Q5">
        <v>10</v>
      </c>
      <c r="R5">
        <v>25221.88</v>
      </c>
      <c r="S5" s="11">
        <v>226996.92</v>
      </c>
      <c r="T5">
        <v>-27854.6</v>
      </c>
      <c r="U5">
        <f t="shared" si="0"/>
        <v>226996.92</v>
      </c>
    </row>
    <row r="6" spans="1:21" ht="15" customHeight="1" x14ac:dyDescent="0.25">
      <c r="A6" t="s">
        <v>2068</v>
      </c>
      <c r="B6" s="8">
        <v>44564</v>
      </c>
      <c r="C6" s="8">
        <v>44565</v>
      </c>
      <c r="D6" t="s">
        <v>32</v>
      </c>
      <c r="E6" t="s">
        <v>3059</v>
      </c>
      <c r="F6" t="s">
        <v>3083</v>
      </c>
      <c r="G6" t="s">
        <v>2070</v>
      </c>
      <c r="H6">
        <v>8031291769</v>
      </c>
      <c r="I6" t="s">
        <v>60</v>
      </c>
      <c r="J6" t="s">
        <v>25</v>
      </c>
      <c r="K6" t="s">
        <v>36</v>
      </c>
      <c r="L6" t="s">
        <v>27</v>
      </c>
      <c r="M6" t="s">
        <v>45</v>
      </c>
      <c r="N6" t="s">
        <v>523</v>
      </c>
      <c r="O6">
        <v>6</v>
      </c>
      <c r="P6">
        <v>4344.57</v>
      </c>
      <c r="Q6">
        <v>0</v>
      </c>
      <c r="R6">
        <v>0</v>
      </c>
      <c r="S6" s="11">
        <v>26067.42</v>
      </c>
      <c r="T6">
        <v>8215.25</v>
      </c>
      <c r="U6">
        <f t="shared" si="0"/>
        <v>26067.42</v>
      </c>
    </row>
    <row r="7" spans="1:21" ht="15" customHeight="1" x14ac:dyDescent="0.25">
      <c r="A7" t="s">
        <v>1372</v>
      </c>
      <c r="B7" s="8">
        <v>44564</v>
      </c>
      <c r="C7" s="8">
        <v>44564</v>
      </c>
      <c r="D7" t="s">
        <v>32</v>
      </c>
      <c r="E7" t="s">
        <v>3098</v>
      </c>
      <c r="F7" t="s">
        <v>3078</v>
      </c>
      <c r="G7" t="s">
        <v>1374</v>
      </c>
      <c r="H7">
        <v>8151548852</v>
      </c>
      <c r="I7" t="s">
        <v>43</v>
      </c>
      <c r="J7" t="s">
        <v>69</v>
      </c>
      <c r="K7" t="s">
        <v>119</v>
      </c>
      <c r="L7" t="s">
        <v>63</v>
      </c>
      <c r="M7" t="s">
        <v>64</v>
      </c>
      <c r="N7" t="s">
        <v>65</v>
      </c>
      <c r="O7">
        <v>20</v>
      </c>
      <c r="P7">
        <v>17602.349999999999</v>
      </c>
      <c r="Q7">
        <v>25</v>
      </c>
      <c r="R7">
        <v>88011.75</v>
      </c>
      <c r="S7" s="11">
        <v>264035.25</v>
      </c>
      <c r="T7">
        <v>51523.21</v>
      </c>
      <c r="U7">
        <f t="shared" si="0"/>
        <v>264035.25</v>
      </c>
    </row>
    <row r="8" spans="1:21" ht="15" customHeight="1" x14ac:dyDescent="0.25">
      <c r="A8" t="s">
        <v>2639</v>
      </c>
      <c r="B8" s="8">
        <v>44565</v>
      </c>
      <c r="C8" s="8">
        <v>44565</v>
      </c>
      <c r="D8" t="s">
        <v>32</v>
      </c>
      <c r="E8" t="s">
        <v>3094</v>
      </c>
      <c r="F8" t="s">
        <v>3042</v>
      </c>
      <c r="G8" t="s">
        <v>2640</v>
      </c>
      <c r="H8">
        <v>8159196133</v>
      </c>
      <c r="I8" t="s">
        <v>35</v>
      </c>
      <c r="J8" t="s">
        <v>51</v>
      </c>
      <c r="K8" t="s">
        <v>131</v>
      </c>
      <c r="L8" t="s">
        <v>85</v>
      </c>
      <c r="M8" t="s">
        <v>86</v>
      </c>
      <c r="N8" t="s">
        <v>178</v>
      </c>
      <c r="O8">
        <v>20</v>
      </c>
      <c r="P8">
        <v>70613.98</v>
      </c>
      <c r="Q8">
        <v>10</v>
      </c>
      <c r="R8">
        <v>141227.96</v>
      </c>
      <c r="S8" s="11">
        <v>1271051.6399999999</v>
      </c>
      <c r="T8">
        <v>157298.35</v>
      </c>
      <c r="U8">
        <f t="shared" si="0"/>
        <v>1271051.6399999999</v>
      </c>
    </row>
    <row r="9" spans="1:21" ht="15" customHeight="1" x14ac:dyDescent="0.25">
      <c r="A9" t="s">
        <v>1792</v>
      </c>
      <c r="B9" s="8">
        <v>44568</v>
      </c>
      <c r="C9" s="8">
        <v>44573</v>
      </c>
      <c r="D9" t="s">
        <v>73</v>
      </c>
      <c r="E9" t="s">
        <v>3041</v>
      </c>
      <c r="F9" t="s">
        <v>3046</v>
      </c>
      <c r="G9" t="s">
        <v>1793</v>
      </c>
      <c r="H9">
        <v>8031767629</v>
      </c>
      <c r="I9" t="s">
        <v>43</v>
      </c>
      <c r="J9" t="s">
        <v>69</v>
      </c>
      <c r="K9" t="s">
        <v>155</v>
      </c>
      <c r="L9" t="s">
        <v>63</v>
      </c>
      <c r="M9" t="s">
        <v>469</v>
      </c>
      <c r="N9" t="s">
        <v>546</v>
      </c>
      <c r="O9">
        <v>16</v>
      </c>
      <c r="P9">
        <v>6222.19</v>
      </c>
      <c r="Q9">
        <v>15</v>
      </c>
      <c r="R9">
        <v>14933.26</v>
      </c>
      <c r="S9" s="11">
        <v>84621.78</v>
      </c>
      <c r="T9">
        <v>24838.42</v>
      </c>
      <c r="U9">
        <f t="shared" si="0"/>
        <v>84621.78</v>
      </c>
    </row>
    <row r="10" spans="1:21" ht="15" customHeight="1" x14ac:dyDescent="0.25">
      <c r="A10" t="s">
        <v>2122</v>
      </c>
      <c r="B10" s="8">
        <v>44572</v>
      </c>
      <c r="C10" s="8">
        <v>44576</v>
      </c>
      <c r="D10" t="s">
        <v>73</v>
      </c>
      <c r="E10" t="s">
        <v>3051</v>
      </c>
      <c r="F10" t="s">
        <v>3057</v>
      </c>
      <c r="G10" s="10" t="s">
        <v>2124</v>
      </c>
      <c r="H10">
        <v>7034108891</v>
      </c>
      <c r="I10" t="s">
        <v>35</v>
      </c>
      <c r="J10" t="s">
        <v>25</v>
      </c>
      <c r="K10" t="s">
        <v>126</v>
      </c>
      <c r="L10" t="s">
        <v>27</v>
      </c>
      <c r="M10" t="s">
        <v>28</v>
      </c>
      <c r="N10" t="s">
        <v>508</v>
      </c>
      <c r="O10">
        <v>19</v>
      </c>
      <c r="P10">
        <v>6709.5</v>
      </c>
      <c r="Q10">
        <v>20</v>
      </c>
      <c r="R10">
        <v>25496.1</v>
      </c>
      <c r="S10" s="11">
        <v>101984.4</v>
      </c>
      <c r="T10">
        <v>15349.69</v>
      </c>
      <c r="U10">
        <f t="shared" si="0"/>
        <v>101984.4</v>
      </c>
    </row>
    <row r="11" spans="1:21" ht="15" customHeight="1" x14ac:dyDescent="0.25">
      <c r="A11" t="s">
        <v>1552</v>
      </c>
      <c r="B11" s="8">
        <v>44573</v>
      </c>
      <c r="C11" s="8">
        <v>44581</v>
      </c>
      <c r="D11" t="s">
        <v>48</v>
      </c>
      <c r="E11" t="s">
        <v>3056</v>
      </c>
      <c r="F11" t="s">
        <v>3046</v>
      </c>
      <c r="G11" t="s">
        <v>1553</v>
      </c>
      <c r="H11">
        <v>9079004743</v>
      </c>
      <c r="I11" t="s">
        <v>43</v>
      </c>
      <c r="J11" t="s">
        <v>51</v>
      </c>
      <c r="K11" t="s">
        <v>52</v>
      </c>
      <c r="L11" t="s">
        <v>108</v>
      </c>
      <c r="M11" t="s">
        <v>183</v>
      </c>
      <c r="N11" t="s">
        <v>184</v>
      </c>
      <c r="O11">
        <v>10</v>
      </c>
      <c r="P11">
        <v>33214.19</v>
      </c>
      <c r="Q11">
        <v>10</v>
      </c>
      <c r="R11">
        <v>33214.19</v>
      </c>
      <c r="S11" s="11">
        <v>298927.71000000002</v>
      </c>
      <c r="T11">
        <v>79035.7</v>
      </c>
      <c r="U11">
        <f t="shared" si="0"/>
        <v>298927.71000000002</v>
      </c>
    </row>
    <row r="12" spans="1:21" ht="15" customHeight="1" x14ac:dyDescent="0.25">
      <c r="A12" t="s">
        <v>1680</v>
      </c>
      <c r="B12" s="8">
        <v>44575</v>
      </c>
      <c r="C12" s="8">
        <v>44579</v>
      </c>
      <c r="D12" t="s">
        <v>73</v>
      </c>
      <c r="E12" t="s">
        <v>3049</v>
      </c>
      <c r="F12" t="s">
        <v>3050</v>
      </c>
      <c r="G12" t="s">
        <v>1681</v>
      </c>
      <c r="H12">
        <v>8032932555</v>
      </c>
      <c r="I12" t="s">
        <v>43</v>
      </c>
      <c r="J12" t="s">
        <v>69</v>
      </c>
      <c r="K12" t="s">
        <v>119</v>
      </c>
      <c r="L12" t="s">
        <v>85</v>
      </c>
      <c r="M12" t="s">
        <v>243</v>
      </c>
      <c r="N12" t="s">
        <v>439</v>
      </c>
      <c r="O12">
        <v>19</v>
      </c>
      <c r="P12">
        <v>41437.39</v>
      </c>
      <c r="Q12">
        <v>10</v>
      </c>
      <c r="R12">
        <v>78731.039999999994</v>
      </c>
      <c r="S12" s="11">
        <v>708579.37</v>
      </c>
      <c r="T12">
        <v>-87620.87</v>
      </c>
      <c r="U12">
        <f t="shared" si="0"/>
        <v>708579.37</v>
      </c>
    </row>
    <row r="13" spans="1:21" ht="15" customHeight="1" x14ac:dyDescent="0.25">
      <c r="A13" t="s">
        <v>2100</v>
      </c>
      <c r="B13" s="8">
        <v>44575</v>
      </c>
      <c r="C13" s="8">
        <v>44578</v>
      </c>
      <c r="D13" t="s">
        <v>20</v>
      </c>
      <c r="E13" t="s">
        <v>3085</v>
      </c>
      <c r="F13" t="s">
        <v>3078</v>
      </c>
      <c r="G13" t="s">
        <v>2102</v>
      </c>
      <c r="H13">
        <v>8062126456</v>
      </c>
      <c r="I13" t="s">
        <v>24</v>
      </c>
      <c r="J13" t="s">
        <v>61</v>
      </c>
      <c r="K13" t="s">
        <v>182</v>
      </c>
      <c r="L13" t="s">
        <v>96</v>
      </c>
      <c r="M13" t="s">
        <v>385</v>
      </c>
      <c r="N13" t="s">
        <v>1010</v>
      </c>
      <c r="O13">
        <v>17</v>
      </c>
      <c r="P13">
        <v>397756.09</v>
      </c>
      <c r="Q13">
        <v>0</v>
      </c>
      <c r="R13">
        <v>0</v>
      </c>
      <c r="S13" s="11">
        <v>6761853.5300000003</v>
      </c>
      <c r="T13">
        <v>-11335.22</v>
      </c>
      <c r="U13">
        <f t="shared" si="0"/>
        <v>6761853.5300000003</v>
      </c>
    </row>
    <row r="14" spans="1:21" ht="15" customHeight="1" x14ac:dyDescent="0.25">
      <c r="A14" t="s">
        <v>2481</v>
      </c>
      <c r="B14" s="8">
        <v>44575</v>
      </c>
      <c r="C14" s="8">
        <v>44577</v>
      </c>
      <c r="D14" t="s">
        <v>20</v>
      </c>
      <c r="E14" t="s">
        <v>3097</v>
      </c>
      <c r="F14" t="s">
        <v>3057</v>
      </c>
      <c r="G14" t="s">
        <v>2483</v>
      </c>
      <c r="H14">
        <v>9022191407</v>
      </c>
      <c r="I14" t="s">
        <v>24</v>
      </c>
      <c r="J14" t="s">
        <v>69</v>
      </c>
      <c r="K14" t="s">
        <v>119</v>
      </c>
      <c r="L14" t="s">
        <v>27</v>
      </c>
      <c r="M14" t="s">
        <v>79</v>
      </c>
      <c r="N14" t="s">
        <v>234</v>
      </c>
      <c r="O14">
        <v>6</v>
      </c>
      <c r="P14">
        <v>3485.58</v>
      </c>
      <c r="Q14">
        <v>5</v>
      </c>
      <c r="R14">
        <v>1045.67</v>
      </c>
      <c r="S14" s="11" t="s">
        <v>2484</v>
      </c>
      <c r="T14">
        <v>-14.31</v>
      </c>
      <c r="U14" t="e">
        <f t="shared" si="0"/>
        <v>#VALUE!</v>
      </c>
    </row>
    <row r="15" spans="1:21" ht="15" customHeight="1" x14ac:dyDescent="0.25">
      <c r="A15" t="s">
        <v>1578</v>
      </c>
      <c r="B15" s="8">
        <v>44575</v>
      </c>
      <c r="C15" s="8">
        <v>44575</v>
      </c>
      <c r="D15" t="s">
        <v>32</v>
      </c>
      <c r="E15" t="s">
        <v>3055</v>
      </c>
      <c r="F15" t="s">
        <v>3074</v>
      </c>
      <c r="G15" t="s">
        <v>1580</v>
      </c>
      <c r="H15">
        <v>8153873296</v>
      </c>
      <c r="I15" t="s">
        <v>43</v>
      </c>
      <c r="J15" t="s">
        <v>25</v>
      </c>
      <c r="K15" t="s">
        <v>126</v>
      </c>
      <c r="L15" t="s">
        <v>96</v>
      </c>
      <c r="M15" t="s">
        <v>97</v>
      </c>
      <c r="N15" t="s">
        <v>1416</v>
      </c>
      <c r="O15">
        <v>14</v>
      </c>
      <c r="P15">
        <v>326111.89</v>
      </c>
      <c r="Q15">
        <v>10</v>
      </c>
      <c r="R15">
        <v>456556.65</v>
      </c>
      <c r="S15" s="11">
        <v>4109009.81</v>
      </c>
      <c r="T15">
        <v>935474.6</v>
      </c>
      <c r="U15">
        <f t="shared" si="0"/>
        <v>4109009.81</v>
      </c>
    </row>
    <row r="16" spans="1:21" ht="15" customHeight="1" x14ac:dyDescent="0.25">
      <c r="A16" t="s">
        <v>1103</v>
      </c>
      <c r="B16" s="8">
        <v>44578</v>
      </c>
      <c r="C16" s="8">
        <v>44578</v>
      </c>
      <c r="D16" t="s">
        <v>32</v>
      </c>
      <c r="E16" t="s">
        <v>3081</v>
      </c>
      <c r="F16" t="s">
        <v>3054</v>
      </c>
      <c r="G16" t="s">
        <v>1105</v>
      </c>
      <c r="H16">
        <v>8144643811</v>
      </c>
      <c r="I16" t="s">
        <v>35</v>
      </c>
      <c r="J16" t="s">
        <v>51</v>
      </c>
      <c r="K16" t="s">
        <v>223</v>
      </c>
      <c r="L16" t="s">
        <v>1062</v>
      </c>
      <c r="M16" t="s">
        <v>64</v>
      </c>
      <c r="N16" t="s">
        <v>65</v>
      </c>
      <c r="O16">
        <v>16</v>
      </c>
      <c r="P16">
        <v>19750.27</v>
      </c>
      <c r="Q16">
        <v>10</v>
      </c>
      <c r="R16">
        <v>31600.43</v>
      </c>
      <c r="S16" s="11">
        <v>284403.89</v>
      </c>
      <c r="T16">
        <v>36463.620000000003</v>
      </c>
      <c r="U16">
        <f t="shared" si="0"/>
        <v>284403.89</v>
      </c>
    </row>
    <row r="17" spans="1:21" ht="15" customHeight="1" x14ac:dyDescent="0.25">
      <c r="A17" t="s">
        <v>1904</v>
      </c>
      <c r="B17" s="8">
        <v>44580</v>
      </c>
      <c r="C17" s="8">
        <v>44585</v>
      </c>
      <c r="D17" t="s">
        <v>73</v>
      </c>
      <c r="E17" t="s">
        <v>3039</v>
      </c>
      <c r="F17" t="s">
        <v>3075</v>
      </c>
      <c r="G17" t="s">
        <v>1906</v>
      </c>
      <c r="H17">
        <v>8164696630</v>
      </c>
      <c r="I17" t="s">
        <v>24</v>
      </c>
      <c r="J17" t="s">
        <v>25</v>
      </c>
      <c r="K17" t="s">
        <v>126</v>
      </c>
      <c r="L17" t="s">
        <v>63</v>
      </c>
      <c r="M17" t="s">
        <v>469</v>
      </c>
      <c r="N17" t="s">
        <v>1082</v>
      </c>
      <c r="O17">
        <v>6</v>
      </c>
      <c r="P17">
        <v>14027.7</v>
      </c>
      <c r="Q17">
        <v>5</v>
      </c>
      <c r="R17">
        <v>4208.3100000000004</v>
      </c>
      <c r="S17" s="11">
        <v>79957.89</v>
      </c>
      <c r="T17">
        <v>-9805.44</v>
      </c>
      <c r="U17">
        <f t="shared" si="0"/>
        <v>79957.89</v>
      </c>
    </row>
    <row r="18" spans="1:21" ht="15" customHeight="1" x14ac:dyDescent="0.25">
      <c r="A18" t="s">
        <v>1822</v>
      </c>
      <c r="B18" s="8">
        <v>44580</v>
      </c>
      <c r="C18" s="8">
        <v>44584</v>
      </c>
      <c r="D18" t="s">
        <v>1823</v>
      </c>
      <c r="E18" t="s">
        <v>3094</v>
      </c>
      <c r="F18" t="s">
        <v>3038</v>
      </c>
      <c r="G18" t="s">
        <v>1825</v>
      </c>
      <c r="H18">
        <v>7068165734</v>
      </c>
      <c r="I18" t="s">
        <v>24</v>
      </c>
      <c r="J18" t="s">
        <v>61</v>
      </c>
      <c r="K18" t="s">
        <v>62</v>
      </c>
      <c r="L18" t="s">
        <v>85</v>
      </c>
      <c r="M18" t="s">
        <v>86</v>
      </c>
      <c r="N18" t="s">
        <v>584</v>
      </c>
      <c r="O18">
        <v>16</v>
      </c>
      <c r="P18">
        <v>69160.42</v>
      </c>
      <c r="Q18">
        <v>0</v>
      </c>
      <c r="R18">
        <v>0</v>
      </c>
      <c r="S18" s="11">
        <v>1106566.72</v>
      </c>
      <c r="T18">
        <v>461480.28</v>
      </c>
      <c r="U18">
        <f t="shared" si="0"/>
        <v>1106566.72</v>
      </c>
    </row>
    <row r="19" spans="1:21" ht="15" customHeight="1" x14ac:dyDescent="0.25">
      <c r="A19" t="s">
        <v>1094</v>
      </c>
      <c r="B19" s="8">
        <v>44580</v>
      </c>
      <c r="C19" s="8">
        <v>44583</v>
      </c>
      <c r="D19" t="s">
        <v>20</v>
      </c>
      <c r="E19" t="s">
        <v>3076</v>
      </c>
      <c r="F19" t="s">
        <v>3088</v>
      </c>
      <c r="G19" t="s">
        <v>1095</v>
      </c>
      <c r="H19">
        <v>9021121097</v>
      </c>
      <c r="I19" t="s">
        <v>43</v>
      </c>
      <c r="J19" t="s">
        <v>25</v>
      </c>
      <c r="K19" t="s">
        <v>168</v>
      </c>
      <c r="L19" t="s">
        <v>27</v>
      </c>
      <c r="M19" t="s">
        <v>45</v>
      </c>
      <c r="N19" t="s">
        <v>523</v>
      </c>
      <c r="O19">
        <v>18</v>
      </c>
      <c r="P19">
        <v>3470.37</v>
      </c>
      <c r="Q19">
        <v>15</v>
      </c>
      <c r="R19">
        <v>9370</v>
      </c>
      <c r="S19" s="11">
        <v>53096.66</v>
      </c>
      <c r="T19">
        <v>4611.51</v>
      </c>
      <c r="U19">
        <f t="shared" si="0"/>
        <v>53096.66</v>
      </c>
    </row>
    <row r="20" spans="1:21" ht="15" customHeight="1" x14ac:dyDescent="0.25">
      <c r="A20" t="s">
        <v>2158</v>
      </c>
      <c r="B20" s="8">
        <v>44580</v>
      </c>
      <c r="C20" s="8">
        <v>44581</v>
      </c>
      <c r="D20" t="s">
        <v>32</v>
      </c>
      <c r="E20" t="s">
        <v>3063</v>
      </c>
      <c r="F20" t="s">
        <v>3039</v>
      </c>
      <c r="G20" t="s">
        <v>2160</v>
      </c>
      <c r="H20">
        <v>9074654790</v>
      </c>
      <c r="I20" t="s">
        <v>35</v>
      </c>
      <c r="J20" t="s">
        <v>69</v>
      </c>
      <c r="K20" t="s">
        <v>70</v>
      </c>
      <c r="L20" t="s">
        <v>108</v>
      </c>
      <c r="M20" t="s">
        <v>114</v>
      </c>
      <c r="N20" t="s">
        <v>891</v>
      </c>
      <c r="O20">
        <v>9</v>
      </c>
      <c r="P20">
        <v>42369.87</v>
      </c>
      <c r="Q20">
        <v>25</v>
      </c>
      <c r="R20">
        <v>95332.21</v>
      </c>
      <c r="S20" s="11">
        <v>285996.62</v>
      </c>
      <c r="T20">
        <v>10986.82</v>
      </c>
      <c r="U20">
        <f t="shared" si="0"/>
        <v>285996.62</v>
      </c>
    </row>
    <row r="21" spans="1:21" ht="15" customHeight="1" x14ac:dyDescent="0.25">
      <c r="A21" t="s">
        <v>2247</v>
      </c>
      <c r="B21" s="8">
        <v>44582</v>
      </c>
      <c r="C21" s="8">
        <v>44583</v>
      </c>
      <c r="D21" t="s">
        <v>32</v>
      </c>
      <c r="G21" t="s">
        <v>2248</v>
      </c>
      <c r="H21">
        <v>8142124878</v>
      </c>
      <c r="I21" t="s">
        <v>24</v>
      </c>
      <c r="J21" t="s">
        <v>61</v>
      </c>
      <c r="K21" t="s">
        <v>62</v>
      </c>
      <c r="L21" t="s">
        <v>96</v>
      </c>
      <c r="M21" t="s">
        <v>97</v>
      </c>
      <c r="N21" t="s">
        <v>443</v>
      </c>
      <c r="O21">
        <v>4</v>
      </c>
      <c r="P21">
        <v>101681.42</v>
      </c>
      <c r="Q21">
        <v>25</v>
      </c>
      <c r="R21">
        <v>101681.42</v>
      </c>
      <c r="S21" s="11">
        <v>305044.26</v>
      </c>
      <c r="T21">
        <v>38178.160000000003</v>
      </c>
      <c r="U21">
        <f t="shared" si="0"/>
        <v>305044.26</v>
      </c>
    </row>
    <row r="22" spans="1:21" ht="15" customHeight="1" x14ac:dyDescent="0.25">
      <c r="A22" t="s">
        <v>1724</v>
      </c>
      <c r="B22" s="8">
        <v>44583</v>
      </c>
      <c r="C22" s="8">
        <v>44590</v>
      </c>
      <c r="D22" t="s">
        <v>48</v>
      </c>
      <c r="E22" t="s">
        <v>3056</v>
      </c>
      <c r="F22" t="s">
        <v>3078</v>
      </c>
      <c r="G22" t="s">
        <v>1726</v>
      </c>
      <c r="H22">
        <v>7038788747</v>
      </c>
      <c r="I22" t="s">
        <v>43</v>
      </c>
      <c r="J22" t="s">
        <v>69</v>
      </c>
      <c r="K22" t="s">
        <v>119</v>
      </c>
      <c r="L22" t="s">
        <v>108</v>
      </c>
      <c r="M22" t="s">
        <v>183</v>
      </c>
      <c r="N22" t="s">
        <v>719</v>
      </c>
      <c r="O22">
        <v>8</v>
      </c>
      <c r="P22">
        <v>5549.59</v>
      </c>
      <c r="Q22">
        <v>20</v>
      </c>
      <c r="R22">
        <v>8879.34</v>
      </c>
      <c r="S22" s="11">
        <v>35517.379999999997</v>
      </c>
      <c r="T22">
        <v>-2338.6999999999998</v>
      </c>
      <c r="U22">
        <f t="shared" si="0"/>
        <v>35517.379999999997</v>
      </c>
    </row>
    <row r="23" spans="1:21" ht="15" customHeight="1" x14ac:dyDescent="0.25">
      <c r="A23" t="s">
        <v>2744</v>
      </c>
      <c r="B23" s="8">
        <v>44584</v>
      </c>
      <c r="C23" s="8">
        <v>44587</v>
      </c>
      <c r="D23" t="s">
        <v>73</v>
      </c>
      <c r="E23" t="s">
        <v>3084</v>
      </c>
      <c r="F23" t="s">
        <v>3034</v>
      </c>
      <c r="H23">
        <v>8031414120</v>
      </c>
      <c r="I23" t="s">
        <v>43</v>
      </c>
      <c r="J23" t="s">
        <v>51</v>
      </c>
      <c r="K23" t="s">
        <v>131</v>
      </c>
      <c r="L23" t="s">
        <v>27</v>
      </c>
      <c r="M23" t="s">
        <v>354</v>
      </c>
      <c r="N23" t="s">
        <v>789</v>
      </c>
      <c r="O23">
        <v>15</v>
      </c>
      <c r="P23">
        <v>3158.75</v>
      </c>
      <c r="Q23">
        <v>15</v>
      </c>
      <c r="R23">
        <v>7107.19</v>
      </c>
      <c r="S23" s="11">
        <v>40274.06</v>
      </c>
      <c r="T23">
        <v>2030.8</v>
      </c>
      <c r="U23">
        <f t="shared" si="0"/>
        <v>40274.06</v>
      </c>
    </row>
    <row r="24" spans="1:21" ht="15" customHeight="1" x14ac:dyDescent="0.25">
      <c r="A24" t="s">
        <v>2025</v>
      </c>
      <c r="B24" s="8">
        <v>44584</v>
      </c>
      <c r="C24" s="8">
        <v>44587</v>
      </c>
      <c r="D24" t="s">
        <v>20</v>
      </c>
      <c r="E24" t="s">
        <v>3082</v>
      </c>
      <c r="F24" t="s">
        <v>3071</v>
      </c>
      <c r="G24" t="s">
        <v>2026</v>
      </c>
      <c r="H24">
        <v>8132111241</v>
      </c>
      <c r="I24" t="s">
        <v>35</v>
      </c>
      <c r="J24" t="s">
        <v>51</v>
      </c>
      <c r="K24" t="s">
        <v>52</v>
      </c>
      <c r="L24" t="s">
        <v>108</v>
      </c>
      <c r="M24" t="s">
        <v>38</v>
      </c>
      <c r="N24" t="s">
        <v>296</v>
      </c>
      <c r="O24">
        <v>7</v>
      </c>
      <c r="P24">
        <v>11123.53</v>
      </c>
      <c r="Q24">
        <v>0</v>
      </c>
      <c r="R24">
        <v>0</v>
      </c>
      <c r="S24" s="11">
        <v>77864.710000000006</v>
      </c>
      <c r="T24">
        <v>14527.63</v>
      </c>
      <c r="U24">
        <f t="shared" si="0"/>
        <v>77864.710000000006</v>
      </c>
    </row>
    <row r="25" spans="1:21" ht="15" customHeight="1" x14ac:dyDescent="0.25">
      <c r="A25" t="s">
        <v>618</v>
      </c>
      <c r="B25" s="8">
        <v>44586</v>
      </c>
      <c r="C25" s="8">
        <v>44586</v>
      </c>
      <c r="D25" t="s">
        <v>619</v>
      </c>
      <c r="E25" t="s">
        <v>3070</v>
      </c>
      <c r="F25" t="s">
        <v>3034</v>
      </c>
      <c r="G25" t="s">
        <v>621</v>
      </c>
      <c r="H25">
        <v>8155809835</v>
      </c>
      <c r="I25" t="s">
        <v>24</v>
      </c>
      <c r="J25" t="s">
        <v>25</v>
      </c>
      <c r="K25" t="s">
        <v>26</v>
      </c>
      <c r="L25" t="s">
        <v>96</v>
      </c>
      <c r="M25" t="s">
        <v>254</v>
      </c>
      <c r="N25" t="s">
        <v>530</v>
      </c>
      <c r="O25">
        <v>6</v>
      </c>
      <c r="P25">
        <v>365682.95</v>
      </c>
      <c r="Q25">
        <v>0</v>
      </c>
      <c r="R25">
        <v>0</v>
      </c>
      <c r="S25" s="11">
        <v>2194097.7000000002</v>
      </c>
      <c r="T25">
        <v>879458.66</v>
      </c>
      <c r="U25">
        <f t="shared" si="0"/>
        <v>2194097.7000000002</v>
      </c>
    </row>
    <row r="26" spans="1:21" ht="15" customHeight="1" x14ac:dyDescent="0.25">
      <c r="A26" t="s">
        <v>1770</v>
      </c>
      <c r="B26" s="8">
        <v>44587</v>
      </c>
      <c r="C26" s="8">
        <v>44590</v>
      </c>
      <c r="D26" t="s">
        <v>73</v>
      </c>
      <c r="E26" t="s">
        <v>3081</v>
      </c>
      <c r="F26" t="s">
        <v>3040</v>
      </c>
      <c r="G26" t="s">
        <v>1772</v>
      </c>
      <c r="H26">
        <v>7062348021</v>
      </c>
      <c r="I26" t="s">
        <v>35</v>
      </c>
      <c r="J26" t="s">
        <v>61</v>
      </c>
      <c r="K26" t="s">
        <v>182</v>
      </c>
      <c r="L26" t="s">
        <v>1773</v>
      </c>
      <c r="M26" t="s">
        <v>354</v>
      </c>
      <c r="N26" t="s">
        <v>433</v>
      </c>
      <c r="O26">
        <v>14</v>
      </c>
      <c r="P26">
        <v>1576.84</v>
      </c>
      <c r="Q26">
        <v>10</v>
      </c>
      <c r="R26">
        <v>2207.58</v>
      </c>
      <c r="S26" s="11">
        <v>19868.18</v>
      </c>
      <c r="T26">
        <v>5267.1</v>
      </c>
      <c r="U26">
        <f t="shared" si="0"/>
        <v>19868.18</v>
      </c>
    </row>
    <row r="27" spans="1:21" ht="15" customHeight="1" x14ac:dyDescent="0.25">
      <c r="A27" t="s">
        <v>2593</v>
      </c>
      <c r="B27" s="8">
        <v>44588</v>
      </c>
      <c r="C27" s="8">
        <v>44589</v>
      </c>
      <c r="D27" t="s">
        <v>32</v>
      </c>
      <c r="E27" t="s">
        <v>3048</v>
      </c>
      <c r="F27" t="s">
        <v>3074</v>
      </c>
      <c r="G27" t="s">
        <v>2594</v>
      </c>
      <c r="H27">
        <v>9078197382</v>
      </c>
      <c r="I27" t="s">
        <v>43</v>
      </c>
      <c r="J27" t="s">
        <v>69</v>
      </c>
      <c r="K27" t="s">
        <v>119</v>
      </c>
      <c r="L27" t="s">
        <v>27</v>
      </c>
      <c r="M27" t="s">
        <v>79</v>
      </c>
      <c r="N27" t="s">
        <v>234</v>
      </c>
      <c r="O27">
        <v>10</v>
      </c>
      <c r="P27">
        <v>1296.5999999999999</v>
      </c>
      <c r="Q27">
        <v>10</v>
      </c>
      <c r="R27">
        <v>1296.5999999999999</v>
      </c>
      <c r="S27" s="11">
        <v>11669.4</v>
      </c>
      <c r="T27">
        <v>3324.08</v>
      </c>
      <c r="U27">
        <f t="shared" si="0"/>
        <v>11669.4</v>
      </c>
    </row>
    <row r="28" spans="1:21" ht="15" customHeight="1" x14ac:dyDescent="0.25">
      <c r="A28" t="s">
        <v>2792</v>
      </c>
      <c r="B28" s="8">
        <v>44591</v>
      </c>
      <c r="C28" s="8">
        <v>44596</v>
      </c>
      <c r="D28" t="s">
        <v>73</v>
      </c>
      <c r="E28" t="s">
        <v>3068</v>
      </c>
      <c r="F28" t="s">
        <v>3050</v>
      </c>
      <c r="G28" t="s">
        <v>2793</v>
      </c>
      <c r="H28">
        <v>9075120422</v>
      </c>
      <c r="I28" t="s">
        <v>24</v>
      </c>
      <c r="J28" t="s">
        <v>51</v>
      </c>
      <c r="K28" t="s">
        <v>131</v>
      </c>
      <c r="L28" t="s">
        <v>108</v>
      </c>
      <c r="M28" t="s">
        <v>114</v>
      </c>
      <c r="N28" t="s">
        <v>291</v>
      </c>
      <c r="O28">
        <v>9</v>
      </c>
      <c r="P28">
        <v>7584.73</v>
      </c>
      <c r="Q28">
        <v>0</v>
      </c>
      <c r="R28">
        <v>0</v>
      </c>
      <c r="S28" s="11">
        <v>68262.570000000007</v>
      </c>
      <c r="T28">
        <v>16688.439999999999</v>
      </c>
      <c r="U28">
        <f t="shared" si="0"/>
        <v>68262.570000000007</v>
      </c>
    </row>
    <row r="29" spans="1:21" ht="15" customHeight="1" x14ac:dyDescent="0.25">
      <c r="A29" t="s">
        <v>2925</v>
      </c>
      <c r="B29" s="8">
        <v>44594</v>
      </c>
      <c r="C29" s="8">
        <v>44599</v>
      </c>
      <c r="D29" t="s">
        <v>73</v>
      </c>
      <c r="E29" t="s">
        <v>3053</v>
      </c>
      <c r="F29" t="s">
        <v>3036</v>
      </c>
      <c r="G29" t="s">
        <v>2926</v>
      </c>
      <c r="H29">
        <v>7068058810</v>
      </c>
      <c r="I29" t="s">
        <v>43</v>
      </c>
      <c r="J29" t="s">
        <v>25</v>
      </c>
      <c r="K29" t="s">
        <v>44</v>
      </c>
      <c r="L29" t="s">
        <v>2052</v>
      </c>
      <c r="M29" t="s">
        <v>173</v>
      </c>
      <c r="N29" t="s">
        <v>662</v>
      </c>
      <c r="O29">
        <v>10</v>
      </c>
      <c r="P29">
        <v>6995.77</v>
      </c>
      <c r="Q29">
        <v>25</v>
      </c>
      <c r="R29">
        <v>17489.43</v>
      </c>
      <c r="S29" s="11">
        <v>52468.27</v>
      </c>
      <c r="T29">
        <v>12332.65</v>
      </c>
      <c r="U29">
        <f t="shared" si="0"/>
        <v>52468.27</v>
      </c>
    </row>
    <row r="30" spans="1:21" ht="15" customHeight="1" x14ac:dyDescent="0.25">
      <c r="A30" t="s">
        <v>2738</v>
      </c>
      <c r="B30" s="8">
        <v>44595</v>
      </c>
      <c r="C30" s="8">
        <v>44598</v>
      </c>
      <c r="D30" t="s">
        <v>73</v>
      </c>
      <c r="E30" t="s">
        <v>3053</v>
      </c>
      <c r="F30" t="s">
        <v>3036</v>
      </c>
      <c r="G30" t="s">
        <v>2739</v>
      </c>
      <c r="H30">
        <v>7068824038</v>
      </c>
      <c r="I30" t="s">
        <v>35</v>
      </c>
      <c r="J30" t="s">
        <v>51</v>
      </c>
      <c r="K30" t="s">
        <v>316</v>
      </c>
      <c r="L30" t="s">
        <v>108</v>
      </c>
      <c r="M30" t="s">
        <v>38</v>
      </c>
      <c r="N30" t="s">
        <v>303</v>
      </c>
      <c r="O30">
        <v>14</v>
      </c>
      <c r="P30">
        <v>21921.87</v>
      </c>
      <c r="Q30">
        <v>0</v>
      </c>
      <c r="R30">
        <v>0</v>
      </c>
      <c r="S30" s="11" t="s">
        <v>2740</v>
      </c>
      <c r="T30">
        <v>-853.32</v>
      </c>
      <c r="U30">
        <f t="shared" si="0"/>
        <v>306906.18</v>
      </c>
    </row>
    <row r="31" spans="1:21" ht="15" customHeight="1" x14ac:dyDescent="0.25">
      <c r="A31" t="s">
        <v>2790</v>
      </c>
      <c r="B31" s="8">
        <v>44595</v>
      </c>
      <c r="C31" s="8">
        <v>44596</v>
      </c>
      <c r="D31" t="s">
        <v>32</v>
      </c>
      <c r="E31" t="s">
        <v>3080</v>
      </c>
      <c r="F31" t="s">
        <v>3069</v>
      </c>
      <c r="G31" t="s">
        <v>2791</v>
      </c>
      <c r="H31">
        <v>8144580502</v>
      </c>
      <c r="I31" t="s">
        <v>24</v>
      </c>
      <c r="J31" t="s">
        <v>51</v>
      </c>
      <c r="K31" t="s">
        <v>227</v>
      </c>
      <c r="L31" t="s">
        <v>27</v>
      </c>
      <c r="M31" t="s">
        <v>173</v>
      </c>
      <c r="N31" t="s">
        <v>174</v>
      </c>
      <c r="O31">
        <v>8</v>
      </c>
      <c r="P31">
        <v>6303.5</v>
      </c>
      <c r="Q31">
        <v>15</v>
      </c>
      <c r="R31">
        <v>7564.2</v>
      </c>
      <c r="S31" s="11">
        <v>42863.8</v>
      </c>
      <c r="T31">
        <v>7992.08</v>
      </c>
      <c r="U31">
        <f t="shared" si="0"/>
        <v>42863.8</v>
      </c>
    </row>
    <row r="32" spans="1:21" ht="15" customHeight="1" x14ac:dyDescent="0.25">
      <c r="A32" t="s">
        <v>1331</v>
      </c>
      <c r="B32" s="8">
        <v>44595</v>
      </c>
      <c r="C32" s="8">
        <v>44595</v>
      </c>
      <c r="D32" t="s">
        <v>32</v>
      </c>
      <c r="E32" t="s">
        <v>3095</v>
      </c>
      <c r="F32" t="s">
        <v>3090</v>
      </c>
      <c r="G32" t="s">
        <v>1333</v>
      </c>
      <c r="H32">
        <v>9021718308</v>
      </c>
      <c r="I32" t="s">
        <v>24</v>
      </c>
      <c r="J32" t="s">
        <v>51</v>
      </c>
      <c r="K32" t="s">
        <v>316</v>
      </c>
      <c r="L32" t="s">
        <v>108</v>
      </c>
      <c r="M32" t="s">
        <v>114</v>
      </c>
      <c r="N32" t="s">
        <v>848</v>
      </c>
      <c r="O32">
        <v>17</v>
      </c>
      <c r="P32">
        <v>36705.46</v>
      </c>
      <c r="Q32">
        <v>20</v>
      </c>
      <c r="R32">
        <v>124798.56</v>
      </c>
      <c r="S32" s="11">
        <v>499194.26</v>
      </c>
      <c r="T32">
        <v>206693.32</v>
      </c>
      <c r="U32">
        <f t="shared" si="0"/>
        <v>499194.26</v>
      </c>
    </row>
    <row r="33" spans="1:21" ht="15" customHeight="1" x14ac:dyDescent="0.25">
      <c r="A33" t="s">
        <v>528</v>
      </c>
      <c r="B33" s="8">
        <v>44596</v>
      </c>
      <c r="C33" s="8">
        <v>44597</v>
      </c>
      <c r="D33" t="s">
        <v>32</v>
      </c>
      <c r="E33" t="s">
        <v>3095</v>
      </c>
      <c r="F33" t="s">
        <v>3069</v>
      </c>
      <c r="H33">
        <v>7066161977</v>
      </c>
      <c r="I33" t="s">
        <v>43</v>
      </c>
      <c r="J33" t="s">
        <v>69</v>
      </c>
      <c r="K33" t="s">
        <v>155</v>
      </c>
      <c r="L33" t="s">
        <v>96</v>
      </c>
      <c r="M33" t="s">
        <v>254</v>
      </c>
      <c r="N33" t="s">
        <v>530</v>
      </c>
      <c r="O33">
        <v>19</v>
      </c>
      <c r="P33">
        <v>130505.74</v>
      </c>
      <c r="Q33">
        <v>5</v>
      </c>
      <c r="R33">
        <v>123980.45</v>
      </c>
      <c r="S33" s="11">
        <v>2355628.61</v>
      </c>
      <c r="T33">
        <v>666266.15</v>
      </c>
      <c r="U33">
        <f t="shared" si="0"/>
        <v>2355628.61</v>
      </c>
    </row>
    <row r="34" spans="1:21" ht="15" customHeight="1" x14ac:dyDescent="0.25">
      <c r="A34" t="s">
        <v>2785</v>
      </c>
      <c r="B34" s="8">
        <v>44598</v>
      </c>
      <c r="C34" s="8">
        <v>44601</v>
      </c>
      <c r="D34" t="s">
        <v>20</v>
      </c>
      <c r="E34" t="s">
        <v>3035</v>
      </c>
      <c r="F34" t="s">
        <v>3040</v>
      </c>
      <c r="G34" t="s">
        <v>2787</v>
      </c>
      <c r="H34">
        <v>8148000211</v>
      </c>
      <c r="I34" t="s">
        <v>43</v>
      </c>
      <c r="J34" t="s">
        <v>69</v>
      </c>
      <c r="K34" t="s">
        <v>307</v>
      </c>
      <c r="L34" t="s">
        <v>108</v>
      </c>
      <c r="M34" t="s">
        <v>189</v>
      </c>
      <c r="N34" t="s">
        <v>205</v>
      </c>
      <c r="O34">
        <v>11</v>
      </c>
      <c r="P34">
        <v>11930.65</v>
      </c>
      <c r="Q34">
        <v>5</v>
      </c>
      <c r="R34">
        <v>6561.86</v>
      </c>
      <c r="S34" s="11">
        <v>124675.29</v>
      </c>
      <c r="T34">
        <v>14906.53</v>
      </c>
      <c r="U34">
        <f t="shared" si="0"/>
        <v>124675.29</v>
      </c>
    </row>
    <row r="35" spans="1:21" ht="15" customHeight="1" x14ac:dyDescent="0.25">
      <c r="A35" t="s">
        <v>2800</v>
      </c>
      <c r="B35" s="8">
        <v>44599</v>
      </c>
      <c r="C35" s="8">
        <v>44601</v>
      </c>
      <c r="D35" t="s">
        <v>20</v>
      </c>
      <c r="E35" t="s">
        <v>3044</v>
      </c>
      <c r="F35" t="s">
        <v>3062</v>
      </c>
      <c r="G35" t="s">
        <v>2801</v>
      </c>
      <c r="H35">
        <v>7033690055</v>
      </c>
      <c r="I35" t="s">
        <v>24</v>
      </c>
      <c r="J35" t="s">
        <v>69</v>
      </c>
      <c r="K35" t="s">
        <v>119</v>
      </c>
      <c r="L35" t="s">
        <v>27</v>
      </c>
      <c r="M35" t="s">
        <v>173</v>
      </c>
      <c r="N35" t="s">
        <v>380</v>
      </c>
      <c r="O35">
        <v>12</v>
      </c>
      <c r="P35">
        <v>3985.92</v>
      </c>
      <c r="Q35">
        <v>0</v>
      </c>
      <c r="R35">
        <v>0</v>
      </c>
      <c r="S35" s="11" t="s">
        <v>2802</v>
      </c>
      <c r="T35">
        <v>2588.06</v>
      </c>
      <c r="U35">
        <f t="shared" si="0"/>
        <v>47831.040000000001</v>
      </c>
    </row>
    <row r="36" spans="1:21" ht="15" customHeight="1" x14ac:dyDescent="0.25">
      <c r="A36" t="s">
        <v>2029</v>
      </c>
      <c r="B36" s="8">
        <v>44605</v>
      </c>
      <c r="C36" s="8">
        <v>44609</v>
      </c>
      <c r="D36" t="s">
        <v>73</v>
      </c>
      <c r="E36" t="s">
        <v>3047</v>
      </c>
      <c r="F36" t="s">
        <v>3040</v>
      </c>
      <c r="G36" t="s">
        <v>2030</v>
      </c>
      <c r="H36">
        <v>8145770866</v>
      </c>
      <c r="I36" t="s">
        <v>43</v>
      </c>
      <c r="J36" t="s">
        <v>51</v>
      </c>
      <c r="K36" t="s">
        <v>227</v>
      </c>
      <c r="L36" t="s">
        <v>85</v>
      </c>
      <c r="M36" t="s">
        <v>486</v>
      </c>
      <c r="N36" t="s">
        <v>487</v>
      </c>
      <c r="O36">
        <v>17</v>
      </c>
      <c r="P36">
        <v>162082.68</v>
      </c>
      <c r="Q36">
        <v>0</v>
      </c>
      <c r="R36">
        <v>0</v>
      </c>
      <c r="S36" s="11">
        <v>2755405.56</v>
      </c>
      <c r="T36">
        <v>144476.72</v>
      </c>
      <c r="U36">
        <f t="shared" si="0"/>
        <v>2755405.56</v>
      </c>
    </row>
    <row r="37" spans="1:21" ht="15" customHeight="1" x14ac:dyDescent="0.25">
      <c r="A37" t="s">
        <v>2009</v>
      </c>
      <c r="B37" s="8">
        <v>44606</v>
      </c>
      <c r="D37" t="s">
        <v>32</v>
      </c>
      <c r="E37" t="s">
        <v>3044</v>
      </c>
      <c r="F37" t="s">
        <v>3083</v>
      </c>
      <c r="G37" t="s">
        <v>222</v>
      </c>
      <c r="H37">
        <v>8138044872</v>
      </c>
      <c r="I37" t="s">
        <v>35</v>
      </c>
      <c r="J37" t="s">
        <v>1234</v>
      </c>
      <c r="K37" t="s">
        <v>204</v>
      </c>
      <c r="L37" t="s">
        <v>108</v>
      </c>
      <c r="M37" t="s">
        <v>38</v>
      </c>
      <c r="N37" t="s">
        <v>213</v>
      </c>
      <c r="O37">
        <v>6</v>
      </c>
      <c r="P37">
        <v>36767.61</v>
      </c>
      <c r="Q37">
        <v>10</v>
      </c>
      <c r="R37">
        <v>22060.57</v>
      </c>
      <c r="S37" s="11">
        <v>198545.09</v>
      </c>
      <c r="T37">
        <v>-28573.78</v>
      </c>
      <c r="U37">
        <f t="shared" si="0"/>
        <v>198545.09</v>
      </c>
    </row>
    <row r="38" spans="1:21" ht="15" customHeight="1" x14ac:dyDescent="0.25">
      <c r="A38" t="s">
        <v>1384</v>
      </c>
      <c r="B38" s="8">
        <v>44607</v>
      </c>
      <c r="C38" s="8">
        <v>44613</v>
      </c>
      <c r="D38" t="s">
        <v>210</v>
      </c>
      <c r="E38" t="s">
        <v>3070</v>
      </c>
      <c r="F38" t="s">
        <v>3040</v>
      </c>
      <c r="G38" t="s">
        <v>1386</v>
      </c>
      <c r="H38">
        <v>7066751103</v>
      </c>
      <c r="I38" t="s">
        <v>35</v>
      </c>
      <c r="J38" t="s">
        <v>25</v>
      </c>
      <c r="K38" t="s">
        <v>44</v>
      </c>
      <c r="L38" t="s">
        <v>63</v>
      </c>
      <c r="M38" t="s">
        <v>64</v>
      </c>
      <c r="N38" t="s">
        <v>777</v>
      </c>
      <c r="O38" t="s">
        <v>1279</v>
      </c>
      <c r="P38">
        <v>16813.46</v>
      </c>
      <c r="Q38">
        <v>25</v>
      </c>
      <c r="R38">
        <v>71457.210000000006</v>
      </c>
      <c r="S38" s="11">
        <v>214371.61</v>
      </c>
      <c r="T38">
        <v>25114.44</v>
      </c>
      <c r="U38">
        <f t="shared" si="0"/>
        <v>214371.61</v>
      </c>
    </row>
    <row r="39" spans="1:21" ht="15" customHeight="1" x14ac:dyDescent="0.25">
      <c r="A39" t="s">
        <v>2755</v>
      </c>
      <c r="B39" s="8">
        <v>44607</v>
      </c>
      <c r="C39" s="8">
        <v>44611</v>
      </c>
      <c r="D39" t="s">
        <v>73</v>
      </c>
      <c r="E39" t="s">
        <v>3055</v>
      </c>
      <c r="F39" t="s">
        <v>3036</v>
      </c>
      <c r="G39" t="s">
        <v>1639</v>
      </c>
      <c r="H39">
        <v>8156042710</v>
      </c>
      <c r="I39" t="s">
        <v>35</v>
      </c>
      <c r="J39" t="s">
        <v>51</v>
      </c>
      <c r="K39" t="s">
        <v>227</v>
      </c>
      <c r="L39" t="s">
        <v>108</v>
      </c>
      <c r="M39" t="s">
        <v>183</v>
      </c>
      <c r="N39" t="s">
        <v>719</v>
      </c>
      <c r="O39">
        <v>10</v>
      </c>
      <c r="P39">
        <v>42940.32</v>
      </c>
      <c r="Q39">
        <v>10</v>
      </c>
      <c r="R39">
        <v>42940.32</v>
      </c>
      <c r="S39" s="11">
        <v>386462.88</v>
      </c>
      <c r="T39">
        <v>-33275.199999999997</v>
      </c>
      <c r="U39">
        <f t="shared" si="0"/>
        <v>386462.88</v>
      </c>
    </row>
    <row r="40" spans="1:21" ht="15" customHeight="1" x14ac:dyDescent="0.25">
      <c r="A40" t="s">
        <v>2127</v>
      </c>
      <c r="B40" s="8">
        <v>44608</v>
      </c>
      <c r="C40" s="8">
        <v>44610</v>
      </c>
      <c r="D40" t="s">
        <v>20</v>
      </c>
      <c r="E40" t="s">
        <v>3076</v>
      </c>
      <c r="F40" t="s">
        <v>3042</v>
      </c>
      <c r="G40" t="s">
        <v>2129</v>
      </c>
      <c r="H40">
        <v>7067004652</v>
      </c>
      <c r="I40" t="s">
        <v>24</v>
      </c>
      <c r="J40" t="s">
        <v>61</v>
      </c>
      <c r="K40" t="s">
        <v>95</v>
      </c>
      <c r="L40" t="s">
        <v>96</v>
      </c>
      <c r="M40" t="s">
        <v>385</v>
      </c>
      <c r="N40" t="s">
        <v>386</v>
      </c>
      <c r="O40">
        <v>19</v>
      </c>
      <c r="P40">
        <v>47528.05</v>
      </c>
      <c r="Q40">
        <v>5</v>
      </c>
      <c r="R40">
        <v>45151.65</v>
      </c>
      <c r="S40" s="11">
        <v>857881.3</v>
      </c>
      <c r="T40">
        <v>310481.94</v>
      </c>
      <c r="U40">
        <f t="shared" si="0"/>
        <v>857881.3</v>
      </c>
    </row>
    <row r="41" spans="1:21" ht="15" customHeight="1" x14ac:dyDescent="0.25">
      <c r="A41" t="s">
        <v>1464</v>
      </c>
      <c r="B41" s="8">
        <v>44609</v>
      </c>
      <c r="C41" s="8">
        <v>44615</v>
      </c>
      <c r="D41" t="s">
        <v>48</v>
      </c>
      <c r="E41" t="s">
        <v>3072</v>
      </c>
      <c r="F41" t="s">
        <v>3043</v>
      </c>
      <c r="G41" t="s">
        <v>1466</v>
      </c>
      <c r="H41">
        <v>8107264416</v>
      </c>
      <c r="I41" t="s">
        <v>24</v>
      </c>
      <c r="K41" t="s">
        <v>44</v>
      </c>
      <c r="L41" t="s">
        <v>96</v>
      </c>
      <c r="M41" t="s">
        <v>385</v>
      </c>
      <c r="N41" t="s">
        <v>1010</v>
      </c>
      <c r="O41">
        <v>3</v>
      </c>
      <c r="P41">
        <v>363633.82</v>
      </c>
      <c r="Q41">
        <v>0</v>
      </c>
      <c r="R41">
        <v>0</v>
      </c>
      <c r="S41" s="11">
        <v>1090901.46</v>
      </c>
      <c r="T41">
        <v>-157322.01</v>
      </c>
      <c r="U41">
        <f t="shared" si="0"/>
        <v>1090901.46</v>
      </c>
    </row>
    <row r="42" spans="1:21" ht="15" customHeight="1" x14ac:dyDescent="0.25">
      <c r="A42" t="s">
        <v>2614</v>
      </c>
      <c r="B42" s="8">
        <v>44611</v>
      </c>
      <c r="C42" s="8">
        <v>44616</v>
      </c>
      <c r="D42" t="s">
        <v>48</v>
      </c>
      <c r="E42" t="s">
        <v>3067</v>
      </c>
      <c r="F42" t="s">
        <v>3083</v>
      </c>
      <c r="G42" t="s">
        <v>2615</v>
      </c>
      <c r="H42">
        <v>8034674225</v>
      </c>
      <c r="I42" t="s">
        <v>35</v>
      </c>
      <c r="J42" t="s">
        <v>51</v>
      </c>
      <c r="K42" t="s">
        <v>131</v>
      </c>
      <c r="L42" t="s">
        <v>85</v>
      </c>
      <c r="M42" t="s">
        <v>218</v>
      </c>
      <c r="N42" t="s">
        <v>708</v>
      </c>
      <c r="O42">
        <v>11</v>
      </c>
      <c r="P42">
        <v>94100.43</v>
      </c>
      <c r="Q42">
        <v>15</v>
      </c>
      <c r="R42">
        <v>155265.71</v>
      </c>
      <c r="S42" s="11">
        <v>879839.02</v>
      </c>
      <c r="T42">
        <v>267099.63</v>
      </c>
      <c r="U42">
        <f t="shared" si="0"/>
        <v>879839.02</v>
      </c>
    </row>
    <row r="43" spans="1:21" ht="15" customHeight="1" x14ac:dyDescent="0.25">
      <c r="A43" t="s">
        <v>1926</v>
      </c>
      <c r="B43" s="8">
        <v>44611</v>
      </c>
      <c r="C43" s="8">
        <v>44614</v>
      </c>
      <c r="D43" t="s">
        <v>73</v>
      </c>
      <c r="E43" t="s">
        <v>3068</v>
      </c>
      <c r="F43" t="s">
        <v>3045</v>
      </c>
      <c r="G43" t="s">
        <v>1928</v>
      </c>
      <c r="H43">
        <v>7035812480</v>
      </c>
      <c r="I43" t="s">
        <v>35</v>
      </c>
      <c r="J43" t="s">
        <v>69</v>
      </c>
      <c r="K43" t="s">
        <v>119</v>
      </c>
      <c r="L43" t="s">
        <v>85</v>
      </c>
      <c r="M43" t="s">
        <v>486</v>
      </c>
      <c r="N43" t="s">
        <v>487</v>
      </c>
      <c r="O43">
        <v>4</v>
      </c>
      <c r="P43">
        <v>92593.14</v>
      </c>
      <c r="Q43">
        <v>5</v>
      </c>
      <c r="R43">
        <v>18518.63</v>
      </c>
      <c r="S43" s="11">
        <v>351853.93</v>
      </c>
      <c r="T43">
        <v>-31300.31</v>
      </c>
      <c r="U43">
        <f t="shared" si="0"/>
        <v>351853.93</v>
      </c>
    </row>
    <row r="44" spans="1:21" ht="15" customHeight="1" x14ac:dyDescent="0.25">
      <c r="A44" t="s">
        <v>2355</v>
      </c>
      <c r="B44" s="8">
        <v>44615</v>
      </c>
      <c r="C44" s="8">
        <v>44617</v>
      </c>
      <c r="D44" t="s">
        <v>20</v>
      </c>
      <c r="E44" t="s">
        <v>3073</v>
      </c>
      <c r="F44" t="s">
        <v>3057</v>
      </c>
      <c r="G44" t="s">
        <v>2356</v>
      </c>
      <c r="H44">
        <v>9015885832</v>
      </c>
      <c r="I44" t="s">
        <v>35</v>
      </c>
      <c r="J44" t="s">
        <v>25</v>
      </c>
      <c r="K44" t="s">
        <v>126</v>
      </c>
      <c r="L44" t="s">
        <v>63</v>
      </c>
      <c r="M44" t="s">
        <v>469</v>
      </c>
      <c r="N44" t="s">
        <v>1595</v>
      </c>
      <c r="O44">
        <v>10</v>
      </c>
      <c r="P44">
        <v>14407.18</v>
      </c>
      <c r="Q44">
        <v>20</v>
      </c>
      <c r="R44">
        <v>28814.36</v>
      </c>
      <c r="S44" s="11">
        <v>115257.44</v>
      </c>
      <c r="T44">
        <v>32023.97</v>
      </c>
      <c r="U44">
        <f t="shared" si="0"/>
        <v>115257.44</v>
      </c>
    </row>
    <row r="45" spans="1:21" ht="15" customHeight="1" x14ac:dyDescent="0.25">
      <c r="A45" t="s">
        <v>731</v>
      </c>
      <c r="B45" s="8">
        <v>44616</v>
      </c>
      <c r="C45" s="8">
        <v>44619</v>
      </c>
      <c r="D45" t="s">
        <v>20</v>
      </c>
      <c r="E45" t="s">
        <v>3082</v>
      </c>
      <c r="F45" t="s">
        <v>3075</v>
      </c>
      <c r="H45">
        <v>9017572491</v>
      </c>
      <c r="I45" t="s">
        <v>24</v>
      </c>
      <c r="J45" t="s">
        <v>61</v>
      </c>
      <c r="K45" t="s">
        <v>84</v>
      </c>
      <c r="L45" t="s">
        <v>63</v>
      </c>
      <c r="M45" t="s">
        <v>469</v>
      </c>
      <c r="N45" t="s">
        <v>470</v>
      </c>
      <c r="O45">
        <v>8</v>
      </c>
      <c r="P45">
        <v>19703.14</v>
      </c>
      <c r="Q45">
        <v>20</v>
      </c>
      <c r="R45">
        <v>31525.02</v>
      </c>
      <c r="S45" s="11">
        <v>126100.1</v>
      </c>
      <c r="T45">
        <v>10281.11</v>
      </c>
      <c r="U45">
        <f t="shared" si="0"/>
        <v>126100.1</v>
      </c>
    </row>
    <row r="46" spans="1:21" ht="15" customHeight="1" x14ac:dyDescent="0.25">
      <c r="A46" t="s">
        <v>1710</v>
      </c>
      <c r="B46" s="8">
        <v>44616</v>
      </c>
      <c r="C46" s="8">
        <v>44616</v>
      </c>
      <c r="D46" t="s">
        <v>32</v>
      </c>
      <c r="E46" t="s">
        <v>3050</v>
      </c>
      <c r="F46" t="s">
        <v>3050</v>
      </c>
      <c r="G46" t="s">
        <v>1712</v>
      </c>
      <c r="H46">
        <v>8164454299</v>
      </c>
      <c r="I46" t="s">
        <v>24</v>
      </c>
      <c r="J46" t="s">
        <v>61</v>
      </c>
      <c r="K46" t="s">
        <v>95</v>
      </c>
      <c r="L46" t="s">
        <v>85</v>
      </c>
      <c r="M46" t="s">
        <v>243</v>
      </c>
      <c r="N46" t="s">
        <v>244</v>
      </c>
      <c r="O46">
        <v>2</v>
      </c>
      <c r="P46">
        <v>20036.46</v>
      </c>
      <c r="Q46">
        <v>10</v>
      </c>
      <c r="R46">
        <v>4007.29</v>
      </c>
      <c r="S46" s="11">
        <v>36065.629999999997</v>
      </c>
      <c r="T46">
        <v>5810.86</v>
      </c>
      <c r="U46">
        <f t="shared" si="0"/>
        <v>36065.629999999997</v>
      </c>
    </row>
    <row r="47" spans="1:21" ht="15" customHeight="1" x14ac:dyDescent="0.25">
      <c r="A47" t="s">
        <v>2478</v>
      </c>
      <c r="B47" s="8">
        <v>44618</v>
      </c>
      <c r="C47" s="8">
        <v>44621</v>
      </c>
      <c r="D47" t="s">
        <v>20</v>
      </c>
      <c r="E47" t="s">
        <v>3068</v>
      </c>
      <c r="F47" t="s">
        <v>3078</v>
      </c>
      <c r="G47" t="s">
        <v>2480</v>
      </c>
      <c r="H47">
        <v>7064610526</v>
      </c>
      <c r="I47" t="s">
        <v>24</v>
      </c>
      <c r="J47" t="s">
        <v>25</v>
      </c>
      <c r="K47" t="s">
        <v>44</v>
      </c>
      <c r="L47" t="s">
        <v>108</v>
      </c>
      <c r="M47" t="s">
        <v>38</v>
      </c>
      <c r="N47" t="s">
        <v>296</v>
      </c>
      <c r="O47">
        <v>10</v>
      </c>
      <c r="P47">
        <v>31979.86</v>
      </c>
      <c r="Q47">
        <v>10</v>
      </c>
      <c r="R47">
        <v>31979.86</v>
      </c>
      <c r="S47" s="11">
        <v>287818.74</v>
      </c>
      <c r="T47">
        <v>-3010.98</v>
      </c>
      <c r="U47">
        <f t="shared" si="0"/>
        <v>287818.74</v>
      </c>
    </row>
    <row r="48" spans="1:21" ht="15" customHeight="1" x14ac:dyDescent="0.25">
      <c r="A48" t="s">
        <v>2329</v>
      </c>
      <c r="B48" s="8">
        <v>44622</v>
      </c>
      <c r="C48" s="8">
        <v>44622</v>
      </c>
      <c r="D48" t="s">
        <v>32</v>
      </c>
      <c r="E48" t="s">
        <v>3085</v>
      </c>
      <c r="F48" t="s">
        <v>3057</v>
      </c>
      <c r="G48" t="s">
        <v>2331</v>
      </c>
      <c r="H48">
        <v>9056899311</v>
      </c>
      <c r="I48" t="s">
        <v>24</v>
      </c>
      <c r="J48" t="s">
        <v>51</v>
      </c>
      <c r="K48" t="s">
        <v>316</v>
      </c>
      <c r="L48" t="s">
        <v>27</v>
      </c>
      <c r="M48" t="s">
        <v>28</v>
      </c>
      <c r="N48" t="s">
        <v>262</v>
      </c>
      <c r="O48">
        <v>1</v>
      </c>
      <c r="P48">
        <v>7967.86</v>
      </c>
      <c r="Q48">
        <v>10</v>
      </c>
      <c r="R48">
        <v>796.79</v>
      </c>
      <c r="S48" s="11">
        <v>7171.07</v>
      </c>
      <c r="T48">
        <v>1318.5</v>
      </c>
      <c r="U48">
        <f t="shared" si="0"/>
        <v>7171.07</v>
      </c>
    </row>
    <row r="49" spans="1:21" ht="15" customHeight="1" x14ac:dyDescent="0.25">
      <c r="A49" t="s">
        <v>2872</v>
      </c>
      <c r="B49" s="8">
        <v>44624</v>
      </c>
      <c r="C49" s="8">
        <v>44629</v>
      </c>
      <c r="D49" t="s">
        <v>48</v>
      </c>
      <c r="E49" t="s">
        <v>3041</v>
      </c>
      <c r="F49" t="s">
        <v>3062</v>
      </c>
      <c r="G49" t="s">
        <v>2873</v>
      </c>
      <c r="H49">
        <v>8064194751</v>
      </c>
      <c r="I49" t="s">
        <v>24</v>
      </c>
      <c r="J49" t="s">
        <v>895</v>
      </c>
      <c r="K49" t="s">
        <v>26</v>
      </c>
      <c r="L49" t="s">
        <v>108</v>
      </c>
      <c r="M49" t="s">
        <v>114</v>
      </c>
      <c r="N49" t="s">
        <v>115</v>
      </c>
      <c r="O49">
        <v>18</v>
      </c>
      <c r="P49">
        <v>35696.94</v>
      </c>
      <c r="Q49">
        <v>10</v>
      </c>
      <c r="R49">
        <v>64254.49</v>
      </c>
      <c r="S49" s="11">
        <v>578290.43000000005</v>
      </c>
      <c r="T49">
        <v>-66880.13</v>
      </c>
      <c r="U49">
        <f t="shared" si="0"/>
        <v>578290.43000000005</v>
      </c>
    </row>
    <row r="50" spans="1:21" ht="15" customHeight="1" x14ac:dyDescent="0.25">
      <c r="A50" t="s">
        <v>693</v>
      </c>
      <c r="B50" s="8">
        <v>44625</v>
      </c>
      <c r="C50" s="8">
        <v>44631</v>
      </c>
      <c r="D50" t="s">
        <v>48</v>
      </c>
      <c r="E50" t="s">
        <v>3076</v>
      </c>
      <c r="F50" t="s">
        <v>3090</v>
      </c>
      <c r="G50" t="s">
        <v>695</v>
      </c>
      <c r="H50">
        <v>8135843084</v>
      </c>
      <c r="I50" t="s">
        <v>35</v>
      </c>
      <c r="J50" t="s">
        <v>69</v>
      </c>
      <c r="K50" t="s">
        <v>70</v>
      </c>
      <c r="L50" t="s">
        <v>85</v>
      </c>
      <c r="M50" t="s">
        <v>486</v>
      </c>
      <c r="N50" t="s">
        <v>527</v>
      </c>
      <c r="O50">
        <v>16</v>
      </c>
      <c r="P50">
        <v>135713.14000000001</v>
      </c>
      <c r="Q50">
        <v>25</v>
      </c>
      <c r="R50">
        <v>542852.56000000006</v>
      </c>
      <c r="S50" s="11">
        <v>1628557.68</v>
      </c>
      <c r="T50">
        <v>254842.55</v>
      </c>
      <c r="U50">
        <f t="shared" si="0"/>
        <v>1628557.68</v>
      </c>
    </row>
    <row r="51" spans="1:21" ht="15" customHeight="1" x14ac:dyDescent="0.25">
      <c r="A51" t="s">
        <v>2684</v>
      </c>
      <c r="B51" s="8">
        <v>44625</v>
      </c>
      <c r="C51" s="8">
        <v>44626</v>
      </c>
      <c r="D51" t="s">
        <v>32</v>
      </c>
      <c r="E51" t="s">
        <v>3044</v>
      </c>
      <c r="F51" t="s">
        <v>3077</v>
      </c>
      <c r="G51" t="s">
        <v>2685</v>
      </c>
      <c r="H51">
        <v>9013442155</v>
      </c>
      <c r="I51" t="s">
        <v>35</v>
      </c>
      <c r="J51" t="s">
        <v>51</v>
      </c>
      <c r="K51" t="s">
        <v>316</v>
      </c>
      <c r="L51" t="s">
        <v>96</v>
      </c>
      <c r="M51" t="s">
        <v>97</v>
      </c>
      <c r="N51" t="s">
        <v>1416</v>
      </c>
      <c r="O51">
        <v>15</v>
      </c>
      <c r="P51">
        <v>186071.29</v>
      </c>
      <c r="Q51">
        <v>10</v>
      </c>
      <c r="R51">
        <v>279106.93</v>
      </c>
      <c r="S51" s="11">
        <v>2511962.42</v>
      </c>
      <c r="T51">
        <v>80629.3</v>
      </c>
      <c r="U51">
        <f t="shared" si="0"/>
        <v>2511962.42</v>
      </c>
    </row>
    <row r="52" spans="1:21" ht="15" customHeight="1" x14ac:dyDescent="0.25">
      <c r="A52" t="s">
        <v>2857</v>
      </c>
      <c r="B52" s="8">
        <v>44626</v>
      </c>
      <c r="C52" s="8">
        <v>44629</v>
      </c>
      <c r="D52" t="s">
        <v>73</v>
      </c>
      <c r="E52" t="s">
        <v>3082</v>
      </c>
      <c r="F52" t="s">
        <v>3039</v>
      </c>
      <c r="G52" t="s">
        <v>2859</v>
      </c>
      <c r="H52">
        <v>8038244779</v>
      </c>
      <c r="I52" t="s">
        <v>24</v>
      </c>
      <c r="J52" t="s">
        <v>69</v>
      </c>
      <c r="K52" t="s">
        <v>119</v>
      </c>
      <c r="L52" t="s">
        <v>841</v>
      </c>
      <c r="M52" t="s">
        <v>86</v>
      </c>
      <c r="N52" t="s">
        <v>87</v>
      </c>
      <c r="O52">
        <v>1</v>
      </c>
      <c r="P52">
        <v>89481.57</v>
      </c>
      <c r="Q52">
        <v>0</v>
      </c>
      <c r="R52">
        <v>0</v>
      </c>
      <c r="S52" s="11">
        <v>89481.57</v>
      </c>
      <c r="T52">
        <v>6686.19</v>
      </c>
      <c r="U52">
        <f t="shared" si="0"/>
        <v>89481.57</v>
      </c>
    </row>
    <row r="53" spans="1:21" ht="15" customHeight="1" x14ac:dyDescent="0.25">
      <c r="A53" t="s">
        <v>1997</v>
      </c>
      <c r="B53" s="8">
        <v>44628</v>
      </c>
      <c r="C53" s="8">
        <v>44628</v>
      </c>
      <c r="D53" t="s">
        <v>32</v>
      </c>
      <c r="E53" t="s">
        <v>3047</v>
      </c>
      <c r="F53" t="s">
        <v>3054</v>
      </c>
      <c r="G53" t="s">
        <v>1999</v>
      </c>
      <c r="H53">
        <v>8039706758</v>
      </c>
      <c r="I53" t="s">
        <v>35</v>
      </c>
      <c r="J53" t="s">
        <v>69</v>
      </c>
      <c r="K53" t="s">
        <v>119</v>
      </c>
      <c r="L53" t="s">
        <v>27</v>
      </c>
      <c r="M53" t="s">
        <v>45</v>
      </c>
      <c r="N53" t="s">
        <v>838</v>
      </c>
      <c r="O53">
        <v>19</v>
      </c>
      <c r="P53">
        <v>1612.16</v>
      </c>
      <c r="Q53">
        <v>15</v>
      </c>
      <c r="R53">
        <v>4594.66</v>
      </c>
      <c r="S53" s="11">
        <v>26036.38</v>
      </c>
      <c r="T53">
        <v>-127.61</v>
      </c>
      <c r="U53">
        <f t="shared" si="0"/>
        <v>26036.38</v>
      </c>
    </row>
    <row r="54" spans="1:21" ht="15" customHeight="1" x14ac:dyDescent="0.25">
      <c r="A54" t="s">
        <v>1607</v>
      </c>
      <c r="B54" s="8">
        <v>44628</v>
      </c>
      <c r="C54" s="8">
        <v>44628</v>
      </c>
      <c r="D54" t="s">
        <v>32</v>
      </c>
      <c r="E54" t="s">
        <v>3060</v>
      </c>
      <c r="F54" t="s">
        <v>3039</v>
      </c>
      <c r="G54" t="s">
        <v>1609</v>
      </c>
      <c r="H54">
        <v>9057855503</v>
      </c>
      <c r="I54" t="s">
        <v>43</v>
      </c>
      <c r="J54" t="s">
        <v>25</v>
      </c>
      <c r="K54" t="s">
        <v>126</v>
      </c>
      <c r="L54" t="s">
        <v>96</v>
      </c>
      <c r="M54" t="s">
        <v>120</v>
      </c>
      <c r="N54" t="s">
        <v>367</v>
      </c>
      <c r="O54">
        <v>2</v>
      </c>
      <c r="P54">
        <v>263717.67</v>
      </c>
      <c r="Q54">
        <v>25</v>
      </c>
      <c r="R54">
        <v>131858.82999999999</v>
      </c>
      <c r="S54" s="11">
        <v>395576.51</v>
      </c>
      <c r="T54">
        <v>-22950.28</v>
      </c>
      <c r="U54">
        <f t="shared" si="0"/>
        <v>395576.51</v>
      </c>
    </row>
    <row r="55" spans="1:21" ht="15" customHeight="1" x14ac:dyDescent="0.25">
      <c r="A55" t="s">
        <v>348</v>
      </c>
      <c r="B55" s="8">
        <v>44629</v>
      </c>
      <c r="C55" s="8">
        <v>44632</v>
      </c>
      <c r="D55" t="s">
        <v>20</v>
      </c>
      <c r="E55" t="s">
        <v>3082</v>
      </c>
      <c r="F55" t="s">
        <v>3071</v>
      </c>
      <c r="G55" t="s">
        <v>350</v>
      </c>
      <c r="H55">
        <v>8137084862</v>
      </c>
      <c r="I55" t="s">
        <v>43</v>
      </c>
      <c r="J55" t="s">
        <v>69</v>
      </c>
      <c r="K55" t="s">
        <v>155</v>
      </c>
      <c r="L55" t="s">
        <v>96</v>
      </c>
      <c r="M55" t="s">
        <v>97</v>
      </c>
      <c r="N55" t="s">
        <v>169</v>
      </c>
      <c r="O55">
        <v>12</v>
      </c>
      <c r="P55">
        <v>407237.85</v>
      </c>
      <c r="Q55">
        <v>0</v>
      </c>
      <c r="R55">
        <v>0</v>
      </c>
      <c r="S55" s="11">
        <v>4886854.2</v>
      </c>
      <c r="T55">
        <v>434362.1</v>
      </c>
      <c r="U55">
        <f t="shared" si="0"/>
        <v>4886854.2</v>
      </c>
    </row>
    <row r="56" spans="1:21" ht="15" customHeight="1" x14ac:dyDescent="0.25">
      <c r="A56" t="s">
        <v>2658</v>
      </c>
      <c r="B56" s="8">
        <v>44632</v>
      </c>
      <c r="C56" s="8">
        <v>44633</v>
      </c>
      <c r="D56" t="s">
        <v>32</v>
      </c>
      <c r="E56" t="s">
        <v>3093</v>
      </c>
      <c r="F56" t="s">
        <v>3077</v>
      </c>
      <c r="G56" t="s">
        <v>2660</v>
      </c>
      <c r="H56">
        <v>8137888843</v>
      </c>
      <c r="I56" t="s">
        <v>24</v>
      </c>
      <c r="J56" t="s">
        <v>51</v>
      </c>
      <c r="K56" t="s">
        <v>131</v>
      </c>
      <c r="L56" t="s">
        <v>96</v>
      </c>
      <c r="M56" t="s">
        <v>120</v>
      </c>
      <c r="N56" t="s">
        <v>359</v>
      </c>
      <c r="O56">
        <v>1</v>
      </c>
      <c r="P56">
        <v>273141.64</v>
      </c>
      <c r="Q56">
        <v>25</v>
      </c>
      <c r="R56">
        <v>68285.41</v>
      </c>
      <c r="S56" s="11">
        <v>204856.23</v>
      </c>
      <c r="T56">
        <v>23898.11</v>
      </c>
      <c r="U56">
        <f t="shared" si="0"/>
        <v>204856.23</v>
      </c>
    </row>
    <row r="57" spans="1:21" ht="15" customHeight="1" x14ac:dyDescent="0.25">
      <c r="A57" t="s">
        <v>2298</v>
      </c>
      <c r="B57" s="8">
        <v>44633</v>
      </c>
      <c r="C57" s="8">
        <v>44634</v>
      </c>
      <c r="D57" t="s">
        <v>32</v>
      </c>
      <c r="E57" t="s">
        <v>3051</v>
      </c>
      <c r="F57" t="s">
        <v>3062</v>
      </c>
      <c r="G57" t="s">
        <v>2248</v>
      </c>
      <c r="H57">
        <v>7069679668</v>
      </c>
      <c r="I57" t="s">
        <v>24</v>
      </c>
      <c r="J57" t="s">
        <v>51</v>
      </c>
      <c r="K57" t="s">
        <v>316</v>
      </c>
      <c r="L57" t="s">
        <v>96</v>
      </c>
      <c r="M57" t="s">
        <v>189</v>
      </c>
      <c r="N57" t="s">
        <v>287</v>
      </c>
      <c r="O57">
        <v>4</v>
      </c>
      <c r="P57">
        <v>165634.79</v>
      </c>
      <c r="Q57">
        <v>15</v>
      </c>
      <c r="R57">
        <v>99380.87</v>
      </c>
      <c r="S57" s="11">
        <v>563158.29</v>
      </c>
      <c r="T57">
        <v>187041.85</v>
      </c>
      <c r="U57">
        <f t="shared" si="0"/>
        <v>563158.29</v>
      </c>
    </row>
    <row r="58" spans="1:21" ht="15" customHeight="1" x14ac:dyDescent="0.25">
      <c r="A58" t="s">
        <v>471</v>
      </c>
      <c r="B58" s="8">
        <v>44633</v>
      </c>
      <c r="C58" s="8">
        <v>44633</v>
      </c>
      <c r="D58" t="s">
        <v>32</v>
      </c>
      <c r="E58" t="s">
        <v>3044</v>
      </c>
      <c r="F58" t="s">
        <v>3043</v>
      </c>
      <c r="G58" t="s">
        <v>473</v>
      </c>
      <c r="H58">
        <v>7037423230</v>
      </c>
      <c r="I58" t="s">
        <v>35</v>
      </c>
      <c r="J58" t="s">
        <v>61</v>
      </c>
      <c r="K58" t="s">
        <v>95</v>
      </c>
      <c r="L58" t="s">
        <v>27</v>
      </c>
      <c r="M58" t="s">
        <v>79</v>
      </c>
      <c r="N58" t="s">
        <v>234</v>
      </c>
      <c r="O58">
        <v>15</v>
      </c>
      <c r="P58">
        <v>1481.47</v>
      </c>
      <c r="Q58">
        <v>10</v>
      </c>
      <c r="R58">
        <v>2222.1999999999998</v>
      </c>
      <c r="S58" s="11" t="s">
        <v>474</v>
      </c>
      <c r="T58">
        <v>1464.15</v>
      </c>
      <c r="U58">
        <f t="shared" si="0"/>
        <v>19999.849999999999</v>
      </c>
    </row>
    <row r="59" spans="1:21" ht="15" customHeight="1" x14ac:dyDescent="0.25">
      <c r="A59" t="s">
        <v>1334</v>
      </c>
      <c r="B59" s="8">
        <v>44637</v>
      </c>
      <c r="C59" s="8">
        <v>44643</v>
      </c>
      <c r="D59" t="s">
        <v>48</v>
      </c>
      <c r="E59" t="s">
        <v>3089</v>
      </c>
      <c r="F59" t="s">
        <v>3040</v>
      </c>
      <c r="G59" t="s">
        <v>1336</v>
      </c>
      <c r="H59">
        <v>8141768424</v>
      </c>
      <c r="I59" t="s">
        <v>35</v>
      </c>
      <c r="J59" t="s">
        <v>61</v>
      </c>
      <c r="K59" t="s">
        <v>84</v>
      </c>
      <c r="L59" t="s">
        <v>85</v>
      </c>
      <c r="M59" t="s">
        <v>218</v>
      </c>
      <c r="N59" t="s">
        <v>321</v>
      </c>
      <c r="O59">
        <v>2</v>
      </c>
      <c r="P59">
        <v>37626.83</v>
      </c>
      <c r="Q59">
        <v>10</v>
      </c>
      <c r="R59">
        <v>7525.37</v>
      </c>
      <c r="S59" s="11">
        <v>67728.289999999994</v>
      </c>
      <c r="T59">
        <v>23193.11</v>
      </c>
      <c r="U59">
        <f t="shared" si="0"/>
        <v>67728.289999999994</v>
      </c>
    </row>
    <row r="60" spans="1:21" ht="15" customHeight="1" x14ac:dyDescent="0.25">
      <c r="A60" t="s">
        <v>284</v>
      </c>
      <c r="B60" s="8">
        <v>44637</v>
      </c>
      <c r="C60" s="8">
        <v>44638</v>
      </c>
      <c r="D60" t="s">
        <v>32</v>
      </c>
      <c r="E60" t="s">
        <v>3081</v>
      </c>
      <c r="F60" t="s">
        <v>3074</v>
      </c>
      <c r="G60" t="s">
        <v>286</v>
      </c>
      <c r="H60">
        <v>7032944841</v>
      </c>
      <c r="I60" t="s">
        <v>24</v>
      </c>
      <c r="J60" t="s">
        <v>69</v>
      </c>
      <c r="K60" t="s">
        <v>144</v>
      </c>
      <c r="L60" t="s">
        <v>108</v>
      </c>
      <c r="M60" t="s">
        <v>189</v>
      </c>
      <c r="N60" t="s">
        <v>287</v>
      </c>
      <c r="O60">
        <v>18</v>
      </c>
      <c r="P60">
        <v>30279.4</v>
      </c>
      <c r="Q60">
        <v>20</v>
      </c>
      <c r="R60">
        <v>109005.84</v>
      </c>
      <c r="S60" s="11">
        <v>436023.36</v>
      </c>
      <c r="T60">
        <v>42707.85</v>
      </c>
      <c r="U60">
        <f t="shared" si="0"/>
        <v>436023.36</v>
      </c>
    </row>
    <row r="61" spans="1:21" ht="15" customHeight="1" x14ac:dyDescent="0.25">
      <c r="A61" t="s">
        <v>1745</v>
      </c>
      <c r="B61" s="8">
        <v>44639</v>
      </c>
      <c r="C61" s="8">
        <v>44642</v>
      </c>
      <c r="D61" t="s">
        <v>73</v>
      </c>
      <c r="E61" t="s">
        <v>3080</v>
      </c>
      <c r="F61" t="s">
        <v>3071</v>
      </c>
      <c r="G61" t="s">
        <v>1747</v>
      </c>
      <c r="H61">
        <v>8105666187</v>
      </c>
      <c r="I61" t="s">
        <v>43</v>
      </c>
      <c r="J61" t="s">
        <v>61</v>
      </c>
      <c r="K61" t="s">
        <v>62</v>
      </c>
      <c r="L61" t="s">
        <v>63</v>
      </c>
      <c r="M61" t="s">
        <v>469</v>
      </c>
      <c r="N61" t="s">
        <v>470</v>
      </c>
      <c r="O61">
        <v>14</v>
      </c>
      <c r="P61">
        <v>13261.39</v>
      </c>
      <c r="Q61">
        <v>10</v>
      </c>
      <c r="R61">
        <v>18565.95</v>
      </c>
      <c r="S61" s="11">
        <v>167093.51</v>
      </c>
      <c r="T61">
        <v>50183.29</v>
      </c>
      <c r="U61">
        <f t="shared" si="0"/>
        <v>167093.51</v>
      </c>
    </row>
    <row r="62" spans="1:21" ht="15" customHeight="1" x14ac:dyDescent="0.25">
      <c r="A62" t="s">
        <v>964</v>
      </c>
      <c r="B62" s="8">
        <v>44643</v>
      </c>
      <c r="C62" s="8">
        <v>44648</v>
      </c>
      <c r="D62" t="s">
        <v>73</v>
      </c>
      <c r="E62" t="s">
        <v>3041</v>
      </c>
      <c r="F62" t="s">
        <v>3045</v>
      </c>
      <c r="G62" t="s">
        <v>966</v>
      </c>
      <c r="H62">
        <v>7065304875</v>
      </c>
      <c r="I62" t="s">
        <v>35</v>
      </c>
      <c r="J62" t="s">
        <v>51</v>
      </c>
      <c r="K62" t="s">
        <v>316</v>
      </c>
      <c r="L62" t="s">
        <v>27</v>
      </c>
      <c r="M62" t="s">
        <v>45</v>
      </c>
      <c r="N62" t="s">
        <v>308</v>
      </c>
      <c r="O62">
        <v>12</v>
      </c>
      <c r="P62">
        <v>7317.29</v>
      </c>
      <c r="Q62">
        <v>25</v>
      </c>
      <c r="R62">
        <v>21951.87</v>
      </c>
      <c r="S62" s="11">
        <v>65855.61</v>
      </c>
      <c r="T62">
        <v>21843.65</v>
      </c>
      <c r="U62">
        <f t="shared" si="0"/>
        <v>65855.61</v>
      </c>
    </row>
    <row r="63" spans="1:21" ht="15" customHeight="1" x14ac:dyDescent="0.25">
      <c r="A63" t="s">
        <v>775</v>
      </c>
      <c r="B63" s="8">
        <v>44644</v>
      </c>
      <c r="C63" s="8">
        <v>44646</v>
      </c>
      <c r="D63" t="s">
        <v>20</v>
      </c>
      <c r="G63" t="s">
        <v>776</v>
      </c>
      <c r="H63">
        <v>9015164420</v>
      </c>
      <c r="I63" t="s">
        <v>24</v>
      </c>
      <c r="J63" t="s">
        <v>25</v>
      </c>
      <c r="K63" t="s">
        <v>126</v>
      </c>
      <c r="L63" t="s">
        <v>63</v>
      </c>
      <c r="M63" t="s">
        <v>64</v>
      </c>
      <c r="N63" t="s">
        <v>777</v>
      </c>
      <c r="O63">
        <v>10</v>
      </c>
      <c r="P63">
        <v>1699.29</v>
      </c>
      <c r="Q63">
        <v>10</v>
      </c>
      <c r="R63">
        <v>1699.29</v>
      </c>
      <c r="S63" s="11">
        <v>15293.61</v>
      </c>
      <c r="T63">
        <v>5231.24</v>
      </c>
      <c r="U63">
        <f t="shared" si="0"/>
        <v>15293.61</v>
      </c>
    </row>
    <row r="64" spans="1:21" ht="15" customHeight="1" x14ac:dyDescent="0.25">
      <c r="A64" t="s">
        <v>2889</v>
      </c>
      <c r="B64" s="8">
        <v>44645</v>
      </c>
      <c r="C64" s="8">
        <v>44646</v>
      </c>
      <c r="D64" t="s">
        <v>32</v>
      </c>
      <c r="E64" t="s">
        <v>3076</v>
      </c>
      <c r="F64" t="s">
        <v>3040</v>
      </c>
      <c r="G64" t="s">
        <v>2891</v>
      </c>
      <c r="H64">
        <v>8106950477</v>
      </c>
      <c r="I64" t="s">
        <v>35</v>
      </c>
      <c r="J64" t="s">
        <v>1009</v>
      </c>
      <c r="K64" t="s">
        <v>223</v>
      </c>
      <c r="L64" t="s">
        <v>63</v>
      </c>
      <c r="M64" t="s">
        <v>194</v>
      </c>
      <c r="N64" t="s">
        <v>716</v>
      </c>
      <c r="O64">
        <v>2</v>
      </c>
      <c r="P64">
        <v>21723.7</v>
      </c>
      <c r="Q64">
        <v>0</v>
      </c>
      <c r="R64">
        <v>0</v>
      </c>
      <c r="S64" s="11">
        <v>43447.4</v>
      </c>
      <c r="T64">
        <v>3995.75</v>
      </c>
      <c r="U64">
        <f t="shared" si="0"/>
        <v>43447.4</v>
      </c>
    </row>
    <row r="65" spans="1:21" ht="15" customHeight="1" x14ac:dyDescent="0.25">
      <c r="A65" t="s">
        <v>696</v>
      </c>
      <c r="B65" s="8">
        <v>44647</v>
      </c>
      <c r="C65" s="8">
        <v>44650</v>
      </c>
      <c r="D65" t="s">
        <v>20</v>
      </c>
      <c r="E65" t="s">
        <v>3037</v>
      </c>
      <c r="F65" t="s">
        <v>3052</v>
      </c>
      <c r="G65" t="s">
        <v>698</v>
      </c>
      <c r="H65">
        <v>8065152891</v>
      </c>
      <c r="I65" t="s">
        <v>24</v>
      </c>
      <c r="J65" t="s">
        <v>699</v>
      </c>
      <c r="K65" t="s">
        <v>44</v>
      </c>
      <c r="L65" t="s">
        <v>63</v>
      </c>
      <c r="M65" t="s">
        <v>194</v>
      </c>
      <c r="N65" t="s">
        <v>700</v>
      </c>
      <c r="O65">
        <v>12</v>
      </c>
      <c r="P65">
        <v>11518.44</v>
      </c>
      <c r="Q65">
        <v>0</v>
      </c>
      <c r="R65">
        <v>0</v>
      </c>
      <c r="S65" s="11">
        <v>138221.28</v>
      </c>
      <c r="T65">
        <v>15680.09</v>
      </c>
      <c r="U65">
        <f t="shared" si="0"/>
        <v>138221.28</v>
      </c>
    </row>
    <row r="66" spans="1:21" ht="15" customHeight="1" x14ac:dyDescent="0.25">
      <c r="A66" t="s">
        <v>835</v>
      </c>
      <c r="B66" s="8">
        <v>44649</v>
      </c>
      <c r="C66" s="8">
        <v>44653</v>
      </c>
      <c r="D66" t="s">
        <v>73</v>
      </c>
      <c r="E66" t="s">
        <v>3081</v>
      </c>
      <c r="F66" t="s">
        <v>3069</v>
      </c>
      <c r="G66" t="s">
        <v>837</v>
      </c>
      <c r="H66">
        <v>8133480985</v>
      </c>
      <c r="I66" t="s">
        <v>35</v>
      </c>
      <c r="J66" t="s">
        <v>61</v>
      </c>
      <c r="K66" t="s">
        <v>62</v>
      </c>
      <c r="L66" t="s">
        <v>27</v>
      </c>
      <c r="M66" t="s">
        <v>45</v>
      </c>
      <c r="N66" t="s">
        <v>838</v>
      </c>
      <c r="O66">
        <v>3</v>
      </c>
      <c r="P66">
        <v>7313.19</v>
      </c>
      <c r="Q66">
        <v>0</v>
      </c>
      <c r="R66">
        <v>0</v>
      </c>
      <c r="S66" s="11">
        <v>21939.57</v>
      </c>
      <c r="T66">
        <v>1817.9</v>
      </c>
      <c r="U66">
        <f t="shared" ref="U66:U129" si="1">VALUE(S66)</f>
        <v>21939.57</v>
      </c>
    </row>
    <row r="67" spans="1:21" ht="15" customHeight="1" x14ac:dyDescent="0.25">
      <c r="A67" t="s">
        <v>1021</v>
      </c>
      <c r="B67" s="8">
        <v>44650</v>
      </c>
      <c r="C67" s="8">
        <v>44653</v>
      </c>
      <c r="D67" t="s">
        <v>20</v>
      </c>
      <c r="E67" t="s">
        <v>3067</v>
      </c>
      <c r="F67" t="s">
        <v>3079</v>
      </c>
      <c r="G67" t="s">
        <v>1023</v>
      </c>
      <c r="H67">
        <v>9027396087</v>
      </c>
      <c r="I67" t="s">
        <v>43</v>
      </c>
      <c r="J67" t="s">
        <v>69</v>
      </c>
      <c r="K67" t="s">
        <v>155</v>
      </c>
      <c r="L67" t="s">
        <v>63</v>
      </c>
      <c r="M67" t="s">
        <v>312</v>
      </c>
      <c r="N67" t="s">
        <v>686</v>
      </c>
      <c r="O67" t="s">
        <v>405</v>
      </c>
      <c r="P67">
        <v>2894.06</v>
      </c>
      <c r="Q67">
        <v>10</v>
      </c>
      <c r="R67">
        <v>1447.03</v>
      </c>
      <c r="S67" s="11">
        <v>13023.27</v>
      </c>
      <c r="T67">
        <v>1774.87</v>
      </c>
      <c r="U67">
        <f t="shared" si="1"/>
        <v>13023.27</v>
      </c>
    </row>
    <row r="68" spans="1:21" ht="15" customHeight="1" x14ac:dyDescent="0.25">
      <c r="A68" t="s">
        <v>40</v>
      </c>
      <c r="B68" s="8">
        <v>44650</v>
      </c>
      <c r="C68" s="8">
        <v>44653</v>
      </c>
      <c r="D68" t="s">
        <v>20</v>
      </c>
      <c r="E68" t="s">
        <v>3037</v>
      </c>
      <c r="F68" t="s">
        <v>3038</v>
      </c>
      <c r="G68" t="s">
        <v>42</v>
      </c>
      <c r="H68">
        <v>8065918715</v>
      </c>
      <c r="I68" t="s">
        <v>43</v>
      </c>
      <c r="J68" t="s">
        <v>25</v>
      </c>
      <c r="K68" t="s">
        <v>44</v>
      </c>
      <c r="L68" t="s">
        <v>27</v>
      </c>
      <c r="M68" t="s">
        <v>45</v>
      </c>
      <c r="N68" t="s">
        <v>46</v>
      </c>
      <c r="O68">
        <v>3</v>
      </c>
      <c r="P68">
        <v>1780.62</v>
      </c>
      <c r="Q68">
        <v>0</v>
      </c>
      <c r="R68">
        <v>0</v>
      </c>
      <c r="S68" s="11">
        <v>5341.86</v>
      </c>
      <c r="T68">
        <v>1318.15</v>
      </c>
      <c r="U68">
        <f t="shared" si="1"/>
        <v>5341.86</v>
      </c>
    </row>
    <row r="69" spans="1:21" ht="15" customHeight="1" x14ac:dyDescent="0.25">
      <c r="A69" t="s">
        <v>1128</v>
      </c>
      <c r="B69" s="8">
        <v>44651</v>
      </c>
      <c r="C69" s="8">
        <v>44657</v>
      </c>
      <c r="D69" t="s">
        <v>48</v>
      </c>
      <c r="E69" t="s">
        <v>3065</v>
      </c>
      <c r="F69" t="s">
        <v>3086</v>
      </c>
      <c r="G69" t="s">
        <v>1084</v>
      </c>
      <c r="H69">
        <v>8132796087</v>
      </c>
      <c r="I69" t="s">
        <v>24</v>
      </c>
      <c r="J69" t="s">
        <v>414</v>
      </c>
      <c r="K69" t="s">
        <v>26</v>
      </c>
      <c r="L69" t="s">
        <v>108</v>
      </c>
      <c r="M69" t="s">
        <v>109</v>
      </c>
      <c r="N69" t="s">
        <v>110</v>
      </c>
      <c r="O69">
        <v>13</v>
      </c>
      <c r="P69">
        <v>3368.14</v>
      </c>
      <c r="Q69">
        <v>20</v>
      </c>
      <c r="R69">
        <v>8757.16</v>
      </c>
      <c r="S69" s="11">
        <v>35028.660000000003</v>
      </c>
      <c r="T69">
        <v>5796.99</v>
      </c>
      <c r="U69">
        <f t="shared" si="1"/>
        <v>35028.660000000003</v>
      </c>
    </row>
    <row r="70" spans="1:21" ht="15" customHeight="1" x14ac:dyDescent="0.25">
      <c r="A70" t="s">
        <v>2530</v>
      </c>
      <c r="B70" s="8">
        <v>44651</v>
      </c>
      <c r="C70" s="8">
        <v>44653</v>
      </c>
      <c r="D70" t="s">
        <v>20</v>
      </c>
      <c r="E70" t="s">
        <v>3084</v>
      </c>
      <c r="F70" t="s">
        <v>3074</v>
      </c>
      <c r="G70" t="s">
        <v>2532</v>
      </c>
      <c r="H70">
        <v>8106873992</v>
      </c>
      <c r="I70" t="s">
        <v>24</v>
      </c>
      <c r="J70" t="s">
        <v>2533</v>
      </c>
      <c r="K70" t="s">
        <v>62</v>
      </c>
      <c r="L70" t="s">
        <v>108</v>
      </c>
      <c r="M70" t="s">
        <v>109</v>
      </c>
      <c r="N70" t="s">
        <v>110</v>
      </c>
      <c r="O70">
        <v>5</v>
      </c>
      <c r="P70">
        <v>18826.41</v>
      </c>
      <c r="Q70">
        <v>10</v>
      </c>
      <c r="R70">
        <v>9413.2000000000007</v>
      </c>
      <c r="S70" s="11">
        <v>84718.85</v>
      </c>
      <c r="T70">
        <v>12992.21</v>
      </c>
      <c r="U70">
        <f t="shared" si="1"/>
        <v>84718.85</v>
      </c>
    </row>
    <row r="71" spans="1:21" ht="15" customHeight="1" x14ac:dyDescent="0.25">
      <c r="A71" t="s">
        <v>1719</v>
      </c>
      <c r="B71" s="8">
        <v>44651</v>
      </c>
      <c r="C71" s="8">
        <v>44651</v>
      </c>
      <c r="D71" t="s">
        <v>32</v>
      </c>
      <c r="E71" t="s">
        <v>3048</v>
      </c>
      <c r="F71" t="s">
        <v>3036</v>
      </c>
      <c r="G71" t="s">
        <v>1720</v>
      </c>
      <c r="H71">
        <v>9072119776</v>
      </c>
      <c r="I71" t="s">
        <v>35</v>
      </c>
      <c r="J71" t="s">
        <v>61</v>
      </c>
      <c r="L71" t="s">
        <v>85</v>
      </c>
      <c r="M71" t="s">
        <v>486</v>
      </c>
      <c r="N71" t="s">
        <v>1018</v>
      </c>
      <c r="O71">
        <v>18</v>
      </c>
      <c r="P71">
        <v>178691.03</v>
      </c>
      <c r="Q71">
        <v>0</v>
      </c>
      <c r="R71">
        <v>0</v>
      </c>
      <c r="S71" s="11" t="s">
        <v>1721</v>
      </c>
      <c r="T71">
        <v>1438358.6</v>
      </c>
      <c r="U71" t="e">
        <f t="shared" si="1"/>
        <v>#VALUE!</v>
      </c>
    </row>
    <row r="72" spans="1:21" ht="15" customHeight="1" x14ac:dyDescent="0.25">
      <c r="A72" t="s">
        <v>392</v>
      </c>
      <c r="B72" s="8">
        <v>44655</v>
      </c>
      <c r="C72" s="8">
        <v>44657</v>
      </c>
      <c r="D72" t="s">
        <v>20</v>
      </c>
      <c r="E72" t="s">
        <v>3058</v>
      </c>
      <c r="F72" t="s">
        <v>3088</v>
      </c>
      <c r="G72" t="s">
        <v>394</v>
      </c>
      <c r="H72">
        <v>8034429650</v>
      </c>
      <c r="I72" t="s">
        <v>43</v>
      </c>
      <c r="J72" t="s">
        <v>51</v>
      </c>
      <c r="K72" t="s">
        <v>227</v>
      </c>
      <c r="L72" t="s">
        <v>63</v>
      </c>
      <c r="M72" t="s">
        <v>54</v>
      </c>
      <c r="N72" t="s">
        <v>150</v>
      </c>
      <c r="O72">
        <v>10</v>
      </c>
      <c r="P72">
        <v>19221.939999999999</v>
      </c>
      <c r="Q72">
        <v>10</v>
      </c>
      <c r="R72">
        <v>19221.939999999999</v>
      </c>
      <c r="S72" s="11">
        <v>172997.46</v>
      </c>
      <c r="T72">
        <v>-13495.43</v>
      </c>
      <c r="U72">
        <f t="shared" si="1"/>
        <v>172997.46</v>
      </c>
    </row>
    <row r="73" spans="1:21" ht="15" customHeight="1" x14ac:dyDescent="0.25">
      <c r="A73" t="s">
        <v>717</v>
      </c>
      <c r="B73" s="8">
        <v>44656</v>
      </c>
      <c r="C73" s="8">
        <v>44661</v>
      </c>
      <c r="D73" t="s">
        <v>48</v>
      </c>
      <c r="E73" t="s">
        <v>3039</v>
      </c>
      <c r="F73" t="s">
        <v>3046</v>
      </c>
      <c r="G73" t="s">
        <v>718</v>
      </c>
      <c r="H73">
        <v>8033650523</v>
      </c>
      <c r="I73" t="s">
        <v>24</v>
      </c>
      <c r="J73" t="s">
        <v>69</v>
      </c>
      <c r="K73" t="s">
        <v>144</v>
      </c>
      <c r="L73" t="s">
        <v>108</v>
      </c>
      <c r="M73" t="s">
        <v>183</v>
      </c>
      <c r="N73" t="s">
        <v>719</v>
      </c>
      <c r="O73">
        <v>14</v>
      </c>
      <c r="P73">
        <v>44649.04</v>
      </c>
      <c r="Q73">
        <v>5</v>
      </c>
      <c r="R73">
        <v>31254.33</v>
      </c>
      <c r="S73" s="11">
        <v>593832.23</v>
      </c>
      <c r="T73">
        <v>265690.3</v>
      </c>
      <c r="U73">
        <f t="shared" si="1"/>
        <v>593832.23</v>
      </c>
    </row>
    <row r="74" spans="1:21" ht="15" customHeight="1" x14ac:dyDescent="0.25">
      <c r="A74" t="s">
        <v>447</v>
      </c>
      <c r="B74" s="8">
        <v>44659</v>
      </c>
      <c r="C74" s="8">
        <v>44665</v>
      </c>
      <c r="D74" t="s">
        <v>48</v>
      </c>
      <c r="G74" t="s">
        <v>448</v>
      </c>
      <c r="H74">
        <v>8062859886</v>
      </c>
      <c r="I74" t="s">
        <v>43</v>
      </c>
      <c r="J74" t="s">
        <v>51</v>
      </c>
      <c r="K74" t="s">
        <v>131</v>
      </c>
      <c r="L74" t="s">
        <v>108</v>
      </c>
      <c r="M74" t="s">
        <v>189</v>
      </c>
      <c r="N74" t="s">
        <v>205</v>
      </c>
      <c r="O74">
        <v>17</v>
      </c>
      <c r="P74">
        <v>2706.72</v>
      </c>
      <c r="Q74">
        <v>5</v>
      </c>
      <c r="R74">
        <v>2300.71</v>
      </c>
      <c r="S74" s="11">
        <v>43713.53</v>
      </c>
      <c r="T74">
        <v>12289.04</v>
      </c>
      <c r="U74">
        <f t="shared" si="1"/>
        <v>43713.53</v>
      </c>
    </row>
    <row r="75" spans="1:21" ht="15" customHeight="1" x14ac:dyDescent="0.25">
      <c r="A75" t="s">
        <v>2962</v>
      </c>
      <c r="B75" s="8">
        <v>44659</v>
      </c>
      <c r="C75" s="8">
        <v>44661</v>
      </c>
      <c r="D75" t="s">
        <v>20</v>
      </c>
      <c r="E75" t="s">
        <v>3058</v>
      </c>
      <c r="F75" t="s">
        <v>3064</v>
      </c>
      <c r="G75" t="s">
        <v>2284</v>
      </c>
      <c r="H75">
        <v>8032585719</v>
      </c>
      <c r="I75" t="s">
        <v>24</v>
      </c>
      <c r="J75" t="s">
        <v>25</v>
      </c>
      <c r="K75" t="s">
        <v>126</v>
      </c>
      <c r="L75" t="s">
        <v>108</v>
      </c>
      <c r="M75" t="s">
        <v>38</v>
      </c>
      <c r="N75" t="s">
        <v>39</v>
      </c>
      <c r="O75">
        <v>8</v>
      </c>
      <c r="P75">
        <v>44781.94</v>
      </c>
      <c r="Q75">
        <v>20</v>
      </c>
      <c r="R75">
        <v>71651.100000000006</v>
      </c>
      <c r="S75" s="11">
        <v>286604.42</v>
      </c>
      <c r="T75">
        <v>-7757.18</v>
      </c>
      <c r="U75">
        <f t="shared" si="1"/>
        <v>286604.42</v>
      </c>
    </row>
    <row r="76" spans="1:21" ht="15" customHeight="1" x14ac:dyDescent="0.25">
      <c r="A76" t="s">
        <v>2900</v>
      </c>
      <c r="B76" s="8">
        <v>44660</v>
      </c>
      <c r="C76" s="8">
        <v>44666</v>
      </c>
      <c r="D76" t="s">
        <v>48</v>
      </c>
      <c r="E76" t="s">
        <v>3059</v>
      </c>
      <c r="F76" t="s">
        <v>3057</v>
      </c>
      <c r="G76" t="s">
        <v>2901</v>
      </c>
      <c r="H76">
        <v>9074321723</v>
      </c>
      <c r="I76" t="s">
        <v>43</v>
      </c>
      <c r="J76" t="s">
        <v>69</v>
      </c>
      <c r="K76" t="s">
        <v>155</v>
      </c>
      <c r="L76" t="s">
        <v>108</v>
      </c>
      <c r="M76" t="s">
        <v>109</v>
      </c>
      <c r="N76" t="s">
        <v>1258</v>
      </c>
      <c r="O76">
        <v>11</v>
      </c>
      <c r="P76">
        <v>19414.759999999998</v>
      </c>
      <c r="Q76">
        <v>5</v>
      </c>
      <c r="R76">
        <v>10678.12</v>
      </c>
      <c r="S76" s="11">
        <v>202884.24</v>
      </c>
      <c r="T76">
        <v>-25659.439999999999</v>
      </c>
      <c r="U76">
        <f t="shared" si="1"/>
        <v>202884.24</v>
      </c>
    </row>
    <row r="77" spans="1:21" ht="15" customHeight="1" x14ac:dyDescent="0.25">
      <c r="A77" t="s">
        <v>889</v>
      </c>
      <c r="B77" s="8">
        <v>44660</v>
      </c>
      <c r="C77" s="8">
        <v>44665</v>
      </c>
      <c r="D77" t="s">
        <v>48</v>
      </c>
      <c r="E77" t="s">
        <v>3047</v>
      </c>
      <c r="F77" t="s">
        <v>3090</v>
      </c>
      <c r="G77" t="s">
        <v>422</v>
      </c>
      <c r="H77">
        <v>7068454356</v>
      </c>
      <c r="I77" t="s">
        <v>24</v>
      </c>
      <c r="J77" t="s">
        <v>51</v>
      </c>
      <c r="K77" t="s">
        <v>227</v>
      </c>
      <c r="L77" t="s">
        <v>108</v>
      </c>
      <c r="M77" t="s">
        <v>114</v>
      </c>
      <c r="N77" t="s">
        <v>891</v>
      </c>
      <c r="O77">
        <v>5</v>
      </c>
      <c r="P77">
        <v>12867.75</v>
      </c>
      <c r="Q77">
        <v>5</v>
      </c>
      <c r="R77">
        <v>3216.94</v>
      </c>
      <c r="S77" s="11">
        <v>61121.81</v>
      </c>
      <c r="T77">
        <v>16326.57</v>
      </c>
      <c r="U77">
        <f t="shared" si="1"/>
        <v>61121.81</v>
      </c>
    </row>
    <row r="78" spans="1:21" ht="15" customHeight="1" x14ac:dyDescent="0.25">
      <c r="A78" t="s">
        <v>2398</v>
      </c>
      <c r="B78" s="8">
        <v>44660</v>
      </c>
      <c r="C78" s="8">
        <v>44660</v>
      </c>
      <c r="D78" t="s">
        <v>32</v>
      </c>
      <c r="E78" t="s">
        <v>3092</v>
      </c>
      <c r="F78" t="s">
        <v>3039</v>
      </c>
      <c r="G78" t="s">
        <v>2400</v>
      </c>
      <c r="H78">
        <v>9058335114</v>
      </c>
      <c r="I78" t="s">
        <v>43</v>
      </c>
      <c r="J78" t="s">
        <v>69</v>
      </c>
      <c r="K78" t="s">
        <v>70</v>
      </c>
      <c r="L78" t="s">
        <v>96</v>
      </c>
      <c r="M78" t="s">
        <v>254</v>
      </c>
      <c r="N78" t="s">
        <v>455</v>
      </c>
      <c r="O78">
        <v>16</v>
      </c>
      <c r="P78">
        <v>358709.81</v>
      </c>
      <c r="Q78">
        <v>10</v>
      </c>
      <c r="R78">
        <v>573935.69999999995</v>
      </c>
      <c r="S78" s="11">
        <v>5165421.26</v>
      </c>
      <c r="T78">
        <v>1006685.24</v>
      </c>
      <c r="U78">
        <f t="shared" si="1"/>
        <v>5165421.26</v>
      </c>
    </row>
    <row r="79" spans="1:21" ht="15" customHeight="1" x14ac:dyDescent="0.25">
      <c r="A79" t="s">
        <v>2729</v>
      </c>
      <c r="B79" s="8">
        <v>44661</v>
      </c>
      <c r="C79" s="8">
        <v>44665</v>
      </c>
      <c r="D79" t="s">
        <v>73</v>
      </c>
      <c r="E79" t="s">
        <v>3084</v>
      </c>
      <c r="F79" t="s">
        <v>3086</v>
      </c>
      <c r="G79" t="s">
        <v>2731</v>
      </c>
      <c r="H79">
        <v>8137160440</v>
      </c>
      <c r="I79" t="s">
        <v>35</v>
      </c>
      <c r="J79" t="s">
        <v>414</v>
      </c>
      <c r="K79" t="s">
        <v>168</v>
      </c>
      <c r="L79" t="s">
        <v>27</v>
      </c>
      <c r="M79" t="s">
        <v>45</v>
      </c>
      <c r="N79" t="s">
        <v>875</v>
      </c>
      <c r="O79">
        <v>6</v>
      </c>
      <c r="P79">
        <v>2192.5700000000002</v>
      </c>
      <c r="Q79">
        <v>0</v>
      </c>
      <c r="R79">
        <v>0</v>
      </c>
      <c r="S79" s="11">
        <v>13155.42</v>
      </c>
      <c r="T79">
        <v>3657.97</v>
      </c>
      <c r="U79">
        <f t="shared" si="1"/>
        <v>13155.42</v>
      </c>
    </row>
    <row r="80" spans="1:21" ht="15" customHeight="1" x14ac:dyDescent="0.25">
      <c r="A80" t="s">
        <v>2661</v>
      </c>
      <c r="B80" s="8">
        <v>44661</v>
      </c>
      <c r="C80" s="8">
        <v>44662</v>
      </c>
      <c r="D80" t="s">
        <v>32</v>
      </c>
      <c r="E80" t="s">
        <v>3035</v>
      </c>
      <c r="F80" t="s">
        <v>3038</v>
      </c>
      <c r="G80" t="s">
        <v>2663</v>
      </c>
      <c r="H80">
        <v>8108578703</v>
      </c>
      <c r="I80" t="s">
        <v>43</v>
      </c>
      <c r="J80" t="s">
        <v>61</v>
      </c>
      <c r="K80" t="s">
        <v>204</v>
      </c>
      <c r="L80" t="s">
        <v>63</v>
      </c>
      <c r="M80" t="s">
        <v>194</v>
      </c>
      <c r="N80" t="s">
        <v>336</v>
      </c>
      <c r="O80">
        <v>20</v>
      </c>
      <c r="P80">
        <v>1475.5</v>
      </c>
      <c r="Q80">
        <v>10</v>
      </c>
      <c r="R80">
        <v>2951</v>
      </c>
      <c r="S80" s="11">
        <v>26559</v>
      </c>
      <c r="T80">
        <v>2816.29</v>
      </c>
      <c r="U80">
        <f t="shared" si="1"/>
        <v>26559</v>
      </c>
    </row>
    <row r="81" spans="1:21" ht="15" customHeight="1" x14ac:dyDescent="0.25">
      <c r="A81" t="s">
        <v>2950</v>
      </c>
      <c r="B81" s="8">
        <v>44665</v>
      </c>
      <c r="C81" s="8">
        <v>44670</v>
      </c>
      <c r="D81" t="s">
        <v>73</v>
      </c>
      <c r="E81" t="s">
        <v>3073</v>
      </c>
      <c r="F81" t="s">
        <v>3043</v>
      </c>
      <c r="G81" t="s">
        <v>2952</v>
      </c>
      <c r="H81">
        <v>8161282157</v>
      </c>
      <c r="I81" t="s">
        <v>24</v>
      </c>
      <c r="J81" t="s">
        <v>69</v>
      </c>
      <c r="K81" t="s">
        <v>70</v>
      </c>
      <c r="L81" t="s">
        <v>108</v>
      </c>
      <c r="M81" t="s">
        <v>183</v>
      </c>
      <c r="N81" t="s">
        <v>869</v>
      </c>
      <c r="O81">
        <v>13</v>
      </c>
      <c r="P81">
        <v>27749.94</v>
      </c>
      <c r="Q81">
        <v>0</v>
      </c>
      <c r="R81">
        <v>0</v>
      </c>
      <c r="S81" s="11">
        <v>360749.22</v>
      </c>
      <c r="T81">
        <v>-41518.92</v>
      </c>
      <c r="U81">
        <f t="shared" si="1"/>
        <v>360749.22</v>
      </c>
    </row>
    <row r="82" spans="1:21" ht="15" customHeight="1" x14ac:dyDescent="0.25">
      <c r="A82" t="s">
        <v>1252</v>
      </c>
      <c r="B82" s="8">
        <v>44665</v>
      </c>
      <c r="C82" s="8">
        <v>44665</v>
      </c>
      <c r="D82" t="s">
        <v>32</v>
      </c>
      <c r="E82" t="s">
        <v>3098</v>
      </c>
      <c r="F82" t="s">
        <v>3090</v>
      </c>
      <c r="G82" t="s">
        <v>1254</v>
      </c>
      <c r="H82">
        <v>7067575272</v>
      </c>
      <c r="I82" t="s">
        <v>125</v>
      </c>
      <c r="J82" t="s">
        <v>25</v>
      </c>
      <c r="L82" t="s">
        <v>85</v>
      </c>
      <c r="M82" t="s">
        <v>266</v>
      </c>
      <c r="N82" t="s">
        <v>1255</v>
      </c>
      <c r="O82">
        <v>15</v>
      </c>
      <c r="P82">
        <v>116268.96</v>
      </c>
      <c r="Q82">
        <v>10</v>
      </c>
      <c r="R82">
        <v>174403.44</v>
      </c>
      <c r="S82" s="11">
        <v>1569630.96</v>
      </c>
      <c r="T82">
        <v>58805.27</v>
      </c>
      <c r="U82">
        <f t="shared" si="1"/>
        <v>1569630.96</v>
      </c>
    </row>
    <row r="83" spans="1:21" ht="15" customHeight="1" x14ac:dyDescent="0.25">
      <c r="A83" t="s">
        <v>2763</v>
      </c>
      <c r="B83" s="8">
        <v>44667</v>
      </c>
      <c r="C83" s="8">
        <v>44670</v>
      </c>
      <c r="D83" t="s">
        <v>73</v>
      </c>
      <c r="E83" t="s">
        <v>3055</v>
      </c>
      <c r="F83" t="s">
        <v>3062</v>
      </c>
      <c r="G83" t="s">
        <v>2765</v>
      </c>
      <c r="H83">
        <v>8105889267</v>
      </c>
      <c r="I83" t="s">
        <v>24</v>
      </c>
      <c r="J83" t="s">
        <v>69</v>
      </c>
      <c r="K83" t="s">
        <v>307</v>
      </c>
      <c r="L83" t="s">
        <v>63</v>
      </c>
      <c r="M83" t="s">
        <v>469</v>
      </c>
      <c r="N83" t="s">
        <v>1082</v>
      </c>
      <c r="O83">
        <v>3</v>
      </c>
      <c r="P83">
        <v>16818.43</v>
      </c>
      <c r="Q83">
        <v>0</v>
      </c>
      <c r="R83">
        <v>0</v>
      </c>
      <c r="T83">
        <v>-2566.5100000000002</v>
      </c>
      <c r="U83">
        <f t="shared" si="1"/>
        <v>0</v>
      </c>
    </row>
    <row r="84" spans="1:21" ht="15" customHeight="1" x14ac:dyDescent="0.25">
      <c r="A84" t="s">
        <v>2000</v>
      </c>
      <c r="B84" s="8">
        <v>44667</v>
      </c>
      <c r="C84" s="8">
        <v>44668</v>
      </c>
      <c r="D84" t="s">
        <v>32</v>
      </c>
      <c r="E84" t="s">
        <v>3033</v>
      </c>
      <c r="F84" t="s">
        <v>3040</v>
      </c>
      <c r="G84" t="s">
        <v>2001</v>
      </c>
      <c r="H84">
        <v>9013914492</v>
      </c>
      <c r="I84" t="s">
        <v>24</v>
      </c>
      <c r="J84" t="s">
        <v>69</v>
      </c>
      <c r="K84" t="s">
        <v>119</v>
      </c>
      <c r="L84" t="s">
        <v>108</v>
      </c>
      <c r="M84" t="s">
        <v>38</v>
      </c>
      <c r="N84" t="s">
        <v>296</v>
      </c>
      <c r="O84">
        <v>8</v>
      </c>
      <c r="P84">
        <v>8813.08</v>
      </c>
      <c r="Q84">
        <v>0</v>
      </c>
      <c r="R84">
        <v>0</v>
      </c>
      <c r="S84" s="11">
        <v>70504.639999999999</v>
      </c>
      <c r="T84">
        <v>19460.330000000002</v>
      </c>
      <c r="U84">
        <f t="shared" si="1"/>
        <v>70504.639999999999</v>
      </c>
    </row>
    <row r="85" spans="1:21" ht="15" customHeight="1" x14ac:dyDescent="0.25">
      <c r="A85" t="s">
        <v>2917</v>
      </c>
      <c r="B85" s="8">
        <v>44668</v>
      </c>
      <c r="C85" s="8">
        <v>44671</v>
      </c>
      <c r="D85" t="s">
        <v>20</v>
      </c>
      <c r="E85" t="s">
        <v>3092</v>
      </c>
      <c r="F85" t="s">
        <v>3077</v>
      </c>
      <c r="G85" t="s">
        <v>2919</v>
      </c>
      <c r="H85">
        <v>7062824919</v>
      </c>
      <c r="I85" t="s">
        <v>43</v>
      </c>
      <c r="J85" t="s">
        <v>61</v>
      </c>
      <c r="K85" t="s">
        <v>182</v>
      </c>
      <c r="L85" t="s">
        <v>108</v>
      </c>
      <c r="M85" t="s">
        <v>183</v>
      </c>
      <c r="N85" t="s">
        <v>869</v>
      </c>
      <c r="O85">
        <v>5</v>
      </c>
      <c r="P85">
        <v>34811.24</v>
      </c>
      <c r="Q85">
        <v>5</v>
      </c>
      <c r="R85">
        <v>8702.81</v>
      </c>
      <c r="S85" s="11">
        <v>165353.39000000001</v>
      </c>
      <c r="T85">
        <v>72813.679999999993</v>
      </c>
      <c r="U85">
        <f t="shared" si="1"/>
        <v>165353.39000000001</v>
      </c>
    </row>
    <row r="86" spans="1:21" ht="15" customHeight="1" x14ac:dyDescent="0.25">
      <c r="A86" t="s">
        <v>2037</v>
      </c>
      <c r="B86" s="8">
        <v>44669</v>
      </c>
      <c r="C86" s="8">
        <v>44676</v>
      </c>
      <c r="D86" t="s">
        <v>48</v>
      </c>
      <c r="E86" t="s">
        <v>3063</v>
      </c>
      <c r="F86" t="s">
        <v>3038</v>
      </c>
      <c r="G86" t="s">
        <v>2038</v>
      </c>
      <c r="H86">
        <v>8162258998</v>
      </c>
      <c r="I86" t="s">
        <v>24</v>
      </c>
      <c r="J86" t="s">
        <v>61</v>
      </c>
      <c r="K86" t="s">
        <v>182</v>
      </c>
      <c r="L86" t="s">
        <v>63</v>
      </c>
      <c r="M86" t="s">
        <v>558</v>
      </c>
      <c r="N86" t="s">
        <v>1990</v>
      </c>
      <c r="O86">
        <v>13</v>
      </c>
      <c r="P86">
        <v>19894.88</v>
      </c>
      <c r="Q86">
        <v>10</v>
      </c>
      <c r="R86">
        <v>25863.34</v>
      </c>
      <c r="S86" s="11">
        <v>232770.1</v>
      </c>
      <c r="T86">
        <v>62661.45</v>
      </c>
      <c r="U86">
        <f t="shared" si="1"/>
        <v>232770.1</v>
      </c>
    </row>
    <row r="87" spans="1:21" ht="15" customHeight="1" x14ac:dyDescent="0.25">
      <c r="A87" t="s">
        <v>1619</v>
      </c>
      <c r="B87" s="8">
        <v>44670</v>
      </c>
      <c r="C87" s="8">
        <v>44675</v>
      </c>
      <c r="D87" t="s">
        <v>73</v>
      </c>
      <c r="E87" t="s">
        <v>3070</v>
      </c>
      <c r="F87" t="s">
        <v>3052</v>
      </c>
      <c r="G87" t="s">
        <v>1621</v>
      </c>
      <c r="H87">
        <v>8151313131</v>
      </c>
      <c r="I87" t="s">
        <v>35</v>
      </c>
      <c r="J87" t="s">
        <v>25</v>
      </c>
      <c r="K87" t="s">
        <v>36</v>
      </c>
      <c r="L87" t="s">
        <v>96</v>
      </c>
      <c r="M87" t="s">
        <v>254</v>
      </c>
      <c r="N87" t="s">
        <v>255</v>
      </c>
      <c r="O87">
        <v>9</v>
      </c>
      <c r="P87">
        <v>433633.89</v>
      </c>
      <c r="Q87">
        <v>5</v>
      </c>
      <c r="R87">
        <v>195135.25</v>
      </c>
      <c r="S87" s="11">
        <v>3707569.76</v>
      </c>
      <c r="T87">
        <v>-10484.950000000001</v>
      </c>
      <c r="U87">
        <f t="shared" si="1"/>
        <v>3707569.76</v>
      </c>
    </row>
    <row r="88" spans="1:21" ht="15" customHeight="1" x14ac:dyDescent="0.25">
      <c r="A88" t="s">
        <v>2741</v>
      </c>
      <c r="B88" s="8">
        <v>44670</v>
      </c>
      <c r="C88" s="8">
        <v>44673</v>
      </c>
      <c r="D88" t="s">
        <v>20</v>
      </c>
      <c r="E88" t="s">
        <v>3039</v>
      </c>
      <c r="F88" t="s">
        <v>3045</v>
      </c>
      <c r="G88" t="s">
        <v>2743</v>
      </c>
      <c r="H88">
        <v>8065931680</v>
      </c>
      <c r="I88" t="s">
        <v>43</v>
      </c>
      <c r="J88" t="s">
        <v>61</v>
      </c>
      <c r="K88" t="s">
        <v>95</v>
      </c>
      <c r="L88" t="s">
        <v>63</v>
      </c>
      <c r="M88" t="s">
        <v>194</v>
      </c>
      <c r="N88" t="s">
        <v>195</v>
      </c>
      <c r="O88">
        <v>2</v>
      </c>
      <c r="P88">
        <v>14014.36</v>
      </c>
      <c r="Q88">
        <v>20</v>
      </c>
      <c r="R88">
        <v>5605.74</v>
      </c>
      <c r="S88" s="11">
        <v>22422.98</v>
      </c>
      <c r="T88">
        <v>-2451.88</v>
      </c>
      <c r="U88">
        <f t="shared" si="1"/>
        <v>22422.98</v>
      </c>
    </row>
    <row r="89" spans="1:21" ht="15" customHeight="1" x14ac:dyDescent="0.25">
      <c r="A89" t="s">
        <v>1161</v>
      </c>
      <c r="B89" s="8">
        <v>44670</v>
      </c>
      <c r="C89" s="8">
        <v>44673</v>
      </c>
      <c r="D89" t="s">
        <v>20</v>
      </c>
      <c r="E89" t="s">
        <v>3049</v>
      </c>
      <c r="F89" t="s">
        <v>3050</v>
      </c>
      <c r="G89" t="s">
        <v>1162</v>
      </c>
      <c r="H89">
        <v>9075551832</v>
      </c>
      <c r="I89" t="s">
        <v>35</v>
      </c>
      <c r="J89" t="s">
        <v>25</v>
      </c>
      <c r="K89" t="s">
        <v>44</v>
      </c>
      <c r="L89" t="s">
        <v>1163</v>
      </c>
      <c r="M89" t="s">
        <v>194</v>
      </c>
      <c r="N89" t="s">
        <v>700</v>
      </c>
      <c r="O89">
        <v>13</v>
      </c>
      <c r="P89">
        <v>967.42</v>
      </c>
      <c r="Q89">
        <v>5</v>
      </c>
      <c r="R89">
        <v>628.82000000000005</v>
      </c>
      <c r="S89" s="11">
        <v>11947.64</v>
      </c>
      <c r="T89">
        <v>5231.58</v>
      </c>
      <c r="U89">
        <f t="shared" si="1"/>
        <v>11947.64</v>
      </c>
    </row>
    <row r="90" spans="1:21" ht="15" customHeight="1" x14ac:dyDescent="0.25">
      <c r="A90" t="s">
        <v>1272</v>
      </c>
      <c r="B90" s="8">
        <v>44670</v>
      </c>
      <c r="C90" s="8">
        <v>44672</v>
      </c>
      <c r="D90" t="s">
        <v>20</v>
      </c>
      <c r="E90" t="s">
        <v>3060</v>
      </c>
      <c r="F90" t="s">
        <v>3042</v>
      </c>
      <c r="G90" t="s">
        <v>1274</v>
      </c>
      <c r="H90">
        <v>8065734685</v>
      </c>
      <c r="I90" t="s">
        <v>35</v>
      </c>
      <c r="J90" t="s">
        <v>61</v>
      </c>
      <c r="K90" t="s">
        <v>182</v>
      </c>
      <c r="L90" t="s">
        <v>96</v>
      </c>
      <c r="M90" t="s">
        <v>385</v>
      </c>
      <c r="N90" t="s">
        <v>942</v>
      </c>
      <c r="O90">
        <v>13</v>
      </c>
      <c r="P90">
        <v>320466.52</v>
      </c>
      <c r="Q90">
        <v>10</v>
      </c>
      <c r="R90">
        <v>416606.48</v>
      </c>
      <c r="S90" s="11">
        <v>3749458.28</v>
      </c>
      <c r="T90">
        <v>1038840.63</v>
      </c>
      <c r="U90">
        <f t="shared" si="1"/>
        <v>3749458.28</v>
      </c>
    </row>
    <row r="91" spans="1:21" ht="15" customHeight="1" x14ac:dyDescent="0.25">
      <c r="A91" t="s">
        <v>2097</v>
      </c>
      <c r="B91" s="8">
        <v>44671</v>
      </c>
      <c r="C91" s="8">
        <v>44674</v>
      </c>
      <c r="D91" t="s">
        <v>20</v>
      </c>
      <c r="E91" t="s">
        <v>3033</v>
      </c>
      <c r="F91" t="s">
        <v>3045</v>
      </c>
      <c r="G91" t="s">
        <v>1882</v>
      </c>
      <c r="H91">
        <v>8149690736</v>
      </c>
      <c r="I91" t="s">
        <v>24</v>
      </c>
      <c r="J91" t="s">
        <v>51</v>
      </c>
      <c r="K91" t="s">
        <v>131</v>
      </c>
      <c r="L91" t="s">
        <v>108</v>
      </c>
      <c r="M91" t="s">
        <v>114</v>
      </c>
      <c r="N91" t="s">
        <v>291</v>
      </c>
      <c r="O91">
        <v>4</v>
      </c>
      <c r="P91">
        <v>4351.79</v>
      </c>
      <c r="Q91">
        <v>10</v>
      </c>
      <c r="R91">
        <v>1740.72</v>
      </c>
      <c r="S91" s="11">
        <v>15666.44</v>
      </c>
      <c r="T91">
        <v>3236.75</v>
      </c>
      <c r="U91">
        <f t="shared" si="1"/>
        <v>15666.44</v>
      </c>
    </row>
    <row r="92" spans="1:21" ht="15" customHeight="1" x14ac:dyDescent="0.25">
      <c r="A92" t="s">
        <v>1063</v>
      </c>
      <c r="B92" s="8">
        <v>44672</v>
      </c>
      <c r="C92" s="8">
        <v>44677</v>
      </c>
      <c r="D92" t="s">
        <v>73</v>
      </c>
      <c r="E92" t="s">
        <v>3068</v>
      </c>
      <c r="F92" t="s">
        <v>3083</v>
      </c>
      <c r="G92" t="s">
        <v>1065</v>
      </c>
      <c r="H92">
        <v>8156826541</v>
      </c>
      <c r="I92" t="s">
        <v>35</v>
      </c>
      <c r="J92" t="s">
        <v>51</v>
      </c>
      <c r="K92" t="s">
        <v>316</v>
      </c>
      <c r="L92" t="s">
        <v>108</v>
      </c>
      <c r="M92" t="s">
        <v>109</v>
      </c>
      <c r="N92" t="s">
        <v>690</v>
      </c>
      <c r="O92">
        <v>17</v>
      </c>
      <c r="P92">
        <v>43989.81</v>
      </c>
      <c r="Q92">
        <v>20</v>
      </c>
      <c r="R92">
        <v>149565.35</v>
      </c>
      <c r="S92" s="11">
        <v>598261.42000000004</v>
      </c>
      <c r="T92">
        <v>23565.97</v>
      </c>
      <c r="U92">
        <f t="shared" si="1"/>
        <v>598261.42000000004</v>
      </c>
    </row>
    <row r="93" spans="1:21" ht="15" customHeight="1" x14ac:dyDescent="0.25">
      <c r="A93" t="s">
        <v>2215</v>
      </c>
      <c r="B93" s="8">
        <v>44673</v>
      </c>
      <c r="C93" s="8">
        <v>44676</v>
      </c>
      <c r="D93" t="s">
        <v>20</v>
      </c>
      <c r="E93" t="s">
        <v>3089</v>
      </c>
      <c r="F93" t="s">
        <v>3034</v>
      </c>
      <c r="G93" t="s">
        <v>2216</v>
      </c>
      <c r="H93">
        <v>7031765519</v>
      </c>
      <c r="I93" t="s">
        <v>43</v>
      </c>
      <c r="J93" t="s">
        <v>69</v>
      </c>
      <c r="K93" t="s">
        <v>70</v>
      </c>
      <c r="L93" t="s">
        <v>63</v>
      </c>
      <c r="M93" t="s">
        <v>64</v>
      </c>
      <c r="N93" t="s">
        <v>104</v>
      </c>
      <c r="O93">
        <v>6</v>
      </c>
      <c r="P93">
        <v>5922.1</v>
      </c>
      <c r="Q93">
        <v>25</v>
      </c>
      <c r="R93">
        <v>8883.15</v>
      </c>
      <c r="S93" s="11">
        <v>26649.45</v>
      </c>
      <c r="T93">
        <v>-700.33</v>
      </c>
      <c r="U93">
        <f t="shared" si="1"/>
        <v>26649.45</v>
      </c>
    </row>
    <row r="94" spans="1:21" ht="15" customHeight="1" x14ac:dyDescent="0.25">
      <c r="A94" t="s">
        <v>1664</v>
      </c>
      <c r="B94" s="8">
        <v>44674</v>
      </c>
      <c r="C94" s="8">
        <v>44675</v>
      </c>
      <c r="D94" t="s">
        <v>32</v>
      </c>
      <c r="E94" t="s">
        <v>3085</v>
      </c>
      <c r="F94" t="s">
        <v>3040</v>
      </c>
      <c r="G94" t="s">
        <v>1665</v>
      </c>
      <c r="H94">
        <v>8062708383</v>
      </c>
      <c r="I94" t="s">
        <v>35</v>
      </c>
      <c r="J94" t="s">
        <v>25</v>
      </c>
      <c r="K94" t="s">
        <v>126</v>
      </c>
      <c r="L94" t="s">
        <v>96</v>
      </c>
      <c r="M94" t="s">
        <v>254</v>
      </c>
      <c r="N94" t="s">
        <v>756</v>
      </c>
      <c r="O94">
        <v>13</v>
      </c>
      <c r="P94">
        <v>143288.79999999999</v>
      </c>
      <c r="Q94">
        <v>15</v>
      </c>
      <c r="R94">
        <v>279413.15999999997</v>
      </c>
      <c r="S94" s="11">
        <v>1583341.24</v>
      </c>
      <c r="U94">
        <f t="shared" si="1"/>
        <v>1583341.24</v>
      </c>
    </row>
    <row r="95" spans="1:21" ht="15" customHeight="1" x14ac:dyDescent="0.25">
      <c r="A95" t="s">
        <v>626</v>
      </c>
      <c r="B95" s="8">
        <v>44676</v>
      </c>
      <c r="C95" s="8">
        <v>44676</v>
      </c>
      <c r="D95" t="s">
        <v>32</v>
      </c>
      <c r="E95" t="s">
        <v>3048</v>
      </c>
      <c r="F95" t="s">
        <v>3050</v>
      </c>
      <c r="G95" t="s">
        <v>627</v>
      </c>
      <c r="H95">
        <v>8038279795</v>
      </c>
      <c r="I95" t="s">
        <v>24</v>
      </c>
      <c r="J95" t="s">
        <v>69</v>
      </c>
      <c r="K95" t="s">
        <v>70</v>
      </c>
      <c r="M95" t="s">
        <v>312</v>
      </c>
      <c r="N95" t="s">
        <v>628</v>
      </c>
      <c r="O95">
        <v>2</v>
      </c>
      <c r="P95">
        <v>22422.38</v>
      </c>
      <c r="Q95">
        <v>5</v>
      </c>
      <c r="R95">
        <v>2242.2399999999998</v>
      </c>
      <c r="S95" s="11">
        <v>42602.52</v>
      </c>
      <c r="T95">
        <v>-986.24</v>
      </c>
      <c r="U95">
        <f t="shared" si="1"/>
        <v>42602.52</v>
      </c>
    </row>
    <row r="96" spans="1:21" ht="15" customHeight="1" x14ac:dyDescent="0.25">
      <c r="A96" t="s">
        <v>1106</v>
      </c>
      <c r="B96" s="8">
        <v>44676</v>
      </c>
      <c r="C96" s="8">
        <v>44673</v>
      </c>
      <c r="D96" t="s">
        <v>73</v>
      </c>
      <c r="E96" t="s">
        <v>3058</v>
      </c>
      <c r="F96" t="s">
        <v>3050</v>
      </c>
      <c r="G96" t="s">
        <v>1107</v>
      </c>
      <c r="H96">
        <v>8104224451</v>
      </c>
      <c r="I96" t="s">
        <v>35</v>
      </c>
      <c r="J96" t="s">
        <v>25</v>
      </c>
      <c r="L96" t="s">
        <v>63</v>
      </c>
      <c r="M96" t="s">
        <v>194</v>
      </c>
      <c r="N96" t="s">
        <v>257</v>
      </c>
      <c r="O96">
        <v>4</v>
      </c>
      <c r="P96">
        <v>20792.18</v>
      </c>
      <c r="Q96">
        <v>5</v>
      </c>
      <c r="R96">
        <v>4158.4399999999996</v>
      </c>
      <c r="S96" s="11">
        <v>79010.28</v>
      </c>
      <c r="T96">
        <v>6390.25</v>
      </c>
      <c r="U96">
        <f t="shared" si="1"/>
        <v>79010.28</v>
      </c>
    </row>
    <row r="97" spans="1:21" ht="15" customHeight="1" x14ac:dyDescent="0.25">
      <c r="A97" t="s">
        <v>1036</v>
      </c>
      <c r="B97" s="8">
        <v>44679</v>
      </c>
      <c r="C97" s="8">
        <v>44681</v>
      </c>
      <c r="D97" t="s">
        <v>20</v>
      </c>
      <c r="E97" t="s">
        <v>3089</v>
      </c>
      <c r="F97" t="s">
        <v>3071</v>
      </c>
      <c r="G97" t="s">
        <v>1038</v>
      </c>
      <c r="H97">
        <v>8139693169</v>
      </c>
      <c r="I97" t="s">
        <v>24</v>
      </c>
      <c r="J97" t="s">
        <v>69</v>
      </c>
      <c r="K97" t="s">
        <v>155</v>
      </c>
      <c r="L97" t="s">
        <v>63</v>
      </c>
      <c r="M97" t="s">
        <v>54</v>
      </c>
      <c r="N97" t="s">
        <v>1039</v>
      </c>
      <c r="O97">
        <v>17</v>
      </c>
      <c r="P97">
        <v>19707.009999999998</v>
      </c>
      <c r="Q97">
        <v>25</v>
      </c>
      <c r="R97">
        <v>83754.789999999994</v>
      </c>
      <c r="S97" s="11">
        <v>251264.38</v>
      </c>
      <c r="T97">
        <v>67607.67</v>
      </c>
      <c r="U97">
        <f t="shared" si="1"/>
        <v>251264.38</v>
      </c>
    </row>
    <row r="98" spans="1:21" ht="15" customHeight="1" x14ac:dyDescent="0.25">
      <c r="A98" t="s">
        <v>1862</v>
      </c>
      <c r="B98" s="8">
        <v>44679</v>
      </c>
      <c r="C98" s="8">
        <v>44680</v>
      </c>
      <c r="D98" t="s">
        <v>32</v>
      </c>
      <c r="E98" t="s">
        <v>3049</v>
      </c>
      <c r="F98" t="s">
        <v>3088</v>
      </c>
      <c r="G98" t="s">
        <v>1864</v>
      </c>
      <c r="H98">
        <v>7036005493</v>
      </c>
      <c r="I98" t="s">
        <v>24</v>
      </c>
      <c r="J98" t="s">
        <v>25</v>
      </c>
      <c r="K98" t="s">
        <v>168</v>
      </c>
      <c r="L98" t="s">
        <v>63</v>
      </c>
      <c r="M98" t="s">
        <v>249</v>
      </c>
      <c r="N98" t="s">
        <v>465</v>
      </c>
      <c r="O98">
        <v>6</v>
      </c>
      <c r="P98">
        <v>9068.18</v>
      </c>
      <c r="Q98">
        <v>15</v>
      </c>
      <c r="R98">
        <v>8161.36</v>
      </c>
      <c r="S98" s="11">
        <v>46247.72</v>
      </c>
      <c r="T98">
        <v>2900.63</v>
      </c>
      <c r="U98">
        <f t="shared" si="1"/>
        <v>46247.72</v>
      </c>
    </row>
    <row r="99" spans="1:21" ht="15" customHeight="1" x14ac:dyDescent="0.25">
      <c r="A99" t="s">
        <v>1214</v>
      </c>
      <c r="B99" s="8">
        <v>44681</v>
      </c>
      <c r="C99" s="8">
        <v>44684</v>
      </c>
      <c r="D99" t="s">
        <v>73</v>
      </c>
      <c r="E99" t="s">
        <v>3094</v>
      </c>
      <c r="F99" t="s">
        <v>3034</v>
      </c>
      <c r="G99" t="s">
        <v>1216</v>
      </c>
      <c r="H99">
        <v>8145818203</v>
      </c>
      <c r="I99" t="s">
        <v>1217</v>
      </c>
      <c r="J99" t="s">
        <v>69</v>
      </c>
      <c r="K99" t="s">
        <v>155</v>
      </c>
      <c r="L99" t="s">
        <v>108</v>
      </c>
      <c r="M99" t="s">
        <v>189</v>
      </c>
      <c r="N99" t="s">
        <v>325</v>
      </c>
      <c r="O99">
        <v>19</v>
      </c>
      <c r="P99">
        <v>13165.38</v>
      </c>
      <c r="Q99">
        <v>10</v>
      </c>
      <c r="R99">
        <v>25014.22</v>
      </c>
      <c r="S99" s="11">
        <v>225128</v>
      </c>
      <c r="T99">
        <v>91461.23</v>
      </c>
      <c r="U99">
        <f t="shared" si="1"/>
        <v>225128</v>
      </c>
    </row>
    <row r="100" spans="1:21" ht="15" customHeight="1" x14ac:dyDescent="0.25">
      <c r="A100" t="s">
        <v>2446</v>
      </c>
      <c r="B100" s="8">
        <v>44683</v>
      </c>
      <c r="C100" s="8">
        <v>44691</v>
      </c>
      <c r="D100" t="s">
        <v>48</v>
      </c>
      <c r="E100" t="s">
        <v>3033</v>
      </c>
      <c r="F100" t="s">
        <v>3054</v>
      </c>
      <c r="G100" t="s">
        <v>2447</v>
      </c>
      <c r="H100">
        <v>8033688598</v>
      </c>
      <c r="I100" t="s">
        <v>24</v>
      </c>
      <c r="J100" t="s">
        <v>61</v>
      </c>
      <c r="K100" t="s">
        <v>84</v>
      </c>
      <c r="L100" t="s">
        <v>85</v>
      </c>
      <c r="M100" t="s">
        <v>486</v>
      </c>
      <c r="N100" t="s">
        <v>1193</v>
      </c>
      <c r="O100">
        <v>13</v>
      </c>
      <c r="P100">
        <v>119126.56</v>
      </c>
      <c r="Q100">
        <v>5</v>
      </c>
      <c r="R100">
        <v>77432.259999999995</v>
      </c>
      <c r="S100" s="11">
        <v>1471213.02</v>
      </c>
      <c r="T100">
        <v>-1259.3900000000001</v>
      </c>
      <c r="U100">
        <f t="shared" si="1"/>
        <v>1471213.02</v>
      </c>
    </row>
    <row r="101" spans="1:21" ht="15" customHeight="1" x14ac:dyDescent="0.25">
      <c r="A101" t="s">
        <v>1596</v>
      </c>
      <c r="B101" s="8">
        <v>44684</v>
      </c>
      <c r="C101" s="8">
        <v>44691</v>
      </c>
      <c r="D101" t="s">
        <v>48</v>
      </c>
      <c r="E101" t="s">
        <v>3061</v>
      </c>
      <c r="F101" t="s">
        <v>3040</v>
      </c>
      <c r="G101" t="s">
        <v>1597</v>
      </c>
      <c r="H101">
        <v>8061800824</v>
      </c>
      <c r="I101" t="s">
        <v>24</v>
      </c>
      <c r="J101" t="s">
        <v>51</v>
      </c>
      <c r="L101" t="s">
        <v>96</v>
      </c>
      <c r="M101" t="s">
        <v>189</v>
      </c>
      <c r="N101" t="s">
        <v>325</v>
      </c>
      <c r="O101">
        <v>1</v>
      </c>
      <c r="P101">
        <v>264009.34999999998</v>
      </c>
      <c r="Q101">
        <v>20</v>
      </c>
      <c r="R101">
        <v>52801.87</v>
      </c>
      <c r="S101" s="11">
        <v>211207.48</v>
      </c>
      <c r="T101">
        <v>11275.98</v>
      </c>
      <c r="U101">
        <f t="shared" si="1"/>
        <v>211207.48</v>
      </c>
    </row>
    <row r="102" spans="1:21" ht="15" customHeight="1" x14ac:dyDescent="0.25">
      <c r="A102" t="s">
        <v>737</v>
      </c>
      <c r="B102" s="8">
        <v>44685</v>
      </c>
      <c r="C102" s="8">
        <v>44693</v>
      </c>
      <c r="D102" t="s">
        <v>48</v>
      </c>
      <c r="E102" t="s">
        <v>3092</v>
      </c>
      <c r="F102" t="s">
        <v>3064</v>
      </c>
      <c r="G102" t="s">
        <v>739</v>
      </c>
      <c r="H102">
        <v>7067749095</v>
      </c>
      <c r="I102" t="s">
        <v>35</v>
      </c>
      <c r="J102" t="s">
        <v>25</v>
      </c>
      <c r="K102" t="s">
        <v>44</v>
      </c>
      <c r="L102" t="s">
        <v>96</v>
      </c>
      <c r="M102" t="s">
        <v>254</v>
      </c>
      <c r="N102" t="s">
        <v>452</v>
      </c>
      <c r="O102">
        <v>9</v>
      </c>
      <c r="P102">
        <v>282980.46999999997</v>
      </c>
      <c r="Q102">
        <v>0</v>
      </c>
      <c r="R102">
        <v>0</v>
      </c>
      <c r="S102" s="11">
        <v>2546824.23</v>
      </c>
      <c r="T102">
        <v>91543.38</v>
      </c>
      <c r="U102">
        <f t="shared" si="1"/>
        <v>2546824.23</v>
      </c>
    </row>
    <row r="103" spans="1:21" ht="15" customHeight="1" x14ac:dyDescent="0.25">
      <c r="A103" t="s">
        <v>578</v>
      </c>
      <c r="B103" s="8">
        <v>44685</v>
      </c>
      <c r="C103" s="8">
        <v>44690</v>
      </c>
      <c r="D103" t="s">
        <v>210</v>
      </c>
      <c r="E103" t="s">
        <v>3055</v>
      </c>
      <c r="F103" t="s">
        <v>3090</v>
      </c>
      <c r="G103" t="s">
        <v>580</v>
      </c>
      <c r="H103">
        <v>7064019585</v>
      </c>
      <c r="I103" t="s">
        <v>43</v>
      </c>
      <c r="J103" t="s">
        <v>25</v>
      </c>
      <c r="K103" t="s">
        <v>168</v>
      </c>
      <c r="L103" t="s">
        <v>85</v>
      </c>
      <c r="M103" t="s">
        <v>486</v>
      </c>
      <c r="N103" t="s">
        <v>543</v>
      </c>
      <c r="O103">
        <v>13</v>
      </c>
      <c r="P103">
        <v>178771.33</v>
      </c>
      <c r="Q103">
        <v>20</v>
      </c>
      <c r="R103">
        <v>464805.46</v>
      </c>
      <c r="S103" s="11">
        <v>1859221.83</v>
      </c>
      <c r="T103">
        <v>691206.94</v>
      </c>
      <c r="U103">
        <f t="shared" si="1"/>
        <v>1859221.83</v>
      </c>
    </row>
    <row r="104" spans="1:21" ht="15" customHeight="1" x14ac:dyDescent="0.25">
      <c r="A104" t="s">
        <v>364</v>
      </c>
      <c r="B104" s="8">
        <v>44686</v>
      </c>
      <c r="C104" s="8">
        <v>44694</v>
      </c>
      <c r="D104" t="s">
        <v>48</v>
      </c>
      <c r="E104" t="s">
        <v>3058</v>
      </c>
      <c r="F104" t="s">
        <v>3066</v>
      </c>
      <c r="G104" t="s">
        <v>366</v>
      </c>
      <c r="H104">
        <v>8148441741</v>
      </c>
      <c r="I104" t="s">
        <v>24</v>
      </c>
      <c r="J104" t="s">
        <v>51</v>
      </c>
      <c r="K104" t="s">
        <v>316</v>
      </c>
      <c r="L104" t="s">
        <v>96</v>
      </c>
      <c r="M104" t="s">
        <v>120</v>
      </c>
      <c r="N104" t="s">
        <v>367</v>
      </c>
      <c r="O104">
        <v>3</v>
      </c>
      <c r="P104">
        <v>279609.38</v>
      </c>
      <c r="Q104">
        <v>0</v>
      </c>
      <c r="R104">
        <v>0</v>
      </c>
      <c r="S104" s="11">
        <v>838828.14</v>
      </c>
      <c r="T104">
        <v>12590.47</v>
      </c>
      <c r="U104">
        <f t="shared" si="1"/>
        <v>838828.14</v>
      </c>
    </row>
    <row r="105" spans="1:21" ht="15" customHeight="1" x14ac:dyDescent="0.25">
      <c r="A105" t="s">
        <v>1901</v>
      </c>
      <c r="B105" s="8">
        <v>44686</v>
      </c>
      <c r="C105" s="8">
        <v>44692</v>
      </c>
      <c r="D105" t="s">
        <v>48</v>
      </c>
      <c r="E105" t="s">
        <v>3058</v>
      </c>
      <c r="F105" t="s">
        <v>3083</v>
      </c>
      <c r="G105" t="s">
        <v>1903</v>
      </c>
      <c r="H105">
        <v>8108344141</v>
      </c>
      <c r="I105" t="s">
        <v>43</v>
      </c>
      <c r="J105" t="s">
        <v>51</v>
      </c>
      <c r="K105" t="s">
        <v>131</v>
      </c>
      <c r="L105" t="s">
        <v>27</v>
      </c>
      <c r="M105" t="s">
        <v>28</v>
      </c>
      <c r="N105" t="s">
        <v>347</v>
      </c>
      <c r="O105">
        <v>-1</v>
      </c>
      <c r="P105">
        <v>6301.17</v>
      </c>
      <c r="Q105">
        <v>10</v>
      </c>
      <c r="R105">
        <v>8191.52</v>
      </c>
      <c r="S105" s="11">
        <v>73723.69</v>
      </c>
      <c r="T105">
        <v>-1905.41</v>
      </c>
      <c r="U105">
        <f t="shared" si="1"/>
        <v>73723.69</v>
      </c>
    </row>
    <row r="106" spans="1:21" ht="15" customHeight="1" x14ac:dyDescent="0.25">
      <c r="A106" t="s">
        <v>2098</v>
      </c>
      <c r="B106" s="8">
        <v>44686</v>
      </c>
      <c r="C106" s="8">
        <v>44688</v>
      </c>
      <c r="D106" t="s">
        <v>20</v>
      </c>
      <c r="E106" t="s">
        <v>3035</v>
      </c>
      <c r="F106" t="s">
        <v>3069</v>
      </c>
      <c r="G106" t="s">
        <v>2099</v>
      </c>
      <c r="H106">
        <v>9014440410</v>
      </c>
      <c r="I106" t="s">
        <v>43</v>
      </c>
      <c r="J106" t="s">
        <v>51</v>
      </c>
      <c r="K106" t="s">
        <v>227</v>
      </c>
      <c r="L106" t="s">
        <v>27</v>
      </c>
      <c r="M106" t="s">
        <v>354</v>
      </c>
      <c r="N106" t="s">
        <v>789</v>
      </c>
      <c r="O106">
        <v>16</v>
      </c>
      <c r="P106">
        <v>6001.27</v>
      </c>
      <c r="Q106">
        <v>0</v>
      </c>
      <c r="R106">
        <v>0</v>
      </c>
      <c r="S106" s="11">
        <v>96020.32</v>
      </c>
      <c r="T106">
        <v>-1524.21</v>
      </c>
      <c r="U106">
        <f t="shared" si="1"/>
        <v>96020.32</v>
      </c>
    </row>
    <row r="107" spans="1:21" ht="15" customHeight="1" x14ac:dyDescent="0.25">
      <c r="A107" t="s">
        <v>786</v>
      </c>
      <c r="B107" s="8">
        <v>44686</v>
      </c>
      <c r="C107" s="8">
        <v>44686</v>
      </c>
      <c r="D107" t="s">
        <v>32</v>
      </c>
      <c r="E107" t="s">
        <v>3091</v>
      </c>
      <c r="F107" t="s">
        <v>3045</v>
      </c>
      <c r="G107" t="s">
        <v>788</v>
      </c>
      <c r="H107">
        <v>7064346346</v>
      </c>
      <c r="I107" t="s">
        <v>24</v>
      </c>
      <c r="K107" t="s">
        <v>70</v>
      </c>
      <c r="L107" t="s">
        <v>27</v>
      </c>
      <c r="M107" t="s">
        <v>354</v>
      </c>
      <c r="N107" t="s">
        <v>789</v>
      </c>
      <c r="O107">
        <v>13</v>
      </c>
      <c r="P107">
        <v>6420.32</v>
      </c>
      <c r="Q107">
        <v>10</v>
      </c>
      <c r="R107">
        <v>8346.42</v>
      </c>
      <c r="S107" s="11" t="s">
        <v>790</v>
      </c>
      <c r="T107">
        <v>10352.030000000001</v>
      </c>
      <c r="U107">
        <f t="shared" si="1"/>
        <v>75117.740000000005</v>
      </c>
    </row>
    <row r="108" spans="1:21" ht="15" customHeight="1" x14ac:dyDescent="0.25">
      <c r="A108" t="s">
        <v>832</v>
      </c>
      <c r="B108" s="8">
        <v>44688</v>
      </c>
      <c r="C108" s="8">
        <v>44690</v>
      </c>
      <c r="D108" t="s">
        <v>20</v>
      </c>
      <c r="E108" t="s">
        <v>3072</v>
      </c>
      <c r="F108" t="s">
        <v>3050</v>
      </c>
      <c r="G108" t="s">
        <v>821</v>
      </c>
      <c r="H108">
        <v>9027945543</v>
      </c>
      <c r="I108" t="s">
        <v>35</v>
      </c>
      <c r="J108" t="s">
        <v>69</v>
      </c>
      <c r="K108" t="s">
        <v>144</v>
      </c>
      <c r="L108" t="s">
        <v>27</v>
      </c>
      <c r="M108" t="s">
        <v>354</v>
      </c>
      <c r="N108" t="s">
        <v>789</v>
      </c>
      <c r="O108" t="s">
        <v>185</v>
      </c>
      <c r="P108">
        <v>769.57</v>
      </c>
      <c r="Q108">
        <v>25</v>
      </c>
      <c r="R108">
        <v>2501.1</v>
      </c>
      <c r="S108" s="11">
        <v>7503.31</v>
      </c>
      <c r="T108">
        <v>759.18</v>
      </c>
      <c r="U108">
        <f t="shared" si="1"/>
        <v>7503.31</v>
      </c>
    </row>
    <row r="109" spans="1:21" ht="15" customHeight="1" x14ac:dyDescent="0.25">
      <c r="A109" t="s">
        <v>2944</v>
      </c>
      <c r="B109" s="8">
        <v>44690</v>
      </c>
      <c r="C109" s="8">
        <v>44690</v>
      </c>
      <c r="D109" t="s">
        <v>32</v>
      </c>
      <c r="E109" t="s">
        <v>3056</v>
      </c>
      <c r="F109" t="s">
        <v>3042</v>
      </c>
      <c r="G109" t="s">
        <v>2946</v>
      </c>
      <c r="H109">
        <v>8154389982</v>
      </c>
      <c r="I109" t="s">
        <v>43</v>
      </c>
      <c r="J109" t="s">
        <v>69</v>
      </c>
      <c r="K109" t="s">
        <v>155</v>
      </c>
      <c r="L109" t="s">
        <v>96</v>
      </c>
      <c r="M109" t="s">
        <v>120</v>
      </c>
      <c r="N109" t="s">
        <v>359</v>
      </c>
      <c r="O109">
        <v>11</v>
      </c>
      <c r="P109">
        <v>369226.48</v>
      </c>
      <c r="Q109">
        <v>0</v>
      </c>
      <c r="R109">
        <v>0</v>
      </c>
      <c r="S109" s="11" t="s">
        <v>2947</v>
      </c>
      <c r="T109">
        <v>-492457.07</v>
      </c>
      <c r="U109" t="e">
        <f t="shared" si="1"/>
        <v>#VALUE!</v>
      </c>
    </row>
    <row r="110" spans="1:21" ht="15" customHeight="1" x14ac:dyDescent="0.25">
      <c r="A110" t="s">
        <v>713</v>
      </c>
      <c r="B110" s="8">
        <v>44691</v>
      </c>
      <c r="C110" s="8">
        <v>44694</v>
      </c>
      <c r="D110" t="s">
        <v>20</v>
      </c>
      <c r="E110" t="s">
        <v>3082</v>
      </c>
      <c r="F110" t="s">
        <v>3066</v>
      </c>
      <c r="G110" t="s">
        <v>715</v>
      </c>
      <c r="H110">
        <v>8145505300</v>
      </c>
      <c r="I110" t="s">
        <v>24</v>
      </c>
      <c r="J110" t="s">
        <v>25</v>
      </c>
      <c r="K110" t="s">
        <v>168</v>
      </c>
      <c r="L110" t="s">
        <v>63</v>
      </c>
      <c r="M110" t="s">
        <v>194</v>
      </c>
      <c r="N110" t="s">
        <v>716</v>
      </c>
      <c r="O110">
        <v>19</v>
      </c>
      <c r="P110">
        <v>8775</v>
      </c>
      <c r="Q110">
        <v>0</v>
      </c>
      <c r="R110">
        <v>0</v>
      </c>
      <c r="S110" s="11">
        <v>166725</v>
      </c>
      <c r="T110">
        <v>31625.279999999999</v>
      </c>
      <c r="U110">
        <f t="shared" si="1"/>
        <v>166725</v>
      </c>
    </row>
    <row r="111" spans="1:21" ht="15" customHeight="1" x14ac:dyDescent="0.25">
      <c r="A111" t="s">
        <v>1592</v>
      </c>
      <c r="B111" s="8">
        <v>44691</v>
      </c>
      <c r="C111" s="8">
        <v>44691</v>
      </c>
      <c r="D111" t="s">
        <v>32</v>
      </c>
      <c r="E111" t="s">
        <v>3053</v>
      </c>
      <c r="F111" t="s">
        <v>3039</v>
      </c>
      <c r="G111" t="s">
        <v>1594</v>
      </c>
      <c r="H111">
        <v>8134514088</v>
      </c>
      <c r="I111" t="s">
        <v>24</v>
      </c>
      <c r="J111" t="s">
        <v>61</v>
      </c>
      <c r="K111" t="s">
        <v>182</v>
      </c>
      <c r="L111" t="s">
        <v>63</v>
      </c>
      <c r="M111" t="s">
        <v>469</v>
      </c>
      <c r="N111" t="s">
        <v>1595</v>
      </c>
      <c r="O111">
        <v>11</v>
      </c>
      <c r="P111">
        <v>22798.58</v>
      </c>
      <c r="Q111">
        <v>20</v>
      </c>
      <c r="R111">
        <v>50156.88</v>
      </c>
      <c r="S111" s="11">
        <v>200627.5</v>
      </c>
      <c r="T111">
        <v>64618.84</v>
      </c>
      <c r="U111">
        <f t="shared" si="1"/>
        <v>200627.5</v>
      </c>
    </row>
    <row r="112" spans="1:21" ht="15" customHeight="1" x14ac:dyDescent="0.25">
      <c r="A112" t="s">
        <v>1592</v>
      </c>
      <c r="B112" s="8">
        <v>44691</v>
      </c>
      <c r="C112" s="8">
        <v>44689</v>
      </c>
      <c r="D112" t="s">
        <v>32</v>
      </c>
      <c r="E112" t="s">
        <v>3053</v>
      </c>
      <c r="F112" t="s">
        <v>3039</v>
      </c>
      <c r="G112" t="s">
        <v>1594</v>
      </c>
      <c r="H112">
        <v>8134514088</v>
      </c>
      <c r="I112" t="s">
        <v>24</v>
      </c>
      <c r="J112" t="s">
        <v>61</v>
      </c>
      <c r="K112" t="s">
        <v>182</v>
      </c>
      <c r="L112" t="s">
        <v>63</v>
      </c>
      <c r="M112" t="s">
        <v>469</v>
      </c>
      <c r="N112" t="s">
        <v>1595</v>
      </c>
      <c r="O112">
        <v>11</v>
      </c>
      <c r="P112">
        <v>22798.58</v>
      </c>
      <c r="Q112">
        <v>20</v>
      </c>
      <c r="R112">
        <v>50156.88</v>
      </c>
      <c r="S112" s="11">
        <v>200627.5</v>
      </c>
      <c r="T112">
        <v>64618.84</v>
      </c>
      <c r="U112">
        <f t="shared" si="1"/>
        <v>200627.5</v>
      </c>
    </row>
    <row r="113" spans="1:21" ht="15" customHeight="1" x14ac:dyDescent="0.25">
      <c r="A113" t="s">
        <v>1337</v>
      </c>
      <c r="B113" s="8">
        <v>44692</v>
      </c>
      <c r="C113" s="8">
        <v>44695</v>
      </c>
      <c r="D113" t="s">
        <v>73</v>
      </c>
      <c r="E113" t="s">
        <v>3056</v>
      </c>
      <c r="F113" t="s">
        <v>3083</v>
      </c>
      <c r="G113" t="s">
        <v>1339</v>
      </c>
      <c r="H113">
        <v>8064399754</v>
      </c>
      <c r="I113" t="s">
        <v>24</v>
      </c>
      <c r="J113" t="s">
        <v>25</v>
      </c>
      <c r="K113" t="s">
        <v>168</v>
      </c>
      <c r="L113" t="s">
        <v>108</v>
      </c>
      <c r="M113" t="s">
        <v>38</v>
      </c>
      <c r="N113" t="s">
        <v>213</v>
      </c>
      <c r="O113">
        <v>19</v>
      </c>
      <c r="P113">
        <v>15942.1</v>
      </c>
      <c r="Q113">
        <v>25</v>
      </c>
      <c r="R113">
        <v>75724.98</v>
      </c>
      <c r="S113" s="11">
        <v>227174.92</v>
      </c>
      <c r="T113">
        <v>-15357.56</v>
      </c>
      <c r="U113">
        <f t="shared" si="1"/>
        <v>227174.92</v>
      </c>
    </row>
    <row r="114" spans="1:21" ht="15" customHeight="1" x14ac:dyDescent="0.25">
      <c r="A114" t="s">
        <v>1478</v>
      </c>
      <c r="B114" s="8">
        <v>44693</v>
      </c>
      <c r="C114" s="8">
        <v>44695</v>
      </c>
      <c r="D114" t="s">
        <v>20</v>
      </c>
      <c r="E114" t="s">
        <v>3051</v>
      </c>
      <c r="F114" t="s">
        <v>3036</v>
      </c>
      <c r="G114" t="s">
        <v>1480</v>
      </c>
      <c r="H114">
        <v>9073694157</v>
      </c>
      <c r="I114" t="s">
        <v>43</v>
      </c>
      <c r="J114" t="s">
        <v>51</v>
      </c>
      <c r="K114" t="s">
        <v>316</v>
      </c>
      <c r="L114" t="s">
        <v>63</v>
      </c>
      <c r="M114" t="s">
        <v>469</v>
      </c>
      <c r="N114" t="s">
        <v>1099</v>
      </c>
      <c r="O114">
        <v>8</v>
      </c>
      <c r="P114">
        <v>6285.18</v>
      </c>
      <c r="Q114">
        <v>0</v>
      </c>
      <c r="R114">
        <v>0</v>
      </c>
      <c r="S114" s="11">
        <v>50281.440000000002</v>
      </c>
      <c r="T114">
        <v>-3018.03</v>
      </c>
      <c r="U114">
        <f t="shared" si="1"/>
        <v>50281.440000000002</v>
      </c>
    </row>
    <row r="115" spans="1:21" ht="15" customHeight="1" x14ac:dyDescent="0.25">
      <c r="A115" t="s">
        <v>1951</v>
      </c>
      <c r="B115" s="8">
        <v>44695</v>
      </c>
      <c r="C115" s="8">
        <v>44701</v>
      </c>
      <c r="D115" t="s">
        <v>48</v>
      </c>
      <c r="E115" t="s">
        <v>3080</v>
      </c>
      <c r="F115" t="s">
        <v>3046</v>
      </c>
      <c r="G115" t="s">
        <v>1952</v>
      </c>
      <c r="H115">
        <v>8134384399</v>
      </c>
      <c r="I115" t="s">
        <v>24</v>
      </c>
      <c r="J115" t="s">
        <v>51</v>
      </c>
      <c r="K115" t="s">
        <v>131</v>
      </c>
      <c r="L115" t="s">
        <v>96</v>
      </c>
      <c r="M115" t="s">
        <v>385</v>
      </c>
      <c r="N115" t="s">
        <v>386</v>
      </c>
      <c r="O115">
        <v>19</v>
      </c>
      <c r="P115">
        <v>51992.12</v>
      </c>
      <c r="Q115">
        <v>0</v>
      </c>
      <c r="R115">
        <v>0</v>
      </c>
      <c r="S115" s="11">
        <v>987850.28</v>
      </c>
      <c r="T115">
        <v>185956.49</v>
      </c>
      <c r="U115">
        <f t="shared" si="1"/>
        <v>987850.28</v>
      </c>
    </row>
    <row r="116" spans="1:21" ht="15" customHeight="1" x14ac:dyDescent="0.25">
      <c r="A116" t="s">
        <v>1848</v>
      </c>
      <c r="B116" s="8">
        <v>44697</v>
      </c>
      <c r="C116" s="8">
        <v>44698</v>
      </c>
      <c r="D116" t="s">
        <v>32</v>
      </c>
      <c r="E116" t="s">
        <v>3081</v>
      </c>
      <c r="F116" t="s">
        <v>3039</v>
      </c>
      <c r="G116" t="s">
        <v>1326</v>
      </c>
      <c r="H116">
        <v>9025584424</v>
      </c>
      <c r="I116" t="s">
        <v>35</v>
      </c>
      <c r="J116" t="s">
        <v>25</v>
      </c>
      <c r="K116" t="s">
        <v>36</v>
      </c>
      <c r="L116" t="s">
        <v>85</v>
      </c>
      <c r="M116" t="s">
        <v>218</v>
      </c>
      <c r="N116" t="s">
        <v>1058</v>
      </c>
      <c r="O116">
        <v>13</v>
      </c>
      <c r="P116">
        <v>9696.49</v>
      </c>
      <c r="Q116">
        <v>5</v>
      </c>
      <c r="R116">
        <v>6302.72</v>
      </c>
      <c r="S116" s="11">
        <v>119751.65</v>
      </c>
      <c r="T116">
        <v>9242.36</v>
      </c>
      <c r="U116">
        <f t="shared" si="1"/>
        <v>119751.65</v>
      </c>
    </row>
    <row r="117" spans="1:21" ht="15" customHeight="1" x14ac:dyDescent="0.25">
      <c r="A117" t="s">
        <v>2696</v>
      </c>
      <c r="B117" s="8">
        <v>44698</v>
      </c>
      <c r="C117" s="8">
        <v>44704</v>
      </c>
      <c r="D117" t="s">
        <v>48</v>
      </c>
      <c r="E117" t="s">
        <v>3061</v>
      </c>
      <c r="F117" t="s">
        <v>3083</v>
      </c>
      <c r="G117" t="s">
        <v>2698</v>
      </c>
      <c r="H117">
        <v>8155648826</v>
      </c>
      <c r="I117" t="s">
        <v>43</v>
      </c>
      <c r="J117" t="s">
        <v>2526</v>
      </c>
      <c r="K117" t="s">
        <v>155</v>
      </c>
      <c r="L117" t="s">
        <v>27</v>
      </c>
      <c r="M117" t="s">
        <v>173</v>
      </c>
      <c r="N117" t="s">
        <v>662</v>
      </c>
      <c r="O117">
        <v>2</v>
      </c>
      <c r="P117">
        <v>1833.76</v>
      </c>
      <c r="Q117">
        <v>15</v>
      </c>
      <c r="R117">
        <v>550.13</v>
      </c>
      <c r="S117" s="11">
        <v>3117.39</v>
      </c>
      <c r="T117">
        <v>707.23</v>
      </c>
      <c r="U117">
        <f t="shared" si="1"/>
        <v>3117.39</v>
      </c>
    </row>
    <row r="118" spans="1:21" ht="15" customHeight="1" x14ac:dyDescent="0.25">
      <c r="A118" t="s">
        <v>2125</v>
      </c>
      <c r="B118" s="8">
        <v>44699</v>
      </c>
      <c r="C118" s="8">
        <v>44703</v>
      </c>
      <c r="D118" t="s">
        <v>1823</v>
      </c>
      <c r="E118" t="s">
        <v>3068</v>
      </c>
      <c r="F118" t="s">
        <v>3040</v>
      </c>
      <c r="G118" t="s">
        <v>2126</v>
      </c>
      <c r="H118">
        <v>8032188961</v>
      </c>
      <c r="I118" t="s">
        <v>24</v>
      </c>
      <c r="J118" t="s">
        <v>51</v>
      </c>
      <c r="K118" t="s">
        <v>227</v>
      </c>
      <c r="L118" t="s">
        <v>27</v>
      </c>
      <c r="M118" t="s">
        <v>79</v>
      </c>
      <c r="N118" t="s">
        <v>490</v>
      </c>
      <c r="O118">
        <v>10</v>
      </c>
      <c r="P118">
        <v>6324.38</v>
      </c>
      <c r="Q118">
        <v>0</v>
      </c>
      <c r="R118">
        <v>0</v>
      </c>
      <c r="S118" s="11">
        <v>63243.8</v>
      </c>
      <c r="T118">
        <v>-5011.66</v>
      </c>
      <c r="U118">
        <f t="shared" si="1"/>
        <v>63243.8</v>
      </c>
    </row>
    <row r="119" spans="1:21" ht="15" customHeight="1" x14ac:dyDescent="0.25">
      <c r="A119" t="s">
        <v>2956</v>
      </c>
      <c r="B119" s="8">
        <v>44699</v>
      </c>
      <c r="C119" s="8">
        <v>44701</v>
      </c>
      <c r="D119" t="s">
        <v>20</v>
      </c>
      <c r="E119" t="s">
        <v>3050</v>
      </c>
      <c r="F119" t="s">
        <v>3052</v>
      </c>
      <c r="G119" t="s">
        <v>2957</v>
      </c>
      <c r="H119">
        <v>8132496306</v>
      </c>
      <c r="I119" t="s">
        <v>43</v>
      </c>
      <c r="J119" t="s">
        <v>51</v>
      </c>
      <c r="K119" t="s">
        <v>52</v>
      </c>
      <c r="L119" t="s">
        <v>85</v>
      </c>
      <c r="M119" t="s">
        <v>243</v>
      </c>
      <c r="N119" t="s">
        <v>404</v>
      </c>
      <c r="O119">
        <v>6</v>
      </c>
      <c r="P119">
        <v>130966.05</v>
      </c>
      <c r="Q119">
        <v>5</v>
      </c>
      <c r="R119">
        <v>39289.82</v>
      </c>
      <c r="S119" s="11">
        <v>746506.48</v>
      </c>
      <c r="T119">
        <v>42434.92</v>
      </c>
      <c r="U119">
        <f t="shared" si="1"/>
        <v>746506.48</v>
      </c>
    </row>
    <row r="120" spans="1:21" ht="15" customHeight="1" x14ac:dyDescent="0.25">
      <c r="A120" t="s">
        <v>616</v>
      </c>
      <c r="B120" s="8">
        <v>44701</v>
      </c>
      <c r="C120" s="8">
        <v>44706</v>
      </c>
      <c r="D120" t="s">
        <v>73</v>
      </c>
      <c r="E120" t="s">
        <v>3084</v>
      </c>
      <c r="F120" t="s">
        <v>3046</v>
      </c>
      <c r="H120">
        <v>8158650572</v>
      </c>
      <c r="I120" t="s">
        <v>24</v>
      </c>
      <c r="J120" t="s">
        <v>69</v>
      </c>
      <c r="K120" t="s">
        <v>119</v>
      </c>
      <c r="L120" t="s">
        <v>63</v>
      </c>
      <c r="M120" t="s">
        <v>249</v>
      </c>
      <c r="N120" t="s">
        <v>250</v>
      </c>
      <c r="O120">
        <v>20</v>
      </c>
      <c r="P120">
        <v>16124.35</v>
      </c>
      <c r="Q120">
        <v>20</v>
      </c>
      <c r="R120">
        <v>64497.4</v>
      </c>
      <c r="S120" s="11">
        <v>257989.6</v>
      </c>
      <c r="T120">
        <v>63354.66</v>
      </c>
      <c r="U120">
        <f t="shared" si="1"/>
        <v>257989.6</v>
      </c>
    </row>
    <row r="121" spans="1:21" ht="15" customHeight="1" x14ac:dyDescent="0.25">
      <c r="A121" t="s">
        <v>314</v>
      </c>
      <c r="B121" s="8">
        <v>44702</v>
      </c>
      <c r="C121" s="8">
        <v>44708</v>
      </c>
      <c r="D121" t="s">
        <v>48</v>
      </c>
      <c r="E121" t="s">
        <v>3076</v>
      </c>
      <c r="F121" t="s">
        <v>3043</v>
      </c>
      <c r="G121" t="s">
        <v>315</v>
      </c>
      <c r="H121">
        <v>7062651601</v>
      </c>
      <c r="I121" t="s">
        <v>24</v>
      </c>
      <c r="J121" t="s">
        <v>51</v>
      </c>
      <c r="K121" t="s">
        <v>316</v>
      </c>
      <c r="L121" t="s">
        <v>96</v>
      </c>
      <c r="M121" t="s">
        <v>189</v>
      </c>
      <c r="N121" t="s">
        <v>190</v>
      </c>
      <c r="O121" t="s">
        <v>317</v>
      </c>
      <c r="P121">
        <v>316890.51</v>
      </c>
      <c r="Q121">
        <v>0</v>
      </c>
      <c r="R121">
        <v>0</v>
      </c>
      <c r="S121" s="11">
        <v>316890.51</v>
      </c>
      <c r="T121">
        <v>14141.18</v>
      </c>
      <c r="U121">
        <f t="shared" si="1"/>
        <v>316890.51</v>
      </c>
    </row>
    <row r="122" spans="1:21" ht="15" customHeight="1" x14ac:dyDescent="0.25">
      <c r="A122" t="s">
        <v>387</v>
      </c>
      <c r="B122" s="8">
        <v>44704</v>
      </c>
      <c r="C122" s="8">
        <v>44704</v>
      </c>
      <c r="D122" t="s">
        <v>32</v>
      </c>
      <c r="E122" t="s">
        <v>3047</v>
      </c>
      <c r="F122" t="s">
        <v>3050</v>
      </c>
      <c r="G122" t="s">
        <v>388</v>
      </c>
      <c r="H122">
        <v>7068043620</v>
      </c>
      <c r="I122" t="s">
        <v>24</v>
      </c>
      <c r="J122" t="s">
        <v>61</v>
      </c>
      <c r="K122" t="s">
        <v>62</v>
      </c>
      <c r="L122" t="s">
        <v>108</v>
      </c>
      <c r="M122" t="s">
        <v>38</v>
      </c>
      <c r="N122" t="s">
        <v>303</v>
      </c>
      <c r="O122">
        <v>11</v>
      </c>
      <c r="P122">
        <v>17912.28</v>
      </c>
      <c r="Q122" t="s">
        <v>376</v>
      </c>
      <c r="R122">
        <v>0</v>
      </c>
      <c r="S122" s="11">
        <v>197035.08</v>
      </c>
      <c r="T122">
        <v>74874.38</v>
      </c>
      <c r="U122">
        <f t="shared" si="1"/>
        <v>197035.08</v>
      </c>
    </row>
    <row r="123" spans="1:21" ht="15" customHeight="1" x14ac:dyDescent="0.25">
      <c r="A123" t="s">
        <v>1777</v>
      </c>
      <c r="B123" s="8">
        <v>44705</v>
      </c>
      <c r="C123" s="8">
        <v>44713</v>
      </c>
      <c r="D123" t="s">
        <v>48</v>
      </c>
      <c r="E123" t="s">
        <v>3070</v>
      </c>
      <c r="F123" t="s">
        <v>3066</v>
      </c>
      <c r="G123" t="s">
        <v>1779</v>
      </c>
      <c r="H123">
        <v>9018230134</v>
      </c>
      <c r="I123" t="s">
        <v>35</v>
      </c>
      <c r="J123" t="s">
        <v>61</v>
      </c>
      <c r="K123" t="s">
        <v>204</v>
      </c>
      <c r="L123" t="s">
        <v>85</v>
      </c>
      <c r="M123" t="s">
        <v>218</v>
      </c>
      <c r="N123" t="s">
        <v>1058</v>
      </c>
      <c r="O123">
        <v>5</v>
      </c>
      <c r="P123">
        <v>40060.81</v>
      </c>
      <c r="Q123">
        <v>5</v>
      </c>
      <c r="R123">
        <v>10015.200000000001</v>
      </c>
      <c r="S123" s="11">
        <v>190288.85</v>
      </c>
      <c r="T123">
        <v>26998.71</v>
      </c>
      <c r="U123">
        <f t="shared" si="1"/>
        <v>190288.85</v>
      </c>
    </row>
    <row r="124" spans="1:21" ht="15" customHeight="1" x14ac:dyDescent="0.25">
      <c r="A124" t="s">
        <v>1533</v>
      </c>
      <c r="B124" s="8">
        <v>44706</v>
      </c>
      <c r="C124" s="8">
        <v>44714</v>
      </c>
      <c r="D124" t="s">
        <v>48</v>
      </c>
      <c r="E124" t="s">
        <v>3081</v>
      </c>
      <c r="F124" t="s">
        <v>3045</v>
      </c>
      <c r="G124" t="s">
        <v>1192</v>
      </c>
      <c r="H124">
        <v>8105027876</v>
      </c>
      <c r="I124" t="s">
        <v>43</v>
      </c>
      <c r="J124" t="s">
        <v>25</v>
      </c>
      <c r="K124" t="s">
        <v>44</v>
      </c>
      <c r="L124" t="s">
        <v>108</v>
      </c>
      <c r="M124" t="s">
        <v>114</v>
      </c>
      <c r="N124" t="s">
        <v>291</v>
      </c>
      <c r="O124">
        <v>6</v>
      </c>
      <c r="P124">
        <v>38650.870000000003</v>
      </c>
      <c r="Q124">
        <v>15</v>
      </c>
      <c r="R124">
        <v>34785.78</v>
      </c>
      <c r="S124" s="11">
        <v>197119.44</v>
      </c>
      <c r="T124">
        <v>62623.96</v>
      </c>
      <c r="U124">
        <f t="shared" si="1"/>
        <v>197119.44</v>
      </c>
    </row>
    <row r="125" spans="1:21" ht="15" customHeight="1" x14ac:dyDescent="0.25">
      <c r="A125" t="s">
        <v>1132</v>
      </c>
      <c r="B125" s="8">
        <v>44706</v>
      </c>
      <c r="C125" s="8">
        <v>44713</v>
      </c>
      <c r="D125" t="s">
        <v>48</v>
      </c>
      <c r="E125" t="s">
        <v>3044</v>
      </c>
      <c r="F125" t="s">
        <v>3052</v>
      </c>
      <c r="G125" t="s">
        <v>1133</v>
      </c>
      <c r="H125">
        <v>8064875838</v>
      </c>
      <c r="I125" t="s">
        <v>43</v>
      </c>
      <c r="J125" t="s">
        <v>25</v>
      </c>
      <c r="K125" t="s">
        <v>1134</v>
      </c>
      <c r="L125" t="s">
        <v>27</v>
      </c>
      <c r="M125" t="s">
        <v>28</v>
      </c>
      <c r="N125" t="s">
        <v>508</v>
      </c>
      <c r="O125">
        <v>8</v>
      </c>
      <c r="P125">
        <v>1787.02</v>
      </c>
      <c r="Q125">
        <v>0</v>
      </c>
      <c r="R125">
        <v>0</v>
      </c>
      <c r="S125" s="11" t="s">
        <v>1135</v>
      </c>
      <c r="T125">
        <v>2645.56</v>
      </c>
      <c r="U125">
        <f t="shared" si="1"/>
        <v>14296.16</v>
      </c>
    </row>
    <row r="126" spans="1:21" ht="15" customHeight="1" x14ac:dyDescent="0.25">
      <c r="A126" t="s">
        <v>1129</v>
      </c>
      <c r="B126" s="8">
        <v>44707</v>
      </c>
      <c r="C126" s="8">
        <v>44710</v>
      </c>
      <c r="D126" t="s">
        <v>73</v>
      </c>
      <c r="E126" t="s">
        <v>3082</v>
      </c>
      <c r="F126" t="s">
        <v>3040</v>
      </c>
      <c r="G126" t="s">
        <v>1131</v>
      </c>
      <c r="H126">
        <v>8032341452</v>
      </c>
      <c r="I126" t="s">
        <v>43</v>
      </c>
      <c r="J126" t="s">
        <v>51</v>
      </c>
      <c r="K126" t="s">
        <v>52</v>
      </c>
      <c r="L126" t="s">
        <v>108</v>
      </c>
      <c r="M126" t="s">
        <v>114</v>
      </c>
      <c r="N126" t="s">
        <v>482</v>
      </c>
      <c r="O126">
        <v>14</v>
      </c>
      <c r="P126">
        <v>25994.86</v>
      </c>
      <c r="Q126">
        <v>10</v>
      </c>
      <c r="R126">
        <v>36392.800000000003</v>
      </c>
      <c r="S126" s="11">
        <v>327535.24</v>
      </c>
      <c r="T126">
        <v>106956.55</v>
      </c>
      <c r="U126">
        <f t="shared" si="1"/>
        <v>327535.24</v>
      </c>
    </row>
    <row r="127" spans="1:21" ht="15" customHeight="1" x14ac:dyDescent="0.25">
      <c r="A127" t="s">
        <v>1699</v>
      </c>
      <c r="B127" s="8">
        <v>44708</v>
      </c>
      <c r="C127" s="8">
        <v>44715</v>
      </c>
      <c r="D127" t="s">
        <v>48</v>
      </c>
      <c r="E127" t="s">
        <v>3063</v>
      </c>
      <c r="F127" t="s">
        <v>3077</v>
      </c>
      <c r="G127" t="s">
        <v>885</v>
      </c>
      <c r="H127">
        <v>7034299177</v>
      </c>
      <c r="I127" t="s">
        <v>35</v>
      </c>
      <c r="J127" t="s">
        <v>51</v>
      </c>
      <c r="K127" t="s">
        <v>131</v>
      </c>
      <c r="L127" t="s">
        <v>63</v>
      </c>
      <c r="M127" t="s">
        <v>558</v>
      </c>
      <c r="N127" t="s">
        <v>1380</v>
      </c>
      <c r="O127">
        <v>9</v>
      </c>
      <c r="P127">
        <v>18757.68</v>
      </c>
      <c r="Q127">
        <v>5</v>
      </c>
      <c r="R127">
        <v>8440.9599999999991</v>
      </c>
      <c r="S127" s="11">
        <v>160378.16</v>
      </c>
      <c r="T127">
        <v>43845.08</v>
      </c>
      <c r="U127">
        <f t="shared" si="1"/>
        <v>160378.16</v>
      </c>
    </row>
    <row r="128" spans="1:21" ht="15" customHeight="1" x14ac:dyDescent="0.25">
      <c r="A128" t="s">
        <v>273</v>
      </c>
      <c r="B128" s="8">
        <v>44708</v>
      </c>
      <c r="C128" s="8">
        <v>44711</v>
      </c>
      <c r="D128" t="s">
        <v>73</v>
      </c>
      <c r="E128" t="s">
        <v>3048</v>
      </c>
      <c r="F128" t="s">
        <v>3079</v>
      </c>
      <c r="G128" t="s">
        <v>275</v>
      </c>
      <c r="H128">
        <v>9055842082</v>
      </c>
      <c r="I128" t="s">
        <v>43</v>
      </c>
      <c r="J128" t="s">
        <v>61</v>
      </c>
      <c r="K128" t="s">
        <v>62</v>
      </c>
      <c r="L128" t="s">
        <v>108</v>
      </c>
      <c r="M128" t="s">
        <v>114</v>
      </c>
      <c r="N128" t="s">
        <v>115</v>
      </c>
      <c r="O128">
        <v>13</v>
      </c>
      <c r="P128">
        <v>31613.15</v>
      </c>
      <c r="Q128">
        <v>10</v>
      </c>
      <c r="R128">
        <v>41097.1</v>
      </c>
      <c r="S128" s="11">
        <v>369873.85</v>
      </c>
      <c r="T128">
        <v>55585.87</v>
      </c>
      <c r="U128">
        <f t="shared" si="1"/>
        <v>369873.85</v>
      </c>
    </row>
    <row r="129" spans="1:21" ht="15" customHeight="1" x14ac:dyDescent="0.25">
      <c r="A129" t="s">
        <v>1079</v>
      </c>
      <c r="B129" s="8">
        <v>44708</v>
      </c>
      <c r="C129" s="8">
        <v>44708</v>
      </c>
      <c r="D129" t="s">
        <v>32</v>
      </c>
      <c r="E129" t="s">
        <v>3048</v>
      </c>
      <c r="F129" t="s">
        <v>3074</v>
      </c>
      <c r="G129" t="s">
        <v>1081</v>
      </c>
      <c r="H129">
        <v>7036316334</v>
      </c>
      <c r="I129" t="s">
        <v>24</v>
      </c>
      <c r="J129" t="s">
        <v>51</v>
      </c>
      <c r="K129" t="s">
        <v>316</v>
      </c>
      <c r="L129" t="s">
        <v>63</v>
      </c>
      <c r="M129" t="s">
        <v>469</v>
      </c>
      <c r="N129" t="s">
        <v>1082</v>
      </c>
      <c r="O129">
        <v>13</v>
      </c>
      <c r="P129">
        <v>15331.93</v>
      </c>
      <c r="Q129">
        <v>10</v>
      </c>
      <c r="R129">
        <v>19931.509999999998</v>
      </c>
      <c r="S129" s="11">
        <v>179383.58</v>
      </c>
      <c r="T129">
        <v>68634.86</v>
      </c>
      <c r="U129">
        <f t="shared" si="1"/>
        <v>179383.58</v>
      </c>
    </row>
    <row r="130" spans="1:21" ht="15" customHeight="1" x14ac:dyDescent="0.25">
      <c r="A130" t="s">
        <v>1660</v>
      </c>
      <c r="B130" s="8">
        <v>44711</v>
      </c>
      <c r="C130" s="8">
        <v>44716</v>
      </c>
      <c r="D130" t="s">
        <v>73</v>
      </c>
      <c r="E130" t="s">
        <v>3085</v>
      </c>
      <c r="F130" t="s">
        <v>3071</v>
      </c>
      <c r="G130" t="s">
        <v>1662</v>
      </c>
      <c r="H130">
        <v>9078490291</v>
      </c>
      <c r="I130" t="s">
        <v>24</v>
      </c>
      <c r="J130" t="s">
        <v>1663</v>
      </c>
      <c r="K130" t="s">
        <v>44</v>
      </c>
      <c r="L130" t="s">
        <v>27</v>
      </c>
      <c r="M130" t="s">
        <v>79</v>
      </c>
      <c r="N130" t="s">
        <v>145</v>
      </c>
      <c r="O130">
        <v>2</v>
      </c>
      <c r="P130">
        <v>7803.85</v>
      </c>
      <c r="Q130">
        <v>15</v>
      </c>
      <c r="R130">
        <v>2341.16</v>
      </c>
      <c r="S130" s="11">
        <v>13266.54</v>
      </c>
      <c r="T130">
        <v>503.7</v>
      </c>
      <c r="U130">
        <f t="shared" ref="U130:U193" si="2">VALUE(S130)</f>
        <v>13266.54</v>
      </c>
    </row>
    <row r="131" spans="1:21" ht="15" customHeight="1" x14ac:dyDescent="0.25">
      <c r="A131" t="s">
        <v>2132</v>
      </c>
      <c r="B131" s="8">
        <v>44711</v>
      </c>
      <c r="C131" s="8">
        <v>44711</v>
      </c>
      <c r="D131" t="s">
        <v>32</v>
      </c>
      <c r="E131" t="s">
        <v>3097</v>
      </c>
      <c r="F131" t="s">
        <v>3050</v>
      </c>
      <c r="G131" t="s">
        <v>2134</v>
      </c>
      <c r="H131">
        <v>9052352134</v>
      </c>
      <c r="I131" t="s">
        <v>35</v>
      </c>
      <c r="J131" t="s">
        <v>51</v>
      </c>
      <c r="K131" t="s">
        <v>52</v>
      </c>
      <c r="L131" t="s">
        <v>27</v>
      </c>
      <c r="M131" t="s">
        <v>28</v>
      </c>
      <c r="N131" t="s">
        <v>508</v>
      </c>
      <c r="O131">
        <v>2</v>
      </c>
      <c r="P131">
        <v>2382.91</v>
      </c>
      <c r="Q131">
        <v>0</v>
      </c>
      <c r="R131">
        <v>0</v>
      </c>
      <c r="S131" s="11">
        <v>4765.82</v>
      </c>
      <c r="T131">
        <v>-613.07000000000005</v>
      </c>
      <c r="U131">
        <f t="shared" si="2"/>
        <v>4765.82</v>
      </c>
    </row>
    <row r="132" spans="1:21" ht="15" customHeight="1" x14ac:dyDescent="0.25">
      <c r="A132" t="s">
        <v>2353</v>
      </c>
      <c r="B132" s="8">
        <v>44713</v>
      </c>
      <c r="C132" s="8">
        <v>44716</v>
      </c>
      <c r="D132" t="s">
        <v>20</v>
      </c>
      <c r="E132" t="s">
        <v>3089</v>
      </c>
      <c r="F132" t="s">
        <v>3096</v>
      </c>
      <c r="G132" t="s">
        <v>2354</v>
      </c>
      <c r="H132">
        <v>9025362068</v>
      </c>
      <c r="I132" t="s">
        <v>35</v>
      </c>
      <c r="J132" t="s">
        <v>61</v>
      </c>
      <c r="K132" t="s">
        <v>182</v>
      </c>
      <c r="L132" t="s">
        <v>63</v>
      </c>
      <c r="M132" t="s">
        <v>558</v>
      </c>
      <c r="N132" t="s">
        <v>559</v>
      </c>
      <c r="O132">
        <v>15</v>
      </c>
      <c r="P132">
        <v>8601.2000000000007</v>
      </c>
      <c r="Q132">
        <v>10</v>
      </c>
      <c r="R132">
        <v>12901.8</v>
      </c>
      <c r="S132" s="11">
        <v>116116.2</v>
      </c>
      <c r="T132">
        <v>22171.08</v>
      </c>
      <c r="U132">
        <f t="shared" si="2"/>
        <v>116116.2</v>
      </c>
    </row>
    <row r="133" spans="1:21" ht="15" customHeight="1" x14ac:dyDescent="0.25">
      <c r="A133" t="s">
        <v>513</v>
      </c>
      <c r="B133" s="8">
        <v>44715</v>
      </c>
      <c r="C133" s="8">
        <v>44717</v>
      </c>
      <c r="D133" t="s">
        <v>20</v>
      </c>
      <c r="E133" t="s">
        <v>3044</v>
      </c>
      <c r="F133" t="s">
        <v>3052</v>
      </c>
      <c r="G133" t="s">
        <v>515</v>
      </c>
      <c r="H133">
        <v>9023160763</v>
      </c>
      <c r="I133" t="s">
        <v>24</v>
      </c>
      <c r="J133" t="s">
        <v>25</v>
      </c>
      <c r="K133" t="s">
        <v>36</v>
      </c>
      <c r="L133" t="s">
        <v>96</v>
      </c>
      <c r="M133" t="s">
        <v>97</v>
      </c>
      <c r="N133" t="s">
        <v>98</v>
      </c>
      <c r="O133">
        <v>15</v>
      </c>
      <c r="P133">
        <v>33572.9</v>
      </c>
      <c r="Q133">
        <v>0</v>
      </c>
      <c r="R133">
        <v>0</v>
      </c>
      <c r="S133" s="11">
        <v>503593.5</v>
      </c>
      <c r="T133">
        <v>-24780.06</v>
      </c>
      <c r="U133">
        <f t="shared" si="2"/>
        <v>503593.5</v>
      </c>
    </row>
    <row r="134" spans="1:21" ht="15" customHeight="1" x14ac:dyDescent="0.25">
      <c r="A134" t="s">
        <v>406</v>
      </c>
      <c r="B134" s="8">
        <v>44716</v>
      </c>
      <c r="C134" s="8">
        <v>44719</v>
      </c>
      <c r="D134" t="s">
        <v>73</v>
      </c>
      <c r="E134" t="s">
        <v>3089</v>
      </c>
      <c r="F134" t="s">
        <v>3071</v>
      </c>
      <c r="G134" t="s">
        <v>408</v>
      </c>
      <c r="H134">
        <v>9076422534</v>
      </c>
      <c r="I134" t="s">
        <v>35</v>
      </c>
      <c r="J134" t="s">
        <v>51</v>
      </c>
      <c r="K134" t="s">
        <v>131</v>
      </c>
      <c r="L134" t="s">
        <v>63</v>
      </c>
      <c r="M134" t="s">
        <v>54</v>
      </c>
      <c r="N134" t="s">
        <v>409</v>
      </c>
      <c r="O134">
        <v>15</v>
      </c>
      <c r="P134">
        <v>2173.0100000000002</v>
      </c>
      <c r="Q134">
        <v>10</v>
      </c>
      <c r="R134">
        <v>3259.51</v>
      </c>
      <c r="S134" s="11">
        <v>29335.64</v>
      </c>
      <c r="T134">
        <v>9616.16</v>
      </c>
      <c r="U134">
        <f t="shared" si="2"/>
        <v>29335.64</v>
      </c>
    </row>
    <row r="135" spans="1:21" ht="15" customHeight="1" x14ac:dyDescent="0.25">
      <c r="A135" t="s">
        <v>2632</v>
      </c>
      <c r="B135" s="8">
        <v>44717</v>
      </c>
      <c r="C135" s="8">
        <v>44720</v>
      </c>
      <c r="D135" t="s">
        <v>20</v>
      </c>
      <c r="E135" t="s">
        <v>3051</v>
      </c>
      <c r="F135" t="s">
        <v>3040</v>
      </c>
      <c r="H135">
        <v>8161587080</v>
      </c>
      <c r="I135" t="s">
        <v>43</v>
      </c>
      <c r="J135" t="s">
        <v>61</v>
      </c>
      <c r="K135" t="s">
        <v>62</v>
      </c>
      <c r="L135" t="s">
        <v>96</v>
      </c>
      <c r="M135" t="s">
        <v>97</v>
      </c>
      <c r="N135" t="s">
        <v>443</v>
      </c>
      <c r="O135">
        <v>7</v>
      </c>
      <c r="P135">
        <v>129285.66</v>
      </c>
      <c r="Q135">
        <v>0</v>
      </c>
      <c r="R135">
        <v>0</v>
      </c>
      <c r="S135" s="11">
        <v>904999.62</v>
      </c>
      <c r="T135">
        <v>363487.5</v>
      </c>
      <c r="U135">
        <f t="shared" si="2"/>
        <v>904999.62</v>
      </c>
    </row>
    <row r="136" spans="1:21" ht="15" customHeight="1" x14ac:dyDescent="0.25">
      <c r="A136" t="s">
        <v>1474</v>
      </c>
      <c r="B136" s="8">
        <v>44719</v>
      </c>
      <c r="C136" s="8">
        <v>44722</v>
      </c>
      <c r="D136" t="s">
        <v>20</v>
      </c>
      <c r="E136" t="s">
        <v>3092</v>
      </c>
      <c r="F136" t="s">
        <v>3079</v>
      </c>
      <c r="H136">
        <v>7066257190</v>
      </c>
      <c r="I136" t="s">
        <v>35</v>
      </c>
      <c r="J136" t="s">
        <v>69</v>
      </c>
      <c r="K136" t="s">
        <v>70</v>
      </c>
      <c r="L136" t="s">
        <v>85</v>
      </c>
      <c r="M136" t="s">
        <v>486</v>
      </c>
      <c r="N136" t="s">
        <v>1018</v>
      </c>
      <c r="O136">
        <v>17</v>
      </c>
      <c r="P136">
        <v>51217.54</v>
      </c>
      <c r="Q136">
        <v>20</v>
      </c>
      <c r="R136">
        <v>174139.64</v>
      </c>
      <c r="S136" s="11">
        <v>696558.54</v>
      </c>
      <c r="T136">
        <v>176184.83</v>
      </c>
      <c r="U136">
        <f t="shared" si="2"/>
        <v>696558.54</v>
      </c>
    </row>
    <row r="137" spans="1:21" ht="15" customHeight="1" x14ac:dyDescent="0.25">
      <c r="A137" t="s">
        <v>2252</v>
      </c>
      <c r="B137" s="8">
        <v>44720</v>
      </c>
      <c r="C137" s="8">
        <v>44725</v>
      </c>
      <c r="D137" t="s">
        <v>73</v>
      </c>
      <c r="E137" t="s">
        <v>3084</v>
      </c>
      <c r="F137" t="s">
        <v>3038</v>
      </c>
      <c r="G137" t="s">
        <v>2198</v>
      </c>
      <c r="H137">
        <v>8163991801</v>
      </c>
      <c r="I137" t="s">
        <v>24</v>
      </c>
      <c r="J137" t="s">
        <v>69</v>
      </c>
      <c r="K137" t="s">
        <v>144</v>
      </c>
      <c r="L137" t="s">
        <v>63</v>
      </c>
      <c r="M137" t="s">
        <v>312</v>
      </c>
      <c r="N137" t="s">
        <v>628</v>
      </c>
      <c r="O137">
        <v>17</v>
      </c>
      <c r="P137">
        <v>3604.25</v>
      </c>
      <c r="Q137">
        <v>15</v>
      </c>
      <c r="R137">
        <v>9190.84</v>
      </c>
      <c r="S137" s="11">
        <v>52081.41</v>
      </c>
      <c r="T137">
        <v>2504.91</v>
      </c>
      <c r="U137">
        <f t="shared" si="2"/>
        <v>52081.41</v>
      </c>
    </row>
    <row r="138" spans="1:21" ht="15" customHeight="1" x14ac:dyDescent="0.25">
      <c r="A138" t="s">
        <v>2295</v>
      </c>
      <c r="B138" s="8">
        <v>44720</v>
      </c>
      <c r="C138" s="8">
        <v>44720</v>
      </c>
      <c r="D138" t="s">
        <v>32</v>
      </c>
      <c r="E138" t="s">
        <v>3033</v>
      </c>
      <c r="F138" t="s">
        <v>3083</v>
      </c>
      <c r="G138" t="s">
        <v>2297</v>
      </c>
      <c r="H138">
        <v>8034543890</v>
      </c>
      <c r="I138" t="s">
        <v>24</v>
      </c>
      <c r="J138" t="s">
        <v>1203</v>
      </c>
      <c r="K138" t="s">
        <v>36</v>
      </c>
      <c r="L138" t="s">
        <v>63</v>
      </c>
      <c r="M138" t="s">
        <v>64</v>
      </c>
      <c r="N138" t="s">
        <v>815</v>
      </c>
      <c r="O138">
        <v>6</v>
      </c>
      <c r="P138">
        <v>8819.8700000000008</v>
      </c>
      <c r="Q138">
        <v>15</v>
      </c>
      <c r="R138">
        <v>7937.88</v>
      </c>
      <c r="S138" s="11">
        <v>44981.34</v>
      </c>
      <c r="T138">
        <v>-2678.7</v>
      </c>
      <c r="U138">
        <f t="shared" si="2"/>
        <v>44981.34</v>
      </c>
    </row>
    <row r="139" spans="1:21" ht="15" customHeight="1" x14ac:dyDescent="0.25">
      <c r="A139" t="s">
        <v>812</v>
      </c>
      <c r="B139" s="8">
        <v>44721</v>
      </c>
      <c r="C139" s="8">
        <v>44723</v>
      </c>
      <c r="D139" t="s">
        <v>20</v>
      </c>
      <c r="E139" t="s">
        <v>3097</v>
      </c>
      <c r="F139" t="s">
        <v>3074</v>
      </c>
      <c r="G139" t="s">
        <v>814</v>
      </c>
      <c r="H139">
        <v>9072488575</v>
      </c>
      <c r="I139" t="s">
        <v>35</v>
      </c>
      <c r="J139" t="s">
        <v>25</v>
      </c>
      <c r="K139" t="s">
        <v>168</v>
      </c>
      <c r="L139" t="s">
        <v>63</v>
      </c>
      <c r="M139" t="s">
        <v>64</v>
      </c>
      <c r="N139" t="s">
        <v>815</v>
      </c>
      <c r="O139">
        <v>8</v>
      </c>
      <c r="P139">
        <v>6997.7</v>
      </c>
      <c r="Q139">
        <v>0</v>
      </c>
      <c r="R139">
        <v>0</v>
      </c>
      <c r="S139" s="11">
        <v>55981.599999999999</v>
      </c>
      <c r="T139">
        <v>3375.06</v>
      </c>
      <c r="U139">
        <f t="shared" si="2"/>
        <v>55981.599999999999</v>
      </c>
    </row>
    <row r="140" spans="1:21" ht="15" customHeight="1" x14ac:dyDescent="0.25">
      <c r="A140" t="s">
        <v>572</v>
      </c>
      <c r="B140" s="8">
        <v>44721</v>
      </c>
      <c r="C140" s="8">
        <v>44723</v>
      </c>
      <c r="D140" t="s">
        <v>20</v>
      </c>
      <c r="E140" t="s">
        <v>3087</v>
      </c>
      <c r="F140" t="s">
        <v>3042</v>
      </c>
      <c r="G140" t="s">
        <v>574</v>
      </c>
      <c r="H140">
        <v>9053514105</v>
      </c>
      <c r="I140" t="s">
        <v>43</v>
      </c>
      <c r="J140" t="s">
        <v>25</v>
      </c>
      <c r="K140" t="s">
        <v>36</v>
      </c>
      <c r="L140" t="s">
        <v>85</v>
      </c>
      <c r="M140" t="s">
        <v>243</v>
      </c>
      <c r="N140" t="s">
        <v>244</v>
      </c>
      <c r="O140">
        <v>7</v>
      </c>
      <c r="P140">
        <v>83996.58</v>
      </c>
      <c r="Q140">
        <v>20</v>
      </c>
      <c r="R140">
        <v>117595.21</v>
      </c>
      <c r="S140" s="11">
        <v>470380.85</v>
      </c>
      <c r="T140">
        <v>-44890.8</v>
      </c>
      <c r="U140">
        <f t="shared" si="2"/>
        <v>470380.85</v>
      </c>
    </row>
    <row r="141" spans="1:21" ht="15" customHeight="1" x14ac:dyDescent="0.25">
      <c r="A141" t="s">
        <v>723</v>
      </c>
      <c r="B141" s="8">
        <v>44721</v>
      </c>
      <c r="C141" s="8">
        <v>44721</v>
      </c>
      <c r="D141" t="s">
        <v>32</v>
      </c>
      <c r="E141" t="s">
        <v>3035</v>
      </c>
      <c r="F141" t="s">
        <v>3043</v>
      </c>
      <c r="G141" t="s">
        <v>725</v>
      </c>
      <c r="H141">
        <v>8031135267</v>
      </c>
      <c r="I141" t="s">
        <v>35</v>
      </c>
      <c r="J141" t="s">
        <v>25</v>
      </c>
      <c r="K141" t="s">
        <v>26</v>
      </c>
      <c r="L141" t="s">
        <v>63</v>
      </c>
      <c r="M141" t="s">
        <v>194</v>
      </c>
      <c r="N141" t="s">
        <v>700</v>
      </c>
      <c r="O141">
        <v>14</v>
      </c>
      <c r="P141">
        <v>24709.8</v>
      </c>
      <c r="Q141">
        <v>0</v>
      </c>
      <c r="R141">
        <v>0</v>
      </c>
      <c r="S141" s="11">
        <v>345937.2</v>
      </c>
      <c r="T141">
        <v>47261.99</v>
      </c>
      <c r="U141">
        <f t="shared" si="2"/>
        <v>345937.2</v>
      </c>
    </row>
    <row r="142" spans="1:21" ht="15" customHeight="1" x14ac:dyDescent="0.25">
      <c r="A142" t="s">
        <v>1059</v>
      </c>
      <c r="B142" s="8">
        <v>44722</v>
      </c>
      <c r="C142" s="8">
        <v>44730</v>
      </c>
      <c r="D142" t="s">
        <v>48</v>
      </c>
      <c r="E142" t="s">
        <v>3085</v>
      </c>
      <c r="F142" t="s">
        <v>3046</v>
      </c>
      <c r="G142" t="s">
        <v>1061</v>
      </c>
      <c r="H142">
        <v>8039091518</v>
      </c>
      <c r="I142" t="s">
        <v>35</v>
      </c>
      <c r="J142" t="s">
        <v>51</v>
      </c>
      <c r="K142" t="s">
        <v>131</v>
      </c>
      <c r="L142" t="s">
        <v>1062</v>
      </c>
      <c r="M142" t="s">
        <v>312</v>
      </c>
      <c r="N142" t="s">
        <v>761</v>
      </c>
      <c r="O142">
        <v>19</v>
      </c>
      <c r="P142">
        <v>12562.34</v>
      </c>
      <c r="Q142">
        <v>10</v>
      </c>
      <c r="R142">
        <v>23868.45</v>
      </c>
      <c r="S142" s="11">
        <v>214816.01</v>
      </c>
      <c r="T142">
        <v>31037.31</v>
      </c>
      <c r="U142">
        <f t="shared" si="2"/>
        <v>214816.01</v>
      </c>
    </row>
    <row r="143" spans="1:21" ht="15" customHeight="1" x14ac:dyDescent="0.25">
      <c r="A143" t="s">
        <v>2577</v>
      </c>
      <c r="B143" s="8">
        <v>44724</v>
      </c>
      <c r="C143" s="8">
        <v>44730</v>
      </c>
      <c r="D143" t="s">
        <v>48</v>
      </c>
      <c r="E143" t="s">
        <v>3050</v>
      </c>
      <c r="F143" t="s">
        <v>3036</v>
      </c>
      <c r="G143" t="s">
        <v>2017</v>
      </c>
      <c r="H143">
        <v>8154176691</v>
      </c>
      <c r="I143" t="s">
        <v>35</v>
      </c>
      <c r="J143" t="s">
        <v>25</v>
      </c>
      <c r="K143" t="s">
        <v>168</v>
      </c>
      <c r="L143" t="s">
        <v>2578</v>
      </c>
      <c r="M143" t="s">
        <v>120</v>
      </c>
      <c r="N143" t="s">
        <v>359</v>
      </c>
      <c r="O143">
        <v>11</v>
      </c>
      <c r="P143">
        <v>96365.9</v>
      </c>
      <c r="Q143">
        <v>5</v>
      </c>
      <c r="R143">
        <v>53001.25</v>
      </c>
      <c r="S143" s="11">
        <v>1007023.65</v>
      </c>
      <c r="T143">
        <v>-52914.92</v>
      </c>
      <c r="U143">
        <f t="shared" si="2"/>
        <v>1007023.65</v>
      </c>
    </row>
    <row r="144" spans="1:21" ht="15" customHeight="1" x14ac:dyDescent="0.25">
      <c r="A144" t="s">
        <v>1343</v>
      </c>
      <c r="B144" s="8">
        <v>44727</v>
      </c>
      <c r="C144" s="8">
        <v>44727</v>
      </c>
      <c r="D144" t="s">
        <v>32</v>
      </c>
      <c r="E144" t="s">
        <v>3049</v>
      </c>
      <c r="F144" t="s">
        <v>3062</v>
      </c>
      <c r="G144" t="s">
        <v>1345</v>
      </c>
      <c r="H144">
        <v>9015760225</v>
      </c>
      <c r="I144" t="s">
        <v>35</v>
      </c>
      <c r="J144" t="s">
        <v>69</v>
      </c>
      <c r="K144" t="s">
        <v>119</v>
      </c>
      <c r="L144" t="s">
        <v>108</v>
      </c>
      <c r="M144" t="s">
        <v>183</v>
      </c>
      <c r="N144" t="s">
        <v>372</v>
      </c>
      <c r="O144">
        <v>9</v>
      </c>
      <c r="P144">
        <v>10864.89</v>
      </c>
      <c r="Q144">
        <v>25</v>
      </c>
      <c r="R144">
        <v>24446</v>
      </c>
      <c r="S144" s="11" t="s">
        <v>1346</v>
      </c>
      <c r="T144">
        <v>8819</v>
      </c>
      <c r="U144">
        <f t="shared" si="2"/>
        <v>73338.009999999995</v>
      </c>
    </row>
    <row r="145" spans="1:21" ht="15" customHeight="1" x14ac:dyDescent="0.25">
      <c r="A145" t="s">
        <v>1532</v>
      </c>
      <c r="B145" s="8">
        <v>44728</v>
      </c>
      <c r="C145" s="8">
        <v>44736</v>
      </c>
      <c r="D145" t="s">
        <v>48</v>
      </c>
      <c r="E145" t="s">
        <v>3055</v>
      </c>
      <c r="F145" t="s">
        <v>3071</v>
      </c>
      <c r="G145" t="s">
        <v>193</v>
      </c>
      <c r="H145">
        <v>9051097397</v>
      </c>
      <c r="I145" t="s">
        <v>35</v>
      </c>
      <c r="J145" t="s">
        <v>25</v>
      </c>
      <c r="K145" t="s">
        <v>44</v>
      </c>
      <c r="L145" t="s">
        <v>63</v>
      </c>
      <c r="M145" t="s">
        <v>249</v>
      </c>
      <c r="N145" t="s">
        <v>250</v>
      </c>
      <c r="O145">
        <v>11</v>
      </c>
      <c r="P145">
        <v>23796.95</v>
      </c>
      <c r="Q145">
        <v>0</v>
      </c>
      <c r="R145">
        <v>0</v>
      </c>
      <c r="S145" s="11">
        <v>261766.45</v>
      </c>
      <c r="T145">
        <v>-6067.72</v>
      </c>
      <c r="U145">
        <f t="shared" si="2"/>
        <v>261766.45</v>
      </c>
    </row>
    <row r="146" spans="1:21" ht="15" customHeight="1" x14ac:dyDescent="0.25">
      <c r="A146" t="s">
        <v>2598</v>
      </c>
      <c r="B146" s="8">
        <v>44728</v>
      </c>
      <c r="C146" s="8">
        <v>44731</v>
      </c>
      <c r="D146" t="s">
        <v>20</v>
      </c>
      <c r="E146" t="s">
        <v>3039</v>
      </c>
      <c r="F146" t="s">
        <v>3088</v>
      </c>
      <c r="G146" t="s">
        <v>2434</v>
      </c>
      <c r="H146">
        <v>8068541105</v>
      </c>
      <c r="I146" t="s">
        <v>24</v>
      </c>
      <c r="J146" t="s">
        <v>69</v>
      </c>
      <c r="K146" t="s">
        <v>119</v>
      </c>
      <c r="L146" t="s">
        <v>108</v>
      </c>
      <c r="M146" t="s">
        <v>109</v>
      </c>
      <c r="N146" t="s">
        <v>157</v>
      </c>
      <c r="O146">
        <v>12</v>
      </c>
      <c r="P146">
        <v>32612.03</v>
      </c>
      <c r="Q146">
        <v>0</v>
      </c>
      <c r="R146">
        <v>0</v>
      </c>
      <c r="S146" s="11">
        <v>391344.36</v>
      </c>
      <c r="T146">
        <v>52537.26</v>
      </c>
      <c r="U146">
        <f t="shared" si="2"/>
        <v>391344.36</v>
      </c>
    </row>
    <row r="147" spans="1:21" ht="15" customHeight="1" x14ac:dyDescent="0.25">
      <c r="A147" t="s">
        <v>389</v>
      </c>
      <c r="B147" s="8">
        <v>44729</v>
      </c>
      <c r="C147" s="8">
        <v>44736</v>
      </c>
      <c r="D147" t="s">
        <v>48</v>
      </c>
      <c r="E147" t="s">
        <v>3053</v>
      </c>
      <c r="F147" t="s">
        <v>3069</v>
      </c>
      <c r="G147" t="s">
        <v>390</v>
      </c>
      <c r="H147">
        <v>8148416270</v>
      </c>
      <c r="I147" t="s">
        <v>391</v>
      </c>
      <c r="J147" t="s">
        <v>61</v>
      </c>
      <c r="K147" t="s">
        <v>62</v>
      </c>
      <c r="L147" t="s">
        <v>108</v>
      </c>
      <c r="M147" t="s">
        <v>38</v>
      </c>
      <c r="N147" t="s">
        <v>303</v>
      </c>
      <c r="O147">
        <v>4</v>
      </c>
      <c r="P147">
        <v>34462.559999999998</v>
      </c>
      <c r="Q147">
        <v>10</v>
      </c>
      <c r="R147">
        <v>13785.02</v>
      </c>
      <c r="S147" s="11">
        <v>124065.22</v>
      </c>
      <c r="T147">
        <v>13392.61</v>
      </c>
      <c r="U147">
        <f t="shared" si="2"/>
        <v>124065.22</v>
      </c>
    </row>
    <row r="148" spans="1:21" ht="15" customHeight="1" x14ac:dyDescent="0.25">
      <c r="A148" t="s">
        <v>2766</v>
      </c>
      <c r="B148" s="8">
        <v>44730</v>
      </c>
      <c r="C148" s="8">
        <v>44735</v>
      </c>
      <c r="D148" t="s">
        <v>48</v>
      </c>
      <c r="E148" t="s">
        <v>3085</v>
      </c>
      <c r="F148" t="s">
        <v>3046</v>
      </c>
      <c r="G148" t="s">
        <v>2767</v>
      </c>
      <c r="H148">
        <v>9023851025</v>
      </c>
      <c r="I148" t="s">
        <v>35</v>
      </c>
      <c r="J148" t="s">
        <v>51</v>
      </c>
      <c r="K148" t="s">
        <v>223</v>
      </c>
      <c r="L148" t="s">
        <v>108</v>
      </c>
      <c r="M148" t="s">
        <v>183</v>
      </c>
      <c r="N148" t="s">
        <v>719</v>
      </c>
      <c r="O148">
        <v>10</v>
      </c>
      <c r="P148">
        <v>13495.2</v>
      </c>
      <c r="Q148">
        <v>25</v>
      </c>
      <c r="R148">
        <v>33738</v>
      </c>
      <c r="S148" s="11">
        <v>101214</v>
      </c>
      <c r="T148">
        <v>-10828.89</v>
      </c>
      <c r="U148">
        <f t="shared" si="2"/>
        <v>101214</v>
      </c>
    </row>
    <row r="149" spans="1:21" ht="15" customHeight="1" x14ac:dyDescent="0.25">
      <c r="A149" t="s">
        <v>462</v>
      </c>
      <c r="B149" s="8">
        <v>44731</v>
      </c>
      <c r="C149" s="8">
        <v>44734</v>
      </c>
      <c r="D149" t="s">
        <v>20</v>
      </c>
      <c r="E149" t="s">
        <v>3081</v>
      </c>
      <c r="F149" t="s">
        <v>3066</v>
      </c>
      <c r="G149" t="s">
        <v>464</v>
      </c>
      <c r="H149">
        <v>8155928582</v>
      </c>
      <c r="I149" t="s">
        <v>43</v>
      </c>
      <c r="J149" t="s">
        <v>69</v>
      </c>
      <c r="K149" t="s">
        <v>70</v>
      </c>
      <c r="L149" t="s">
        <v>63</v>
      </c>
      <c r="M149" t="s">
        <v>249</v>
      </c>
      <c r="N149" t="s">
        <v>465</v>
      </c>
      <c r="O149">
        <v>10</v>
      </c>
      <c r="P149">
        <v>8534.0400000000009</v>
      </c>
      <c r="Q149">
        <v>10</v>
      </c>
      <c r="R149">
        <v>8534.0400000000009</v>
      </c>
      <c r="S149" s="11">
        <v>76806.36</v>
      </c>
      <c r="T149">
        <v>9028.5499999999993</v>
      </c>
      <c r="U149">
        <f t="shared" si="2"/>
        <v>76806.36</v>
      </c>
    </row>
    <row r="150" spans="1:21" ht="15" customHeight="1" x14ac:dyDescent="0.25">
      <c r="A150" t="s">
        <v>2902</v>
      </c>
      <c r="B150" s="8">
        <v>44733</v>
      </c>
      <c r="C150" s="8">
        <v>44741</v>
      </c>
      <c r="D150" t="s">
        <v>48</v>
      </c>
      <c r="E150" t="s">
        <v>3041</v>
      </c>
      <c r="F150" t="s">
        <v>3045</v>
      </c>
      <c r="G150" t="s">
        <v>966</v>
      </c>
      <c r="H150">
        <v>8149400075</v>
      </c>
      <c r="I150" t="s">
        <v>24</v>
      </c>
      <c r="J150" t="s">
        <v>588</v>
      </c>
      <c r="K150" t="s">
        <v>307</v>
      </c>
      <c r="L150" t="s">
        <v>108</v>
      </c>
      <c r="M150" t="s">
        <v>189</v>
      </c>
      <c r="N150" t="s">
        <v>205</v>
      </c>
      <c r="O150">
        <v>1</v>
      </c>
      <c r="P150">
        <v>40348.43</v>
      </c>
      <c r="Q150">
        <v>0</v>
      </c>
      <c r="R150">
        <v>0</v>
      </c>
      <c r="S150" s="11">
        <v>40348.43</v>
      </c>
      <c r="T150">
        <v>-999.75</v>
      </c>
      <c r="U150">
        <f t="shared" si="2"/>
        <v>40348.43</v>
      </c>
    </row>
    <row r="151" spans="1:21" ht="15" customHeight="1" x14ac:dyDescent="0.25">
      <c r="A151" t="s">
        <v>1921</v>
      </c>
      <c r="B151" s="8">
        <v>44733</v>
      </c>
      <c r="C151" s="8">
        <v>44737</v>
      </c>
      <c r="D151" t="s">
        <v>73</v>
      </c>
      <c r="E151" t="s">
        <v>3084</v>
      </c>
      <c r="F151" t="s">
        <v>3040</v>
      </c>
      <c r="G151" t="s">
        <v>1923</v>
      </c>
      <c r="H151">
        <v>9021157641</v>
      </c>
      <c r="I151" t="s">
        <v>35</v>
      </c>
      <c r="J151" t="s">
        <v>25</v>
      </c>
      <c r="K151" t="s">
        <v>26</v>
      </c>
      <c r="L151" t="s">
        <v>96</v>
      </c>
      <c r="M151" t="s">
        <v>254</v>
      </c>
      <c r="N151" t="s">
        <v>455</v>
      </c>
      <c r="O151">
        <v>3</v>
      </c>
      <c r="P151">
        <v>385933.29</v>
      </c>
      <c r="Q151">
        <v>5</v>
      </c>
      <c r="R151">
        <v>57889.99</v>
      </c>
      <c r="S151" s="11">
        <v>1099909.8799999999</v>
      </c>
      <c r="T151">
        <v>-73102.149999999994</v>
      </c>
      <c r="U151">
        <f t="shared" si="2"/>
        <v>1099909.8799999999</v>
      </c>
    </row>
    <row r="152" spans="1:21" ht="15" customHeight="1" x14ac:dyDescent="0.25">
      <c r="A152" t="s">
        <v>1484</v>
      </c>
      <c r="B152" s="8">
        <v>44733</v>
      </c>
      <c r="C152" s="8">
        <v>44730</v>
      </c>
      <c r="D152" t="s">
        <v>48</v>
      </c>
      <c r="E152" t="s">
        <v>3080</v>
      </c>
      <c r="F152" t="s">
        <v>3064</v>
      </c>
      <c r="G152" t="s">
        <v>1486</v>
      </c>
      <c r="H152">
        <v>7067097414</v>
      </c>
      <c r="I152" t="s">
        <v>35</v>
      </c>
      <c r="J152" t="s">
        <v>25</v>
      </c>
      <c r="K152" t="s">
        <v>168</v>
      </c>
      <c r="L152" t="s">
        <v>96</v>
      </c>
      <c r="M152" t="s">
        <v>189</v>
      </c>
      <c r="N152" t="s">
        <v>190</v>
      </c>
      <c r="O152">
        <v>19</v>
      </c>
      <c r="P152">
        <v>117677.9</v>
      </c>
      <c r="Q152">
        <v>25</v>
      </c>
      <c r="R152">
        <v>558970.03</v>
      </c>
      <c r="S152" s="11">
        <v>1676910.07</v>
      </c>
      <c r="T152">
        <v>687132.8</v>
      </c>
      <c r="U152">
        <f t="shared" si="2"/>
        <v>1676910.07</v>
      </c>
    </row>
    <row r="153" spans="1:21" ht="15" customHeight="1" x14ac:dyDescent="0.25">
      <c r="A153" t="s">
        <v>1865</v>
      </c>
      <c r="B153" s="8">
        <v>44735</v>
      </c>
      <c r="C153" s="8">
        <v>44740</v>
      </c>
      <c r="D153" t="s">
        <v>73</v>
      </c>
      <c r="E153" t="s">
        <v>3092</v>
      </c>
      <c r="F153" t="s">
        <v>3054</v>
      </c>
      <c r="G153" t="s">
        <v>996</v>
      </c>
      <c r="H153">
        <v>8069177419</v>
      </c>
      <c r="I153" t="s">
        <v>43</v>
      </c>
      <c r="J153" t="s">
        <v>25</v>
      </c>
      <c r="L153" t="s">
        <v>96</v>
      </c>
      <c r="M153" t="s">
        <v>385</v>
      </c>
      <c r="N153" t="s">
        <v>386</v>
      </c>
      <c r="O153">
        <v>13</v>
      </c>
      <c r="P153">
        <v>113351.43</v>
      </c>
      <c r="Q153">
        <v>10</v>
      </c>
      <c r="R153">
        <v>147356.85999999999</v>
      </c>
      <c r="S153" s="11">
        <v>1326211.73</v>
      </c>
      <c r="T153">
        <v>39217.370000000003</v>
      </c>
      <c r="U153">
        <f t="shared" si="2"/>
        <v>1326211.73</v>
      </c>
    </row>
    <row r="154" spans="1:21" ht="15" customHeight="1" x14ac:dyDescent="0.25">
      <c r="A154" t="s">
        <v>258</v>
      </c>
      <c r="B154" s="8">
        <v>44736</v>
      </c>
      <c r="C154" s="8">
        <v>44738</v>
      </c>
      <c r="D154" t="s">
        <v>20</v>
      </c>
      <c r="E154" t="s">
        <v>3056</v>
      </c>
      <c r="F154" t="s">
        <v>3077</v>
      </c>
      <c r="G154" t="s">
        <v>261</v>
      </c>
      <c r="H154">
        <v>9054786401</v>
      </c>
      <c r="I154" t="s">
        <v>35</v>
      </c>
      <c r="J154" t="s">
        <v>25</v>
      </c>
      <c r="L154" t="s">
        <v>27</v>
      </c>
      <c r="M154" t="s">
        <v>28</v>
      </c>
      <c r="N154" t="s">
        <v>262</v>
      </c>
      <c r="O154">
        <v>10</v>
      </c>
      <c r="P154">
        <v>7295.48</v>
      </c>
      <c r="Q154">
        <v>15</v>
      </c>
      <c r="R154">
        <v>10943.22</v>
      </c>
      <c r="S154" s="11">
        <v>62011.58</v>
      </c>
      <c r="T154">
        <v>2060.5300000000002</v>
      </c>
      <c r="U154">
        <f t="shared" si="2"/>
        <v>62011.58</v>
      </c>
    </row>
    <row r="155" spans="1:21" ht="15" customHeight="1" x14ac:dyDescent="0.25">
      <c r="A155" t="s">
        <v>2671</v>
      </c>
      <c r="B155" s="8">
        <v>44738</v>
      </c>
      <c r="C155" s="8">
        <v>44743</v>
      </c>
      <c r="D155" t="s">
        <v>73</v>
      </c>
      <c r="E155" t="s">
        <v>3065</v>
      </c>
      <c r="F155" t="s">
        <v>3069</v>
      </c>
      <c r="G155" t="s">
        <v>2672</v>
      </c>
      <c r="H155">
        <v>8147263217</v>
      </c>
      <c r="I155" t="s">
        <v>35</v>
      </c>
      <c r="J155" t="s">
        <v>61</v>
      </c>
      <c r="K155" t="s">
        <v>95</v>
      </c>
      <c r="L155" t="s">
        <v>27</v>
      </c>
      <c r="M155" t="s">
        <v>45</v>
      </c>
      <c r="N155" t="s">
        <v>875</v>
      </c>
      <c r="O155">
        <v>6</v>
      </c>
      <c r="P155">
        <v>814.51</v>
      </c>
      <c r="Q155">
        <v>15</v>
      </c>
      <c r="R155">
        <v>733.06</v>
      </c>
      <c r="S155" s="11">
        <v>4154</v>
      </c>
      <c r="T155">
        <v>-334.36</v>
      </c>
      <c r="U155">
        <f t="shared" si="2"/>
        <v>4154</v>
      </c>
    </row>
    <row r="156" spans="1:21" ht="15" customHeight="1" x14ac:dyDescent="0.25">
      <c r="A156" t="s">
        <v>2086</v>
      </c>
      <c r="B156" s="8">
        <v>44738</v>
      </c>
      <c r="C156" s="8">
        <v>44743</v>
      </c>
      <c r="D156" t="s">
        <v>73</v>
      </c>
      <c r="E156" t="s">
        <v>3091</v>
      </c>
      <c r="F156" t="s">
        <v>3054</v>
      </c>
      <c r="G156" t="s">
        <v>2088</v>
      </c>
      <c r="H156">
        <v>7062354222</v>
      </c>
      <c r="I156" t="s">
        <v>43</v>
      </c>
      <c r="J156" t="s">
        <v>61</v>
      </c>
      <c r="K156" t="s">
        <v>182</v>
      </c>
      <c r="L156" t="s">
        <v>1441</v>
      </c>
      <c r="M156" t="s">
        <v>54</v>
      </c>
      <c r="N156" t="s">
        <v>1039</v>
      </c>
      <c r="O156">
        <v>12</v>
      </c>
      <c r="P156" t="s">
        <v>2089</v>
      </c>
      <c r="Q156">
        <v>5</v>
      </c>
      <c r="R156">
        <v>7255.72</v>
      </c>
      <c r="S156" s="11">
        <v>137858.6</v>
      </c>
      <c r="T156">
        <v>46461.86</v>
      </c>
      <c r="U156">
        <f t="shared" si="2"/>
        <v>137858.6</v>
      </c>
    </row>
    <row r="157" spans="1:21" ht="15" customHeight="1" x14ac:dyDescent="0.25">
      <c r="A157" t="s">
        <v>1567</v>
      </c>
      <c r="B157" s="8">
        <v>44738</v>
      </c>
      <c r="C157" s="8">
        <v>44741</v>
      </c>
      <c r="D157" t="s">
        <v>20</v>
      </c>
      <c r="E157" t="s">
        <v>3033</v>
      </c>
      <c r="F157" t="s">
        <v>3062</v>
      </c>
      <c r="G157" t="s">
        <v>1569</v>
      </c>
      <c r="H157">
        <v>8109257506</v>
      </c>
      <c r="I157" t="s">
        <v>35</v>
      </c>
      <c r="J157" t="s">
        <v>61</v>
      </c>
      <c r="K157" t="s">
        <v>84</v>
      </c>
      <c r="L157" t="s">
        <v>96</v>
      </c>
      <c r="M157" t="s">
        <v>189</v>
      </c>
      <c r="N157" t="s">
        <v>478</v>
      </c>
      <c r="O157">
        <v>7</v>
      </c>
      <c r="P157">
        <v>147088.57</v>
      </c>
      <c r="Q157">
        <v>25</v>
      </c>
      <c r="R157">
        <v>257405</v>
      </c>
      <c r="S157" s="11">
        <v>772214.99</v>
      </c>
      <c r="T157">
        <v>-94032.93</v>
      </c>
      <c r="U157">
        <f t="shared" si="2"/>
        <v>772214.99</v>
      </c>
    </row>
    <row r="158" spans="1:21" ht="15" customHeight="1" x14ac:dyDescent="0.25">
      <c r="A158" t="s">
        <v>2268</v>
      </c>
      <c r="B158" s="8">
        <v>44738</v>
      </c>
      <c r="C158" s="8">
        <v>44739</v>
      </c>
      <c r="D158" t="s">
        <v>32</v>
      </c>
      <c r="E158" t="s">
        <v>3081</v>
      </c>
      <c r="F158" t="s">
        <v>3038</v>
      </c>
      <c r="G158" t="s">
        <v>2270</v>
      </c>
      <c r="H158">
        <v>8102449847</v>
      </c>
      <c r="I158" t="s">
        <v>43</v>
      </c>
      <c r="J158" t="s">
        <v>51</v>
      </c>
      <c r="K158" t="s">
        <v>52</v>
      </c>
      <c r="L158" t="s">
        <v>85</v>
      </c>
      <c r="M158" t="s">
        <v>243</v>
      </c>
      <c r="N158" t="s">
        <v>244</v>
      </c>
      <c r="O158">
        <v>1</v>
      </c>
      <c r="P158">
        <v>115779.49</v>
      </c>
      <c r="Q158">
        <v>0</v>
      </c>
      <c r="R158">
        <v>0</v>
      </c>
      <c r="S158" s="11">
        <v>115779.49</v>
      </c>
      <c r="T158">
        <v>37424.79</v>
      </c>
      <c r="U158">
        <f t="shared" si="2"/>
        <v>115779.49</v>
      </c>
    </row>
    <row r="159" spans="1:21" ht="15" customHeight="1" x14ac:dyDescent="0.25">
      <c r="A159" t="s">
        <v>563</v>
      </c>
      <c r="B159" s="8">
        <v>44739</v>
      </c>
      <c r="C159" s="8">
        <v>44742</v>
      </c>
      <c r="D159" t="s">
        <v>20</v>
      </c>
      <c r="E159" t="s">
        <v>3072</v>
      </c>
      <c r="F159" t="s">
        <v>3062</v>
      </c>
      <c r="G159" t="s">
        <v>565</v>
      </c>
      <c r="H159">
        <v>8146429135</v>
      </c>
      <c r="I159" t="s">
        <v>24</v>
      </c>
      <c r="J159" t="s">
        <v>69</v>
      </c>
      <c r="K159" t="s">
        <v>70</v>
      </c>
      <c r="L159" t="s">
        <v>85</v>
      </c>
      <c r="M159" t="s">
        <v>86</v>
      </c>
      <c r="N159" t="s">
        <v>178</v>
      </c>
      <c r="O159">
        <v>15</v>
      </c>
      <c r="P159">
        <v>73974.8</v>
      </c>
      <c r="Q159">
        <v>10</v>
      </c>
      <c r="R159">
        <v>110962.2</v>
      </c>
      <c r="S159" s="11">
        <v>998659.8</v>
      </c>
      <c r="T159">
        <v>421854.77</v>
      </c>
      <c r="U159">
        <f t="shared" si="2"/>
        <v>998659.8</v>
      </c>
    </row>
    <row r="160" spans="1:21" ht="15" customHeight="1" x14ac:dyDescent="0.25">
      <c r="A160" t="s">
        <v>918</v>
      </c>
      <c r="B160" s="8">
        <v>44742</v>
      </c>
      <c r="C160" s="8">
        <v>44743</v>
      </c>
      <c r="D160" t="s">
        <v>32</v>
      </c>
      <c r="E160" t="s">
        <v>3053</v>
      </c>
      <c r="F160" t="s">
        <v>3074</v>
      </c>
      <c r="G160" t="s">
        <v>920</v>
      </c>
      <c r="H160" t="s">
        <v>649</v>
      </c>
      <c r="I160" t="s">
        <v>43</v>
      </c>
      <c r="J160" t="s">
        <v>25</v>
      </c>
      <c r="K160" t="s">
        <v>168</v>
      </c>
      <c r="L160" t="s">
        <v>96</v>
      </c>
      <c r="M160" t="s">
        <v>189</v>
      </c>
      <c r="N160" t="s">
        <v>478</v>
      </c>
      <c r="O160">
        <v>18</v>
      </c>
      <c r="P160">
        <v>30586.89</v>
      </c>
      <c r="Q160">
        <v>0</v>
      </c>
      <c r="R160">
        <v>0</v>
      </c>
      <c r="S160" s="11">
        <v>550564.02</v>
      </c>
      <c r="T160">
        <v>190244.78</v>
      </c>
      <c r="U160">
        <f t="shared" si="2"/>
        <v>550564.02</v>
      </c>
    </row>
    <row r="161" spans="1:21" ht="15" customHeight="1" x14ac:dyDescent="0.25">
      <c r="A161" t="s">
        <v>1616</v>
      </c>
      <c r="B161" s="8">
        <v>44744</v>
      </c>
      <c r="C161" s="8">
        <v>44747</v>
      </c>
      <c r="D161" t="s">
        <v>20</v>
      </c>
      <c r="E161" t="s">
        <v>3098</v>
      </c>
      <c r="F161" t="s">
        <v>3043</v>
      </c>
      <c r="G161" t="s">
        <v>1618</v>
      </c>
      <c r="H161">
        <v>7031768727</v>
      </c>
      <c r="I161" t="s">
        <v>24</v>
      </c>
      <c r="J161" t="s">
        <v>69</v>
      </c>
      <c r="K161" t="s">
        <v>119</v>
      </c>
      <c r="L161" t="s">
        <v>108</v>
      </c>
      <c r="M161" t="s">
        <v>38</v>
      </c>
      <c r="N161" t="s">
        <v>519</v>
      </c>
      <c r="O161">
        <v>1</v>
      </c>
      <c r="P161">
        <v>39236</v>
      </c>
      <c r="Q161">
        <v>10</v>
      </c>
      <c r="R161">
        <v>3923.6</v>
      </c>
      <c r="S161" s="11">
        <v>35312.400000000001</v>
      </c>
      <c r="T161">
        <v>6590.23</v>
      </c>
      <c r="U161">
        <f t="shared" si="2"/>
        <v>35312.400000000001</v>
      </c>
    </row>
    <row r="162" spans="1:21" ht="15" customHeight="1" x14ac:dyDescent="0.25">
      <c r="A162" t="s">
        <v>1774</v>
      </c>
      <c r="B162" s="8">
        <v>44744</v>
      </c>
      <c r="C162" s="8">
        <v>44744</v>
      </c>
      <c r="D162" t="s">
        <v>32</v>
      </c>
      <c r="E162" t="s">
        <v>3094</v>
      </c>
      <c r="F162" t="s">
        <v>3096</v>
      </c>
      <c r="G162" t="s">
        <v>1776</v>
      </c>
      <c r="H162">
        <v>8033394334</v>
      </c>
      <c r="I162" t="s">
        <v>43</v>
      </c>
      <c r="J162" t="s">
        <v>69</v>
      </c>
      <c r="K162" t="s">
        <v>155</v>
      </c>
      <c r="L162" t="s">
        <v>63</v>
      </c>
      <c r="M162" t="s">
        <v>469</v>
      </c>
      <c r="N162" t="s">
        <v>1595</v>
      </c>
      <c r="O162">
        <v>13</v>
      </c>
      <c r="P162">
        <v>23285.41</v>
      </c>
      <c r="Q162">
        <v>10</v>
      </c>
      <c r="R162">
        <v>30271.03</v>
      </c>
      <c r="S162" s="11">
        <v>272439.3</v>
      </c>
      <c r="T162">
        <v>-39816.410000000003</v>
      </c>
      <c r="U162">
        <f t="shared" si="2"/>
        <v>272439.3</v>
      </c>
    </row>
    <row r="163" spans="1:21" ht="15" customHeight="1" x14ac:dyDescent="0.25">
      <c r="A163" t="s">
        <v>1091</v>
      </c>
      <c r="B163" s="8">
        <v>44745</v>
      </c>
      <c r="C163" s="8">
        <v>44749</v>
      </c>
      <c r="D163" t="s">
        <v>73</v>
      </c>
      <c r="E163" t="s">
        <v>3093</v>
      </c>
      <c r="F163" t="s">
        <v>3039</v>
      </c>
      <c r="G163" t="s">
        <v>1093</v>
      </c>
      <c r="H163">
        <v>8163612506</v>
      </c>
      <c r="I163" t="s">
        <v>43</v>
      </c>
      <c r="J163" t="s">
        <v>51</v>
      </c>
      <c r="K163" t="s">
        <v>223</v>
      </c>
      <c r="L163" t="s">
        <v>63</v>
      </c>
      <c r="M163" t="s">
        <v>249</v>
      </c>
      <c r="N163" t="s">
        <v>465</v>
      </c>
      <c r="O163">
        <v>5</v>
      </c>
      <c r="P163">
        <v>13321.25</v>
      </c>
      <c r="Q163">
        <v>10</v>
      </c>
      <c r="R163">
        <v>6660.62</v>
      </c>
      <c r="S163" s="11">
        <v>59945.63</v>
      </c>
      <c r="T163">
        <v>1322.24</v>
      </c>
      <c r="U163">
        <f t="shared" si="2"/>
        <v>59945.63</v>
      </c>
    </row>
    <row r="164" spans="1:21" ht="15" customHeight="1" x14ac:dyDescent="0.25">
      <c r="A164" t="s">
        <v>1852</v>
      </c>
      <c r="B164" s="8">
        <v>44746</v>
      </c>
      <c r="C164" s="8">
        <v>44748</v>
      </c>
      <c r="D164" t="s">
        <v>20</v>
      </c>
      <c r="E164" t="s">
        <v>3044</v>
      </c>
      <c r="F164" t="s">
        <v>3034</v>
      </c>
      <c r="G164" t="s">
        <v>1854</v>
      </c>
      <c r="H164">
        <v>8063770138</v>
      </c>
      <c r="I164" t="s">
        <v>43</v>
      </c>
      <c r="J164" t="s">
        <v>25</v>
      </c>
      <c r="K164" t="s">
        <v>44</v>
      </c>
      <c r="L164" t="s">
        <v>27</v>
      </c>
      <c r="M164" t="s">
        <v>79</v>
      </c>
      <c r="N164" t="s">
        <v>145</v>
      </c>
      <c r="O164">
        <v>18</v>
      </c>
      <c r="P164">
        <v>6024.25</v>
      </c>
      <c r="Q164">
        <v>20</v>
      </c>
      <c r="R164">
        <v>21687.3</v>
      </c>
      <c r="S164" s="11">
        <v>86749.2</v>
      </c>
      <c r="T164">
        <v>29061.69</v>
      </c>
      <c r="U164">
        <f t="shared" si="2"/>
        <v>86749.2</v>
      </c>
    </row>
    <row r="165" spans="1:21" ht="15" customHeight="1" x14ac:dyDescent="0.25">
      <c r="A165" t="s">
        <v>1369</v>
      </c>
      <c r="B165" s="8">
        <v>44747</v>
      </c>
      <c r="C165" s="8">
        <v>44750</v>
      </c>
      <c r="D165" t="s">
        <v>73</v>
      </c>
      <c r="E165" t="s">
        <v>3055</v>
      </c>
      <c r="F165" t="s">
        <v>3069</v>
      </c>
      <c r="G165" t="s">
        <v>1371</v>
      </c>
      <c r="H165">
        <v>8108705487</v>
      </c>
      <c r="I165" t="s">
        <v>43</v>
      </c>
      <c r="J165" t="s">
        <v>61</v>
      </c>
      <c r="K165" t="s">
        <v>182</v>
      </c>
      <c r="L165" t="s">
        <v>27</v>
      </c>
      <c r="M165" t="s">
        <v>173</v>
      </c>
      <c r="N165" t="s">
        <v>279</v>
      </c>
      <c r="O165">
        <v>15</v>
      </c>
      <c r="P165">
        <v>7818.44</v>
      </c>
      <c r="Q165">
        <v>0</v>
      </c>
      <c r="R165">
        <v>0</v>
      </c>
      <c r="S165" s="11">
        <v>117276.6</v>
      </c>
      <c r="T165">
        <v>43922.36</v>
      </c>
      <c r="U165">
        <f t="shared" si="2"/>
        <v>117276.6</v>
      </c>
    </row>
    <row r="166" spans="1:21" ht="15" customHeight="1" x14ac:dyDescent="0.25">
      <c r="A166" t="s">
        <v>1717</v>
      </c>
      <c r="B166" s="8">
        <v>44748</v>
      </c>
      <c r="C166" s="8">
        <v>44755</v>
      </c>
      <c r="D166" t="s">
        <v>48</v>
      </c>
      <c r="G166" t="s">
        <v>1718</v>
      </c>
      <c r="H166">
        <v>7063938131</v>
      </c>
      <c r="I166" t="s">
        <v>43</v>
      </c>
      <c r="J166" t="s">
        <v>69</v>
      </c>
      <c r="K166" t="s">
        <v>70</v>
      </c>
      <c r="L166" t="s">
        <v>108</v>
      </c>
      <c r="M166" t="s">
        <v>109</v>
      </c>
      <c r="N166" t="s">
        <v>1258</v>
      </c>
      <c r="O166">
        <v>14</v>
      </c>
      <c r="P166">
        <v>40698.480000000003</v>
      </c>
      <c r="Q166">
        <v>20</v>
      </c>
      <c r="R166">
        <v>113955.74</v>
      </c>
      <c r="S166" s="11">
        <v>455822.98</v>
      </c>
      <c r="T166">
        <v>36830.04</v>
      </c>
      <c r="U166">
        <f t="shared" si="2"/>
        <v>455822.98</v>
      </c>
    </row>
    <row r="167" spans="1:21" ht="15" customHeight="1" x14ac:dyDescent="0.25">
      <c r="A167" t="s">
        <v>1033</v>
      </c>
      <c r="B167" s="8">
        <v>44748</v>
      </c>
      <c r="C167" s="8">
        <v>44754</v>
      </c>
      <c r="D167" t="s">
        <v>48</v>
      </c>
      <c r="E167" t="s">
        <v>1034</v>
      </c>
      <c r="G167" t="s">
        <v>1035</v>
      </c>
      <c r="H167">
        <v>8062075091</v>
      </c>
      <c r="I167" t="s">
        <v>43</v>
      </c>
      <c r="J167" t="s">
        <v>25</v>
      </c>
      <c r="K167" t="s">
        <v>126</v>
      </c>
      <c r="L167" t="s">
        <v>53</v>
      </c>
      <c r="M167" t="s">
        <v>54</v>
      </c>
      <c r="N167" t="s">
        <v>55</v>
      </c>
      <c r="O167">
        <v>2</v>
      </c>
      <c r="P167">
        <v>2460.9699999999998</v>
      </c>
      <c r="Q167">
        <v>15</v>
      </c>
      <c r="R167">
        <v>738.29</v>
      </c>
      <c r="S167" s="11">
        <v>4183.6499999999996</v>
      </c>
      <c r="T167">
        <v>1708.65</v>
      </c>
      <c r="U167">
        <f t="shared" si="2"/>
        <v>4183.6499999999996</v>
      </c>
    </row>
    <row r="168" spans="1:21" ht="15" customHeight="1" x14ac:dyDescent="0.25">
      <c r="A168" t="s">
        <v>2423</v>
      </c>
      <c r="B168" s="8">
        <v>44750</v>
      </c>
      <c r="C168" s="8">
        <v>44754</v>
      </c>
      <c r="D168" t="s">
        <v>73</v>
      </c>
      <c r="E168" t="s">
        <v>3044</v>
      </c>
      <c r="F168" t="s">
        <v>3038</v>
      </c>
      <c r="G168" t="s">
        <v>2425</v>
      </c>
      <c r="H168">
        <v>8147963833</v>
      </c>
      <c r="I168" t="s">
        <v>43</v>
      </c>
      <c r="J168" t="s">
        <v>25</v>
      </c>
      <c r="K168" t="s">
        <v>26</v>
      </c>
      <c r="L168" t="s">
        <v>857</v>
      </c>
      <c r="M168" t="s">
        <v>28</v>
      </c>
      <c r="N168" t="s">
        <v>508</v>
      </c>
      <c r="O168">
        <v>1</v>
      </c>
      <c r="P168">
        <v>6898.25</v>
      </c>
      <c r="Q168">
        <v>10</v>
      </c>
      <c r="R168">
        <v>689.83</v>
      </c>
      <c r="S168" s="11">
        <v>6208.42</v>
      </c>
      <c r="T168">
        <v>842.77</v>
      </c>
      <c r="U168">
        <f t="shared" si="2"/>
        <v>6208.42</v>
      </c>
    </row>
    <row r="169" spans="1:21" ht="15" customHeight="1" x14ac:dyDescent="0.25">
      <c r="A169" t="s">
        <v>960</v>
      </c>
      <c r="B169" s="8">
        <v>44750</v>
      </c>
      <c r="C169" s="8">
        <v>44751</v>
      </c>
      <c r="D169" t="s">
        <v>32</v>
      </c>
      <c r="E169" t="s">
        <v>3067</v>
      </c>
      <c r="F169" t="s">
        <v>3052</v>
      </c>
      <c r="G169" t="s">
        <v>962</v>
      </c>
      <c r="H169">
        <v>7037053183</v>
      </c>
      <c r="I169" t="s">
        <v>24</v>
      </c>
      <c r="J169" t="s">
        <v>61</v>
      </c>
      <c r="K169" t="s">
        <v>204</v>
      </c>
      <c r="L169" t="s">
        <v>63</v>
      </c>
      <c r="M169" t="s">
        <v>54</v>
      </c>
      <c r="N169" t="s">
        <v>963</v>
      </c>
      <c r="O169">
        <v>18</v>
      </c>
      <c r="P169">
        <v>13497.22</v>
      </c>
      <c r="Q169">
        <v>0</v>
      </c>
      <c r="R169">
        <v>0</v>
      </c>
      <c r="S169" s="11">
        <v>242949.96</v>
      </c>
      <c r="T169">
        <v>-19719.48</v>
      </c>
      <c r="U169">
        <f t="shared" si="2"/>
        <v>242949.96</v>
      </c>
    </row>
    <row r="170" spans="1:21" ht="15" customHeight="1" x14ac:dyDescent="0.25">
      <c r="A170" t="s">
        <v>1953</v>
      </c>
      <c r="B170" s="8">
        <v>44752</v>
      </c>
      <c r="C170" s="8">
        <v>44755</v>
      </c>
      <c r="D170" t="s">
        <v>20</v>
      </c>
      <c r="E170" t="s">
        <v>3049</v>
      </c>
      <c r="F170" t="s">
        <v>3039</v>
      </c>
      <c r="G170" t="s">
        <v>203</v>
      </c>
      <c r="H170">
        <v>7069392233</v>
      </c>
      <c r="I170" t="s">
        <v>35</v>
      </c>
      <c r="J170" t="s">
        <v>69</v>
      </c>
      <c r="K170" t="s">
        <v>307</v>
      </c>
      <c r="L170" t="s">
        <v>85</v>
      </c>
      <c r="M170" t="s">
        <v>243</v>
      </c>
      <c r="N170" t="s">
        <v>439</v>
      </c>
      <c r="O170">
        <v>5</v>
      </c>
      <c r="P170">
        <v>132818.35999999999</v>
      </c>
      <c r="Q170">
        <v>0</v>
      </c>
      <c r="R170">
        <v>0</v>
      </c>
      <c r="S170" s="11">
        <v>664091.80000000005</v>
      </c>
      <c r="T170">
        <v>32401.65</v>
      </c>
      <c r="U170">
        <f t="shared" si="2"/>
        <v>664091.80000000005</v>
      </c>
    </row>
    <row r="171" spans="1:21" ht="15" customHeight="1" x14ac:dyDescent="0.25">
      <c r="A171" t="s">
        <v>293</v>
      </c>
      <c r="B171" s="8">
        <v>44752</v>
      </c>
      <c r="C171" s="8">
        <v>44752</v>
      </c>
      <c r="D171" t="s">
        <v>32</v>
      </c>
      <c r="E171" t="s">
        <v>3056</v>
      </c>
      <c r="F171" t="s">
        <v>3071</v>
      </c>
      <c r="G171" t="s">
        <v>295</v>
      </c>
      <c r="H171">
        <v>9073583206</v>
      </c>
      <c r="I171" t="s">
        <v>35</v>
      </c>
      <c r="J171" t="s">
        <v>51</v>
      </c>
      <c r="K171" t="s">
        <v>227</v>
      </c>
      <c r="L171" t="s">
        <v>108</v>
      </c>
      <c r="M171" t="s">
        <v>38</v>
      </c>
      <c r="N171" t="s">
        <v>296</v>
      </c>
      <c r="O171">
        <v>14</v>
      </c>
      <c r="P171">
        <v>32332.7</v>
      </c>
      <c r="Q171">
        <v>20</v>
      </c>
      <c r="R171">
        <v>90531.56</v>
      </c>
      <c r="S171" s="11">
        <v>362126.24</v>
      </c>
      <c r="T171">
        <v>158664.45000000001</v>
      </c>
      <c r="U171">
        <f t="shared" si="2"/>
        <v>362126.24</v>
      </c>
    </row>
    <row r="172" spans="1:21" ht="15" customHeight="1" x14ac:dyDescent="0.25">
      <c r="A172" t="s">
        <v>720</v>
      </c>
      <c r="B172" s="8">
        <v>44753</v>
      </c>
      <c r="C172" s="8">
        <v>44756</v>
      </c>
      <c r="D172" t="s">
        <v>20</v>
      </c>
      <c r="E172" t="s">
        <v>3061</v>
      </c>
      <c r="F172" t="s">
        <v>3050</v>
      </c>
      <c r="G172" t="s">
        <v>722</v>
      </c>
      <c r="H172">
        <v>9073777050</v>
      </c>
      <c r="I172" t="s">
        <v>35</v>
      </c>
      <c r="J172" t="s">
        <v>61</v>
      </c>
      <c r="K172" t="s">
        <v>182</v>
      </c>
      <c r="L172" t="s">
        <v>96</v>
      </c>
      <c r="M172" t="s">
        <v>189</v>
      </c>
      <c r="N172" t="s">
        <v>325</v>
      </c>
      <c r="O172">
        <v>8</v>
      </c>
      <c r="P172">
        <v>330804.94</v>
      </c>
      <c r="Q172">
        <v>15</v>
      </c>
      <c r="R172">
        <v>396965.93</v>
      </c>
      <c r="S172" s="11">
        <v>2249473.59</v>
      </c>
      <c r="T172">
        <v>547276.99</v>
      </c>
      <c r="U172">
        <f t="shared" si="2"/>
        <v>2249473.59</v>
      </c>
    </row>
    <row r="173" spans="1:21" ht="15" customHeight="1" x14ac:dyDescent="0.25">
      <c r="A173" t="s">
        <v>2817</v>
      </c>
      <c r="B173" s="8">
        <v>44755</v>
      </c>
      <c r="C173" s="8">
        <v>44760</v>
      </c>
      <c r="D173" t="s">
        <v>48</v>
      </c>
      <c r="E173" t="s">
        <v>3072</v>
      </c>
      <c r="F173" t="s">
        <v>3083</v>
      </c>
      <c r="G173" t="s">
        <v>865</v>
      </c>
      <c r="H173">
        <v>8147058725</v>
      </c>
      <c r="I173" t="s">
        <v>35</v>
      </c>
      <c r="J173" t="s">
        <v>51</v>
      </c>
      <c r="K173" t="s">
        <v>52</v>
      </c>
      <c r="L173" t="s">
        <v>108</v>
      </c>
      <c r="M173" t="s">
        <v>189</v>
      </c>
      <c r="N173" t="s">
        <v>287</v>
      </c>
      <c r="O173">
        <v>19</v>
      </c>
      <c r="P173">
        <v>13364.14</v>
      </c>
      <c r="Q173">
        <v>25</v>
      </c>
      <c r="R173">
        <v>63479.66</v>
      </c>
      <c r="S173" s="11">
        <v>190439</v>
      </c>
      <c r="T173">
        <v>73702.69</v>
      </c>
      <c r="U173">
        <f t="shared" si="2"/>
        <v>190439</v>
      </c>
    </row>
    <row r="174" spans="1:21" ht="15" customHeight="1" x14ac:dyDescent="0.25">
      <c r="A174" t="s">
        <v>2377</v>
      </c>
      <c r="B174" s="8">
        <v>44755</v>
      </c>
      <c r="C174" s="8">
        <v>44758</v>
      </c>
      <c r="D174" t="s">
        <v>20</v>
      </c>
      <c r="E174" t="s">
        <v>3095</v>
      </c>
      <c r="F174" t="s">
        <v>3040</v>
      </c>
      <c r="G174" t="s">
        <v>2378</v>
      </c>
      <c r="H174">
        <v>8132823879</v>
      </c>
      <c r="I174" t="s">
        <v>43</v>
      </c>
      <c r="J174" t="s">
        <v>61</v>
      </c>
      <c r="K174" t="s">
        <v>95</v>
      </c>
      <c r="L174" t="s">
        <v>85</v>
      </c>
      <c r="M174" t="s">
        <v>218</v>
      </c>
      <c r="N174" t="s">
        <v>1058</v>
      </c>
      <c r="O174">
        <v>11</v>
      </c>
      <c r="P174">
        <v>94306.1</v>
      </c>
      <c r="Q174">
        <v>25</v>
      </c>
      <c r="R174">
        <v>259341.78</v>
      </c>
      <c r="S174" s="11">
        <v>778025.32</v>
      </c>
      <c r="T174">
        <v>103574.92</v>
      </c>
      <c r="U174">
        <f t="shared" si="2"/>
        <v>778025.32</v>
      </c>
    </row>
    <row r="175" spans="1:21" ht="15" customHeight="1" x14ac:dyDescent="0.25">
      <c r="A175" t="s">
        <v>1546</v>
      </c>
      <c r="B175" s="8">
        <v>44755</v>
      </c>
      <c r="C175" s="8">
        <v>44756</v>
      </c>
      <c r="D175" t="s">
        <v>32</v>
      </c>
      <c r="E175" t="s">
        <v>3094</v>
      </c>
      <c r="F175" t="s">
        <v>3042</v>
      </c>
      <c r="G175" t="s">
        <v>1548</v>
      </c>
      <c r="H175">
        <v>7035275844</v>
      </c>
      <c r="I175" t="s">
        <v>43</v>
      </c>
      <c r="J175" t="s">
        <v>25</v>
      </c>
      <c r="K175" t="s">
        <v>36</v>
      </c>
      <c r="L175" t="s">
        <v>27</v>
      </c>
      <c r="M175" t="s">
        <v>79</v>
      </c>
      <c r="N175" t="s">
        <v>234</v>
      </c>
      <c r="O175">
        <v>15</v>
      </c>
      <c r="P175">
        <v>425.27</v>
      </c>
      <c r="Q175">
        <v>0</v>
      </c>
      <c r="R175">
        <v>0</v>
      </c>
      <c r="S175" s="11" t="s">
        <v>1549</v>
      </c>
      <c r="T175">
        <v>2052.1799999999998</v>
      </c>
      <c r="U175">
        <f t="shared" si="2"/>
        <v>6379.05</v>
      </c>
    </row>
    <row r="176" spans="1:21" ht="15" customHeight="1" x14ac:dyDescent="0.25">
      <c r="A176" t="s">
        <v>902</v>
      </c>
      <c r="B176" s="8">
        <v>44756</v>
      </c>
      <c r="C176" s="8">
        <v>44761</v>
      </c>
      <c r="D176" t="s">
        <v>48</v>
      </c>
      <c r="E176" t="s">
        <v>3049</v>
      </c>
      <c r="F176" t="s">
        <v>3086</v>
      </c>
      <c r="G176" t="s">
        <v>904</v>
      </c>
      <c r="H176">
        <v>9073860721</v>
      </c>
      <c r="I176" t="s">
        <v>24</v>
      </c>
      <c r="J176" t="s">
        <v>51</v>
      </c>
      <c r="K176" t="s">
        <v>316</v>
      </c>
      <c r="L176" t="s">
        <v>63</v>
      </c>
      <c r="M176" t="s">
        <v>558</v>
      </c>
      <c r="N176" t="s">
        <v>905</v>
      </c>
      <c r="O176">
        <v>9</v>
      </c>
      <c r="P176">
        <v>23899.68</v>
      </c>
      <c r="Q176" t="s">
        <v>376</v>
      </c>
      <c r="R176">
        <v>0</v>
      </c>
      <c r="S176" s="11">
        <v>215097.12</v>
      </c>
      <c r="T176">
        <v>15825.4</v>
      </c>
      <c r="U176">
        <f t="shared" si="2"/>
        <v>215097.12</v>
      </c>
    </row>
    <row r="177" spans="1:21" ht="15" customHeight="1" x14ac:dyDescent="0.25">
      <c r="A177" t="s">
        <v>2224</v>
      </c>
      <c r="B177" s="8">
        <v>44757</v>
      </c>
      <c r="C177" s="8">
        <v>44762</v>
      </c>
      <c r="D177" t="s">
        <v>73</v>
      </c>
      <c r="E177" t="s">
        <v>3035</v>
      </c>
      <c r="F177" t="s">
        <v>3079</v>
      </c>
      <c r="G177" t="s">
        <v>2226</v>
      </c>
      <c r="H177">
        <v>8136237674</v>
      </c>
      <c r="I177" t="s">
        <v>35</v>
      </c>
      <c r="J177" t="s">
        <v>69</v>
      </c>
      <c r="K177" t="s">
        <v>307</v>
      </c>
      <c r="L177" t="s">
        <v>63</v>
      </c>
      <c r="M177" t="s">
        <v>64</v>
      </c>
      <c r="N177" t="s">
        <v>777</v>
      </c>
      <c r="O177">
        <v>10</v>
      </c>
      <c r="P177">
        <v>18715.34</v>
      </c>
      <c r="Q177">
        <v>10</v>
      </c>
      <c r="R177">
        <v>18715.34</v>
      </c>
      <c r="S177" s="11" t="s">
        <v>2227</v>
      </c>
      <c r="T177">
        <v>21112.6</v>
      </c>
      <c r="U177" t="e">
        <f t="shared" si="2"/>
        <v>#VALUE!</v>
      </c>
    </row>
    <row r="178" spans="1:21" ht="15" customHeight="1" x14ac:dyDescent="0.25">
      <c r="A178" t="s">
        <v>2491</v>
      </c>
      <c r="B178" s="8">
        <v>44757</v>
      </c>
      <c r="C178" s="8">
        <v>44759</v>
      </c>
      <c r="D178" t="s">
        <v>20</v>
      </c>
      <c r="E178" t="s">
        <v>3049</v>
      </c>
      <c r="F178" t="s">
        <v>3075</v>
      </c>
      <c r="G178" t="s">
        <v>2493</v>
      </c>
      <c r="H178">
        <v>8036483795</v>
      </c>
      <c r="I178" t="s">
        <v>35</v>
      </c>
      <c r="J178" t="s">
        <v>895</v>
      </c>
      <c r="K178" t="s">
        <v>36</v>
      </c>
      <c r="L178" t="s">
        <v>108</v>
      </c>
      <c r="M178" t="s">
        <v>38</v>
      </c>
      <c r="N178" t="s">
        <v>519</v>
      </c>
      <c r="O178">
        <v>19</v>
      </c>
      <c r="P178">
        <v>36401.64</v>
      </c>
      <c r="Q178">
        <v>10</v>
      </c>
      <c r="R178">
        <v>69163.12</v>
      </c>
      <c r="S178" s="11">
        <v>622468.04</v>
      </c>
      <c r="T178">
        <v>227583.76</v>
      </c>
      <c r="U178">
        <f t="shared" si="2"/>
        <v>622468.04</v>
      </c>
    </row>
    <row r="179" spans="1:21" ht="15" customHeight="1" x14ac:dyDescent="0.25">
      <c r="A179" t="s">
        <v>1144</v>
      </c>
      <c r="B179" s="8">
        <v>44757</v>
      </c>
      <c r="C179" s="8">
        <v>44758</v>
      </c>
      <c r="D179" t="s">
        <v>32</v>
      </c>
      <c r="F179" t="s">
        <v>3063</v>
      </c>
      <c r="G179" t="s">
        <v>1146</v>
      </c>
      <c r="H179">
        <v>8061938227</v>
      </c>
      <c r="I179" t="s">
        <v>35</v>
      </c>
      <c r="J179" t="s">
        <v>51</v>
      </c>
      <c r="K179" t="s">
        <v>316</v>
      </c>
      <c r="L179" t="s">
        <v>63</v>
      </c>
      <c r="M179" t="s">
        <v>558</v>
      </c>
      <c r="N179" t="s">
        <v>559</v>
      </c>
      <c r="O179">
        <v>4</v>
      </c>
      <c r="P179">
        <v>10704.78</v>
      </c>
      <c r="Q179">
        <v>5</v>
      </c>
      <c r="R179">
        <v>2140.96</v>
      </c>
      <c r="S179" s="11">
        <v>40678.160000000003</v>
      </c>
      <c r="T179">
        <v>12146.79</v>
      </c>
      <c r="U179">
        <f t="shared" si="2"/>
        <v>40678.160000000003</v>
      </c>
    </row>
    <row r="180" spans="1:21" ht="15" customHeight="1" x14ac:dyDescent="0.25">
      <c r="A180" t="s">
        <v>2472</v>
      </c>
      <c r="B180" s="8">
        <v>44759</v>
      </c>
      <c r="C180" s="8">
        <v>44764</v>
      </c>
      <c r="D180" t="s">
        <v>73</v>
      </c>
      <c r="E180" t="s">
        <v>3055</v>
      </c>
      <c r="F180" t="s">
        <v>3077</v>
      </c>
      <c r="G180" t="s">
        <v>2473</v>
      </c>
      <c r="H180">
        <v>8064822259</v>
      </c>
      <c r="I180" t="s">
        <v>24</v>
      </c>
      <c r="J180" t="s">
        <v>61</v>
      </c>
      <c r="K180" t="s">
        <v>84</v>
      </c>
      <c r="L180" t="s">
        <v>63</v>
      </c>
      <c r="M180" t="s">
        <v>469</v>
      </c>
      <c r="N180" t="s">
        <v>1099</v>
      </c>
      <c r="O180">
        <v>8</v>
      </c>
      <c r="P180">
        <v>20616.400000000001</v>
      </c>
      <c r="Q180">
        <v>20</v>
      </c>
      <c r="R180">
        <v>32986.239999999998</v>
      </c>
      <c r="S180" s="11">
        <v>131944.95999999999</v>
      </c>
      <c r="T180">
        <v>1514.74</v>
      </c>
      <c r="U180">
        <f t="shared" si="2"/>
        <v>131944.95999999999</v>
      </c>
    </row>
    <row r="181" spans="1:21" ht="15" customHeight="1" x14ac:dyDescent="0.25">
      <c r="A181" t="s">
        <v>2426</v>
      </c>
      <c r="B181" s="8">
        <v>44759</v>
      </c>
      <c r="C181" s="8">
        <v>44762</v>
      </c>
      <c r="D181" t="s">
        <v>20</v>
      </c>
      <c r="E181" t="s">
        <v>3089</v>
      </c>
      <c r="F181" t="s">
        <v>3034</v>
      </c>
      <c r="G181" t="s">
        <v>2427</v>
      </c>
      <c r="H181">
        <v>8104679430</v>
      </c>
      <c r="I181" t="s">
        <v>43</v>
      </c>
      <c r="J181" t="s">
        <v>51</v>
      </c>
      <c r="K181" t="s">
        <v>131</v>
      </c>
      <c r="L181" t="s">
        <v>27</v>
      </c>
      <c r="M181" t="s">
        <v>354</v>
      </c>
      <c r="N181" t="s">
        <v>625</v>
      </c>
      <c r="O181">
        <v>3</v>
      </c>
      <c r="P181">
        <v>2036.75</v>
      </c>
      <c r="Q181">
        <v>0</v>
      </c>
      <c r="R181">
        <v>0</v>
      </c>
      <c r="S181" s="11">
        <v>6110.25</v>
      </c>
      <c r="T181">
        <v>1713.07</v>
      </c>
      <c r="U181">
        <f t="shared" si="2"/>
        <v>6110.25</v>
      </c>
    </row>
    <row r="182" spans="1:21" ht="15" customHeight="1" x14ac:dyDescent="0.25">
      <c r="A182" t="s">
        <v>2191</v>
      </c>
      <c r="B182" s="8">
        <v>44760</v>
      </c>
      <c r="C182" s="8">
        <v>44762</v>
      </c>
      <c r="D182" t="s">
        <v>20</v>
      </c>
      <c r="E182" t="s">
        <v>3093</v>
      </c>
      <c r="F182" t="s">
        <v>3083</v>
      </c>
      <c r="G182" t="s">
        <v>1861</v>
      </c>
      <c r="H182">
        <v>8039685189</v>
      </c>
      <c r="I182" t="s">
        <v>24</v>
      </c>
      <c r="J182" t="s">
        <v>2192</v>
      </c>
      <c r="K182" t="s">
        <v>84</v>
      </c>
      <c r="L182" t="s">
        <v>27</v>
      </c>
      <c r="M182" t="s">
        <v>173</v>
      </c>
      <c r="N182" t="s">
        <v>1795</v>
      </c>
      <c r="O182">
        <v>14</v>
      </c>
      <c r="P182">
        <v>6799.3</v>
      </c>
      <c r="Q182">
        <v>10</v>
      </c>
      <c r="R182">
        <v>9519.02</v>
      </c>
      <c r="S182" s="11">
        <v>85671.18</v>
      </c>
      <c r="T182">
        <v>3742.12</v>
      </c>
      <c r="U182">
        <f t="shared" si="2"/>
        <v>85671.18</v>
      </c>
    </row>
    <row r="183" spans="1:21" ht="15" customHeight="1" x14ac:dyDescent="0.25">
      <c r="A183" t="s">
        <v>1985</v>
      </c>
      <c r="B183" s="8">
        <v>44761</v>
      </c>
      <c r="C183" s="8">
        <v>44761</v>
      </c>
      <c r="D183" t="s">
        <v>32</v>
      </c>
      <c r="E183" t="s">
        <v>3082</v>
      </c>
      <c r="F183" t="s">
        <v>3034</v>
      </c>
      <c r="G183" t="s">
        <v>1987</v>
      </c>
      <c r="H183">
        <v>7063786712</v>
      </c>
      <c r="I183" t="s">
        <v>35</v>
      </c>
      <c r="J183" t="s">
        <v>25</v>
      </c>
      <c r="K183" t="s">
        <v>168</v>
      </c>
      <c r="L183" t="s">
        <v>27</v>
      </c>
      <c r="M183" t="s">
        <v>28</v>
      </c>
      <c r="N183" t="s">
        <v>508</v>
      </c>
      <c r="O183">
        <v>0</v>
      </c>
      <c r="P183">
        <v>2980.26</v>
      </c>
      <c r="Q183">
        <v>0</v>
      </c>
      <c r="R183">
        <v>0</v>
      </c>
      <c r="S183" s="11">
        <v>20861.82</v>
      </c>
      <c r="T183">
        <v>1505.26</v>
      </c>
      <c r="U183">
        <f t="shared" si="2"/>
        <v>20861.82</v>
      </c>
    </row>
    <row r="184" spans="1:21" ht="15" customHeight="1" x14ac:dyDescent="0.25">
      <c r="A184" t="s">
        <v>1985</v>
      </c>
      <c r="B184" s="8">
        <v>44761</v>
      </c>
      <c r="C184" s="8">
        <v>44761</v>
      </c>
      <c r="D184" t="s">
        <v>32</v>
      </c>
      <c r="E184" t="s">
        <v>3082</v>
      </c>
      <c r="F184" t="s">
        <v>3034</v>
      </c>
      <c r="G184" t="s">
        <v>1987</v>
      </c>
      <c r="H184">
        <v>7063786712</v>
      </c>
      <c r="I184" t="s">
        <v>35</v>
      </c>
      <c r="J184" t="s">
        <v>1663</v>
      </c>
      <c r="K184" t="s">
        <v>168</v>
      </c>
      <c r="L184" t="s">
        <v>27</v>
      </c>
      <c r="M184" t="s">
        <v>28</v>
      </c>
      <c r="N184" t="s">
        <v>508</v>
      </c>
      <c r="O184">
        <v>7</v>
      </c>
      <c r="P184">
        <v>2980.26</v>
      </c>
      <c r="Q184">
        <v>0</v>
      </c>
      <c r="R184">
        <v>0</v>
      </c>
      <c r="S184" s="11">
        <v>20861.82</v>
      </c>
      <c r="T184">
        <v>1505.26</v>
      </c>
      <c r="U184">
        <f t="shared" si="2"/>
        <v>20861.82</v>
      </c>
    </row>
    <row r="185" spans="1:21" ht="15" customHeight="1" x14ac:dyDescent="0.25">
      <c r="A185" t="s">
        <v>1468</v>
      </c>
      <c r="B185" s="8">
        <v>44762</v>
      </c>
      <c r="C185" s="8">
        <v>44765</v>
      </c>
      <c r="D185" t="s">
        <v>20</v>
      </c>
      <c r="E185" t="s">
        <v>3072</v>
      </c>
      <c r="F185" t="s">
        <v>3078</v>
      </c>
      <c r="G185" t="s">
        <v>1470</v>
      </c>
      <c r="H185">
        <v>7039333769</v>
      </c>
      <c r="I185" t="s">
        <v>43</v>
      </c>
      <c r="J185" t="s">
        <v>588</v>
      </c>
      <c r="K185" t="s">
        <v>155</v>
      </c>
      <c r="L185" t="s">
        <v>27</v>
      </c>
      <c r="M185" t="s">
        <v>45</v>
      </c>
      <c r="N185" t="s">
        <v>523</v>
      </c>
      <c r="O185">
        <v>12</v>
      </c>
      <c r="P185">
        <v>5034.17</v>
      </c>
      <c r="Q185">
        <v>15</v>
      </c>
      <c r="R185">
        <v>9061.51</v>
      </c>
      <c r="S185" s="11">
        <v>51348.53</v>
      </c>
      <c r="T185">
        <v>-1486.27</v>
      </c>
      <c r="U185">
        <f t="shared" si="2"/>
        <v>51348.53</v>
      </c>
    </row>
    <row r="186" spans="1:21" ht="15" customHeight="1" x14ac:dyDescent="0.25">
      <c r="A186" t="s">
        <v>2058</v>
      </c>
      <c r="B186" s="8">
        <v>44762</v>
      </c>
      <c r="C186" s="8">
        <v>44764</v>
      </c>
      <c r="D186" t="s">
        <v>20</v>
      </c>
      <c r="E186" t="s">
        <v>3098</v>
      </c>
      <c r="F186" t="s">
        <v>3034</v>
      </c>
      <c r="G186" t="s">
        <v>2060</v>
      </c>
      <c r="H186">
        <v>8135932600</v>
      </c>
      <c r="I186" t="s">
        <v>43</v>
      </c>
      <c r="J186" t="s">
        <v>25</v>
      </c>
      <c r="K186" t="s">
        <v>168</v>
      </c>
      <c r="L186" t="s">
        <v>85</v>
      </c>
      <c r="M186" t="s">
        <v>486</v>
      </c>
      <c r="N186" t="s">
        <v>1193</v>
      </c>
      <c r="O186">
        <v>17</v>
      </c>
      <c r="P186">
        <v>110176.46</v>
      </c>
      <c r="Q186">
        <v>20</v>
      </c>
      <c r="R186">
        <v>374599.96</v>
      </c>
      <c r="S186" s="11">
        <v>1498399.86</v>
      </c>
      <c r="T186">
        <v>241498.72</v>
      </c>
      <c r="U186">
        <f t="shared" si="2"/>
        <v>1498399.86</v>
      </c>
    </row>
    <row r="187" spans="1:21" ht="15" customHeight="1" x14ac:dyDescent="0.25">
      <c r="A187" t="s">
        <v>1727</v>
      </c>
      <c r="B187" s="8">
        <v>44767</v>
      </c>
      <c r="C187" s="8">
        <v>44773</v>
      </c>
      <c r="D187" t="s">
        <v>48</v>
      </c>
      <c r="E187" t="s">
        <v>3076</v>
      </c>
      <c r="F187" t="s">
        <v>3038</v>
      </c>
      <c r="G187" t="s">
        <v>1729</v>
      </c>
      <c r="H187">
        <v>8102301665</v>
      </c>
      <c r="I187" t="s">
        <v>35</v>
      </c>
      <c r="J187" t="s">
        <v>51</v>
      </c>
      <c r="K187" t="s">
        <v>131</v>
      </c>
      <c r="L187" t="s">
        <v>96</v>
      </c>
      <c r="M187" t="s">
        <v>97</v>
      </c>
      <c r="N187" t="s">
        <v>443</v>
      </c>
      <c r="O187">
        <v>6</v>
      </c>
      <c r="P187" t="s">
        <v>1730</v>
      </c>
      <c r="Q187">
        <v>5</v>
      </c>
      <c r="R187">
        <v>62005.87</v>
      </c>
      <c r="S187" s="11">
        <v>1178111.51</v>
      </c>
      <c r="T187">
        <v>328277.67</v>
      </c>
      <c r="U187">
        <f t="shared" si="2"/>
        <v>1178111.51</v>
      </c>
    </row>
    <row r="188" spans="1:21" ht="15" customHeight="1" x14ac:dyDescent="0.25">
      <c r="A188" t="s">
        <v>2710</v>
      </c>
      <c r="B188" s="8">
        <v>44767</v>
      </c>
      <c r="C188" s="8">
        <v>44770</v>
      </c>
      <c r="D188" t="s">
        <v>73</v>
      </c>
      <c r="E188" t="s">
        <v>3051</v>
      </c>
      <c r="F188" t="s">
        <v>3078</v>
      </c>
      <c r="G188" t="s">
        <v>2711</v>
      </c>
      <c r="H188">
        <v>8143523050</v>
      </c>
      <c r="I188" t="s">
        <v>35</v>
      </c>
      <c r="J188" t="s">
        <v>69</v>
      </c>
      <c r="K188" t="s">
        <v>70</v>
      </c>
      <c r="L188" t="s">
        <v>108</v>
      </c>
      <c r="M188" t="s">
        <v>189</v>
      </c>
      <c r="N188" t="s">
        <v>478</v>
      </c>
      <c r="O188">
        <v>9</v>
      </c>
      <c r="P188">
        <v>2990.14</v>
      </c>
      <c r="Q188">
        <v>5</v>
      </c>
      <c r="R188">
        <v>1345.56</v>
      </c>
      <c r="S188" s="11">
        <v>25565.7</v>
      </c>
      <c r="T188">
        <v>9691.5400000000009</v>
      </c>
      <c r="U188">
        <f t="shared" si="2"/>
        <v>25565.7</v>
      </c>
    </row>
    <row r="189" spans="1:21" ht="15" customHeight="1" x14ac:dyDescent="0.25">
      <c r="A189" t="s">
        <v>251</v>
      </c>
      <c r="B189" s="8">
        <v>44767</v>
      </c>
      <c r="C189" s="8">
        <v>44769</v>
      </c>
      <c r="D189" t="s">
        <v>20</v>
      </c>
      <c r="E189" t="s">
        <v>3076</v>
      </c>
      <c r="F189" t="s">
        <v>3043</v>
      </c>
      <c r="G189" t="s">
        <v>253</v>
      </c>
      <c r="H189">
        <v>8106071208</v>
      </c>
      <c r="I189" t="s">
        <v>24</v>
      </c>
      <c r="J189" t="s">
        <v>69</v>
      </c>
      <c r="K189" t="s">
        <v>144</v>
      </c>
      <c r="L189" t="s">
        <v>96</v>
      </c>
      <c r="M189" t="s">
        <v>254</v>
      </c>
      <c r="N189" t="s">
        <v>255</v>
      </c>
      <c r="O189">
        <v>2</v>
      </c>
      <c r="P189">
        <v>134325.43</v>
      </c>
      <c r="Q189">
        <v>25</v>
      </c>
      <c r="R189">
        <v>67162.710000000006</v>
      </c>
      <c r="S189" s="11">
        <v>201488.15</v>
      </c>
      <c r="T189">
        <v>5094.0200000000004</v>
      </c>
      <c r="U189">
        <f t="shared" si="2"/>
        <v>201488.15</v>
      </c>
    </row>
    <row r="190" spans="1:21" ht="15" customHeight="1" x14ac:dyDescent="0.25">
      <c r="A190" t="s">
        <v>2203</v>
      </c>
      <c r="B190" s="8">
        <v>44767</v>
      </c>
      <c r="C190" s="8">
        <v>44768</v>
      </c>
      <c r="D190" t="s">
        <v>32</v>
      </c>
      <c r="E190" t="s">
        <v>3050</v>
      </c>
      <c r="F190" t="s">
        <v>3042</v>
      </c>
      <c r="G190" t="s">
        <v>853</v>
      </c>
      <c r="H190">
        <v>9071133724</v>
      </c>
      <c r="I190" t="s">
        <v>35</v>
      </c>
      <c r="J190" t="s">
        <v>25</v>
      </c>
      <c r="K190" t="s">
        <v>44</v>
      </c>
      <c r="L190" t="s">
        <v>85</v>
      </c>
      <c r="M190" t="s">
        <v>218</v>
      </c>
      <c r="N190" t="s">
        <v>842</v>
      </c>
      <c r="O190">
        <v>8</v>
      </c>
      <c r="P190">
        <v>72707.960000000006</v>
      </c>
      <c r="Q190">
        <v>5</v>
      </c>
      <c r="R190">
        <v>29083.18</v>
      </c>
      <c r="S190" s="11">
        <v>552580.5</v>
      </c>
      <c r="T190">
        <v>5068.0600000000004</v>
      </c>
      <c r="U190">
        <f t="shared" si="2"/>
        <v>552580.5</v>
      </c>
    </row>
    <row r="191" spans="1:21" ht="15" customHeight="1" x14ac:dyDescent="0.25">
      <c r="A191" t="s">
        <v>1794</v>
      </c>
      <c r="B191" s="8">
        <v>44767</v>
      </c>
      <c r="C191" s="8">
        <v>44768</v>
      </c>
      <c r="D191" t="s">
        <v>32</v>
      </c>
      <c r="E191" t="s">
        <v>3076</v>
      </c>
      <c r="F191" t="s">
        <v>3088</v>
      </c>
      <c r="G191" t="s">
        <v>1095</v>
      </c>
      <c r="H191">
        <v>9013401850</v>
      </c>
      <c r="I191" t="s">
        <v>43</v>
      </c>
      <c r="J191" t="s">
        <v>25</v>
      </c>
      <c r="K191" t="s">
        <v>44</v>
      </c>
      <c r="L191" t="s">
        <v>27</v>
      </c>
      <c r="M191" t="s">
        <v>173</v>
      </c>
      <c r="N191" t="s">
        <v>1795</v>
      </c>
      <c r="O191">
        <v>16</v>
      </c>
      <c r="P191">
        <v>544.44000000000005</v>
      </c>
      <c r="Q191">
        <v>0</v>
      </c>
      <c r="R191">
        <v>0</v>
      </c>
      <c r="T191">
        <v>268.38</v>
      </c>
      <c r="U191">
        <f t="shared" si="2"/>
        <v>0</v>
      </c>
    </row>
    <row r="192" spans="1:21" ht="15" customHeight="1" x14ac:dyDescent="0.25">
      <c r="A192" t="s">
        <v>899</v>
      </c>
      <c r="B192" s="8">
        <v>44769</v>
      </c>
      <c r="C192" s="8">
        <v>44776</v>
      </c>
      <c r="D192" t="s">
        <v>48</v>
      </c>
      <c r="E192" t="s">
        <v>3067</v>
      </c>
      <c r="F192" t="s">
        <v>3071</v>
      </c>
      <c r="G192" t="s">
        <v>901</v>
      </c>
      <c r="H192">
        <v>8168789281</v>
      </c>
      <c r="I192" t="s">
        <v>35</v>
      </c>
      <c r="J192" t="s">
        <v>69</v>
      </c>
      <c r="K192" t="s">
        <v>119</v>
      </c>
      <c r="L192" t="s">
        <v>96</v>
      </c>
      <c r="M192" t="s">
        <v>120</v>
      </c>
      <c r="N192" t="s">
        <v>359</v>
      </c>
      <c r="O192">
        <v>10</v>
      </c>
      <c r="P192">
        <v>395251.1</v>
      </c>
      <c r="Q192">
        <v>10</v>
      </c>
      <c r="R192">
        <v>395251.1</v>
      </c>
      <c r="S192" s="11">
        <v>3557259.9</v>
      </c>
      <c r="T192">
        <v>1177302.42</v>
      </c>
      <c r="U192">
        <f t="shared" si="2"/>
        <v>3557259.9</v>
      </c>
    </row>
    <row r="193" spans="1:21" ht="15" customHeight="1" x14ac:dyDescent="0.25">
      <c r="A193" t="s">
        <v>1418</v>
      </c>
      <c r="B193" s="8">
        <v>44771</v>
      </c>
      <c r="C193" s="8">
        <v>44774</v>
      </c>
      <c r="D193" t="s">
        <v>73</v>
      </c>
      <c r="E193" t="s">
        <v>3084</v>
      </c>
      <c r="F193" t="s">
        <v>3075</v>
      </c>
      <c r="G193" t="s">
        <v>1420</v>
      </c>
      <c r="H193">
        <v>8034161109</v>
      </c>
      <c r="I193" t="s">
        <v>43</v>
      </c>
      <c r="J193" t="s">
        <v>69</v>
      </c>
      <c r="K193" t="s">
        <v>70</v>
      </c>
      <c r="L193" t="s">
        <v>27</v>
      </c>
      <c r="M193" t="s">
        <v>173</v>
      </c>
      <c r="N193" t="s">
        <v>1421</v>
      </c>
      <c r="O193">
        <v>18</v>
      </c>
      <c r="P193">
        <v>6814.74</v>
      </c>
      <c r="Q193">
        <v>0</v>
      </c>
      <c r="R193">
        <v>0</v>
      </c>
      <c r="S193" s="11">
        <v>122665.32</v>
      </c>
      <c r="T193">
        <v>12316.55</v>
      </c>
      <c r="U193">
        <f t="shared" si="2"/>
        <v>122665.32</v>
      </c>
    </row>
    <row r="194" spans="1:21" ht="15" customHeight="1" x14ac:dyDescent="0.25">
      <c r="A194" t="s">
        <v>1558</v>
      </c>
      <c r="B194" s="8">
        <v>44772</v>
      </c>
      <c r="C194" s="8">
        <v>44780</v>
      </c>
      <c r="D194" t="s">
        <v>48</v>
      </c>
      <c r="E194" t="s">
        <v>3051</v>
      </c>
      <c r="F194" t="s">
        <v>3086</v>
      </c>
      <c r="G194" t="s">
        <v>1560</v>
      </c>
      <c r="H194">
        <v>9015878387</v>
      </c>
      <c r="I194" t="s">
        <v>43</v>
      </c>
      <c r="J194" t="s">
        <v>69</v>
      </c>
      <c r="K194" t="s">
        <v>307</v>
      </c>
      <c r="L194" t="s">
        <v>96</v>
      </c>
      <c r="M194" t="s">
        <v>189</v>
      </c>
      <c r="N194" t="s">
        <v>478</v>
      </c>
      <c r="O194">
        <v>19</v>
      </c>
      <c r="P194">
        <v>226453.92</v>
      </c>
      <c r="Q194">
        <v>20</v>
      </c>
      <c r="R194">
        <v>860524.9</v>
      </c>
      <c r="S194" s="11">
        <v>3442099.58</v>
      </c>
      <c r="T194">
        <v>-37369.25</v>
      </c>
      <c r="U194">
        <f t="shared" ref="U194:U257" si="3">VALUE(S194)</f>
        <v>3442099.58</v>
      </c>
    </row>
    <row r="195" spans="1:21" ht="15" customHeight="1" x14ac:dyDescent="0.25">
      <c r="A195" t="s">
        <v>726</v>
      </c>
      <c r="B195" s="8">
        <v>44773</v>
      </c>
      <c r="C195" s="8">
        <v>44780</v>
      </c>
      <c r="D195" t="s">
        <v>210</v>
      </c>
      <c r="E195" t="s">
        <v>3073</v>
      </c>
      <c r="F195" t="s">
        <v>3064</v>
      </c>
      <c r="H195">
        <v>7063233823</v>
      </c>
      <c r="I195" t="s">
        <v>35</v>
      </c>
      <c r="J195" t="s">
        <v>61</v>
      </c>
      <c r="K195" t="s">
        <v>204</v>
      </c>
      <c r="L195" t="s">
        <v>85</v>
      </c>
      <c r="M195" t="s">
        <v>86</v>
      </c>
      <c r="N195" t="s">
        <v>238</v>
      </c>
      <c r="O195">
        <v>20</v>
      </c>
      <c r="P195">
        <v>104886.09</v>
      </c>
      <c r="Q195">
        <v>0</v>
      </c>
      <c r="R195">
        <v>0</v>
      </c>
      <c r="S195" s="11">
        <v>2097721.7999999998</v>
      </c>
      <c r="T195">
        <v>239265.42</v>
      </c>
      <c r="U195">
        <f t="shared" si="3"/>
        <v>2097721.7999999998</v>
      </c>
    </row>
    <row r="196" spans="1:21" ht="15" customHeight="1" x14ac:dyDescent="0.25">
      <c r="A196" t="s">
        <v>2006</v>
      </c>
      <c r="B196" s="8">
        <v>44773</v>
      </c>
      <c r="C196" s="8">
        <v>44778</v>
      </c>
      <c r="D196" t="s">
        <v>48</v>
      </c>
      <c r="E196" t="s">
        <v>3039</v>
      </c>
      <c r="F196" t="s">
        <v>3088</v>
      </c>
      <c r="G196" t="s">
        <v>2008</v>
      </c>
      <c r="H196">
        <v>8063379602</v>
      </c>
      <c r="I196" t="s">
        <v>35</v>
      </c>
      <c r="J196" t="s">
        <v>51</v>
      </c>
      <c r="K196" t="s">
        <v>52</v>
      </c>
      <c r="L196" t="s">
        <v>63</v>
      </c>
      <c r="M196" t="s">
        <v>558</v>
      </c>
      <c r="N196" t="s">
        <v>680</v>
      </c>
      <c r="O196">
        <v>16</v>
      </c>
      <c r="P196">
        <v>2773.04</v>
      </c>
      <c r="Q196">
        <v>10</v>
      </c>
      <c r="R196">
        <v>4436.8599999999997</v>
      </c>
      <c r="S196" s="11">
        <v>39931.78</v>
      </c>
      <c r="T196">
        <v>15878.13</v>
      </c>
      <c r="U196">
        <f t="shared" si="3"/>
        <v>39931.78</v>
      </c>
    </row>
    <row r="197" spans="1:21" ht="15" customHeight="1" x14ac:dyDescent="0.25">
      <c r="A197" t="s">
        <v>643</v>
      </c>
      <c r="B197" s="8">
        <v>44773</v>
      </c>
      <c r="C197" s="8">
        <v>44773</v>
      </c>
      <c r="D197" t="s">
        <v>32</v>
      </c>
      <c r="E197" t="s">
        <v>3081</v>
      </c>
      <c r="F197" t="s">
        <v>3039</v>
      </c>
      <c r="G197" t="s">
        <v>645</v>
      </c>
      <c r="H197">
        <v>9056443037</v>
      </c>
      <c r="I197" t="s">
        <v>24</v>
      </c>
      <c r="J197" t="s">
        <v>69</v>
      </c>
      <c r="K197" t="s">
        <v>70</v>
      </c>
      <c r="L197" t="s">
        <v>108</v>
      </c>
      <c r="M197" t="s">
        <v>114</v>
      </c>
      <c r="N197" t="s">
        <v>482</v>
      </c>
      <c r="P197">
        <v>19793.830000000002</v>
      </c>
      <c r="Q197">
        <v>25</v>
      </c>
      <c r="R197">
        <v>14845.37</v>
      </c>
      <c r="S197" s="11">
        <v>44536.12</v>
      </c>
      <c r="T197">
        <v>17508.240000000002</v>
      </c>
      <c r="U197">
        <f t="shared" si="3"/>
        <v>44536.12</v>
      </c>
    </row>
    <row r="198" spans="1:21" ht="15" customHeight="1" x14ac:dyDescent="0.25">
      <c r="A198" t="s">
        <v>1931</v>
      </c>
      <c r="B198" s="8">
        <v>44774</v>
      </c>
      <c r="C198" s="8">
        <v>44777</v>
      </c>
      <c r="D198" t="s">
        <v>20</v>
      </c>
      <c r="E198" t="s">
        <v>3089</v>
      </c>
      <c r="F198" t="s">
        <v>3069</v>
      </c>
      <c r="G198" t="s">
        <v>831</v>
      </c>
      <c r="H198">
        <v>8162281267</v>
      </c>
      <c r="I198" t="s">
        <v>43</v>
      </c>
      <c r="J198" t="s">
        <v>51</v>
      </c>
      <c r="K198" t="s">
        <v>227</v>
      </c>
      <c r="L198" t="s">
        <v>96</v>
      </c>
      <c r="M198" t="s">
        <v>385</v>
      </c>
      <c r="N198" t="s">
        <v>781</v>
      </c>
      <c r="O198">
        <v>13</v>
      </c>
      <c r="P198">
        <v>154311.35999999999</v>
      </c>
      <c r="Q198">
        <v>20</v>
      </c>
      <c r="R198">
        <v>401209.54</v>
      </c>
      <c r="S198" s="11">
        <v>1604838.14</v>
      </c>
      <c r="T198">
        <v>453857.98</v>
      </c>
      <c r="U198">
        <f t="shared" si="3"/>
        <v>1604838.14</v>
      </c>
    </row>
    <row r="199" spans="1:21" ht="15" customHeight="1" x14ac:dyDescent="0.25">
      <c r="A199" t="s">
        <v>2264</v>
      </c>
      <c r="B199" s="8">
        <v>44774</v>
      </c>
      <c r="C199" s="8">
        <v>44774</v>
      </c>
      <c r="D199" t="s">
        <v>32</v>
      </c>
      <c r="E199" t="s">
        <v>3073</v>
      </c>
      <c r="F199" t="s">
        <v>3046</v>
      </c>
      <c r="H199">
        <v>9013968018</v>
      </c>
      <c r="I199" t="s">
        <v>35</v>
      </c>
      <c r="J199" t="s">
        <v>69</v>
      </c>
      <c r="K199" t="s">
        <v>70</v>
      </c>
      <c r="L199" t="s">
        <v>85</v>
      </c>
      <c r="M199" t="s">
        <v>86</v>
      </c>
      <c r="N199" t="s">
        <v>199</v>
      </c>
      <c r="O199">
        <v>4</v>
      </c>
      <c r="P199">
        <v>151459.07999999999</v>
      </c>
      <c r="Q199">
        <v>0</v>
      </c>
      <c r="R199">
        <v>0</v>
      </c>
      <c r="S199" s="11">
        <v>605836.31999999995</v>
      </c>
      <c r="T199">
        <v>70293.25</v>
      </c>
      <c r="U199">
        <f t="shared" si="3"/>
        <v>605836.31999999995</v>
      </c>
    </row>
    <row r="200" spans="1:21" ht="15" customHeight="1" x14ac:dyDescent="0.25">
      <c r="A200" t="s">
        <v>2505</v>
      </c>
      <c r="B200" s="8">
        <v>44775</v>
      </c>
      <c r="C200" s="8">
        <v>44776</v>
      </c>
      <c r="D200" t="s">
        <v>32</v>
      </c>
      <c r="E200" t="s">
        <v>3060</v>
      </c>
      <c r="F200" t="s">
        <v>3083</v>
      </c>
      <c r="G200" t="s">
        <v>2507</v>
      </c>
      <c r="H200">
        <v>8169348587</v>
      </c>
      <c r="I200" t="s">
        <v>35</v>
      </c>
      <c r="J200" t="s">
        <v>25</v>
      </c>
      <c r="K200" t="s">
        <v>168</v>
      </c>
      <c r="L200" t="s">
        <v>63</v>
      </c>
      <c r="M200" t="s">
        <v>194</v>
      </c>
      <c r="N200" t="s">
        <v>700</v>
      </c>
      <c r="O200">
        <v>2</v>
      </c>
      <c r="P200">
        <v>13424.98</v>
      </c>
      <c r="Q200">
        <v>5</v>
      </c>
      <c r="R200">
        <v>1342.5</v>
      </c>
      <c r="S200" s="11">
        <v>25507.46</v>
      </c>
      <c r="T200">
        <v>10663.85</v>
      </c>
      <c r="U200">
        <f t="shared" si="3"/>
        <v>25507.46</v>
      </c>
    </row>
    <row r="201" spans="1:21" ht="15" customHeight="1" x14ac:dyDescent="0.25">
      <c r="A201" t="s">
        <v>772</v>
      </c>
      <c r="B201" s="8">
        <v>44778</v>
      </c>
      <c r="C201" s="8">
        <v>44781</v>
      </c>
      <c r="D201" t="s">
        <v>73</v>
      </c>
      <c r="E201" t="s">
        <v>3053</v>
      </c>
      <c r="F201" t="s">
        <v>3071</v>
      </c>
      <c r="G201" t="s">
        <v>774</v>
      </c>
      <c r="H201">
        <v>7063025626</v>
      </c>
      <c r="I201" t="s">
        <v>35</v>
      </c>
      <c r="J201" t="s">
        <v>61</v>
      </c>
      <c r="K201" t="s">
        <v>84</v>
      </c>
      <c r="L201" t="s">
        <v>27</v>
      </c>
      <c r="M201" t="s">
        <v>45</v>
      </c>
      <c r="N201" t="s">
        <v>523</v>
      </c>
      <c r="O201">
        <v>15</v>
      </c>
      <c r="P201">
        <v>3779.76</v>
      </c>
      <c r="Q201">
        <v>10</v>
      </c>
      <c r="R201">
        <v>5669.64</v>
      </c>
      <c r="S201" s="11">
        <v>51026.76</v>
      </c>
      <c r="T201">
        <v>18445.63</v>
      </c>
      <c r="U201">
        <f t="shared" si="3"/>
        <v>51026.76</v>
      </c>
    </row>
    <row r="202" spans="1:21" ht="15" customHeight="1" x14ac:dyDescent="0.25">
      <c r="A202" t="s">
        <v>1262</v>
      </c>
      <c r="B202" s="8">
        <v>44781</v>
      </c>
      <c r="C202" s="8">
        <v>44782</v>
      </c>
      <c r="D202" t="s">
        <v>32</v>
      </c>
      <c r="E202" t="s">
        <v>3060</v>
      </c>
      <c r="F202" t="s">
        <v>3040</v>
      </c>
      <c r="G202" t="s">
        <v>1264</v>
      </c>
      <c r="H202">
        <v>9026068701</v>
      </c>
      <c r="I202" t="s">
        <v>35</v>
      </c>
      <c r="J202" t="s">
        <v>61</v>
      </c>
      <c r="K202" t="s">
        <v>84</v>
      </c>
      <c r="L202" t="s">
        <v>27</v>
      </c>
      <c r="M202" t="s">
        <v>28</v>
      </c>
      <c r="N202" t="s">
        <v>262</v>
      </c>
      <c r="O202">
        <v>-2</v>
      </c>
      <c r="P202">
        <v>4847.13</v>
      </c>
      <c r="Q202">
        <v>5</v>
      </c>
      <c r="R202">
        <v>1938.85</v>
      </c>
      <c r="S202" s="11">
        <v>36838.19</v>
      </c>
      <c r="T202">
        <v>6585.54</v>
      </c>
      <c r="U202">
        <f t="shared" si="3"/>
        <v>36838.19</v>
      </c>
    </row>
    <row r="203" spans="1:21" ht="15" customHeight="1" x14ac:dyDescent="0.25">
      <c r="A203" t="s">
        <v>1866</v>
      </c>
      <c r="B203" s="8">
        <v>44784</v>
      </c>
      <c r="C203" s="8">
        <v>44787</v>
      </c>
      <c r="D203" t="s">
        <v>20</v>
      </c>
      <c r="E203" t="s">
        <v>3053</v>
      </c>
      <c r="F203" t="s">
        <v>3062</v>
      </c>
      <c r="G203" t="s">
        <v>1868</v>
      </c>
      <c r="H203">
        <v>7038280643</v>
      </c>
      <c r="I203" t="s">
        <v>24</v>
      </c>
      <c r="J203" t="s">
        <v>69</v>
      </c>
      <c r="K203" t="s">
        <v>119</v>
      </c>
      <c r="L203" t="s">
        <v>1869</v>
      </c>
      <c r="M203" t="s">
        <v>97</v>
      </c>
      <c r="N203" t="s">
        <v>443</v>
      </c>
      <c r="O203">
        <v>10</v>
      </c>
      <c r="P203">
        <v>63139.55</v>
      </c>
      <c r="Q203">
        <v>0</v>
      </c>
      <c r="R203">
        <v>0</v>
      </c>
      <c r="S203" s="11">
        <v>631395.5</v>
      </c>
      <c r="T203">
        <v>-44066.23</v>
      </c>
      <c r="U203">
        <f t="shared" si="3"/>
        <v>631395.5</v>
      </c>
    </row>
    <row r="204" spans="1:21" ht="15" customHeight="1" x14ac:dyDescent="0.25">
      <c r="A204" t="s">
        <v>2835</v>
      </c>
      <c r="B204" s="8">
        <v>44786</v>
      </c>
      <c r="C204" s="8">
        <v>44790</v>
      </c>
      <c r="D204" t="s">
        <v>73</v>
      </c>
      <c r="E204" t="s">
        <v>3073</v>
      </c>
      <c r="F204" t="s">
        <v>3075</v>
      </c>
      <c r="G204" t="s">
        <v>2837</v>
      </c>
      <c r="H204">
        <v>9012658169</v>
      </c>
      <c r="I204" t="s">
        <v>35</v>
      </c>
      <c r="J204" t="s">
        <v>69</v>
      </c>
      <c r="K204" t="s">
        <v>70</v>
      </c>
      <c r="L204" t="s">
        <v>63</v>
      </c>
      <c r="M204" t="s">
        <v>194</v>
      </c>
      <c r="N204" t="s">
        <v>195</v>
      </c>
      <c r="P204">
        <v>20086.8</v>
      </c>
      <c r="Q204">
        <v>0</v>
      </c>
      <c r="R204">
        <v>0</v>
      </c>
      <c r="S204" s="11">
        <v>261128.4</v>
      </c>
      <c r="T204">
        <v>-29303.66</v>
      </c>
      <c r="U204">
        <f t="shared" si="3"/>
        <v>261128.4</v>
      </c>
    </row>
    <row r="205" spans="1:21" ht="15" customHeight="1" x14ac:dyDescent="0.25">
      <c r="A205" t="s">
        <v>2130</v>
      </c>
      <c r="B205" s="8">
        <v>44789</v>
      </c>
      <c r="C205" s="8">
        <v>44797</v>
      </c>
      <c r="D205" t="s">
        <v>48</v>
      </c>
      <c r="E205" t="s">
        <v>3061</v>
      </c>
      <c r="F205" t="s">
        <v>3040</v>
      </c>
      <c r="G205" t="s">
        <v>2131</v>
      </c>
      <c r="H205">
        <v>8036671458</v>
      </c>
      <c r="I205" t="s">
        <v>24</v>
      </c>
      <c r="J205" t="s">
        <v>51</v>
      </c>
      <c r="K205" t="s">
        <v>316</v>
      </c>
      <c r="M205" t="s">
        <v>38</v>
      </c>
      <c r="N205" t="s">
        <v>303</v>
      </c>
      <c r="O205">
        <v>2</v>
      </c>
      <c r="P205">
        <v>16385.27</v>
      </c>
      <c r="Q205">
        <v>0</v>
      </c>
      <c r="R205">
        <v>0</v>
      </c>
      <c r="S205" s="11">
        <v>32770.54</v>
      </c>
      <c r="T205">
        <v>-899.88</v>
      </c>
      <c r="U205">
        <f t="shared" si="3"/>
        <v>32770.54</v>
      </c>
    </row>
    <row r="206" spans="1:21" ht="15" customHeight="1" x14ac:dyDescent="0.25">
      <c r="A206" t="s">
        <v>2061</v>
      </c>
      <c r="B206" s="8">
        <v>44789</v>
      </c>
      <c r="C206" s="8">
        <v>44792</v>
      </c>
      <c r="D206" t="s">
        <v>73</v>
      </c>
      <c r="G206" t="s">
        <v>2062</v>
      </c>
      <c r="H206">
        <v>9055465729</v>
      </c>
      <c r="I206" t="s">
        <v>24</v>
      </c>
      <c r="J206" t="s">
        <v>25</v>
      </c>
      <c r="K206" t="s">
        <v>26</v>
      </c>
      <c r="L206" t="s">
        <v>85</v>
      </c>
      <c r="M206" t="s">
        <v>86</v>
      </c>
      <c r="N206" t="s">
        <v>238</v>
      </c>
      <c r="O206">
        <v>8</v>
      </c>
      <c r="P206">
        <v>25377.5</v>
      </c>
      <c r="Q206">
        <v>15</v>
      </c>
      <c r="R206">
        <v>30453</v>
      </c>
      <c r="S206" s="11">
        <v>172567</v>
      </c>
      <c r="T206">
        <v>14693.19</v>
      </c>
      <c r="U206">
        <f t="shared" si="3"/>
        <v>172567</v>
      </c>
    </row>
    <row r="207" spans="1:21" ht="15" customHeight="1" x14ac:dyDescent="0.25">
      <c r="A207" t="s">
        <v>1293</v>
      </c>
      <c r="B207" s="8">
        <v>44790</v>
      </c>
      <c r="C207" s="8">
        <v>44796</v>
      </c>
      <c r="D207" t="s">
        <v>48</v>
      </c>
      <c r="E207" t="s">
        <v>3035</v>
      </c>
      <c r="F207" t="s">
        <v>3034</v>
      </c>
      <c r="G207" t="s">
        <v>1295</v>
      </c>
      <c r="H207">
        <v>9078493596</v>
      </c>
      <c r="I207" t="s">
        <v>43</v>
      </c>
      <c r="J207" t="s">
        <v>51</v>
      </c>
      <c r="K207" t="s">
        <v>223</v>
      </c>
      <c r="L207" t="s">
        <v>63</v>
      </c>
      <c r="M207" t="s">
        <v>194</v>
      </c>
      <c r="N207" t="s">
        <v>336</v>
      </c>
      <c r="O207">
        <v>8</v>
      </c>
      <c r="P207">
        <v>6900.69</v>
      </c>
      <c r="Q207">
        <v>20</v>
      </c>
      <c r="R207">
        <v>11041.1</v>
      </c>
      <c r="S207" s="11">
        <v>44164.42</v>
      </c>
      <c r="T207">
        <v>-1833.46</v>
      </c>
      <c r="U207">
        <f t="shared" si="3"/>
        <v>44164.42</v>
      </c>
    </row>
    <row r="208" spans="1:21" ht="15" customHeight="1" x14ac:dyDescent="0.25">
      <c r="A208" t="s">
        <v>2302</v>
      </c>
      <c r="B208" s="8">
        <v>44790</v>
      </c>
      <c r="C208" s="8">
        <v>44792</v>
      </c>
      <c r="D208" t="s">
        <v>20</v>
      </c>
      <c r="E208" t="s">
        <v>3068</v>
      </c>
      <c r="F208" t="s">
        <v>3077</v>
      </c>
      <c r="G208" t="s">
        <v>2303</v>
      </c>
      <c r="H208">
        <v>8032342330</v>
      </c>
      <c r="I208" t="s">
        <v>24</v>
      </c>
      <c r="J208" t="s">
        <v>69</v>
      </c>
      <c r="K208" t="s">
        <v>144</v>
      </c>
      <c r="L208" t="s">
        <v>85</v>
      </c>
      <c r="M208" t="s">
        <v>86</v>
      </c>
      <c r="N208" t="s">
        <v>178</v>
      </c>
      <c r="O208">
        <v>19</v>
      </c>
      <c r="P208">
        <v>171090.61</v>
      </c>
      <c r="Q208">
        <v>10</v>
      </c>
      <c r="R208">
        <v>325072.15999999997</v>
      </c>
      <c r="S208" s="11">
        <v>2925649.43</v>
      </c>
      <c r="T208">
        <v>-91959.51</v>
      </c>
      <c r="U208">
        <f t="shared" si="3"/>
        <v>2925649.43</v>
      </c>
    </row>
    <row r="209" spans="1:21" ht="15" customHeight="1" x14ac:dyDescent="0.25">
      <c r="A209" t="s">
        <v>1381</v>
      </c>
      <c r="B209" s="8">
        <v>44791</v>
      </c>
      <c r="C209" s="8">
        <v>44793</v>
      </c>
      <c r="D209" t="s">
        <v>20</v>
      </c>
      <c r="E209" t="s">
        <v>3089</v>
      </c>
      <c r="F209" t="s">
        <v>3054</v>
      </c>
      <c r="G209" t="s">
        <v>1383</v>
      </c>
      <c r="H209">
        <v>8151380679</v>
      </c>
      <c r="I209" t="s">
        <v>35</v>
      </c>
      <c r="J209" t="s">
        <v>25</v>
      </c>
      <c r="K209" t="s">
        <v>26</v>
      </c>
      <c r="L209" t="s">
        <v>63</v>
      </c>
      <c r="M209" t="s">
        <v>64</v>
      </c>
      <c r="N209" t="s">
        <v>777</v>
      </c>
      <c r="O209">
        <v>16</v>
      </c>
      <c r="P209">
        <v>23327.18</v>
      </c>
      <c r="Q209">
        <v>10</v>
      </c>
      <c r="R209">
        <v>37323.49</v>
      </c>
      <c r="S209" s="11">
        <v>335911.39</v>
      </c>
      <c r="T209">
        <v>34289.160000000003</v>
      </c>
      <c r="U209">
        <f t="shared" si="3"/>
        <v>335911.39</v>
      </c>
    </row>
    <row r="210" spans="1:21" ht="15" customHeight="1" x14ac:dyDescent="0.25">
      <c r="A210" t="s">
        <v>2401</v>
      </c>
      <c r="B210" s="8">
        <v>44792</v>
      </c>
      <c r="C210" s="8">
        <v>44798</v>
      </c>
      <c r="D210" t="s">
        <v>210</v>
      </c>
      <c r="E210" t="s">
        <v>3092</v>
      </c>
      <c r="F210" t="s">
        <v>3086</v>
      </c>
      <c r="G210" t="s">
        <v>493</v>
      </c>
      <c r="H210">
        <v>9058859233</v>
      </c>
      <c r="I210" t="s">
        <v>24</v>
      </c>
      <c r="J210" t="s">
        <v>25</v>
      </c>
      <c r="K210" t="s">
        <v>26</v>
      </c>
      <c r="L210" t="s">
        <v>27</v>
      </c>
      <c r="M210" t="s">
        <v>354</v>
      </c>
      <c r="N210" t="s">
        <v>355</v>
      </c>
      <c r="O210">
        <v>14</v>
      </c>
      <c r="P210">
        <v>6206.79</v>
      </c>
      <c r="Q210">
        <v>10</v>
      </c>
      <c r="R210">
        <v>8689.51</v>
      </c>
      <c r="S210" s="11">
        <v>78205.55</v>
      </c>
      <c r="T210">
        <v>10122.07</v>
      </c>
      <c r="U210">
        <f t="shared" si="3"/>
        <v>78205.55</v>
      </c>
    </row>
    <row r="211" spans="1:21" ht="15" customHeight="1" x14ac:dyDescent="0.25">
      <c r="A211" t="s">
        <v>2634</v>
      </c>
      <c r="B211" s="8">
        <v>44792</v>
      </c>
      <c r="C211" s="8">
        <v>44797</v>
      </c>
      <c r="D211" t="s">
        <v>48</v>
      </c>
      <c r="E211" t="s">
        <v>3059</v>
      </c>
      <c r="F211" t="s">
        <v>3071</v>
      </c>
      <c r="G211" t="s">
        <v>2636</v>
      </c>
      <c r="H211">
        <v>8161378476</v>
      </c>
      <c r="I211" t="s">
        <v>35</v>
      </c>
      <c r="J211" t="s">
        <v>25</v>
      </c>
      <c r="K211" t="s">
        <v>168</v>
      </c>
      <c r="L211" t="s">
        <v>27</v>
      </c>
      <c r="M211" t="s">
        <v>28</v>
      </c>
      <c r="N211" t="s">
        <v>29</v>
      </c>
      <c r="O211">
        <v>5</v>
      </c>
      <c r="P211">
        <v>5932.04</v>
      </c>
      <c r="Q211">
        <v>5</v>
      </c>
      <c r="R211">
        <v>1483.01</v>
      </c>
      <c r="S211" s="11">
        <v>28177.19</v>
      </c>
      <c r="T211">
        <v>-3125</v>
      </c>
      <c r="U211">
        <f t="shared" si="3"/>
        <v>28177.19</v>
      </c>
    </row>
    <row r="212" spans="1:21" ht="15" customHeight="1" x14ac:dyDescent="0.25">
      <c r="A212" t="s">
        <v>1284</v>
      </c>
      <c r="B212" s="8">
        <v>44793</v>
      </c>
      <c r="C212" s="8">
        <v>44796</v>
      </c>
      <c r="D212" t="s">
        <v>20</v>
      </c>
      <c r="E212" t="s">
        <v>3081</v>
      </c>
      <c r="F212" t="s">
        <v>3054</v>
      </c>
      <c r="G212" t="s">
        <v>1285</v>
      </c>
      <c r="H212">
        <v>8149672974</v>
      </c>
      <c r="I212" t="s">
        <v>43</v>
      </c>
      <c r="J212" t="s">
        <v>25</v>
      </c>
      <c r="K212" t="s">
        <v>36</v>
      </c>
      <c r="L212" t="s">
        <v>96</v>
      </c>
      <c r="M212" t="s">
        <v>254</v>
      </c>
      <c r="N212" t="s">
        <v>452</v>
      </c>
      <c r="O212">
        <v>16</v>
      </c>
      <c r="P212">
        <v>53474.16</v>
      </c>
      <c r="Q212">
        <v>0</v>
      </c>
      <c r="R212">
        <v>0</v>
      </c>
      <c r="S212" s="11">
        <v>855586.56</v>
      </c>
      <c r="T212">
        <v>222832.74</v>
      </c>
      <c r="U212">
        <f t="shared" si="3"/>
        <v>855586.56</v>
      </c>
    </row>
    <row r="213" spans="1:21" ht="15" customHeight="1" x14ac:dyDescent="0.25">
      <c r="A213" t="s">
        <v>1377</v>
      </c>
      <c r="B213" s="8">
        <v>44794</v>
      </c>
      <c r="C213" s="8">
        <v>44799</v>
      </c>
      <c r="D213" t="s">
        <v>73</v>
      </c>
      <c r="F213" t="s">
        <v>3055</v>
      </c>
      <c r="G213" t="s">
        <v>1379</v>
      </c>
      <c r="H213">
        <v>9024782209</v>
      </c>
      <c r="I213" t="s">
        <v>43</v>
      </c>
      <c r="J213" t="s">
        <v>61</v>
      </c>
      <c r="K213" t="s">
        <v>62</v>
      </c>
      <c r="L213" t="s">
        <v>63</v>
      </c>
      <c r="M213" t="s">
        <v>558</v>
      </c>
      <c r="N213" t="s">
        <v>1380</v>
      </c>
      <c r="O213">
        <v>14</v>
      </c>
      <c r="P213">
        <v>12837.37</v>
      </c>
      <c r="Q213">
        <v>10</v>
      </c>
      <c r="R213">
        <v>17972.32</v>
      </c>
      <c r="S213" s="11">
        <v>161750.85999999999</v>
      </c>
      <c r="T213">
        <v>-18977.259999999998</v>
      </c>
      <c r="U213">
        <f t="shared" si="3"/>
        <v>161750.85999999999</v>
      </c>
    </row>
    <row r="214" spans="1:21" ht="15" customHeight="1" x14ac:dyDescent="0.25">
      <c r="A214" t="s">
        <v>683</v>
      </c>
      <c r="B214" s="8">
        <v>44795</v>
      </c>
      <c r="C214" s="8">
        <v>44796</v>
      </c>
      <c r="D214" t="s">
        <v>32</v>
      </c>
      <c r="E214" t="s">
        <v>3097</v>
      </c>
      <c r="F214" t="s">
        <v>3086</v>
      </c>
      <c r="G214" t="s">
        <v>685</v>
      </c>
      <c r="H214">
        <v>9053894531</v>
      </c>
      <c r="I214" t="s">
        <v>43</v>
      </c>
      <c r="J214" t="s">
        <v>51</v>
      </c>
      <c r="K214" t="s">
        <v>227</v>
      </c>
      <c r="L214" t="s">
        <v>63</v>
      </c>
      <c r="M214" t="s">
        <v>312</v>
      </c>
      <c r="N214" t="s">
        <v>686</v>
      </c>
      <c r="O214">
        <v>5</v>
      </c>
      <c r="P214">
        <v>2576.42</v>
      </c>
      <c r="Q214">
        <v>10</v>
      </c>
      <c r="R214">
        <v>1288.21</v>
      </c>
      <c r="S214" s="11">
        <v>11593.89</v>
      </c>
      <c r="T214">
        <v>-919.2</v>
      </c>
      <c r="U214">
        <f t="shared" si="3"/>
        <v>11593.89</v>
      </c>
    </row>
    <row r="215" spans="1:21" ht="15" customHeight="1" x14ac:dyDescent="0.25">
      <c r="A215" t="s">
        <v>162</v>
      </c>
      <c r="B215" s="8">
        <v>44798</v>
      </c>
      <c r="C215" s="8">
        <v>44805</v>
      </c>
      <c r="D215" t="s">
        <v>48</v>
      </c>
      <c r="E215" t="s">
        <v>3065</v>
      </c>
      <c r="F215" t="s">
        <v>3057</v>
      </c>
      <c r="G215" t="s">
        <v>164</v>
      </c>
      <c r="H215">
        <v>8032818692</v>
      </c>
      <c r="I215" t="s">
        <v>43</v>
      </c>
      <c r="J215" t="s">
        <v>69</v>
      </c>
      <c r="K215" t="s">
        <v>155</v>
      </c>
      <c r="L215" t="s">
        <v>27</v>
      </c>
      <c r="M215" t="s">
        <v>28</v>
      </c>
      <c r="N215" t="s">
        <v>71</v>
      </c>
      <c r="O215">
        <v>11</v>
      </c>
      <c r="P215">
        <v>5909.8</v>
      </c>
      <c r="Q215">
        <v>15</v>
      </c>
      <c r="R215">
        <v>9751.17</v>
      </c>
      <c r="S215" s="11">
        <v>55256.63</v>
      </c>
      <c r="T215">
        <v>11809.74</v>
      </c>
      <c r="U215">
        <f t="shared" si="3"/>
        <v>55256.63</v>
      </c>
    </row>
    <row r="216" spans="1:21" ht="15" customHeight="1" x14ac:dyDescent="0.25">
      <c r="A216" t="s">
        <v>2866</v>
      </c>
      <c r="B216" s="8">
        <v>44798</v>
      </c>
      <c r="C216" s="8">
        <v>44804</v>
      </c>
      <c r="D216" t="s">
        <v>48</v>
      </c>
      <c r="E216" t="s">
        <v>3087</v>
      </c>
      <c r="F216" t="s">
        <v>3043</v>
      </c>
      <c r="G216" t="s">
        <v>2868</v>
      </c>
      <c r="H216">
        <v>8159041683</v>
      </c>
      <c r="I216" t="s">
        <v>43</v>
      </c>
      <c r="J216" t="s">
        <v>69</v>
      </c>
      <c r="K216" t="s">
        <v>155</v>
      </c>
      <c r="L216" t="s">
        <v>108</v>
      </c>
      <c r="M216" t="s">
        <v>189</v>
      </c>
      <c r="N216" t="s">
        <v>190</v>
      </c>
      <c r="O216">
        <v>6</v>
      </c>
      <c r="P216">
        <v>4271.76</v>
      </c>
      <c r="Q216">
        <v>25</v>
      </c>
      <c r="R216">
        <v>6407.64</v>
      </c>
      <c r="S216" s="11">
        <v>19222.919999999998</v>
      </c>
      <c r="T216">
        <v>7217.81</v>
      </c>
      <c r="U216">
        <f t="shared" si="3"/>
        <v>19222.919999999998</v>
      </c>
    </row>
    <row r="217" spans="1:21" ht="15" customHeight="1" x14ac:dyDescent="0.25">
      <c r="A217" t="s">
        <v>137</v>
      </c>
      <c r="B217" s="8">
        <v>44798</v>
      </c>
      <c r="C217" s="8">
        <v>44800</v>
      </c>
      <c r="D217" t="s">
        <v>20</v>
      </c>
      <c r="E217" t="s">
        <v>3060</v>
      </c>
      <c r="F217" t="s">
        <v>3054</v>
      </c>
      <c r="G217" t="s">
        <v>139</v>
      </c>
      <c r="H217">
        <v>8164533779</v>
      </c>
      <c r="I217" t="s">
        <v>35</v>
      </c>
      <c r="J217" t="s">
        <v>51</v>
      </c>
      <c r="K217" t="s">
        <v>52</v>
      </c>
      <c r="L217" t="s">
        <v>63</v>
      </c>
      <c r="M217" t="s">
        <v>54</v>
      </c>
      <c r="N217" t="s">
        <v>55</v>
      </c>
      <c r="O217" t="s">
        <v>140</v>
      </c>
      <c r="P217">
        <v>12882.52</v>
      </c>
      <c r="Q217">
        <v>0</v>
      </c>
      <c r="R217">
        <v>0</v>
      </c>
      <c r="S217" s="11">
        <v>115942.68</v>
      </c>
      <c r="T217">
        <v>-10970.6</v>
      </c>
      <c r="U217">
        <f t="shared" si="3"/>
        <v>115942.68</v>
      </c>
    </row>
    <row r="218" spans="1:21" ht="15" customHeight="1" x14ac:dyDescent="0.25">
      <c r="A218" t="s">
        <v>2920</v>
      </c>
      <c r="B218" s="8">
        <v>44799</v>
      </c>
      <c r="C218" s="8">
        <v>44805</v>
      </c>
      <c r="D218" t="s">
        <v>48</v>
      </c>
      <c r="E218" t="s">
        <v>3093</v>
      </c>
      <c r="F218" t="s">
        <v>3077</v>
      </c>
      <c r="G218" t="s">
        <v>2921</v>
      </c>
      <c r="H218">
        <v>9029855180</v>
      </c>
      <c r="I218" t="s">
        <v>24</v>
      </c>
      <c r="J218" t="s">
        <v>51</v>
      </c>
      <c r="K218" t="s">
        <v>223</v>
      </c>
      <c r="L218" t="s">
        <v>108</v>
      </c>
      <c r="M218" t="s">
        <v>109</v>
      </c>
      <c r="N218" t="s">
        <v>157</v>
      </c>
      <c r="O218">
        <v>16</v>
      </c>
      <c r="P218">
        <v>14832.93</v>
      </c>
      <c r="Q218">
        <v>25</v>
      </c>
      <c r="R218">
        <v>59331.72</v>
      </c>
      <c r="S218" s="11">
        <v>177995.16</v>
      </c>
      <c r="T218">
        <v>51973.67</v>
      </c>
      <c r="U218">
        <f t="shared" si="3"/>
        <v>177995.16</v>
      </c>
    </row>
    <row r="219" spans="1:21" ht="15" customHeight="1" x14ac:dyDescent="0.25">
      <c r="A219" t="s">
        <v>2010</v>
      </c>
      <c r="B219" s="8">
        <v>44802</v>
      </c>
      <c r="C219" s="8">
        <v>44809</v>
      </c>
      <c r="D219" t="s">
        <v>48</v>
      </c>
      <c r="E219" t="s">
        <v>3097</v>
      </c>
      <c r="F219" t="s">
        <v>3083</v>
      </c>
      <c r="G219" t="s">
        <v>2012</v>
      </c>
      <c r="H219">
        <v>8109753488</v>
      </c>
      <c r="I219" t="s">
        <v>24</v>
      </c>
      <c r="J219" t="s">
        <v>61</v>
      </c>
      <c r="K219" t="s">
        <v>84</v>
      </c>
      <c r="L219" t="s">
        <v>1441</v>
      </c>
      <c r="M219" t="s">
        <v>249</v>
      </c>
      <c r="N219" t="s">
        <v>2013</v>
      </c>
      <c r="O219">
        <v>18</v>
      </c>
      <c r="P219">
        <v>15349.71</v>
      </c>
      <c r="Q219">
        <v>0</v>
      </c>
      <c r="R219">
        <v>0</v>
      </c>
      <c r="S219" s="11">
        <v>276294.78000000003</v>
      </c>
      <c r="T219">
        <v>44427.360000000001</v>
      </c>
      <c r="U219">
        <f t="shared" si="3"/>
        <v>276294.78000000003</v>
      </c>
    </row>
    <row r="220" spans="1:21" ht="15" customHeight="1" x14ac:dyDescent="0.25">
      <c r="A220" t="s">
        <v>1937</v>
      </c>
      <c r="B220" s="8">
        <v>44802</v>
      </c>
      <c r="C220" s="8">
        <v>44807</v>
      </c>
      <c r="D220" t="s">
        <v>73</v>
      </c>
      <c r="E220" t="s">
        <v>3084</v>
      </c>
      <c r="F220" t="s">
        <v>3045</v>
      </c>
      <c r="G220" t="s">
        <v>1939</v>
      </c>
      <c r="H220">
        <v>9018125430</v>
      </c>
      <c r="I220" t="s">
        <v>24</v>
      </c>
      <c r="J220" t="s">
        <v>61</v>
      </c>
      <c r="K220" t="s">
        <v>95</v>
      </c>
      <c r="L220" t="s">
        <v>63</v>
      </c>
      <c r="M220" t="s">
        <v>249</v>
      </c>
      <c r="N220" t="s">
        <v>465</v>
      </c>
      <c r="O220">
        <v>3</v>
      </c>
      <c r="P220">
        <v>16737.310000000001</v>
      </c>
      <c r="Q220">
        <v>20</v>
      </c>
      <c r="R220">
        <v>10042.39</v>
      </c>
      <c r="S220" s="11" t="s">
        <v>1940</v>
      </c>
      <c r="T220">
        <v>14158.25</v>
      </c>
      <c r="U220">
        <f t="shared" si="3"/>
        <v>40169.54</v>
      </c>
    </row>
    <row r="221" spans="1:21" ht="15" customHeight="1" x14ac:dyDescent="0.25">
      <c r="A221" t="s">
        <v>1860</v>
      </c>
      <c r="B221" s="8">
        <v>44803</v>
      </c>
      <c r="C221" s="8">
        <v>44807</v>
      </c>
      <c r="D221" t="s">
        <v>73</v>
      </c>
      <c r="E221" t="s">
        <v>3093</v>
      </c>
      <c r="F221" t="s">
        <v>3083</v>
      </c>
      <c r="G221" t="s">
        <v>1861</v>
      </c>
      <c r="H221">
        <v>8164574653</v>
      </c>
      <c r="I221" t="s">
        <v>24</v>
      </c>
      <c r="J221" t="s">
        <v>25</v>
      </c>
      <c r="K221" t="s">
        <v>44</v>
      </c>
      <c r="L221" t="s">
        <v>96</v>
      </c>
      <c r="M221" t="s">
        <v>254</v>
      </c>
      <c r="N221" t="s">
        <v>530</v>
      </c>
      <c r="O221">
        <v>10</v>
      </c>
      <c r="P221">
        <v>109596.49</v>
      </c>
      <c r="Q221">
        <v>25</v>
      </c>
      <c r="R221">
        <v>273991.23</v>
      </c>
      <c r="S221" s="11">
        <v>821973.67</v>
      </c>
      <c r="T221">
        <v>283939.65000000002</v>
      </c>
      <c r="U221">
        <f t="shared" si="3"/>
        <v>821973.67</v>
      </c>
    </row>
    <row r="222" spans="1:21" ht="15" customHeight="1" x14ac:dyDescent="0.25">
      <c r="A222" t="s">
        <v>1929</v>
      </c>
      <c r="B222" s="8">
        <v>44804</v>
      </c>
      <c r="C222" s="8">
        <v>44807</v>
      </c>
      <c r="D222" t="s">
        <v>20</v>
      </c>
      <c r="E222" t="s">
        <v>3081</v>
      </c>
      <c r="F222" t="s">
        <v>3090</v>
      </c>
      <c r="G222" t="s">
        <v>768</v>
      </c>
      <c r="H222" t="s">
        <v>1930</v>
      </c>
      <c r="I222" t="s">
        <v>125</v>
      </c>
      <c r="J222" t="s">
        <v>51</v>
      </c>
      <c r="K222" t="s">
        <v>223</v>
      </c>
      <c r="L222" t="s">
        <v>27</v>
      </c>
      <c r="M222" t="s">
        <v>45</v>
      </c>
      <c r="N222" t="s">
        <v>46</v>
      </c>
      <c r="O222">
        <v>14</v>
      </c>
      <c r="P222">
        <v>1696.51</v>
      </c>
      <c r="Q222">
        <v>0</v>
      </c>
      <c r="R222">
        <v>0</v>
      </c>
      <c r="S222" s="11">
        <v>23751.14</v>
      </c>
      <c r="T222">
        <v>9164.8700000000008</v>
      </c>
      <c r="U222">
        <f t="shared" si="3"/>
        <v>23751.14</v>
      </c>
    </row>
    <row r="223" spans="1:21" ht="15" customHeight="1" x14ac:dyDescent="0.25">
      <c r="A223" t="s">
        <v>2559</v>
      </c>
      <c r="B223" s="8">
        <v>44804</v>
      </c>
      <c r="C223" s="8">
        <v>44805</v>
      </c>
      <c r="D223" t="s">
        <v>32</v>
      </c>
      <c r="E223" t="s">
        <v>3048</v>
      </c>
      <c r="F223" t="s">
        <v>3077</v>
      </c>
      <c r="G223" t="s">
        <v>2561</v>
      </c>
      <c r="H223">
        <v>9015718333</v>
      </c>
      <c r="I223" t="s">
        <v>35</v>
      </c>
      <c r="J223" t="s">
        <v>61</v>
      </c>
      <c r="K223" t="s">
        <v>62</v>
      </c>
      <c r="L223" t="s">
        <v>85</v>
      </c>
      <c r="M223" t="s">
        <v>86</v>
      </c>
      <c r="N223" t="s">
        <v>87</v>
      </c>
      <c r="O223">
        <v>4</v>
      </c>
      <c r="P223">
        <v>164379.79</v>
      </c>
      <c r="Q223">
        <v>0</v>
      </c>
      <c r="R223">
        <v>0</v>
      </c>
      <c r="S223" s="11">
        <v>657519.16</v>
      </c>
      <c r="T223">
        <v>-45132.61</v>
      </c>
      <c r="U223">
        <f t="shared" si="3"/>
        <v>657519.16</v>
      </c>
    </row>
    <row r="224" spans="1:21" ht="15" customHeight="1" x14ac:dyDescent="0.25">
      <c r="A224" t="s">
        <v>744</v>
      </c>
      <c r="B224" s="8">
        <v>44806</v>
      </c>
      <c r="C224" s="8">
        <v>44809</v>
      </c>
      <c r="D224" t="s">
        <v>73</v>
      </c>
      <c r="E224" t="s">
        <v>3033</v>
      </c>
      <c r="F224" t="s">
        <v>3078</v>
      </c>
      <c r="G224" t="s">
        <v>746</v>
      </c>
      <c r="H224">
        <v>8109328426</v>
      </c>
      <c r="I224" t="s">
        <v>24</v>
      </c>
      <c r="J224" t="s">
        <v>25</v>
      </c>
      <c r="K224" t="s">
        <v>44</v>
      </c>
      <c r="L224" t="s">
        <v>63</v>
      </c>
      <c r="M224" t="s">
        <v>312</v>
      </c>
      <c r="N224" t="s">
        <v>686</v>
      </c>
      <c r="O224">
        <v>9</v>
      </c>
      <c r="P224">
        <v>19683.18</v>
      </c>
      <c r="Q224">
        <v>0</v>
      </c>
      <c r="R224">
        <v>0</v>
      </c>
      <c r="S224" s="11">
        <v>177148.62</v>
      </c>
      <c r="T224">
        <v>12953.4</v>
      </c>
      <c r="U224">
        <f t="shared" si="3"/>
        <v>177148.62</v>
      </c>
    </row>
    <row r="225" spans="1:21" ht="15" customHeight="1" x14ac:dyDescent="0.25">
      <c r="A225" t="s">
        <v>2485</v>
      </c>
      <c r="B225" s="8">
        <v>44806</v>
      </c>
      <c r="C225" s="8">
        <v>44807</v>
      </c>
      <c r="D225" t="s">
        <v>32</v>
      </c>
      <c r="E225" t="s">
        <v>3081</v>
      </c>
      <c r="F225" t="s">
        <v>3038</v>
      </c>
      <c r="G225" t="s">
        <v>2487</v>
      </c>
      <c r="H225">
        <v>9057500351</v>
      </c>
      <c r="I225" t="s">
        <v>959</v>
      </c>
      <c r="J225" t="s">
        <v>61</v>
      </c>
      <c r="K225" t="s">
        <v>62</v>
      </c>
      <c r="L225" t="s">
        <v>108</v>
      </c>
      <c r="M225" t="s">
        <v>183</v>
      </c>
      <c r="N225" t="s">
        <v>869</v>
      </c>
      <c r="O225">
        <v>11</v>
      </c>
      <c r="P225">
        <v>7955.91</v>
      </c>
      <c r="Q225">
        <v>0</v>
      </c>
      <c r="R225">
        <v>0</v>
      </c>
      <c r="S225" s="11">
        <v>87515.01</v>
      </c>
      <c r="T225">
        <v>-8093.56</v>
      </c>
      <c r="U225">
        <f t="shared" si="3"/>
        <v>87515.01</v>
      </c>
    </row>
    <row r="226" spans="1:21" ht="15" customHeight="1" x14ac:dyDescent="0.25">
      <c r="A226" t="s">
        <v>2497</v>
      </c>
      <c r="B226" s="8">
        <v>44808</v>
      </c>
      <c r="C226" s="8">
        <v>44815</v>
      </c>
      <c r="D226" t="s">
        <v>48</v>
      </c>
      <c r="E226" t="s">
        <v>3076</v>
      </c>
      <c r="F226" t="s">
        <v>3038</v>
      </c>
      <c r="G226" t="s">
        <v>2498</v>
      </c>
      <c r="H226">
        <v>9074026890</v>
      </c>
      <c r="I226" t="s">
        <v>24</v>
      </c>
      <c r="J226" t="s">
        <v>69</v>
      </c>
      <c r="K226" t="s">
        <v>307</v>
      </c>
      <c r="L226" t="s">
        <v>27</v>
      </c>
      <c r="M226" t="s">
        <v>173</v>
      </c>
      <c r="N226" t="s">
        <v>380</v>
      </c>
      <c r="O226">
        <v>16</v>
      </c>
      <c r="P226">
        <v>7231.78</v>
      </c>
      <c r="Q226">
        <v>5</v>
      </c>
      <c r="R226">
        <v>5785.42</v>
      </c>
      <c r="S226" s="11">
        <v>109923.06</v>
      </c>
      <c r="T226">
        <v>23314.9</v>
      </c>
      <c r="U226">
        <f t="shared" si="3"/>
        <v>109923.06</v>
      </c>
    </row>
    <row r="227" spans="1:21" ht="15" customHeight="1" x14ac:dyDescent="0.25">
      <c r="A227" t="s">
        <v>1487</v>
      </c>
      <c r="B227" s="8">
        <v>44812</v>
      </c>
      <c r="C227" s="8">
        <v>44816</v>
      </c>
      <c r="D227" t="s">
        <v>73</v>
      </c>
      <c r="E227" t="s">
        <v>3095</v>
      </c>
      <c r="F227" t="s">
        <v>3042</v>
      </c>
      <c r="G227" t="s">
        <v>1489</v>
      </c>
      <c r="H227">
        <v>9024958384</v>
      </c>
      <c r="I227" t="s">
        <v>35</v>
      </c>
      <c r="J227" t="s">
        <v>51</v>
      </c>
      <c r="K227" t="s">
        <v>316</v>
      </c>
      <c r="L227" t="s">
        <v>37</v>
      </c>
      <c r="M227" t="s">
        <v>109</v>
      </c>
      <c r="N227" t="s">
        <v>1258</v>
      </c>
      <c r="O227">
        <v>7</v>
      </c>
      <c r="P227">
        <v>6593</v>
      </c>
      <c r="Q227">
        <v>10</v>
      </c>
      <c r="R227">
        <v>4615.1000000000004</v>
      </c>
      <c r="S227" s="11">
        <v>41535.9</v>
      </c>
      <c r="T227">
        <v>4722.0200000000004</v>
      </c>
      <c r="U227">
        <f t="shared" si="3"/>
        <v>41535.9</v>
      </c>
    </row>
    <row r="228" spans="1:21" ht="15" customHeight="1" x14ac:dyDescent="0.25">
      <c r="A228" t="s">
        <v>1641</v>
      </c>
      <c r="B228" s="8">
        <v>44813</v>
      </c>
      <c r="C228" s="8">
        <v>44813</v>
      </c>
      <c r="D228" t="s">
        <v>32</v>
      </c>
      <c r="E228" t="s">
        <v>3060</v>
      </c>
      <c r="F228" t="s">
        <v>3036</v>
      </c>
      <c r="G228" t="s">
        <v>1643</v>
      </c>
      <c r="H228">
        <v>8139469478</v>
      </c>
      <c r="I228" t="s">
        <v>35</v>
      </c>
      <c r="J228" t="s">
        <v>25</v>
      </c>
      <c r="K228" t="s">
        <v>44</v>
      </c>
      <c r="L228" t="s">
        <v>63</v>
      </c>
      <c r="M228" t="s">
        <v>469</v>
      </c>
      <c r="N228" t="s">
        <v>1082</v>
      </c>
      <c r="O228">
        <v>15</v>
      </c>
      <c r="P228">
        <v>16061.66</v>
      </c>
      <c r="Q228">
        <v>10</v>
      </c>
      <c r="R228">
        <v>24092.49</v>
      </c>
      <c r="S228" s="11">
        <v>216832.41</v>
      </c>
      <c r="T228">
        <v>-529.73</v>
      </c>
      <c r="U228">
        <f t="shared" si="3"/>
        <v>216832.41</v>
      </c>
    </row>
    <row r="229" spans="1:21" ht="15" customHeight="1" x14ac:dyDescent="0.25">
      <c r="A229" t="s">
        <v>1647</v>
      </c>
      <c r="B229" s="8">
        <v>44814</v>
      </c>
      <c r="C229" s="8">
        <v>44815</v>
      </c>
      <c r="D229" t="s">
        <v>32</v>
      </c>
      <c r="E229" t="s">
        <v>3098</v>
      </c>
      <c r="F229" t="s">
        <v>3042</v>
      </c>
      <c r="G229" t="s">
        <v>1648</v>
      </c>
      <c r="H229">
        <v>7063972698</v>
      </c>
      <c r="I229" t="s">
        <v>35</v>
      </c>
      <c r="J229" t="s">
        <v>25</v>
      </c>
      <c r="K229" t="s">
        <v>36</v>
      </c>
      <c r="L229" t="s">
        <v>96</v>
      </c>
      <c r="M229" t="s">
        <v>120</v>
      </c>
      <c r="N229" t="s">
        <v>133</v>
      </c>
      <c r="O229">
        <v>7</v>
      </c>
      <c r="P229">
        <v>176159.08</v>
      </c>
      <c r="Q229">
        <v>20</v>
      </c>
      <c r="R229">
        <v>246622.71</v>
      </c>
      <c r="S229" s="11">
        <v>986490.85</v>
      </c>
      <c r="T229">
        <v>-142431.54</v>
      </c>
      <c r="U229">
        <f t="shared" si="3"/>
        <v>986490.85</v>
      </c>
    </row>
    <row r="230" spans="1:21" ht="15" customHeight="1" x14ac:dyDescent="0.25">
      <c r="A230" t="s">
        <v>1798</v>
      </c>
      <c r="B230" s="8">
        <v>44814</v>
      </c>
      <c r="C230" s="8">
        <v>44814</v>
      </c>
      <c r="D230" t="s">
        <v>32</v>
      </c>
      <c r="E230" t="s">
        <v>3037</v>
      </c>
      <c r="F230" t="s">
        <v>3040</v>
      </c>
      <c r="G230" t="s">
        <v>1800</v>
      </c>
      <c r="H230">
        <v>8066583476</v>
      </c>
      <c r="I230" t="s">
        <v>24</v>
      </c>
      <c r="J230" t="s">
        <v>61</v>
      </c>
      <c r="K230" t="s">
        <v>182</v>
      </c>
      <c r="L230" t="s">
        <v>85</v>
      </c>
      <c r="M230" t="s">
        <v>266</v>
      </c>
      <c r="N230" t="s">
        <v>1255</v>
      </c>
      <c r="O230">
        <v>11</v>
      </c>
      <c r="P230">
        <v>19122.73</v>
      </c>
      <c r="Q230">
        <v>15</v>
      </c>
      <c r="R230">
        <v>31552.5</v>
      </c>
      <c r="S230" s="11">
        <v>178797.53</v>
      </c>
      <c r="T230">
        <v>70821.75</v>
      </c>
      <c r="U230">
        <f t="shared" si="3"/>
        <v>178797.53</v>
      </c>
    </row>
    <row r="231" spans="1:21" ht="15" customHeight="1" x14ac:dyDescent="0.25">
      <c r="A231" t="s">
        <v>2039</v>
      </c>
      <c r="B231" s="8">
        <v>44820</v>
      </c>
      <c r="C231" s="8">
        <v>44827</v>
      </c>
      <c r="D231" t="s">
        <v>48</v>
      </c>
      <c r="E231" t="s">
        <v>3084</v>
      </c>
      <c r="F231" t="s">
        <v>3096</v>
      </c>
      <c r="G231" t="s">
        <v>2041</v>
      </c>
      <c r="H231">
        <v>9078495720</v>
      </c>
      <c r="I231" t="s">
        <v>43</v>
      </c>
      <c r="J231" t="s">
        <v>61</v>
      </c>
      <c r="K231" t="s">
        <v>84</v>
      </c>
      <c r="L231" t="s">
        <v>2042</v>
      </c>
      <c r="M231" t="s">
        <v>254</v>
      </c>
      <c r="N231" t="s">
        <v>452</v>
      </c>
      <c r="O231">
        <v>16</v>
      </c>
      <c r="P231" t="s">
        <v>2043</v>
      </c>
      <c r="Q231">
        <v>20</v>
      </c>
      <c r="R231">
        <v>382808.64</v>
      </c>
      <c r="S231" s="11">
        <v>1531234.56</v>
      </c>
      <c r="T231">
        <v>667326.82999999996</v>
      </c>
      <c r="U231">
        <f t="shared" si="3"/>
        <v>1531234.56</v>
      </c>
    </row>
    <row r="232" spans="1:21" ht="15" customHeight="1" x14ac:dyDescent="0.25">
      <c r="A232" t="s">
        <v>2310</v>
      </c>
      <c r="B232" s="8">
        <v>44820</v>
      </c>
      <c r="C232" s="8">
        <v>44826</v>
      </c>
      <c r="D232" t="s">
        <v>48</v>
      </c>
      <c r="E232" t="s">
        <v>3089</v>
      </c>
      <c r="F232" t="s">
        <v>3066</v>
      </c>
      <c r="G232" t="s">
        <v>2312</v>
      </c>
      <c r="H232">
        <v>7038684482</v>
      </c>
      <c r="I232" t="s">
        <v>35</v>
      </c>
      <c r="J232" t="s">
        <v>61</v>
      </c>
      <c r="K232" t="s">
        <v>62</v>
      </c>
      <c r="L232" t="s">
        <v>27</v>
      </c>
      <c r="M232" t="s">
        <v>354</v>
      </c>
      <c r="N232" t="s">
        <v>789</v>
      </c>
      <c r="O232">
        <v>2</v>
      </c>
      <c r="P232">
        <v>4681.83</v>
      </c>
      <c r="Q232">
        <v>0</v>
      </c>
      <c r="R232">
        <v>0</v>
      </c>
      <c r="S232" s="11">
        <v>9363.66</v>
      </c>
      <c r="T232">
        <v>430.29</v>
      </c>
      <c r="U232">
        <f t="shared" si="3"/>
        <v>9363.66</v>
      </c>
    </row>
    <row r="233" spans="1:21" ht="15" customHeight="1" x14ac:dyDescent="0.25">
      <c r="A233" t="s">
        <v>2774</v>
      </c>
      <c r="B233" s="8">
        <v>44820</v>
      </c>
      <c r="C233" s="8">
        <v>44820</v>
      </c>
      <c r="D233" t="s">
        <v>32</v>
      </c>
      <c r="E233" t="s">
        <v>3044</v>
      </c>
      <c r="F233" t="s">
        <v>3064</v>
      </c>
      <c r="G233" t="s">
        <v>2776</v>
      </c>
      <c r="H233">
        <v>9016367876</v>
      </c>
      <c r="I233" t="s">
        <v>35</v>
      </c>
      <c r="J233" t="s">
        <v>25</v>
      </c>
      <c r="K233" t="s">
        <v>126</v>
      </c>
      <c r="L233" t="s">
        <v>27</v>
      </c>
      <c r="M233" t="s">
        <v>354</v>
      </c>
      <c r="N233" t="s">
        <v>433</v>
      </c>
      <c r="O233">
        <v>4</v>
      </c>
      <c r="P233">
        <v>3652.08</v>
      </c>
      <c r="Q233">
        <v>25</v>
      </c>
      <c r="R233">
        <v>3652.08</v>
      </c>
      <c r="S233" s="11">
        <v>10956.24</v>
      </c>
      <c r="T233">
        <v>3151.32</v>
      </c>
      <c r="U233">
        <f t="shared" si="3"/>
        <v>10956.24</v>
      </c>
    </row>
    <row r="234" spans="1:21" ht="15" customHeight="1" x14ac:dyDescent="0.25">
      <c r="A234" t="s">
        <v>2407</v>
      </c>
      <c r="B234" s="8">
        <v>44822</v>
      </c>
      <c r="C234" s="8">
        <v>44829</v>
      </c>
      <c r="D234" t="s">
        <v>48</v>
      </c>
      <c r="E234" t="s">
        <v>3044</v>
      </c>
      <c r="F234" t="s">
        <v>3074</v>
      </c>
      <c r="G234" t="s">
        <v>1972</v>
      </c>
      <c r="H234">
        <v>8134503204</v>
      </c>
      <c r="I234" t="s">
        <v>24</v>
      </c>
      <c r="J234" t="s">
        <v>25</v>
      </c>
      <c r="K234" t="s">
        <v>36</v>
      </c>
      <c r="L234" t="s">
        <v>85</v>
      </c>
      <c r="M234" t="s">
        <v>243</v>
      </c>
      <c r="N234" t="s">
        <v>613</v>
      </c>
      <c r="O234">
        <v>9</v>
      </c>
      <c r="P234">
        <v>80976.789999999994</v>
      </c>
      <c r="Q234">
        <v>5</v>
      </c>
      <c r="R234">
        <v>36439.56</v>
      </c>
      <c r="S234" s="11">
        <v>692351.55</v>
      </c>
      <c r="T234">
        <v>285097.46000000002</v>
      </c>
      <c r="U234">
        <f t="shared" si="3"/>
        <v>692351.55</v>
      </c>
    </row>
    <row r="235" spans="1:21" ht="15" customHeight="1" x14ac:dyDescent="0.25">
      <c r="A235" t="s">
        <v>2595</v>
      </c>
      <c r="B235" s="8">
        <v>44822</v>
      </c>
      <c r="C235" s="8">
        <v>44826</v>
      </c>
      <c r="D235" t="s">
        <v>73</v>
      </c>
      <c r="E235" t="s">
        <v>3094</v>
      </c>
      <c r="F235" t="s">
        <v>3043</v>
      </c>
      <c r="G235" t="s">
        <v>2597</v>
      </c>
      <c r="H235">
        <v>8035179188</v>
      </c>
      <c r="I235" t="s">
        <v>43</v>
      </c>
      <c r="J235" t="s">
        <v>51</v>
      </c>
      <c r="K235" t="s">
        <v>227</v>
      </c>
      <c r="L235" t="s">
        <v>108</v>
      </c>
      <c r="M235" t="s">
        <v>189</v>
      </c>
      <c r="N235" t="s">
        <v>478</v>
      </c>
      <c r="O235">
        <v>11</v>
      </c>
      <c r="P235">
        <v>40293.949999999997</v>
      </c>
      <c r="Q235">
        <v>25</v>
      </c>
      <c r="R235">
        <v>110808.36</v>
      </c>
      <c r="S235" s="11">
        <v>332425.09000000003</v>
      </c>
      <c r="T235">
        <v>125801.92</v>
      </c>
      <c r="U235">
        <f t="shared" si="3"/>
        <v>332425.09000000003</v>
      </c>
    </row>
    <row r="236" spans="1:21" ht="15" customHeight="1" x14ac:dyDescent="0.25">
      <c r="A236" t="s">
        <v>809</v>
      </c>
      <c r="B236" s="8">
        <v>44822</v>
      </c>
      <c r="C236" s="8">
        <v>44824</v>
      </c>
      <c r="D236" t="s">
        <v>20</v>
      </c>
      <c r="E236" t="s">
        <v>3049</v>
      </c>
      <c r="F236" t="s">
        <v>3078</v>
      </c>
      <c r="G236" t="s">
        <v>811</v>
      </c>
      <c r="H236">
        <v>8031543292</v>
      </c>
      <c r="I236" t="s">
        <v>43</v>
      </c>
      <c r="J236" t="s">
        <v>61</v>
      </c>
      <c r="K236" t="s">
        <v>204</v>
      </c>
      <c r="L236" t="s">
        <v>85</v>
      </c>
      <c r="M236" t="s">
        <v>266</v>
      </c>
      <c r="N236" t="s">
        <v>593</v>
      </c>
      <c r="O236">
        <v>20</v>
      </c>
      <c r="P236">
        <v>166418.57</v>
      </c>
      <c r="Q236">
        <v>5</v>
      </c>
      <c r="R236">
        <v>166418.57</v>
      </c>
      <c r="S236" s="11">
        <v>3161952.83</v>
      </c>
      <c r="T236">
        <v>739226.83</v>
      </c>
      <c r="U236">
        <f t="shared" si="3"/>
        <v>3161952.83</v>
      </c>
    </row>
    <row r="237" spans="1:21" ht="15" customHeight="1" x14ac:dyDescent="0.25">
      <c r="A237" t="s">
        <v>170</v>
      </c>
      <c r="B237" s="8">
        <v>44822</v>
      </c>
      <c r="C237" s="8">
        <v>44824</v>
      </c>
      <c r="D237" t="s">
        <v>20</v>
      </c>
      <c r="E237" t="s">
        <v>3051</v>
      </c>
      <c r="F237" t="s">
        <v>3069</v>
      </c>
      <c r="G237" t="s">
        <v>172</v>
      </c>
      <c r="H237">
        <v>9073919694</v>
      </c>
      <c r="I237" t="s">
        <v>43</v>
      </c>
      <c r="J237" t="s">
        <v>69</v>
      </c>
      <c r="K237" t="s">
        <v>144</v>
      </c>
      <c r="L237" t="s">
        <v>27</v>
      </c>
      <c r="M237" t="s">
        <v>173</v>
      </c>
      <c r="N237" t="s">
        <v>174</v>
      </c>
      <c r="O237">
        <v>1</v>
      </c>
      <c r="P237">
        <v>3426.78</v>
      </c>
      <c r="Q237">
        <v>10</v>
      </c>
      <c r="R237">
        <v>342.68</v>
      </c>
      <c r="S237" s="11">
        <v>3084.1</v>
      </c>
      <c r="T237">
        <v>68.31</v>
      </c>
      <c r="U237">
        <f t="shared" si="3"/>
        <v>3084.1</v>
      </c>
    </row>
    <row r="238" spans="1:21" ht="15" customHeight="1" x14ac:dyDescent="0.25">
      <c r="A238" t="s">
        <v>1842</v>
      </c>
      <c r="B238" s="8">
        <v>44825</v>
      </c>
      <c r="C238" s="8">
        <v>44828</v>
      </c>
      <c r="D238" t="s">
        <v>20</v>
      </c>
      <c r="E238" t="s">
        <v>3044</v>
      </c>
      <c r="F238" t="s">
        <v>3077</v>
      </c>
      <c r="G238" t="s">
        <v>1844</v>
      </c>
      <c r="H238">
        <v>8167405244</v>
      </c>
      <c r="I238" t="s">
        <v>43</v>
      </c>
      <c r="J238" t="s">
        <v>61</v>
      </c>
      <c r="K238" t="s">
        <v>84</v>
      </c>
      <c r="L238" t="s">
        <v>85</v>
      </c>
      <c r="M238" t="s">
        <v>486</v>
      </c>
      <c r="N238" t="s">
        <v>1018</v>
      </c>
      <c r="O238">
        <v>9</v>
      </c>
      <c r="P238">
        <v>22319.7</v>
      </c>
      <c r="Q238">
        <v>15</v>
      </c>
      <c r="R238">
        <v>30131.599999999999</v>
      </c>
      <c r="S238" s="11">
        <v>170745.7</v>
      </c>
      <c r="T238">
        <v>70709.14</v>
      </c>
      <c r="U238">
        <f t="shared" si="3"/>
        <v>170745.7</v>
      </c>
    </row>
    <row r="239" spans="1:21" ht="15" customHeight="1" x14ac:dyDescent="0.25">
      <c r="A239" t="s">
        <v>491</v>
      </c>
      <c r="B239" s="8">
        <v>44826</v>
      </c>
      <c r="C239" s="8">
        <v>44830</v>
      </c>
      <c r="D239" t="s">
        <v>73</v>
      </c>
      <c r="E239" t="s">
        <v>3092</v>
      </c>
      <c r="F239" t="s">
        <v>3086</v>
      </c>
      <c r="G239" t="s">
        <v>493</v>
      </c>
      <c r="H239">
        <v>8033083077</v>
      </c>
      <c r="I239" t="s">
        <v>24</v>
      </c>
      <c r="J239" t="s">
        <v>51</v>
      </c>
      <c r="K239" t="s">
        <v>131</v>
      </c>
      <c r="L239" t="s">
        <v>27</v>
      </c>
      <c r="M239" t="s">
        <v>354</v>
      </c>
      <c r="N239" t="s">
        <v>494</v>
      </c>
      <c r="O239">
        <v>11</v>
      </c>
      <c r="P239">
        <v>1567.86</v>
      </c>
      <c r="Q239">
        <v>5</v>
      </c>
      <c r="R239">
        <v>862.32</v>
      </c>
      <c r="S239" s="11">
        <v>16384.14</v>
      </c>
      <c r="T239">
        <v>943.95</v>
      </c>
      <c r="U239">
        <f t="shared" si="3"/>
        <v>16384.14</v>
      </c>
    </row>
    <row r="240" spans="1:21" ht="15" customHeight="1" x14ac:dyDescent="0.25">
      <c r="A240" t="s">
        <v>2217</v>
      </c>
      <c r="B240" s="8">
        <v>44826</v>
      </c>
      <c r="C240" s="8">
        <v>44828</v>
      </c>
      <c r="D240" t="s">
        <v>20</v>
      </c>
      <c r="E240" t="s">
        <v>3047</v>
      </c>
      <c r="F240" t="s">
        <v>3079</v>
      </c>
      <c r="G240" t="s">
        <v>2218</v>
      </c>
      <c r="H240">
        <v>8066591646</v>
      </c>
      <c r="I240" t="s">
        <v>24</v>
      </c>
      <c r="J240" t="s">
        <v>414</v>
      </c>
      <c r="K240" t="s">
        <v>36</v>
      </c>
      <c r="L240" t="s">
        <v>63</v>
      </c>
      <c r="M240" t="s">
        <v>194</v>
      </c>
      <c r="N240" t="s">
        <v>195</v>
      </c>
      <c r="O240">
        <v>2</v>
      </c>
      <c r="P240">
        <v>2054.89</v>
      </c>
      <c r="Q240">
        <v>25</v>
      </c>
      <c r="R240">
        <v>1027.44</v>
      </c>
      <c r="S240" s="11">
        <v>3082.34</v>
      </c>
      <c r="T240">
        <v>-73.12</v>
      </c>
      <c r="U240">
        <f t="shared" si="3"/>
        <v>3082.34</v>
      </c>
    </row>
    <row r="241" spans="1:21" ht="15" customHeight="1" x14ac:dyDescent="0.25">
      <c r="A241" t="s">
        <v>2004</v>
      </c>
      <c r="B241" s="8">
        <v>44829</v>
      </c>
      <c r="C241" s="8">
        <v>44837</v>
      </c>
      <c r="D241" t="s">
        <v>48</v>
      </c>
      <c r="E241" t="s">
        <v>3097</v>
      </c>
      <c r="F241" t="s">
        <v>3062</v>
      </c>
      <c r="G241" t="s">
        <v>615</v>
      </c>
      <c r="H241">
        <v>9074720435</v>
      </c>
      <c r="I241" t="s">
        <v>43</v>
      </c>
      <c r="J241" t="s">
        <v>25</v>
      </c>
      <c r="K241" t="s">
        <v>36</v>
      </c>
      <c r="L241" t="s">
        <v>63</v>
      </c>
      <c r="M241" t="s">
        <v>54</v>
      </c>
      <c r="N241" t="s">
        <v>963</v>
      </c>
      <c r="O241">
        <v>13</v>
      </c>
      <c r="P241">
        <v>21091.19</v>
      </c>
      <c r="Q241">
        <v>10</v>
      </c>
      <c r="R241">
        <v>27418.55</v>
      </c>
      <c r="S241" s="11">
        <v>246766.92</v>
      </c>
      <c r="T241">
        <v>60594.76</v>
      </c>
      <c r="U241">
        <f t="shared" si="3"/>
        <v>246766.92</v>
      </c>
    </row>
    <row r="242" spans="1:21" ht="15" customHeight="1" x14ac:dyDescent="0.25">
      <c r="A242" t="s">
        <v>800</v>
      </c>
      <c r="B242" s="8">
        <v>44829</v>
      </c>
      <c r="C242" s="8">
        <v>44833</v>
      </c>
      <c r="D242" t="s">
        <v>73</v>
      </c>
      <c r="E242" t="s">
        <v>3065</v>
      </c>
      <c r="F242" t="s">
        <v>3079</v>
      </c>
      <c r="G242" t="s">
        <v>802</v>
      </c>
      <c r="H242">
        <v>8031367637</v>
      </c>
      <c r="I242" t="s">
        <v>43</v>
      </c>
      <c r="J242" t="s">
        <v>69</v>
      </c>
      <c r="K242" t="s">
        <v>307</v>
      </c>
      <c r="L242" t="s">
        <v>85</v>
      </c>
      <c r="M242" t="s">
        <v>266</v>
      </c>
      <c r="N242" t="s">
        <v>803</v>
      </c>
      <c r="O242">
        <v>17</v>
      </c>
      <c r="P242">
        <v>141191.04000000001</v>
      </c>
      <c r="Q242">
        <v>10</v>
      </c>
      <c r="R242">
        <v>240024.77</v>
      </c>
      <c r="S242" s="11" t="s">
        <v>804</v>
      </c>
      <c r="T242">
        <v>920979.17</v>
      </c>
      <c r="U242">
        <f t="shared" si="3"/>
        <v>2160222.91</v>
      </c>
    </row>
    <row r="243" spans="1:21" ht="15" customHeight="1" x14ac:dyDescent="0.25">
      <c r="A243" t="s">
        <v>1819</v>
      </c>
      <c r="B243" s="8">
        <v>44830</v>
      </c>
      <c r="C243" s="8">
        <v>44837</v>
      </c>
      <c r="D243" t="s">
        <v>48</v>
      </c>
      <c r="E243" t="s">
        <v>3035</v>
      </c>
      <c r="F243" t="s">
        <v>3086</v>
      </c>
      <c r="G243" t="s">
        <v>1821</v>
      </c>
      <c r="H243">
        <v>8036101515</v>
      </c>
      <c r="I243" t="s">
        <v>43</v>
      </c>
      <c r="J243" t="s">
        <v>676</v>
      </c>
      <c r="K243" t="s">
        <v>84</v>
      </c>
      <c r="L243" t="s">
        <v>108</v>
      </c>
      <c r="M243" t="s">
        <v>109</v>
      </c>
      <c r="N243" t="s">
        <v>426</v>
      </c>
      <c r="O243">
        <v>16</v>
      </c>
      <c r="P243">
        <v>7915.12</v>
      </c>
      <c r="Q243">
        <v>10</v>
      </c>
      <c r="R243">
        <v>12664.19</v>
      </c>
      <c r="S243" s="11">
        <v>113977.73</v>
      </c>
      <c r="T243">
        <v>44261.07</v>
      </c>
      <c r="U243">
        <f t="shared" si="3"/>
        <v>113977.73</v>
      </c>
    </row>
    <row r="244" spans="1:21" ht="15" customHeight="1" x14ac:dyDescent="0.25">
      <c r="A244" t="s">
        <v>1256</v>
      </c>
      <c r="B244" s="8">
        <v>44831</v>
      </c>
      <c r="C244" s="8">
        <v>44831</v>
      </c>
      <c r="D244" t="s">
        <v>32</v>
      </c>
      <c r="E244" t="s">
        <v>3039</v>
      </c>
      <c r="F244" t="s">
        <v>3038</v>
      </c>
      <c r="G244" t="s">
        <v>1257</v>
      </c>
      <c r="H244">
        <v>8168808058</v>
      </c>
      <c r="I244" t="s">
        <v>35</v>
      </c>
      <c r="J244" t="s">
        <v>61</v>
      </c>
      <c r="K244" t="s">
        <v>84</v>
      </c>
      <c r="L244" t="s">
        <v>108</v>
      </c>
      <c r="M244" t="s">
        <v>109</v>
      </c>
      <c r="N244" t="s">
        <v>1258</v>
      </c>
      <c r="O244">
        <v>20</v>
      </c>
      <c r="P244">
        <v>8180.03</v>
      </c>
      <c r="Q244">
        <v>10</v>
      </c>
      <c r="R244">
        <v>16360.06</v>
      </c>
      <c r="S244" s="11">
        <v>147240.54</v>
      </c>
      <c r="T244">
        <v>58560.06</v>
      </c>
      <c r="U244">
        <f t="shared" si="3"/>
        <v>147240.54</v>
      </c>
    </row>
    <row r="245" spans="1:21" ht="15" customHeight="1" x14ac:dyDescent="0.25">
      <c r="A245" t="s">
        <v>2961</v>
      </c>
      <c r="B245" s="8">
        <v>44833</v>
      </c>
      <c r="C245" s="8">
        <v>44836</v>
      </c>
      <c r="D245" t="s">
        <v>20</v>
      </c>
      <c r="E245" t="s">
        <v>3089</v>
      </c>
      <c r="F245" t="s">
        <v>3077</v>
      </c>
      <c r="G245" t="s">
        <v>2809</v>
      </c>
      <c r="H245">
        <v>7063034475</v>
      </c>
      <c r="I245" t="s">
        <v>24</v>
      </c>
      <c r="J245" t="s">
        <v>61</v>
      </c>
      <c r="K245" t="s">
        <v>84</v>
      </c>
      <c r="L245" t="s">
        <v>85</v>
      </c>
      <c r="M245" t="s">
        <v>218</v>
      </c>
      <c r="N245" t="s">
        <v>219</v>
      </c>
      <c r="O245">
        <v>18</v>
      </c>
      <c r="P245">
        <v>20785.8</v>
      </c>
      <c r="Q245">
        <v>10</v>
      </c>
      <c r="R245">
        <v>37414.44</v>
      </c>
      <c r="S245" s="11">
        <v>336729.96</v>
      </c>
      <c r="T245">
        <v>11536.01</v>
      </c>
      <c r="U245">
        <f t="shared" si="3"/>
        <v>336729.96</v>
      </c>
    </row>
    <row r="246" spans="1:21" ht="15" customHeight="1" x14ac:dyDescent="0.25">
      <c r="A246" t="s">
        <v>1739</v>
      </c>
      <c r="B246" s="8">
        <v>44834</v>
      </c>
      <c r="C246" s="8">
        <v>44835</v>
      </c>
      <c r="D246" t="s">
        <v>32</v>
      </c>
      <c r="E246" t="s">
        <v>3065</v>
      </c>
      <c r="F246" t="s">
        <v>3040</v>
      </c>
      <c r="G246" t="s">
        <v>1741</v>
      </c>
      <c r="H246">
        <v>8039088805</v>
      </c>
      <c r="I246" t="s">
        <v>43</v>
      </c>
      <c r="J246" t="s">
        <v>25</v>
      </c>
      <c r="K246" t="s">
        <v>36</v>
      </c>
      <c r="L246" t="s">
        <v>96</v>
      </c>
      <c r="M246" t="s">
        <v>97</v>
      </c>
      <c r="N246" t="s">
        <v>98</v>
      </c>
      <c r="O246">
        <v>19</v>
      </c>
      <c r="P246">
        <v>279712</v>
      </c>
      <c r="Q246">
        <v>20</v>
      </c>
      <c r="R246">
        <v>1062905.6000000001</v>
      </c>
      <c r="S246" s="11">
        <v>4251622.4000000004</v>
      </c>
      <c r="T246">
        <v>337675.92</v>
      </c>
      <c r="U246">
        <f t="shared" si="3"/>
        <v>4251622.4000000004</v>
      </c>
    </row>
    <row r="247" spans="1:21" ht="15" customHeight="1" x14ac:dyDescent="0.25">
      <c r="A247" t="s">
        <v>1695</v>
      </c>
      <c r="B247" s="8">
        <v>44837</v>
      </c>
      <c r="C247" s="8">
        <v>44842</v>
      </c>
      <c r="D247" t="s">
        <v>48</v>
      </c>
      <c r="E247" t="s">
        <v>3076</v>
      </c>
      <c r="F247" t="s">
        <v>3071</v>
      </c>
      <c r="G247" t="s">
        <v>1697</v>
      </c>
      <c r="H247">
        <v>8131690263</v>
      </c>
      <c r="I247" t="s">
        <v>24</v>
      </c>
      <c r="J247" t="s">
        <v>51</v>
      </c>
      <c r="K247" t="s">
        <v>223</v>
      </c>
      <c r="L247" t="s">
        <v>108</v>
      </c>
      <c r="M247" t="s">
        <v>189</v>
      </c>
      <c r="N247" t="s">
        <v>205</v>
      </c>
      <c r="O247">
        <v>15</v>
      </c>
      <c r="P247">
        <v>16464.080000000002</v>
      </c>
      <c r="Q247">
        <v>20</v>
      </c>
      <c r="R247">
        <v>49392.24</v>
      </c>
      <c r="S247" s="11">
        <v>197568.96</v>
      </c>
      <c r="T247">
        <v>21634.47</v>
      </c>
      <c r="U247">
        <f t="shared" si="3"/>
        <v>197568.96</v>
      </c>
    </row>
    <row r="248" spans="1:21" ht="15" customHeight="1" x14ac:dyDescent="0.25">
      <c r="A248" t="s">
        <v>2565</v>
      </c>
      <c r="B248" s="8">
        <v>44838</v>
      </c>
      <c r="C248" s="8">
        <v>44843</v>
      </c>
      <c r="D248" t="s">
        <v>73</v>
      </c>
      <c r="E248" t="s">
        <v>3093</v>
      </c>
      <c r="F248" t="s">
        <v>3069</v>
      </c>
      <c r="G248" t="s">
        <v>2566</v>
      </c>
      <c r="H248">
        <v>8102861798</v>
      </c>
      <c r="I248" t="s">
        <v>35</v>
      </c>
      <c r="J248" t="s">
        <v>25</v>
      </c>
      <c r="K248" t="s">
        <v>44</v>
      </c>
      <c r="L248" t="s">
        <v>85</v>
      </c>
      <c r="M248" t="s">
        <v>243</v>
      </c>
      <c r="N248" t="s">
        <v>404</v>
      </c>
      <c r="O248">
        <v>3</v>
      </c>
      <c r="P248">
        <v>130362.21</v>
      </c>
      <c r="Q248">
        <v>10</v>
      </c>
      <c r="R248">
        <v>39108.660000000003</v>
      </c>
      <c r="S248" s="11">
        <v>351977.97</v>
      </c>
      <c r="T248">
        <v>74509.350000000006</v>
      </c>
      <c r="U248">
        <f t="shared" si="3"/>
        <v>351977.97</v>
      </c>
    </row>
    <row r="249" spans="1:21" ht="15" customHeight="1" x14ac:dyDescent="0.25">
      <c r="A249" t="s">
        <v>1554</v>
      </c>
      <c r="B249" s="8">
        <v>44838</v>
      </c>
      <c r="C249" s="8">
        <v>44841</v>
      </c>
      <c r="D249" t="s">
        <v>73</v>
      </c>
      <c r="E249" t="s">
        <v>3050</v>
      </c>
      <c r="F249" t="s">
        <v>3038</v>
      </c>
      <c r="G249" t="s">
        <v>1555</v>
      </c>
      <c r="H249">
        <v>9014157826</v>
      </c>
      <c r="I249" t="s">
        <v>35</v>
      </c>
      <c r="J249" t="s">
        <v>69</v>
      </c>
      <c r="K249" t="s">
        <v>144</v>
      </c>
      <c r="L249" t="s">
        <v>96</v>
      </c>
      <c r="M249" t="s">
        <v>385</v>
      </c>
      <c r="N249" t="s">
        <v>942</v>
      </c>
      <c r="O249">
        <v>8</v>
      </c>
      <c r="P249">
        <v>297151.09999999998</v>
      </c>
      <c r="Q249">
        <v>15</v>
      </c>
      <c r="R249">
        <v>356581.32</v>
      </c>
      <c r="S249" s="11">
        <v>2020627.48</v>
      </c>
      <c r="T249">
        <v>717835.64</v>
      </c>
      <c r="U249">
        <f t="shared" si="3"/>
        <v>2020627.48</v>
      </c>
    </row>
    <row r="250" spans="1:21" ht="15" customHeight="1" x14ac:dyDescent="0.25">
      <c r="A250" t="s">
        <v>2808</v>
      </c>
      <c r="B250" s="8">
        <v>44840</v>
      </c>
      <c r="C250" s="8">
        <v>44848</v>
      </c>
      <c r="D250" t="s">
        <v>48</v>
      </c>
      <c r="E250" t="s">
        <v>3089</v>
      </c>
      <c r="F250" t="s">
        <v>3077</v>
      </c>
      <c r="G250" t="s">
        <v>2809</v>
      </c>
      <c r="H250">
        <v>8061544925</v>
      </c>
      <c r="I250" t="s">
        <v>24</v>
      </c>
      <c r="J250" t="s">
        <v>25</v>
      </c>
      <c r="K250" t="s">
        <v>36</v>
      </c>
      <c r="L250" t="s">
        <v>63</v>
      </c>
      <c r="M250" t="s">
        <v>54</v>
      </c>
      <c r="N250" t="s">
        <v>55</v>
      </c>
      <c r="O250">
        <v>14</v>
      </c>
      <c r="P250">
        <v>13658.5</v>
      </c>
      <c r="Q250">
        <v>10</v>
      </c>
      <c r="R250">
        <v>19121.900000000001</v>
      </c>
      <c r="S250" s="11">
        <v>172097.1</v>
      </c>
      <c r="T250">
        <v>-21793.81</v>
      </c>
      <c r="U250">
        <f t="shared" si="3"/>
        <v>172097.1</v>
      </c>
    </row>
    <row r="251" spans="1:21" ht="15" customHeight="1" x14ac:dyDescent="0.25">
      <c r="A251" t="s">
        <v>653</v>
      </c>
      <c r="B251" s="8">
        <v>44840</v>
      </c>
      <c r="C251" s="8">
        <v>44841</v>
      </c>
      <c r="D251" t="s">
        <v>32</v>
      </c>
      <c r="E251" t="s">
        <v>3041</v>
      </c>
      <c r="F251" t="s">
        <v>3088</v>
      </c>
      <c r="G251" t="s">
        <v>655</v>
      </c>
      <c r="H251">
        <v>8146271120</v>
      </c>
      <c r="I251" t="s">
        <v>43</v>
      </c>
      <c r="J251" t="s">
        <v>51</v>
      </c>
      <c r="K251" t="s">
        <v>316</v>
      </c>
      <c r="L251" t="s">
        <v>85</v>
      </c>
      <c r="M251" t="s">
        <v>486</v>
      </c>
      <c r="N251" t="s">
        <v>543</v>
      </c>
      <c r="O251">
        <v>16</v>
      </c>
      <c r="P251">
        <v>58129.08</v>
      </c>
      <c r="Q251">
        <v>5</v>
      </c>
      <c r="R251">
        <v>46503.26</v>
      </c>
      <c r="S251" s="11">
        <v>883562.02</v>
      </c>
      <c r="T251">
        <v>40230.120000000003</v>
      </c>
      <c r="U251">
        <f t="shared" si="3"/>
        <v>883562.02</v>
      </c>
    </row>
    <row r="252" spans="1:21" ht="15" customHeight="1" x14ac:dyDescent="0.25">
      <c r="A252" t="s">
        <v>444</v>
      </c>
      <c r="B252" s="8">
        <v>44846</v>
      </c>
      <c r="C252" s="8">
        <v>44847</v>
      </c>
      <c r="D252" t="s">
        <v>32</v>
      </c>
      <c r="E252" t="s">
        <v>3053</v>
      </c>
      <c r="F252" t="s">
        <v>3088</v>
      </c>
      <c r="G252" t="s">
        <v>446</v>
      </c>
      <c r="H252">
        <v>8061318832</v>
      </c>
      <c r="I252" t="s">
        <v>43</v>
      </c>
      <c r="J252" t="s">
        <v>61</v>
      </c>
      <c r="K252" t="s">
        <v>95</v>
      </c>
      <c r="L252" t="s">
        <v>63</v>
      </c>
      <c r="M252" t="s">
        <v>54</v>
      </c>
      <c r="N252" t="s">
        <v>150</v>
      </c>
      <c r="O252">
        <v>20</v>
      </c>
      <c r="P252">
        <v>13945.7</v>
      </c>
      <c r="Q252">
        <v>25</v>
      </c>
      <c r="R252">
        <v>69728.5</v>
      </c>
      <c r="S252" s="11">
        <v>209185.5</v>
      </c>
      <c r="T252">
        <v>21745.43</v>
      </c>
      <c r="U252">
        <f t="shared" si="3"/>
        <v>209185.5</v>
      </c>
    </row>
    <row r="253" spans="1:21" ht="15" customHeight="1" x14ac:dyDescent="0.25">
      <c r="A253" t="s">
        <v>2667</v>
      </c>
      <c r="B253" s="8">
        <v>44847</v>
      </c>
      <c r="C253" s="8">
        <v>44850</v>
      </c>
      <c r="D253" t="s">
        <v>73</v>
      </c>
      <c r="E253" t="s">
        <v>3080</v>
      </c>
      <c r="F253" t="s">
        <v>3057</v>
      </c>
      <c r="G253" t="s">
        <v>1014</v>
      </c>
      <c r="H253">
        <v>8149323942</v>
      </c>
      <c r="I253" t="s">
        <v>35</v>
      </c>
      <c r="J253" t="s">
        <v>69</v>
      </c>
      <c r="K253" t="s">
        <v>307</v>
      </c>
      <c r="L253" t="s">
        <v>63</v>
      </c>
      <c r="M253" t="s">
        <v>194</v>
      </c>
      <c r="N253" t="s">
        <v>257</v>
      </c>
      <c r="O253">
        <v>17</v>
      </c>
      <c r="P253">
        <v>1003.17</v>
      </c>
      <c r="Q253">
        <v>10</v>
      </c>
      <c r="R253">
        <v>1705.39</v>
      </c>
      <c r="S253" s="11">
        <v>15348.5</v>
      </c>
      <c r="T253">
        <v>3543.96</v>
      </c>
      <c r="U253">
        <f t="shared" si="3"/>
        <v>15348.5</v>
      </c>
    </row>
    <row r="254" spans="1:21" ht="15" customHeight="1" x14ac:dyDescent="0.25">
      <c r="A254" t="s">
        <v>2646</v>
      </c>
      <c r="B254" s="8">
        <v>44847</v>
      </c>
      <c r="C254" s="8">
        <v>44850</v>
      </c>
      <c r="D254" t="s">
        <v>73</v>
      </c>
      <c r="E254" t="s">
        <v>3058</v>
      </c>
      <c r="F254" t="s">
        <v>3050</v>
      </c>
      <c r="G254" t="s">
        <v>1107</v>
      </c>
      <c r="H254">
        <v>8069411821</v>
      </c>
      <c r="I254" t="s">
        <v>43</v>
      </c>
      <c r="J254" t="s">
        <v>61</v>
      </c>
      <c r="K254" t="s">
        <v>84</v>
      </c>
      <c r="L254" t="s">
        <v>27</v>
      </c>
      <c r="M254" t="s">
        <v>79</v>
      </c>
      <c r="N254" t="s">
        <v>234</v>
      </c>
      <c r="O254">
        <v>1</v>
      </c>
      <c r="P254">
        <v>1099.3800000000001</v>
      </c>
      <c r="Q254">
        <v>10</v>
      </c>
      <c r="R254">
        <v>109.94</v>
      </c>
      <c r="S254" s="11">
        <v>989.44</v>
      </c>
      <c r="T254">
        <v>406.37</v>
      </c>
      <c r="U254">
        <f t="shared" si="3"/>
        <v>989.44</v>
      </c>
    </row>
    <row r="255" spans="1:21" ht="15" customHeight="1" x14ac:dyDescent="0.25">
      <c r="A255" t="s">
        <v>2384</v>
      </c>
      <c r="B255" s="8">
        <v>44848</v>
      </c>
      <c r="C255" s="8">
        <v>44851</v>
      </c>
      <c r="D255" t="s">
        <v>20</v>
      </c>
      <c r="E255" t="s">
        <v>3091</v>
      </c>
      <c r="F255" t="s">
        <v>3046</v>
      </c>
      <c r="G255" t="s">
        <v>2386</v>
      </c>
      <c r="H255">
        <v>8135293781</v>
      </c>
      <c r="I255" t="s">
        <v>43</v>
      </c>
      <c r="J255" t="s">
        <v>69</v>
      </c>
      <c r="K255" t="s">
        <v>307</v>
      </c>
      <c r="L255" t="s">
        <v>63</v>
      </c>
      <c r="M255" t="s">
        <v>194</v>
      </c>
      <c r="N255" t="s">
        <v>716</v>
      </c>
      <c r="O255">
        <v>14</v>
      </c>
      <c r="P255">
        <v>1080.1400000000001</v>
      </c>
      <c r="Q255">
        <v>15</v>
      </c>
      <c r="R255">
        <v>2268.29</v>
      </c>
      <c r="S255" s="11">
        <v>12853.67</v>
      </c>
      <c r="T255">
        <v>583.70000000000005</v>
      </c>
      <c r="U255">
        <f t="shared" si="3"/>
        <v>12853.67</v>
      </c>
    </row>
    <row r="256" spans="1:21" ht="15" customHeight="1" x14ac:dyDescent="0.25">
      <c r="A256" t="s">
        <v>632</v>
      </c>
      <c r="B256" s="8">
        <v>44848</v>
      </c>
      <c r="C256" s="8">
        <v>44848</v>
      </c>
      <c r="D256" t="s">
        <v>32</v>
      </c>
      <c r="E256" t="s">
        <v>3092</v>
      </c>
      <c r="F256" t="s">
        <v>3034</v>
      </c>
      <c r="G256" t="s">
        <v>634</v>
      </c>
      <c r="H256">
        <v>8032638895</v>
      </c>
      <c r="I256" t="s">
        <v>43</v>
      </c>
      <c r="J256" t="s">
        <v>69</v>
      </c>
      <c r="K256" t="s">
        <v>155</v>
      </c>
      <c r="L256" t="s">
        <v>108</v>
      </c>
      <c r="M256" t="s">
        <v>109</v>
      </c>
      <c r="N256" t="s">
        <v>110</v>
      </c>
      <c r="O256" t="s">
        <v>635</v>
      </c>
      <c r="P256" t="s">
        <v>636</v>
      </c>
      <c r="Q256">
        <v>15</v>
      </c>
      <c r="R256">
        <v>49936.47</v>
      </c>
      <c r="S256" s="11">
        <v>282973.33</v>
      </c>
      <c r="T256">
        <v>122061.2</v>
      </c>
      <c r="U256">
        <f t="shared" si="3"/>
        <v>282973.33</v>
      </c>
    </row>
    <row r="257" spans="1:21" ht="15" customHeight="1" x14ac:dyDescent="0.25">
      <c r="A257" t="s">
        <v>2448</v>
      </c>
      <c r="B257" s="8">
        <v>44849</v>
      </c>
      <c r="C257" s="8">
        <v>44852</v>
      </c>
      <c r="D257" t="s">
        <v>20</v>
      </c>
      <c r="E257" t="s">
        <v>3056</v>
      </c>
      <c r="F257" t="s">
        <v>3034</v>
      </c>
      <c r="G257" t="s">
        <v>1032</v>
      </c>
      <c r="H257">
        <v>8138438704</v>
      </c>
      <c r="I257" t="s">
        <v>35</v>
      </c>
      <c r="J257" t="s">
        <v>51</v>
      </c>
      <c r="K257" t="s">
        <v>52</v>
      </c>
      <c r="L257" t="s">
        <v>85</v>
      </c>
      <c r="M257" t="s">
        <v>243</v>
      </c>
      <c r="N257" t="s">
        <v>404</v>
      </c>
      <c r="O257">
        <v>4</v>
      </c>
      <c r="P257">
        <v>9852.27</v>
      </c>
      <c r="Q257">
        <v>25</v>
      </c>
      <c r="R257">
        <v>9852.27</v>
      </c>
      <c r="S257" s="11">
        <v>29556.81</v>
      </c>
      <c r="T257">
        <v>1084.6300000000001</v>
      </c>
      <c r="U257">
        <f t="shared" si="3"/>
        <v>29556.81</v>
      </c>
    </row>
    <row r="258" spans="1:21" ht="15" customHeight="1" x14ac:dyDescent="0.25">
      <c r="A258" t="s">
        <v>337</v>
      </c>
      <c r="B258" s="8">
        <v>44850</v>
      </c>
      <c r="C258" s="8">
        <v>44856</v>
      </c>
      <c r="D258" t="s">
        <v>48</v>
      </c>
      <c r="E258" t="s">
        <v>3058</v>
      </c>
      <c r="F258" t="s">
        <v>3086</v>
      </c>
      <c r="G258" t="s">
        <v>339</v>
      </c>
      <c r="H258">
        <v>8067619862</v>
      </c>
      <c r="I258" t="s">
        <v>43</v>
      </c>
      <c r="J258" t="s">
        <v>51</v>
      </c>
      <c r="K258" t="s">
        <v>52</v>
      </c>
      <c r="L258" t="s">
        <v>96</v>
      </c>
      <c r="M258" t="s">
        <v>97</v>
      </c>
      <c r="N258" t="s">
        <v>169</v>
      </c>
      <c r="P258">
        <v>68761.100000000006</v>
      </c>
      <c r="Q258">
        <v>10</v>
      </c>
      <c r="R258">
        <v>82513.320000000007</v>
      </c>
      <c r="S258" s="11" t="s">
        <v>340</v>
      </c>
      <c r="T258">
        <v>149070.59</v>
      </c>
      <c r="U258">
        <f t="shared" ref="U258:U321" si="4">VALUE(S258)</f>
        <v>742619.88</v>
      </c>
    </row>
    <row r="259" spans="1:21" ht="15" customHeight="1" x14ac:dyDescent="0.25">
      <c r="A259" t="s">
        <v>1752</v>
      </c>
      <c r="B259" s="8">
        <v>44851</v>
      </c>
      <c r="C259" s="8">
        <v>44857</v>
      </c>
      <c r="D259" t="s">
        <v>48</v>
      </c>
      <c r="E259" t="s">
        <v>3033</v>
      </c>
      <c r="F259" t="s">
        <v>3100</v>
      </c>
      <c r="G259" t="s">
        <v>1754</v>
      </c>
      <c r="H259">
        <v>9054428815</v>
      </c>
      <c r="I259" t="s">
        <v>35</v>
      </c>
      <c r="J259" t="s">
        <v>69</v>
      </c>
      <c r="K259" t="s">
        <v>307</v>
      </c>
      <c r="L259" t="s">
        <v>85</v>
      </c>
      <c r="M259" t="s">
        <v>266</v>
      </c>
      <c r="N259" t="s">
        <v>267</v>
      </c>
      <c r="O259">
        <v>15</v>
      </c>
      <c r="P259">
        <v>81313.25</v>
      </c>
      <c r="Q259">
        <v>10</v>
      </c>
      <c r="R259">
        <v>121969.88</v>
      </c>
      <c r="S259" s="11">
        <v>1097728.8700000001</v>
      </c>
      <c r="T259">
        <v>-56538.21</v>
      </c>
      <c r="U259">
        <f t="shared" si="4"/>
        <v>1097728.8700000001</v>
      </c>
    </row>
    <row r="260" spans="1:21" ht="15" customHeight="1" x14ac:dyDescent="0.25">
      <c r="A260" t="s">
        <v>2245</v>
      </c>
      <c r="B260" s="8">
        <v>44851</v>
      </c>
      <c r="C260" s="8">
        <v>44855</v>
      </c>
      <c r="D260" t="s">
        <v>73</v>
      </c>
      <c r="E260" t="s">
        <v>3070</v>
      </c>
      <c r="F260" t="s">
        <v>3069</v>
      </c>
      <c r="H260">
        <v>9027228596</v>
      </c>
      <c r="I260" t="s">
        <v>24</v>
      </c>
      <c r="J260" t="s">
        <v>51</v>
      </c>
      <c r="K260" t="s">
        <v>227</v>
      </c>
      <c r="L260" t="s">
        <v>27</v>
      </c>
      <c r="M260" t="s">
        <v>173</v>
      </c>
      <c r="N260" t="s">
        <v>174</v>
      </c>
      <c r="O260">
        <v>7</v>
      </c>
      <c r="P260">
        <v>3935.25</v>
      </c>
      <c r="Q260">
        <v>10</v>
      </c>
      <c r="R260">
        <v>2754.68</v>
      </c>
      <c r="S260" s="11">
        <v>24792.07</v>
      </c>
      <c r="T260">
        <v>10071.719999999999</v>
      </c>
      <c r="U260">
        <f t="shared" si="4"/>
        <v>24792.07</v>
      </c>
    </row>
    <row r="261" spans="1:21" ht="15" customHeight="1" x14ac:dyDescent="0.25">
      <c r="A261" t="s">
        <v>687</v>
      </c>
      <c r="B261" s="8">
        <v>44851</v>
      </c>
      <c r="C261" s="8">
        <v>44854</v>
      </c>
      <c r="D261" t="s">
        <v>20</v>
      </c>
      <c r="E261" t="s">
        <v>3051</v>
      </c>
      <c r="F261" t="s">
        <v>3088</v>
      </c>
      <c r="G261" t="s">
        <v>689</v>
      </c>
      <c r="H261">
        <v>9057437584</v>
      </c>
      <c r="I261" t="s">
        <v>35</v>
      </c>
      <c r="J261" t="s">
        <v>51</v>
      </c>
      <c r="K261" t="s">
        <v>52</v>
      </c>
      <c r="L261" t="s">
        <v>108</v>
      </c>
      <c r="M261" t="s">
        <v>109</v>
      </c>
      <c r="N261" t="s">
        <v>690</v>
      </c>
      <c r="O261">
        <v>6</v>
      </c>
      <c r="P261">
        <v>29326.57</v>
      </c>
      <c r="Q261">
        <v>25</v>
      </c>
      <c r="R261">
        <v>43989.86</v>
      </c>
      <c r="S261" s="11">
        <v>131969.56</v>
      </c>
      <c r="T261">
        <v>-6582.73</v>
      </c>
      <c r="U261">
        <f t="shared" si="4"/>
        <v>131969.56</v>
      </c>
    </row>
    <row r="262" spans="1:21" ht="15" customHeight="1" x14ac:dyDescent="0.25">
      <c r="A262" t="s">
        <v>1941</v>
      </c>
      <c r="B262" s="8">
        <v>44851</v>
      </c>
      <c r="C262" s="8">
        <v>44853</v>
      </c>
      <c r="D262" t="s">
        <v>20</v>
      </c>
      <c r="E262" t="s">
        <v>3059</v>
      </c>
      <c r="F262" t="s">
        <v>3050</v>
      </c>
      <c r="G262" t="s">
        <v>1943</v>
      </c>
      <c r="H262">
        <v>9057987624</v>
      </c>
      <c r="I262" t="s">
        <v>35</v>
      </c>
      <c r="J262" t="s">
        <v>61</v>
      </c>
      <c r="K262" t="s">
        <v>95</v>
      </c>
      <c r="L262" t="s">
        <v>85</v>
      </c>
      <c r="M262" t="s">
        <v>218</v>
      </c>
      <c r="N262" t="s">
        <v>219</v>
      </c>
      <c r="O262">
        <v>17</v>
      </c>
      <c r="P262">
        <v>135891.97</v>
      </c>
      <c r="Q262">
        <v>10</v>
      </c>
      <c r="R262">
        <v>231016.35</v>
      </c>
      <c r="S262" s="11">
        <v>2079147.14</v>
      </c>
      <c r="T262">
        <v>274677.58</v>
      </c>
      <c r="U262">
        <f t="shared" si="4"/>
        <v>2079147.14</v>
      </c>
    </row>
    <row r="263" spans="1:21" ht="15" customHeight="1" x14ac:dyDescent="0.25">
      <c r="A263" t="s">
        <v>766</v>
      </c>
      <c r="B263" s="8">
        <v>44853</v>
      </c>
      <c r="C263" s="8">
        <v>44860</v>
      </c>
      <c r="D263" t="s">
        <v>48</v>
      </c>
      <c r="E263" t="s">
        <v>3081</v>
      </c>
      <c r="F263" t="s">
        <v>3090</v>
      </c>
      <c r="G263" t="s">
        <v>768</v>
      </c>
      <c r="H263">
        <v>8039720112</v>
      </c>
      <c r="I263" t="s">
        <v>43</v>
      </c>
      <c r="J263" t="s">
        <v>61</v>
      </c>
      <c r="K263" t="s">
        <v>204</v>
      </c>
      <c r="L263" t="s">
        <v>108</v>
      </c>
      <c r="M263" t="s">
        <v>38</v>
      </c>
      <c r="N263" t="s">
        <v>213</v>
      </c>
      <c r="O263">
        <v>3</v>
      </c>
      <c r="P263">
        <v>43905.86</v>
      </c>
      <c r="Q263">
        <v>0</v>
      </c>
      <c r="R263">
        <v>0</v>
      </c>
      <c r="S263" s="11">
        <v>131717.57999999999</v>
      </c>
      <c r="T263">
        <v>20186.599999999999</v>
      </c>
      <c r="U263">
        <f t="shared" si="4"/>
        <v>131717.57999999999</v>
      </c>
    </row>
    <row r="264" spans="1:21" ht="15" customHeight="1" x14ac:dyDescent="0.25">
      <c r="A264" t="s">
        <v>2258</v>
      </c>
      <c r="B264" s="8">
        <v>44854</v>
      </c>
      <c r="C264" s="8">
        <v>44857</v>
      </c>
      <c r="D264" t="s">
        <v>20</v>
      </c>
      <c r="E264" t="s">
        <v>3060</v>
      </c>
      <c r="F264" t="s">
        <v>3071</v>
      </c>
      <c r="G264" t="s">
        <v>2259</v>
      </c>
      <c r="H264">
        <v>9015203347</v>
      </c>
      <c r="I264" t="s">
        <v>24</v>
      </c>
      <c r="J264" t="s">
        <v>61</v>
      </c>
      <c r="K264" t="s">
        <v>62</v>
      </c>
      <c r="L264" t="s">
        <v>96</v>
      </c>
      <c r="M264" t="s">
        <v>254</v>
      </c>
      <c r="N264" t="s">
        <v>530</v>
      </c>
      <c r="O264">
        <v>6</v>
      </c>
      <c r="P264">
        <v>298660.07</v>
      </c>
      <c r="Q264">
        <v>0</v>
      </c>
      <c r="R264">
        <v>0</v>
      </c>
      <c r="S264" s="11">
        <v>1791960.42</v>
      </c>
      <c r="T264">
        <v>662457.42000000004</v>
      </c>
      <c r="U264">
        <f t="shared" si="4"/>
        <v>1791960.42</v>
      </c>
    </row>
    <row r="265" spans="1:21" ht="15" customHeight="1" x14ac:dyDescent="0.25">
      <c r="A265" t="s">
        <v>66</v>
      </c>
      <c r="B265" s="8">
        <v>44854</v>
      </c>
      <c r="C265" s="8">
        <v>44855</v>
      </c>
      <c r="D265" t="s">
        <v>32</v>
      </c>
      <c r="E265" t="s">
        <v>3033</v>
      </c>
      <c r="F265" t="s">
        <v>3043</v>
      </c>
      <c r="G265" t="s">
        <v>68</v>
      </c>
      <c r="H265">
        <v>9018187926</v>
      </c>
      <c r="I265" t="s">
        <v>24</v>
      </c>
      <c r="J265" t="s">
        <v>69</v>
      </c>
      <c r="K265" t="s">
        <v>70</v>
      </c>
      <c r="L265" t="s">
        <v>27</v>
      </c>
      <c r="M265" t="s">
        <v>28</v>
      </c>
      <c r="N265" t="s">
        <v>71</v>
      </c>
      <c r="O265">
        <v>5</v>
      </c>
      <c r="P265">
        <v>1988.77</v>
      </c>
      <c r="Q265">
        <v>25</v>
      </c>
      <c r="R265">
        <v>2485.96</v>
      </c>
      <c r="S265" s="11">
        <v>7457.89</v>
      </c>
      <c r="U265">
        <f t="shared" si="4"/>
        <v>7457.89</v>
      </c>
    </row>
    <row r="266" spans="1:21" ht="15" customHeight="1" x14ac:dyDescent="0.25">
      <c r="A266" t="s">
        <v>2927</v>
      </c>
      <c r="B266" s="8">
        <v>44859</v>
      </c>
      <c r="C266" s="8">
        <v>44862</v>
      </c>
      <c r="D266" t="s">
        <v>20</v>
      </c>
      <c r="E266" t="s">
        <v>3035</v>
      </c>
      <c r="F266" t="s">
        <v>3045</v>
      </c>
      <c r="G266" t="s">
        <v>2929</v>
      </c>
      <c r="H266">
        <v>8106542417</v>
      </c>
      <c r="I266" t="s">
        <v>24</v>
      </c>
      <c r="J266" t="s">
        <v>69</v>
      </c>
      <c r="K266" t="s">
        <v>307</v>
      </c>
      <c r="L266" t="s">
        <v>27</v>
      </c>
      <c r="M266" t="s">
        <v>79</v>
      </c>
      <c r="N266" t="s">
        <v>80</v>
      </c>
      <c r="O266">
        <v>17</v>
      </c>
      <c r="P266">
        <v>463.8</v>
      </c>
      <c r="Q266">
        <v>10</v>
      </c>
      <c r="R266">
        <v>788.46</v>
      </c>
      <c r="S266" s="11">
        <v>7096.14</v>
      </c>
      <c r="T266">
        <v>1360.25</v>
      </c>
      <c r="U266">
        <f t="shared" si="4"/>
        <v>7096.14</v>
      </c>
    </row>
    <row r="267" spans="1:21" ht="15" customHeight="1" x14ac:dyDescent="0.25">
      <c r="A267" t="s">
        <v>610</v>
      </c>
      <c r="B267" s="8">
        <v>44860</v>
      </c>
      <c r="C267" s="8">
        <v>44863</v>
      </c>
      <c r="D267" t="s">
        <v>73</v>
      </c>
      <c r="E267" t="s">
        <v>3061</v>
      </c>
      <c r="F267" t="s">
        <v>3077</v>
      </c>
      <c r="G267" t="s">
        <v>612</v>
      </c>
      <c r="H267">
        <v>8163557039</v>
      </c>
      <c r="I267" t="s">
        <v>24</v>
      </c>
      <c r="J267" t="s">
        <v>69</v>
      </c>
      <c r="K267" t="s">
        <v>307</v>
      </c>
      <c r="L267" t="s">
        <v>85</v>
      </c>
      <c r="M267" t="s">
        <v>243</v>
      </c>
      <c r="N267" t="s">
        <v>613</v>
      </c>
      <c r="O267">
        <v>8</v>
      </c>
      <c r="P267">
        <v>73332.44</v>
      </c>
      <c r="Q267">
        <v>20</v>
      </c>
      <c r="R267">
        <v>117331.9</v>
      </c>
      <c r="S267" s="11">
        <v>469327.62</v>
      </c>
      <c r="T267">
        <v>84659.91</v>
      </c>
      <c r="U267">
        <f t="shared" si="4"/>
        <v>469327.62</v>
      </c>
    </row>
    <row r="268" spans="1:21" ht="15" customHeight="1" x14ac:dyDescent="0.25">
      <c r="A268" t="s">
        <v>946</v>
      </c>
      <c r="B268" s="8">
        <v>44861</v>
      </c>
      <c r="C268" s="8">
        <v>44863</v>
      </c>
      <c r="D268" t="s">
        <v>20</v>
      </c>
      <c r="E268" t="s">
        <v>3076</v>
      </c>
      <c r="F268" t="s">
        <v>3052</v>
      </c>
      <c r="G268" t="s">
        <v>948</v>
      </c>
      <c r="H268">
        <v>7038593275</v>
      </c>
      <c r="I268" t="s">
        <v>24</v>
      </c>
      <c r="J268" t="s">
        <v>61</v>
      </c>
      <c r="K268" t="s">
        <v>182</v>
      </c>
      <c r="M268" t="s">
        <v>254</v>
      </c>
      <c r="N268" t="s">
        <v>452</v>
      </c>
      <c r="O268">
        <v>18</v>
      </c>
      <c r="P268">
        <v>391206.05</v>
      </c>
      <c r="Q268">
        <v>15</v>
      </c>
      <c r="R268">
        <v>1056256.33</v>
      </c>
      <c r="S268" s="11">
        <v>5985452.5700000003</v>
      </c>
      <c r="T268">
        <v>-44548.03</v>
      </c>
      <c r="U268">
        <f t="shared" si="4"/>
        <v>5985452.5700000003</v>
      </c>
    </row>
    <row r="269" spans="1:21" ht="15" customHeight="1" x14ac:dyDescent="0.25">
      <c r="A269" t="s">
        <v>2357</v>
      </c>
      <c r="B269" s="8">
        <v>44862</v>
      </c>
      <c r="C269" s="8">
        <v>44867</v>
      </c>
      <c r="D269" t="s">
        <v>73</v>
      </c>
      <c r="E269" t="s">
        <v>3076</v>
      </c>
      <c r="F269" t="s">
        <v>3086</v>
      </c>
      <c r="G269" t="s">
        <v>2359</v>
      </c>
      <c r="H269">
        <v>8164823830</v>
      </c>
      <c r="I269" t="s">
        <v>24</v>
      </c>
      <c r="J269" t="s">
        <v>51</v>
      </c>
      <c r="K269" t="s">
        <v>131</v>
      </c>
      <c r="L269" t="s">
        <v>96</v>
      </c>
      <c r="M269" t="s">
        <v>385</v>
      </c>
      <c r="N269" t="s">
        <v>1010</v>
      </c>
      <c r="O269">
        <v>19</v>
      </c>
      <c r="P269">
        <v>146786.10999999999</v>
      </c>
      <c r="Q269">
        <v>0</v>
      </c>
      <c r="R269">
        <v>0</v>
      </c>
      <c r="S269" s="11">
        <v>2788936.09</v>
      </c>
      <c r="T269">
        <v>15765.03</v>
      </c>
      <c r="U269">
        <f t="shared" si="4"/>
        <v>2788936.09</v>
      </c>
    </row>
    <row r="270" spans="1:21" ht="15" customHeight="1" x14ac:dyDescent="0.25">
      <c r="A270" t="s">
        <v>179</v>
      </c>
      <c r="B270" s="8">
        <v>44863</v>
      </c>
      <c r="C270" s="8">
        <v>44866</v>
      </c>
      <c r="D270" t="s">
        <v>73</v>
      </c>
      <c r="E270" t="s">
        <v>3063</v>
      </c>
      <c r="F270" t="s">
        <v>3043</v>
      </c>
      <c r="G270" t="s">
        <v>181</v>
      </c>
      <c r="H270">
        <v>9052221854</v>
      </c>
      <c r="I270" t="s">
        <v>35</v>
      </c>
      <c r="J270" t="s">
        <v>61</v>
      </c>
      <c r="K270" t="s">
        <v>182</v>
      </c>
      <c r="L270" t="s">
        <v>108</v>
      </c>
      <c r="M270" t="s">
        <v>183</v>
      </c>
      <c r="N270" t="s">
        <v>184</v>
      </c>
      <c r="O270" t="s">
        <v>185</v>
      </c>
      <c r="P270">
        <v>10360.719999999999</v>
      </c>
      <c r="Q270">
        <v>20</v>
      </c>
      <c r="R270">
        <v>26937.87</v>
      </c>
      <c r="S270" s="11">
        <v>107751.49</v>
      </c>
      <c r="T270">
        <v>9675.19</v>
      </c>
      <c r="U270">
        <f t="shared" si="4"/>
        <v>107751.49</v>
      </c>
    </row>
    <row r="271" spans="1:21" ht="15" customHeight="1" x14ac:dyDescent="0.25">
      <c r="A271" t="s">
        <v>2074</v>
      </c>
      <c r="B271" s="8">
        <v>44864</v>
      </c>
      <c r="C271" s="8">
        <v>44872</v>
      </c>
      <c r="D271" t="s">
        <v>48</v>
      </c>
      <c r="E271" t="s">
        <v>3067</v>
      </c>
      <c r="F271" t="s">
        <v>3069</v>
      </c>
      <c r="G271" t="s">
        <v>2075</v>
      </c>
      <c r="H271">
        <v>7039352238</v>
      </c>
      <c r="I271" t="s">
        <v>43</v>
      </c>
      <c r="J271" t="s">
        <v>69</v>
      </c>
      <c r="K271" t="s">
        <v>307</v>
      </c>
      <c r="L271" t="s">
        <v>96</v>
      </c>
      <c r="M271" t="s">
        <v>385</v>
      </c>
      <c r="N271" t="s">
        <v>1010</v>
      </c>
      <c r="O271">
        <v>14</v>
      </c>
      <c r="P271">
        <v>337340.41</v>
      </c>
      <c r="Q271">
        <v>10</v>
      </c>
      <c r="R271">
        <v>472276.57</v>
      </c>
      <c r="S271" s="11" t="s">
        <v>2076</v>
      </c>
      <c r="T271">
        <v>-111428.65</v>
      </c>
      <c r="U271">
        <f t="shared" si="4"/>
        <v>4250489.17</v>
      </c>
    </row>
    <row r="272" spans="1:21" ht="15" customHeight="1" x14ac:dyDescent="0.25">
      <c r="A272" t="s">
        <v>2783</v>
      </c>
      <c r="B272" s="8">
        <v>44864</v>
      </c>
      <c r="C272" s="8">
        <v>44868</v>
      </c>
      <c r="D272" t="s">
        <v>73</v>
      </c>
      <c r="E272" t="s">
        <v>3092</v>
      </c>
      <c r="F272" t="s">
        <v>3036</v>
      </c>
      <c r="G272" t="s">
        <v>2784</v>
      </c>
      <c r="H272">
        <v>8154299424</v>
      </c>
      <c r="I272" t="s">
        <v>35</v>
      </c>
      <c r="J272" t="s">
        <v>69</v>
      </c>
      <c r="K272" t="s">
        <v>155</v>
      </c>
      <c r="L272" t="s">
        <v>108</v>
      </c>
      <c r="M272" t="s">
        <v>114</v>
      </c>
      <c r="N272" t="s">
        <v>115</v>
      </c>
      <c r="O272">
        <v>19</v>
      </c>
      <c r="P272">
        <v>43458.13</v>
      </c>
      <c r="Q272">
        <v>25</v>
      </c>
      <c r="R272">
        <v>206426.12</v>
      </c>
      <c r="S272" s="11">
        <v>619278.35</v>
      </c>
      <c r="T272">
        <v>14934.5</v>
      </c>
      <c r="U272">
        <f t="shared" si="4"/>
        <v>619278.35</v>
      </c>
    </row>
    <row r="273" spans="1:21" ht="15" customHeight="1" x14ac:dyDescent="0.25">
      <c r="A273" t="s">
        <v>531</v>
      </c>
      <c r="B273" s="8">
        <v>44864</v>
      </c>
      <c r="C273" s="8">
        <v>44864</v>
      </c>
      <c r="D273" t="s">
        <v>32</v>
      </c>
      <c r="E273" t="s">
        <v>3063</v>
      </c>
      <c r="F273" t="s">
        <v>3057</v>
      </c>
      <c r="G273" t="s">
        <v>533</v>
      </c>
      <c r="H273">
        <v>8131317716</v>
      </c>
      <c r="I273" t="s">
        <v>24</v>
      </c>
      <c r="J273" t="s">
        <v>69</v>
      </c>
      <c r="K273" t="s">
        <v>119</v>
      </c>
      <c r="L273" t="s">
        <v>534</v>
      </c>
      <c r="M273" t="s">
        <v>38</v>
      </c>
      <c r="N273" t="s">
        <v>213</v>
      </c>
      <c r="O273">
        <v>7</v>
      </c>
      <c r="P273">
        <v>8511.5400000000009</v>
      </c>
      <c r="Q273">
        <v>15</v>
      </c>
      <c r="R273">
        <v>8937.1200000000008</v>
      </c>
      <c r="S273" s="11">
        <v>50643.66</v>
      </c>
      <c r="T273">
        <v>7651.84</v>
      </c>
      <c r="U273">
        <f t="shared" si="4"/>
        <v>50643.66</v>
      </c>
    </row>
    <row r="274" spans="1:21" ht="15" customHeight="1" x14ac:dyDescent="0.25">
      <c r="A274" t="s">
        <v>1556</v>
      </c>
      <c r="B274" s="8">
        <v>44865</v>
      </c>
      <c r="C274" s="8">
        <v>44866</v>
      </c>
      <c r="D274" t="s">
        <v>32</v>
      </c>
      <c r="E274" t="s">
        <v>3068</v>
      </c>
      <c r="F274" t="s">
        <v>3046</v>
      </c>
      <c r="G274" t="s">
        <v>1557</v>
      </c>
      <c r="H274">
        <v>8103557220</v>
      </c>
      <c r="I274" t="s">
        <v>43</v>
      </c>
      <c r="J274" t="s">
        <v>61</v>
      </c>
      <c r="K274" t="s">
        <v>95</v>
      </c>
      <c r="L274" t="s">
        <v>108</v>
      </c>
      <c r="M274" t="s">
        <v>183</v>
      </c>
      <c r="N274" t="s">
        <v>869</v>
      </c>
      <c r="O274">
        <v>15</v>
      </c>
      <c r="P274">
        <v>2843.99</v>
      </c>
      <c r="Q274">
        <v>5</v>
      </c>
      <c r="R274">
        <v>2132.9899999999998</v>
      </c>
      <c r="S274" s="11">
        <v>40526.86</v>
      </c>
      <c r="T274">
        <v>-1183.26</v>
      </c>
      <c r="U274">
        <f t="shared" si="4"/>
        <v>40526.86</v>
      </c>
    </row>
    <row r="275" spans="1:21" ht="15" customHeight="1" x14ac:dyDescent="0.25">
      <c r="A275" t="s">
        <v>300</v>
      </c>
      <c r="B275" s="8">
        <v>44866</v>
      </c>
      <c r="C275" s="8">
        <v>44867</v>
      </c>
      <c r="D275" t="s">
        <v>32</v>
      </c>
      <c r="E275" t="s">
        <v>3037</v>
      </c>
      <c r="F275" t="s">
        <v>3083</v>
      </c>
      <c r="G275" t="s">
        <v>302</v>
      </c>
      <c r="H275">
        <v>7037328534</v>
      </c>
      <c r="I275" t="s">
        <v>24</v>
      </c>
      <c r="J275" t="s">
        <v>51</v>
      </c>
      <c r="K275" t="s">
        <v>223</v>
      </c>
      <c r="L275" t="s">
        <v>108</v>
      </c>
      <c r="M275" t="s">
        <v>38</v>
      </c>
      <c r="N275" t="s">
        <v>303</v>
      </c>
      <c r="O275">
        <v>8</v>
      </c>
      <c r="P275">
        <v>44173.31</v>
      </c>
      <c r="Q275">
        <v>15</v>
      </c>
      <c r="R275">
        <v>53007.97</v>
      </c>
      <c r="S275" s="11">
        <v>300378.51</v>
      </c>
      <c r="T275">
        <v>-2962.49</v>
      </c>
      <c r="U275">
        <f t="shared" si="4"/>
        <v>300378.51</v>
      </c>
    </row>
    <row r="276" spans="1:21" ht="15" customHeight="1" x14ac:dyDescent="0.25">
      <c r="A276" t="s">
        <v>2171</v>
      </c>
      <c r="B276" s="8">
        <v>44869</v>
      </c>
      <c r="C276" s="8">
        <v>44877</v>
      </c>
      <c r="D276" t="s">
        <v>48</v>
      </c>
      <c r="E276" t="s">
        <v>3081</v>
      </c>
      <c r="F276" t="s">
        <v>3050</v>
      </c>
      <c r="G276" t="s">
        <v>2172</v>
      </c>
      <c r="H276">
        <v>9059447259</v>
      </c>
      <c r="I276" t="s">
        <v>43</v>
      </c>
      <c r="J276" t="s">
        <v>51</v>
      </c>
      <c r="K276" t="s">
        <v>131</v>
      </c>
      <c r="L276" t="s">
        <v>27</v>
      </c>
      <c r="M276" t="s">
        <v>173</v>
      </c>
      <c r="N276" t="s">
        <v>662</v>
      </c>
      <c r="O276">
        <v>4</v>
      </c>
      <c r="P276">
        <v>4450.05</v>
      </c>
      <c r="Q276">
        <v>-10</v>
      </c>
      <c r="R276">
        <v>4450.05</v>
      </c>
      <c r="S276" s="11">
        <v>13350.15</v>
      </c>
      <c r="T276">
        <v>4391.18</v>
      </c>
      <c r="U276">
        <f t="shared" si="4"/>
        <v>13350.15</v>
      </c>
    </row>
    <row r="277" spans="1:21" ht="15" customHeight="1" x14ac:dyDescent="0.25">
      <c r="A277" t="s">
        <v>2556</v>
      </c>
      <c r="B277" s="8">
        <v>44870</v>
      </c>
      <c r="C277" s="8">
        <v>44873</v>
      </c>
      <c r="D277" t="s">
        <v>73</v>
      </c>
      <c r="E277" t="s">
        <v>3093</v>
      </c>
      <c r="F277" t="s">
        <v>3042</v>
      </c>
      <c r="G277" t="s">
        <v>2558</v>
      </c>
      <c r="H277">
        <v>7036293212</v>
      </c>
      <c r="I277" t="s">
        <v>43</v>
      </c>
      <c r="J277" t="s">
        <v>25</v>
      </c>
      <c r="K277" t="s">
        <v>44</v>
      </c>
      <c r="L277" t="s">
        <v>27</v>
      </c>
      <c r="M277" t="s">
        <v>28</v>
      </c>
      <c r="N277" t="s">
        <v>262</v>
      </c>
      <c r="O277">
        <v>6</v>
      </c>
      <c r="P277">
        <v>2907.38</v>
      </c>
      <c r="Q277">
        <v>10</v>
      </c>
      <c r="R277">
        <v>1744.43</v>
      </c>
      <c r="S277" s="11">
        <v>15699.85</v>
      </c>
      <c r="T277">
        <v>501.52</v>
      </c>
      <c r="U277">
        <f t="shared" si="4"/>
        <v>15699.85</v>
      </c>
    </row>
    <row r="278" spans="1:21" ht="15" customHeight="1" x14ac:dyDescent="0.25">
      <c r="A278" t="s">
        <v>762</v>
      </c>
      <c r="B278" s="8">
        <v>44870</v>
      </c>
      <c r="C278" s="8">
        <v>44865</v>
      </c>
      <c r="D278" t="s">
        <v>73</v>
      </c>
      <c r="E278" t="s">
        <v>3051</v>
      </c>
      <c r="F278" t="s">
        <v>3046</v>
      </c>
      <c r="G278" t="s">
        <v>764</v>
      </c>
      <c r="H278">
        <v>8156812025</v>
      </c>
      <c r="I278" t="s">
        <v>24</v>
      </c>
      <c r="J278" t="s">
        <v>69</v>
      </c>
      <c r="K278" t="s">
        <v>119</v>
      </c>
      <c r="L278" t="s">
        <v>96</v>
      </c>
      <c r="M278" t="s">
        <v>97</v>
      </c>
      <c r="N278" t="s">
        <v>98</v>
      </c>
      <c r="O278">
        <v>13</v>
      </c>
      <c r="P278" t="s">
        <v>765</v>
      </c>
      <c r="Q278">
        <v>10</v>
      </c>
      <c r="R278">
        <v>448674.43</v>
      </c>
      <c r="S278" s="11">
        <v>4038069.91</v>
      </c>
      <c r="T278">
        <v>-353858.44</v>
      </c>
      <c r="U278">
        <f t="shared" si="4"/>
        <v>4038069.91</v>
      </c>
    </row>
    <row r="279" spans="1:21" ht="15" customHeight="1" x14ac:dyDescent="0.25">
      <c r="A279" t="s">
        <v>1573</v>
      </c>
      <c r="B279" s="8">
        <v>44871</v>
      </c>
      <c r="C279" s="8">
        <v>44873</v>
      </c>
      <c r="D279" t="s">
        <v>20</v>
      </c>
      <c r="E279" t="s">
        <v>3087</v>
      </c>
      <c r="F279" t="s">
        <v>3071</v>
      </c>
      <c r="G279" t="s">
        <v>1575</v>
      </c>
      <c r="H279">
        <v>8032861110</v>
      </c>
      <c r="I279" t="s">
        <v>35</v>
      </c>
      <c r="J279" t="s">
        <v>51</v>
      </c>
      <c r="K279" t="s">
        <v>223</v>
      </c>
      <c r="L279" t="s">
        <v>96</v>
      </c>
      <c r="M279" t="s">
        <v>254</v>
      </c>
      <c r="N279" t="s">
        <v>452</v>
      </c>
      <c r="O279">
        <v>4</v>
      </c>
      <c r="P279">
        <v>355237.97</v>
      </c>
      <c r="Q279">
        <v>25</v>
      </c>
      <c r="R279">
        <v>355237.97</v>
      </c>
      <c r="S279" s="11">
        <v>1065713.9099999999</v>
      </c>
      <c r="T279">
        <v>-133020.64000000001</v>
      </c>
      <c r="U279">
        <f t="shared" si="4"/>
        <v>1065713.9099999999</v>
      </c>
    </row>
    <row r="280" spans="1:21" ht="15" customHeight="1" x14ac:dyDescent="0.25">
      <c r="A280" t="s">
        <v>1524</v>
      </c>
      <c r="B280" s="8">
        <v>44871</v>
      </c>
      <c r="C280" s="8">
        <v>44872</v>
      </c>
      <c r="D280" t="s">
        <v>32</v>
      </c>
      <c r="E280" t="s">
        <v>3087</v>
      </c>
      <c r="F280" t="s">
        <v>3052</v>
      </c>
      <c r="G280" t="s">
        <v>1526</v>
      </c>
      <c r="H280">
        <v>8034856420</v>
      </c>
      <c r="I280" t="s">
        <v>43</v>
      </c>
      <c r="J280" t="s">
        <v>69</v>
      </c>
      <c r="K280" t="s">
        <v>119</v>
      </c>
      <c r="L280" t="s">
        <v>85</v>
      </c>
      <c r="M280" t="s">
        <v>86</v>
      </c>
      <c r="N280" t="s">
        <v>199</v>
      </c>
      <c r="O280">
        <v>15</v>
      </c>
      <c r="P280">
        <v>52758.52</v>
      </c>
      <c r="Q280">
        <v>15</v>
      </c>
      <c r="R280">
        <v>118706.67</v>
      </c>
      <c r="S280" s="11">
        <v>672671.13</v>
      </c>
      <c r="U280">
        <f t="shared" si="4"/>
        <v>672671.13</v>
      </c>
    </row>
    <row r="281" spans="1:21" ht="15" customHeight="1" x14ac:dyDescent="0.25">
      <c r="A281" t="s">
        <v>2705</v>
      </c>
      <c r="B281" s="8">
        <v>44872</v>
      </c>
      <c r="C281" s="8">
        <v>44875</v>
      </c>
      <c r="D281" t="s">
        <v>73</v>
      </c>
      <c r="E281" t="s">
        <v>3060</v>
      </c>
      <c r="F281" t="s">
        <v>3057</v>
      </c>
      <c r="G281" t="s">
        <v>2707</v>
      </c>
      <c r="H281">
        <v>9024688845</v>
      </c>
      <c r="I281" t="s">
        <v>43</v>
      </c>
      <c r="J281" t="s">
        <v>51</v>
      </c>
      <c r="K281" t="s">
        <v>227</v>
      </c>
      <c r="L281" t="s">
        <v>85</v>
      </c>
      <c r="M281" t="s">
        <v>486</v>
      </c>
      <c r="N281" t="s">
        <v>1193</v>
      </c>
      <c r="O281">
        <v>1</v>
      </c>
      <c r="P281">
        <v>101174.34</v>
      </c>
      <c r="Q281">
        <v>0</v>
      </c>
      <c r="R281">
        <v>0</v>
      </c>
      <c r="S281" s="11">
        <v>101174.34</v>
      </c>
      <c r="T281">
        <v>-9641.24</v>
      </c>
      <c r="U281">
        <f t="shared" si="4"/>
        <v>101174.34</v>
      </c>
    </row>
    <row r="282" spans="1:21" ht="15" customHeight="1" x14ac:dyDescent="0.25">
      <c r="A282" t="s">
        <v>987</v>
      </c>
      <c r="B282" s="8">
        <v>44874</v>
      </c>
      <c r="C282" s="8">
        <v>44877</v>
      </c>
      <c r="D282" t="s">
        <v>20</v>
      </c>
      <c r="E282" t="s">
        <v>3041</v>
      </c>
      <c r="F282" t="s">
        <v>3066</v>
      </c>
      <c r="G282" t="s">
        <v>989</v>
      </c>
      <c r="H282">
        <v>8036254872</v>
      </c>
      <c r="I282" t="s">
        <v>24</v>
      </c>
      <c r="J282" t="s">
        <v>69</v>
      </c>
      <c r="K282" t="s">
        <v>144</v>
      </c>
      <c r="L282" t="s">
        <v>85</v>
      </c>
      <c r="M282" t="s">
        <v>218</v>
      </c>
      <c r="N282" t="s">
        <v>219</v>
      </c>
      <c r="O282">
        <v>12</v>
      </c>
      <c r="P282">
        <v>55588.93</v>
      </c>
      <c r="Q282">
        <v>0</v>
      </c>
      <c r="R282">
        <v>0</v>
      </c>
      <c r="S282" s="11">
        <v>667067.16</v>
      </c>
      <c r="T282">
        <v>171935.3</v>
      </c>
      <c r="U282">
        <f t="shared" si="4"/>
        <v>667067.16</v>
      </c>
    </row>
    <row r="283" spans="1:21" ht="15" customHeight="1" x14ac:dyDescent="0.25">
      <c r="A283" t="s">
        <v>2586</v>
      </c>
      <c r="B283" s="8">
        <v>44874</v>
      </c>
      <c r="C283" s="8">
        <v>44874</v>
      </c>
      <c r="D283" t="s">
        <v>32</v>
      </c>
      <c r="E283" t="s">
        <v>3098</v>
      </c>
      <c r="F283" t="s">
        <v>3066</v>
      </c>
      <c r="G283" t="s">
        <v>2587</v>
      </c>
      <c r="H283">
        <v>8033339281</v>
      </c>
      <c r="I283" t="s">
        <v>43</v>
      </c>
      <c r="J283" t="s">
        <v>69</v>
      </c>
      <c r="K283" t="s">
        <v>70</v>
      </c>
      <c r="L283" t="s">
        <v>271</v>
      </c>
      <c r="M283" t="s">
        <v>64</v>
      </c>
      <c r="N283" t="s">
        <v>501</v>
      </c>
      <c r="O283" t="s">
        <v>317</v>
      </c>
      <c r="P283">
        <v>10285.75</v>
      </c>
      <c r="Q283">
        <v>15</v>
      </c>
      <c r="R283">
        <v>1542.86</v>
      </c>
      <c r="S283" s="11">
        <v>8742.89</v>
      </c>
      <c r="T283">
        <v>2839.91</v>
      </c>
      <c r="U283">
        <f t="shared" si="4"/>
        <v>8742.89</v>
      </c>
    </row>
    <row r="284" spans="1:21" ht="15" customHeight="1" x14ac:dyDescent="0.25">
      <c r="A284" t="s">
        <v>825</v>
      </c>
      <c r="B284" s="8">
        <v>44876</v>
      </c>
      <c r="C284" s="8">
        <v>44876</v>
      </c>
      <c r="D284" t="s">
        <v>32</v>
      </c>
      <c r="E284" t="s">
        <v>3073</v>
      </c>
      <c r="F284" t="s">
        <v>3046</v>
      </c>
      <c r="G284" t="s">
        <v>827</v>
      </c>
      <c r="H284">
        <v>8065941719</v>
      </c>
      <c r="I284" t="s">
        <v>24</v>
      </c>
      <c r="J284" t="s">
        <v>25</v>
      </c>
      <c r="K284" t="s">
        <v>168</v>
      </c>
      <c r="L284" t="s">
        <v>27</v>
      </c>
      <c r="M284" t="s">
        <v>28</v>
      </c>
      <c r="N284" t="s">
        <v>508</v>
      </c>
      <c r="O284">
        <v>7</v>
      </c>
      <c r="P284">
        <v>1046.8</v>
      </c>
      <c r="Q284">
        <v>0</v>
      </c>
      <c r="R284">
        <v>0</v>
      </c>
      <c r="S284" s="11" t="s">
        <v>828</v>
      </c>
      <c r="T284">
        <v>1706.7</v>
      </c>
      <c r="U284">
        <f t="shared" si="4"/>
        <v>7327.6</v>
      </c>
    </row>
    <row r="285" spans="1:21" ht="15" customHeight="1" x14ac:dyDescent="0.25">
      <c r="A285" t="s">
        <v>1408</v>
      </c>
      <c r="B285" s="8">
        <v>44877</v>
      </c>
      <c r="C285" s="8">
        <v>44884</v>
      </c>
      <c r="D285" t="s">
        <v>48</v>
      </c>
      <c r="E285" t="s">
        <v>1409</v>
      </c>
      <c r="G285" t="s">
        <v>1410</v>
      </c>
      <c r="H285">
        <v>8065826621</v>
      </c>
      <c r="I285" t="s">
        <v>35</v>
      </c>
      <c r="J285" t="s">
        <v>69</v>
      </c>
      <c r="K285" t="s">
        <v>119</v>
      </c>
      <c r="L285" t="s">
        <v>108</v>
      </c>
      <c r="M285" t="s">
        <v>109</v>
      </c>
      <c r="N285" t="s">
        <v>690</v>
      </c>
      <c r="O285" t="s">
        <v>1411</v>
      </c>
      <c r="P285">
        <v>40992.11</v>
      </c>
      <c r="Q285">
        <v>0</v>
      </c>
      <c r="R285">
        <v>0</v>
      </c>
      <c r="S285" s="11">
        <v>327936.88</v>
      </c>
      <c r="T285">
        <v>-25706.05</v>
      </c>
      <c r="U285">
        <f t="shared" si="4"/>
        <v>327936.88</v>
      </c>
    </row>
    <row r="286" spans="1:21" ht="15" customHeight="1" x14ac:dyDescent="0.25">
      <c r="A286" t="s">
        <v>1296</v>
      </c>
      <c r="B286" s="8">
        <v>44877</v>
      </c>
      <c r="C286" s="8">
        <v>44881</v>
      </c>
      <c r="D286" t="s">
        <v>73</v>
      </c>
      <c r="E286" t="s">
        <v>3051</v>
      </c>
      <c r="F286" t="s">
        <v>3096</v>
      </c>
      <c r="G286" t="s">
        <v>1298</v>
      </c>
      <c r="H286">
        <v>8138385078</v>
      </c>
      <c r="I286" t="s">
        <v>35</v>
      </c>
      <c r="J286" t="s">
        <v>25</v>
      </c>
      <c r="K286" t="s">
        <v>44</v>
      </c>
      <c r="L286" t="s">
        <v>85</v>
      </c>
      <c r="M286" t="s">
        <v>218</v>
      </c>
      <c r="N286" t="s">
        <v>842</v>
      </c>
      <c r="O286">
        <v>12</v>
      </c>
      <c r="P286">
        <v>134310.10999999999</v>
      </c>
      <c r="Q286">
        <v>0</v>
      </c>
      <c r="R286">
        <v>0</v>
      </c>
      <c r="S286" s="11">
        <v>1611721.32</v>
      </c>
      <c r="T286">
        <v>379329.34</v>
      </c>
      <c r="U286">
        <f t="shared" si="4"/>
        <v>1611721.32</v>
      </c>
    </row>
    <row r="287" spans="1:21" ht="15" customHeight="1" x14ac:dyDescent="0.25">
      <c r="A287" t="s">
        <v>641</v>
      </c>
      <c r="B287" s="8">
        <v>44877</v>
      </c>
      <c r="C287" s="8">
        <v>44878</v>
      </c>
      <c r="D287" t="s">
        <v>32</v>
      </c>
      <c r="E287" t="s">
        <v>3041</v>
      </c>
      <c r="F287" t="s">
        <v>3039</v>
      </c>
      <c r="H287">
        <v>8061087161</v>
      </c>
      <c r="I287" t="s">
        <v>35</v>
      </c>
      <c r="J287" t="s">
        <v>25</v>
      </c>
      <c r="K287" t="s">
        <v>44</v>
      </c>
      <c r="L287" t="s">
        <v>63</v>
      </c>
      <c r="M287" t="s">
        <v>64</v>
      </c>
      <c r="N287" t="s">
        <v>65</v>
      </c>
      <c r="O287">
        <v>4</v>
      </c>
      <c r="P287">
        <v>19152.990000000002</v>
      </c>
      <c r="Q287">
        <v>0</v>
      </c>
      <c r="R287">
        <v>0</v>
      </c>
      <c r="S287" s="11">
        <v>76611.960000000006</v>
      </c>
      <c r="T287">
        <v>-7478.99</v>
      </c>
      <c r="U287">
        <f t="shared" si="4"/>
        <v>76611.960000000006</v>
      </c>
    </row>
    <row r="288" spans="1:21" ht="15" customHeight="1" x14ac:dyDescent="0.25">
      <c r="A288" t="s">
        <v>1113</v>
      </c>
      <c r="B288" s="8">
        <v>44879</v>
      </c>
      <c r="C288" s="8">
        <v>44880</v>
      </c>
      <c r="D288" t="s">
        <v>32</v>
      </c>
      <c r="E288" t="s">
        <v>3081</v>
      </c>
      <c r="F288" t="s">
        <v>3043</v>
      </c>
      <c r="G288" t="s">
        <v>1115</v>
      </c>
      <c r="H288">
        <v>8142533463</v>
      </c>
      <c r="I288" t="s">
        <v>35</v>
      </c>
      <c r="J288" t="s">
        <v>61</v>
      </c>
      <c r="K288" t="s">
        <v>95</v>
      </c>
      <c r="L288" t="s">
        <v>27</v>
      </c>
      <c r="M288" t="s">
        <v>45</v>
      </c>
      <c r="N288" t="s">
        <v>308</v>
      </c>
      <c r="O288">
        <v>5</v>
      </c>
      <c r="P288">
        <v>760.27</v>
      </c>
      <c r="Q288">
        <v>25</v>
      </c>
      <c r="R288">
        <v>950.34</v>
      </c>
      <c r="S288" s="11">
        <v>2851.01</v>
      </c>
      <c r="T288">
        <v>926.24</v>
      </c>
      <c r="U288">
        <f t="shared" si="4"/>
        <v>2851.01</v>
      </c>
    </row>
    <row r="289" spans="1:21" ht="15" customHeight="1" x14ac:dyDescent="0.25">
      <c r="A289" t="s">
        <v>2276</v>
      </c>
      <c r="B289" s="8">
        <v>44880</v>
      </c>
      <c r="C289" s="8">
        <v>44880</v>
      </c>
      <c r="D289" t="s">
        <v>32</v>
      </c>
      <c r="E289" t="s">
        <v>3068</v>
      </c>
      <c r="F289" t="s">
        <v>3039</v>
      </c>
      <c r="G289" t="s">
        <v>1463</v>
      </c>
      <c r="H289">
        <v>8136740847</v>
      </c>
      <c r="I289" t="s">
        <v>24</v>
      </c>
      <c r="J289" t="s">
        <v>61</v>
      </c>
      <c r="K289" t="s">
        <v>95</v>
      </c>
      <c r="L289" t="s">
        <v>27</v>
      </c>
      <c r="M289" t="s">
        <v>173</v>
      </c>
      <c r="N289" t="s">
        <v>174</v>
      </c>
      <c r="O289">
        <v>7</v>
      </c>
      <c r="P289">
        <v>998.83</v>
      </c>
      <c r="Q289">
        <v>10</v>
      </c>
      <c r="R289">
        <v>699.18</v>
      </c>
      <c r="S289" s="11">
        <v>6292.63</v>
      </c>
      <c r="U289">
        <f t="shared" si="4"/>
        <v>6292.63</v>
      </c>
    </row>
    <row r="290" spans="1:21" ht="15" customHeight="1" x14ac:dyDescent="0.25">
      <c r="A290" t="s">
        <v>2574</v>
      </c>
      <c r="B290" s="8">
        <v>44881</v>
      </c>
      <c r="C290" s="8">
        <v>44889</v>
      </c>
      <c r="D290" t="s">
        <v>48</v>
      </c>
      <c r="E290" t="s">
        <v>3095</v>
      </c>
      <c r="F290" t="s">
        <v>3079</v>
      </c>
      <c r="G290" t="s">
        <v>2576</v>
      </c>
      <c r="H290">
        <v>9053046457</v>
      </c>
      <c r="I290" t="s">
        <v>24</v>
      </c>
      <c r="J290" t="s">
        <v>699</v>
      </c>
      <c r="K290" t="s">
        <v>44</v>
      </c>
      <c r="L290" t="s">
        <v>96</v>
      </c>
      <c r="M290" t="s">
        <v>385</v>
      </c>
      <c r="N290" t="s">
        <v>781</v>
      </c>
      <c r="O290">
        <v>3</v>
      </c>
      <c r="P290">
        <v>414330.94</v>
      </c>
      <c r="Q290">
        <v>0</v>
      </c>
      <c r="R290">
        <v>0</v>
      </c>
      <c r="S290" s="11">
        <v>1242992.82</v>
      </c>
      <c r="T290">
        <v>-118056.56</v>
      </c>
      <c r="U290">
        <f t="shared" si="4"/>
        <v>1242992.82</v>
      </c>
    </row>
    <row r="291" spans="1:21" ht="15" customHeight="1" x14ac:dyDescent="0.25">
      <c r="A291" t="s">
        <v>1156</v>
      </c>
      <c r="B291" s="8">
        <v>44881</v>
      </c>
      <c r="C291" s="8">
        <v>44883</v>
      </c>
      <c r="D291" t="s">
        <v>20</v>
      </c>
      <c r="E291" t="s">
        <v>3056</v>
      </c>
      <c r="F291" t="s">
        <v>3034</v>
      </c>
      <c r="G291" t="s">
        <v>1157</v>
      </c>
      <c r="H291">
        <v>8133477610</v>
      </c>
      <c r="I291" t="s">
        <v>24</v>
      </c>
      <c r="J291" t="s">
        <v>61</v>
      </c>
      <c r="K291" t="s">
        <v>62</v>
      </c>
      <c r="L291" t="s">
        <v>63</v>
      </c>
      <c r="M291" t="s">
        <v>249</v>
      </c>
      <c r="N291" t="s">
        <v>1141</v>
      </c>
      <c r="O291" t="s">
        <v>1158</v>
      </c>
      <c r="P291">
        <v>17497.98</v>
      </c>
      <c r="Q291">
        <v>10</v>
      </c>
      <c r="R291">
        <v>6999.19</v>
      </c>
      <c r="S291" s="11">
        <v>62992.73</v>
      </c>
      <c r="T291">
        <v>7561.45</v>
      </c>
      <c r="U291">
        <f t="shared" si="4"/>
        <v>62992.73</v>
      </c>
    </row>
    <row r="292" spans="1:21" ht="15" customHeight="1" x14ac:dyDescent="0.25">
      <c r="A292" t="s">
        <v>1758</v>
      </c>
      <c r="B292" s="8">
        <v>44881</v>
      </c>
      <c r="C292" s="8">
        <v>44882</v>
      </c>
      <c r="D292" t="s">
        <v>32</v>
      </c>
      <c r="E292" t="s">
        <v>3047</v>
      </c>
      <c r="F292" t="s">
        <v>3096</v>
      </c>
      <c r="G292" t="s">
        <v>1760</v>
      </c>
      <c r="H292">
        <v>7062396415</v>
      </c>
      <c r="I292" t="s">
        <v>43</v>
      </c>
      <c r="J292" t="s">
        <v>69</v>
      </c>
      <c r="K292" t="s">
        <v>70</v>
      </c>
      <c r="L292" t="s">
        <v>63</v>
      </c>
      <c r="M292" t="s">
        <v>312</v>
      </c>
      <c r="N292" t="s">
        <v>686</v>
      </c>
      <c r="O292">
        <v>6</v>
      </c>
      <c r="P292">
        <v>4243.57</v>
      </c>
      <c r="Q292">
        <v>10</v>
      </c>
      <c r="R292">
        <v>2546.14</v>
      </c>
      <c r="S292" s="11">
        <v>22915.279999999999</v>
      </c>
      <c r="T292">
        <v>1793.58</v>
      </c>
      <c r="U292">
        <f t="shared" si="4"/>
        <v>22915.279999999999</v>
      </c>
    </row>
    <row r="293" spans="1:21" ht="15" customHeight="1" x14ac:dyDescent="0.25">
      <c r="A293" t="s">
        <v>2249</v>
      </c>
      <c r="B293" s="8">
        <v>44882</v>
      </c>
      <c r="C293" s="8">
        <v>44882</v>
      </c>
      <c r="D293" t="s">
        <v>32</v>
      </c>
      <c r="E293" t="s">
        <v>3097</v>
      </c>
      <c r="F293" t="s">
        <v>3040</v>
      </c>
      <c r="G293" t="s">
        <v>2251</v>
      </c>
      <c r="H293">
        <v>7031237053</v>
      </c>
      <c r="I293" t="s">
        <v>24</v>
      </c>
      <c r="J293" t="s">
        <v>25</v>
      </c>
      <c r="K293" t="s">
        <v>26</v>
      </c>
      <c r="L293" t="s">
        <v>85</v>
      </c>
      <c r="M293" t="s">
        <v>243</v>
      </c>
      <c r="N293" t="s">
        <v>404</v>
      </c>
      <c r="O293">
        <v>0</v>
      </c>
      <c r="P293">
        <v>149169.76</v>
      </c>
      <c r="Q293">
        <v>10</v>
      </c>
      <c r="R293">
        <v>208837.66</v>
      </c>
      <c r="S293" s="11">
        <v>1879538.98</v>
      </c>
      <c r="T293">
        <v>132253.54</v>
      </c>
      <c r="U293">
        <f t="shared" si="4"/>
        <v>1879538.98</v>
      </c>
    </row>
    <row r="294" spans="1:21" ht="15" customHeight="1" x14ac:dyDescent="0.25">
      <c r="A294" t="s">
        <v>2604</v>
      </c>
      <c r="B294" s="8">
        <v>44883</v>
      </c>
      <c r="C294" s="8">
        <v>44884</v>
      </c>
      <c r="D294" t="s">
        <v>32</v>
      </c>
      <c r="E294" t="s">
        <v>3041</v>
      </c>
      <c r="F294" t="s">
        <v>3038</v>
      </c>
      <c r="G294" t="s">
        <v>2606</v>
      </c>
      <c r="H294">
        <v>8145629663</v>
      </c>
      <c r="I294" t="s">
        <v>24</v>
      </c>
      <c r="J294" t="s">
        <v>61</v>
      </c>
      <c r="K294" t="s">
        <v>204</v>
      </c>
      <c r="L294" t="s">
        <v>85</v>
      </c>
      <c r="M294" t="s">
        <v>266</v>
      </c>
      <c r="N294" t="s">
        <v>952</v>
      </c>
      <c r="O294">
        <v>19</v>
      </c>
      <c r="P294">
        <v>56979.199999999997</v>
      </c>
      <c r="Q294">
        <v>0</v>
      </c>
      <c r="R294">
        <v>0</v>
      </c>
      <c r="S294" s="11">
        <v>1082604.8</v>
      </c>
      <c r="T294">
        <v>47290.59</v>
      </c>
      <c r="U294">
        <f t="shared" si="4"/>
        <v>1082604.8</v>
      </c>
    </row>
    <row r="295" spans="1:21" ht="15" customHeight="1" x14ac:dyDescent="0.25">
      <c r="A295" t="s">
        <v>2860</v>
      </c>
      <c r="B295" s="8">
        <v>44884</v>
      </c>
      <c r="C295" s="8">
        <v>44890</v>
      </c>
      <c r="D295" t="s">
        <v>48</v>
      </c>
      <c r="E295" t="s">
        <v>3044</v>
      </c>
      <c r="F295" t="s">
        <v>3054</v>
      </c>
      <c r="G295" t="s">
        <v>2862</v>
      </c>
      <c r="H295">
        <v>8068291687</v>
      </c>
      <c r="I295" t="s">
        <v>35</v>
      </c>
      <c r="J295" t="s">
        <v>61</v>
      </c>
      <c r="K295" t="s">
        <v>204</v>
      </c>
      <c r="L295" t="s">
        <v>85</v>
      </c>
      <c r="M295" t="s">
        <v>218</v>
      </c>
      <c r="N295" t="s">
        <v>1058</v>
      </c>
      <c r="O295">
        <v>18</v>
      </c>
      <c r="P295">
        <v>130755.89</v>
      </c>
      <c r="Q295">
        <v>25</v>
      </c>
      <c r="R295">
        <v>588401.51</v>
      </c>
      <c r="S295" s="11">
        <v>1765204.51</v>
      </c>
      <c r="T295">
        <v>741350.81</v>
      </c>
      <c r="U295">
        <f t="shared" si="4"/>
        <v>1765204.51</v>
      </c>
    </row>
    <row r="296" spans="1:21" ht="15" customHeight="1" x14ac:dyDescent="0.25">
      <c r="A296" t="s">
        <v>2417</v>
      </c>
      <c r="B296" s="8">
        <v>44884</v>
      </c>
      <c r="C296" s="8">
        <v>44885</v>
      </c>
      <c r="D296" t="s">
        <v>32</v>
      </c>
      <c r="E296" t="s">
        <v>3065</v>
      </c>
      <c r="F296" t="s">
        <v>3062</v>
      </c>
      <c r="G296" t="s">
        <v>2418</v>
      </c>
      <c r="H296">
        <v>9014046988</v>
      </c>
      <c r="I296" t="s">
        <v>43</v>
      </c>
      <c r="J296" t="s">
        <v>61</v>
      </c>
      <c r="K296" t="s">
        <v>182</v>
      </c>
      <c r="L296" t="s">
        <v>63</v>
      </c>
      <c r="M296" t="s">
        <v>249</v>
      </c>
      <c r="N296" t="s">
        <v>2013</v>
      </c>
      <c r="O296">
        <v>7</v>
      </c>
      <c r="P296">
        <v>1234.51</v>
      </c>
      <c r="Q296">
        <v>10</v>
      </c>
      <c r="R296">
        <v>864.16</v>
      </c>
      <c r="S296" s="11">
        <v>7777.41</v>
      </c>
      <c r="T296">
        <v>717.02</v>
      </c>
      <c r="U296">
        <f t="shared" si="4"/>
        <v>7777.41</v>
      </c>
    </row>
    <row r="297" spans="1:21" ht="15" customHeight="1" x14ac:dyDescent="0.25">
      <c r="A297" t="s">
        <v>1570</v>
      </c>
      <c r="B297" s="8">
        <v>44886</v>
      </c>
      <c r="C297" s="8">
        <v>44888</v>
      </c>
      <c r="D297" t="s">
        <v>20</v>
      </c>
      <c r="E297" t="s">
        <v>3092</v>
      </c>
      <c r="F297" t="s">
        <v>3090</v>
      </c>
      <c r="G297" t="s">
        <v>1572</v>
      </c>
      <c r="H297">
        <v>7038224612</v>
      </c>
      <c r="I297" t="s">
        <v>43</v>
      </c>
      <c r="J297" t="s">
        <v>25</v>
      </c>
      <c r="K297" t="s">
        <v>44</v>
      </c>
      <c r="L297" t="s">
        <v>96</v>
      </c>
      <c r="M297" t="s">
        <v>254</v>
      </c>
      <c r="N297" t="s">
        <v>255</v>
      </c>
      <c r="O297">
        <v>8</v>
      </c>
      <c r="P297">
        <v>67499.289999999994</v>
      </c>
      <c r="Q297">
        <v>20</v>
      </c>
      <c r="R297">
        <v>107998.86</v>
      </c>
      <c r="S297" s="11">
        <v>431995.46</v>
      </c>
      <c r="T297">
        <v>2027.48</v>
      </c>
      <c r="U297">
        <f t="shared" si="4"/>
        <v>431995.46</v>
      </c>
    </row>
    <row r="298" spans="1:21" ht="15" customHeight="1" x14ac:dyDescent="0.25">
      <c r="A298" t="s">
        <v>673</v>
      </c>
      <c r="B298" s="8">
        <v>44889</v>
      </c>
      <c r="C298" s="8">
        <v>44893</v>
      </c>
      <c r="D298" t="s">
        <v>73</v>
      </c>
      <c r="E298" t="s">
        <v>3060</v>
      </c>
      <c r="F298" t="s">
        <v>3066</v>
      </c>
      <c r="G298" t="s">
        <v>675</v>
      </c>
      <c r="H298">
        <v>8137795568</v>
      </c>
      <c r="I298" t="s">
        <v>24</v>
      </c>
      <c r="J298" t="s">
        <v>676</v>
      </c>
      <c r="K298" t="s">
        <v>62</v>
      </c>
      <c r="L298" t="s">
        <v>85</v>
      </c>
      <c r="M298" t="s">
        <v>218</v>
      </c>
      <c r="N298" t="s">
        <v>219</v>
      </c>
      <c r="O298">
        <v>20</v>
      </c>
      <c r="P298">
        <v>76040.17</v>
      </c>
      <c r="Q298">
        <v>5</v>
      </c>
      <c r="R298">
        <v>76040.17</v>
      </c>
      <c r="S298" s="11">
        <v>1444763.23</v>
      </c>
      <c r="T298">
        <v>173003.18</v>
      </c>
      <c r="U298">
        <f t="shared" si="4"/>
        <v>1444763.23</v>
      </c>
    </row>
    <row r="299" spans="1:21" ht="15" customHeight="1" x14ac:dyDescent="0.25">
      <c r="A299" t="s">
        <v>2168</v>
      </c>
      <c r="B299" s="8">
        <v>44890</v>
      </c>
      <c r="C299" s="8">
        <v>44897</v>
      </c>
      <c r="D299" t="s">
        <v>48</v>
      </c>
      <c r="E299" t="s">
        <v>3063</v>
      </c>
      <c r="F299" t="s">
        <v>3064</v>
      </c>
      <c r="G299" t="s">
        <v>2169</v>
      </c>
      <c r="H299">
        <v>9051428411</v>
      </c>
      <c r="I299" t="s">
        <v>43</v>
      </c>
      <c r="J299" t="s">
        <v>51</v>
      </c>
      <c r="K299" t="s">
        <v>316</v>
      </c>
      <c r="L299" t="s">
        <v>96</v>
      </c>
      <c r="M299" t="s">
        <v>254</v>
      </c>
      <c r="N299" t="s">
        <v>255</v>
      </c>
      <c r="O299">
        <v>17</v>
      </c>
      <c r="P299">
        <v>366494.88</v>
      </c>
      <c r="Q299">
        <v>25</v>
      </c>
      <c r="R299">
        <v>1557603.24</v>
      </c>
      <c r="S299" s="11">
        <v>4672809.72</v>
      </c>
      <c r="T299">
        <v>1495674.28</v>
      </c>
      <c r="U299">
        <f t="shared" si="4"/>
        <v>4672809.72</v>
      </c>
    </row>
    <row r="300" spans="1:21" ht="15" customHeight="1" x14ac:dyDescent="0.25">
      <c r="A300" t="s">
        <v>981</v>
      </c>
      <c r="B300" s="8">
        <v>44891</v>
      </c>
      <c r="C300" s="8">
        <v>44894</v>
      </c>
      <c r="D300" t="s">
        <v>73</v>
      </c>
      <c r="E300" t="s">
        <v>3067</v>
      </c>
      <c r="F300" t="s">
        <v>3088</v>
      </c>
      <c r="G300" t="s">
        <v>983</v>
      </c>
      <c r="H300">
        <v>8132923047</v>
      </c>
      <c r="I300" t="s">
        <v>43</v>
      </c>
      <c r="J300" t="s">
        <v>51</v>
      </c>
      <c r="K300" t="s">
        <v>131</v>
      </c>
      <c r="L300" t="s">
        <v>85</v>
      </c>
      <c r="M300" t="s">
        <v>266</v>
      </c>
      <c r="N300" t="s">
        <v>267</v>
      </c>
      <c r="O300">
        <v>18</v>
      </c>
      <c r="P300">
        <v>154438.69</v>
      </c>
      <c r="Q300">
        <v>20</v>
      </c>
      <c r="R300">
        <v>555979.28</v>
      </c>
      <c r="S300" s="11">
        <v>2223917.14</v>
      </c>
      <c r="T300">
        <v>526634.05000000005</v>
      </c>
      <c r="U300">
        <f t="shared" si="4"/>
        <v>2223917.14</v>
      </c>
    </row>
    <row r="301" spans="1:21" ht="15" customHeight="1" x14ac:dyDescent="0.25">
      <c r="A301" t="s">
        <v>1392</v>
      </c>
      <c r="B301" s="8">
        <v>44892</v>
      </c>
      <c r="C301" s="8">
        <v>44895</v>
      </c>
      <c r="D301" t="s">
        <v>73</v>
      </c>
      <c r="E301" t="s">
        <v>3056</v>
      </c>
      <c r="F301" t="s">
        <v>3090</v>
      </c>
      <c r="G301" t="s">
        <v>1394</v>
      </c>
      <c r="H301">
        <v>9053121873</v>
      </c>
      <c r="I301" t="s">
        <v>959</v>
      </c>
      <c r="J301" t="s">
        <v>51</v>
      </c>
      <c r="K301" t="s">
        <v>131</v>
      </c>
      <c r="L301" t="s">
        <v>108</v>
      </c>
      <c r="M301" t="s">
        <v>38</v>
      </c>
      <c r="N301" t="s">
        <v>39</v>
      </c>
      <c r="O301">
        <v>18</v>
      </c>
      <c r="P301">
        <v>9933.35</v>
      </c>
      <c r="Q301">
        <v>0</v>
      </c>
      <c r="R301">
        <v>0</v>
      </c>
      <c r="S301" s="11">
        <v>178800.3</v>
      </c>
      <c r="T301">
        <v>44580.63</v>
      </c>
      <c r="U301">
        <f t="shared" si="4"/>
        <v>178800.3</v>
      </c>
    </row>
    <row r="302" spans="1:21" ht="15" customHeight="1" x14ac:dyDescent="0.25">
      <c r="A302" t="s">
        <v>1395</v>
      </c>
      <c r="B302" s="8">
        <v>44894</v>
      </c>
      <c r="C302" s="8">
        <v>44895</v>
      </c>
      <c r="D302" t="s">
        <v>32</v>
      </c>
      <c r="E302" t="s">
        <v>3056</v>
      </c>
      <c r="F302" t="s">
        <v>3046</v>
      </c>
      <c r="G302" t="s">
        <v>1397</v>
      </c>
      <c r="H302">
        <v>8143439136</v>
      </c>
      <c r="I302" t="s">
        <v>43</v>
      </c>
      <c r="J302" t="s">
        <v>51</v>
      </c>
      <c r="K302" t="s">
        <v>131</v>
      </c>
      <c r="L302" t="s">
        <v>108</v>
      </c>
      <c r="M302" t="s">
        <v>38</v>
      </c>
      <c r="N302" t="s">
        <v>303</v>
      </c>
      <c r="O302">
        <v>18</v>
      </c>
      <c r="P302">
        <v>2184.66</v>
      </c>
      <c r="Q302">
        <v>25</v>
      </c>
      <c r="R302">
        <v>9830.9699999999993</v>
      </c>
      <c r="S302" s="11">
        <v>29492.91</v>
      </c>
      <c r="T302">
        <v>1438.32</v>
      </c>
      <c r="U302">
        <f t="shared" si="4"/>
        <v>29492.91</v>
      </c>
    </row>
    <row r="303" spans="1:21" ht="15" customHeight="1" x14ac:dyDescent="0.25">
      <c r="A303" t="s">
        <v>2411</v>
      </c>
      <c r="B303" s="8">
        <v>44895</v>
      </c>
      <c r="C303" s="8">
        <v>44901</v>
      </c>
      <c r="D303" t="s">
        <v>48</v>
      </c>
      <c r="E303" t="s">
        <v>3056</v>
      </c>
      <c r="F303" t="s">
        <v>3083</v>
      </c>
      <c r="G303" t="s">
        <v>2412</v>
      </c>
      <c r="H303">
        <v>9016316357</v>
      </c>
      <c r="I303" t="s">
        <v>35</v>
      </c>
      <c r="J303" t="s">
        <v>25</v>
      </c>
      <c r="K303" t="s">
        <v>26</v>
      </c>
      <c r="L303" t="s">
        <v>108</v>
      </c>
      <c r="M303" t="s">
        <v>109</v>
      </c>
      <c r="N303" t="s">
        <v>1258</v>
      </c>
      <c r="O303">
        <v>17</v>
      </c>
      <c r="P303">
        <v>44361.54</v>
      </c>
      <c r="Q303">
        <v>10</v>
      </c>
      <c r="R303">
        <v>75414.62</v>
      </c>
      <c r="S303" s="11">
        <v>678731.56</v>
      </c>
      <c r="T303">
        <v>92841.91</v>
      </c>
      <c r="U303">
        <f t="shared" si="4"/>
        <v>678731.56</v>
      </c>
    </row>
    <row r="304" spans="1:21" ht="15" customHeight="1" x14ac:dyDescent="0.25">
      <c r="A304" t="s">
        <v>1991</v>
      </c>
      <c r="B304" s="8">
        <v>44895</v>
      </c>
      <c r="C304" s="8">
        <v>44900</v>
      </c>
      <c r="D304" t="s">
        <v>73</v>
      </c>
      <c r="E304" t="s">
        <v>3068</v>
      </c>
      <c r="F304" t="s">
        <v>3045</v>
      </c>
      <c r="G304" t="s">
        <v>1992</v>
      </c>
      <c r="H304">
        <v>8038339925</v>
      </c>
      <c r="I304" t="s">
        <v>43</v>
      </c>
      <c r="J304" t="s">
        <v>69</v>
      </c>
      <c r="K304" t="s">
        <v>70</v>
      </c>
      <c r="L304" t="s">
        <v>63</v>
      </c>
      <c r="M304" t="s">
        <v>469</v>
      </c>
      <c r="N304" t="s">
        <v>1099</v>
      </c>
      <c r="O304">
        <v>4</v>
      </c>
      <c r="P304">
        <v>23478.59</v>
      </c>
      <c r="Q304">
        <v>0</v>
      </c>
      <c r="R304">
        <v>0</v>
      </c>
      <c r="S304" s="11">
        <v>93914.36</v>
      </c>
      <c r="T304">
        <v>31326.44</v>
      </c>
      <c r="U304">
        <f t="shared" si="4"/>
        <v>93914.36</v>
      </c>
    </row>
    <row r="305" spans="1:21" ht="15" customHeight="1" x14ac:dyDescent="0.25">
      <c r="A305" t="s">
        <v>220</v>
      </c>
      <c r="B305" s="8">
        <v>44897</v>
      </c>
      <c r="C305" s="8">
        <v>44904</v>
      </c>
      <c r="D305" t="s">
        <v>48</v>
      </c>
      <c r="E305" t="s">
        <v>3072</v>
      </c>
      <c r="F305" t="s">
        <v>3057</v>
      </c>
      <c r="G305" t="s">
        <v>222</v>
      </c>
      <c r="H305">
        <v>8167296605</v>
      </c>
      <c r="I305" t="s">
        <v>35</v>
      </c>
      <c r="J305" t="s">
        <v>51</v>
      </c>
      <c r="K305" t="s">
        <v>223</v>
      </c>
      <c r="L305" t="s">
        <v>108</v>
      </c>
      <c r="M305" t="s">
        <v>109</v>
      </c>
      <c r="N305" t="s">
        <v>110</v>
      </c>
      <c r="O305">
        <v>8</v>
      </c>
      <c r="P305">
        <v>27460.21</v>
      </c>
      <c r="Q305">
        <v>0</v>
      </c>
      <c r="R305">
        <v>0</v>
      </c>
      <c r="S305" s="11">
        <v>219681.68</v>
      </c>
      <c r="T305">
        <v>58944.07</v>
      </c>
      <c r="U305">
        <f t="shared" si="4"/>
        <v>219681.68</v>
      </c>
    </row>
    <row r="306" spans="1:21" ht="15" customHeight="1" x14ac:dyDescent="0.25">
      <c r="A306" t="s">
        <v>1454</v>
      </c>
      <c r="B306" s="8">
        <v>44898</v>
      </c>
      <c r="C306" s="8">
        <v>44901</v>
      </c>
      <c r="D306" t="s">
        <v>20</v>
      </c>
      <c r="E306" t="s">
        <v>3068</v>
      </c>
      <c r="F306" t="s">
        <v>3054</v>
      </c>
      <c r="G306" t="s">
        <v>1456</v>
      </c>
      <c r="H306">
        <v>9017527687</v>
      </c>
      <c r="I306" t="s">
        <v>24</v>
      </c>
      <c r="J306" t="s">
        <v>25</v>
      </c>
      <c r="K306" t="s">
        <v>126</v>
      </c>
      <c r="L306" t="s">
        <v>108</v>
      </c>
      <c r="M306" t="s">
        <v>114</v>
      </c>
      <c r="N306" t="s">
        <v>891</v>
      </c>
      <c r="O306">
        <v>18</v>
      </c>
      <c r="P306">
        <v>31026.06</v>
      </c>
      <c r="Q306">
        <v>25</v>
      </c>
      <c r="R306">
        <v>139617.26999999999</v>
      </c>
      <c r="S306" s="11">
        <v>418851.81</v>
      </c>
      <c r="T306">
        <v>80975</v>
      </c>
      <c r="U306">
        <f t="shared" si="4"/>
        <v>418851.81</v>
      </c>
    </row>
    <row r="307" spans="1:21" ht="15" customHeight="1" x14ac:dyDescent="0.25">
      <c r="A307" t="s">
        <v>1584</v>
      </c>
      <c r="B307" s="8">
        <v>44898</v>
      </c>
      <c r="C307" s="8">
        <v>44899</v>
      </c>
      <c r="D307" t="s">
        <v>32</v>
      </c>
      <c r="E307" t="s">
        <v>3087</v>
      </c>
      <c r="F307" t="s">
        <v>3045</v>
      </c>
      <c r="G307" t="s">
        <v>1586</v>
      </c>
      <c r="H307">
        <v>9073532555</v>
      </c>
      <c r="I307" t="s">
        <v>43</v>
      </c>
      <c r="J307" t="s">
        <v>25</v>
      </c>
      <c r="K307" t="s">
        <v>44</v>
      </c>
      <c r="L307" t="s">
        <v>27</v>
      </c>
      <c r="M307" t="s">
        <v>79</v>
      </c>
      <c r="N307" t="s">
        <v>234</v>
      </c>
      <c r="O307">
        <v>14</v>
      </c>
      <c r="P307">
        <v>7789.49</v>
      </c>
      <c r="Q307">
        <v>15</v>
      </c>
      <c r="R307">
        <v>16357.93</v>
      </c>
      <c r="S307" s="11">
        <v>92694.93</v>
      </c>
      <c r="T307">
        <v>35360.31</v>
      </c>
      <c r="U307">
        <f t="shared" si="4"/>
        <v>92694.93</v>
      </c>
    </row>
    <row r="308" spans="1:21" ht="15" customHeight="1" x14ac:dyDescent="0.25">
      <c r="A308" t="s">
        <v>915</v>
      </c>
      <c r="B308" s="8">
        <v>44900</v>
      </c>
      <c r="C308" s="8">
        <v>44900</v>
      </c>
      <c r="D308" t="s">
        <v>32</v>
      </c>
      <c r="E308" t="s">
        <v>3089</v>
      </c>
      <c r="F308" t="s">
        <v>3074</v>
      </c>
      <c r="G308" t="s">
        <v>917</v>
      </c>
      <c r="H308">
        <v>7035666702</v>
      </c>
      <c r="I308" t="s">
        <v>43</v>
      </c>
      <c r="J308" t="s">
        <v>61</v>
      </c>
      <c r="K308" t="s">
        <v>84</v>
      </c>
      <c r="L308" t="s">
        <v>96</v>
      </c>
      <c r="M308" t="s">
        <v>254</v>
      </c>
      <c r="N308" t="s">
        <v>255</v>
      </c>
      <c r="O308">
        <v>13</v>
      </c>
      <c r="P308">
        <v>254465.57</v>
      </c>
      <c r="Q308">
        <v>15</v>
      </c>
      <c r="R308">
        <v>496207.86</v>
      </c>
      <c r="S308" s="11">
        <v>2811844.55</v>
      </c>
      <c r="T308">
        <v>956763.8</v>
      </c>
      <c r="U308">
        <f t="shared" si="4"/>
        <v>2811844.55</v>
      </c>
    </row>
    <row r="309" spans="1:21" ht="15" customHeight="1" x14ac:dyDescent="0.25">
      <c r="A309" t="s">
        <v>1002</v>
      </c>
      <c r="B309" s="8">
        <v>44901</v>
      </c>
      <c r="C309" s="8">
        <v>44901</v>
      </c>
      <c r="D309" t="s">
        <v>32</v>
      </c>
      <c r="E309" t="s">
        <v>3044</v>
      </c>
      <c r="F309" t="s">
        <v>3075</v>
      </c>
      <c r="G309" t="s">
        <v>1004</v>
      </c>
      <c r="H309">
        <v>8133520615</v>
      </c>
      <c r="I309" t="s">
        <v>35</v>
      </c>
      <c r="J309" t="s">
        <v>25</v>
      </c>
      <c r="K309" t="s">
        <v>36</v>
      </c>
      <c r="L309" t="s">
        <v>85</v>
      </c>
      <c r="M309" t="s">
        <v>218</v>
      </c>
      <c r="N309" t="s">
        <v>1005</v>
      </c>
      <c r="O309">
        <v>4</v>
      </c>
      <c r="P309">
        <v>111547.49</v>
      </c>
      <c r="Q309">
        <v>5</v>
      </c>
      <c r="R309">
        <v>22309.5</v>
      </c>
      <c r="S309" s="11" t="s">
        <v>1006</v>
      </c>
      <c r="T309">
        <v>41865.910000000003</v>
      </c>
      <c r="U309">
        <f t="shared" si="4"/>
        <v>423880.46</v>
      </c>
    </row>
    <row r="310" spans="1:21" ht="15" customHeight="1" x14ac:dyDescent="0.25">
      <c r="A310" t="s">
        <v>663</v>
      </c>
      <c r="B310" s="8">
        <v>44902</v>
      </c>
      <c r="C310" s="8">
        <v>44904</v>
      </c>
      <c r="D310" t="s">
        <v>664</v>
      </c>
      <c r="E310" t="s">
        <v>3094</v>
      </c>
      <c r="F310" t="s">
        <v>3040</v>
      </c>
      <c r="G310" t="s">
        <v>666</v>
      </c>
      <c r="H310">
        <v>9026563269</v>
      </c>
      <c r="I310" t="s">
        <v>35</v>
      </c>
      <c r="J310" t="s">
        <v>25</v>
      </c>
      <c r="K310" t="s">
        <v>26</v>
      </c>
      <c r="L310" t="s">
        <v>108</v>
      </c>
      <c r="M310" t="s">
        <v>114</v>
      </c>
      <c r="N310" t="s">
        <v>291</v>
      </c>
      <c r="O310">
        <v>8</v>
      </c>
      <c r="P310">
        <v>6240.08</v>
      </c>
      <c r="Q310">
        <v>25</v>
      </c>
      <c r="R310">
        <v>12480.16</v>
      </c>
      <c r="S310" s="11">
        <v>37440.480000000003</v>
      </c>
      <c r="T310">
        <v>11161.45</v>
      </c>
      <c r="U310">
        <f t="shared" si="4"/>
        <v>37440.480000000003</v>
      </c>
    </row>
    <row r="311" spans="1:21" ht="15" customHeight="1" x14ac:dyDescent="0.25">
      <c r="A311" t="s">
        <v>2065</v>
      </c>
      <c r="B311" s="8">
        <v>44903</v>
      </c>
      <c r="C311" s="8">
        <v>44909</v>
      </c>
      <c r="D311" t="s">
        <v>48</v>
      </c>
      <c r="E311" t="s">
        <v>3095</v>
      </c>
      <c r="F311" t="s">
        <v>3071</v>
      </c>
      <c r="G311" t="s">
        <v>2067</v>
      </c>
      <c r="H311">
        <v>8038962478</v>
      </c>
      <c r="I311" t="s">
        <v>43</v>
      </c>
      <c r="J311" t="s">
        <v>61</v>
      </c>
      <c r="K311" t="s">
        <v>62</v>
      </c>
      <c r="L311" t="s">
        <v>108</v>
      </c>
      <c r="M311" t="s">
        <v>38</v>
      </c>
      <c r="N311" t="s">
        <v>519</v>
      </c>
      <c r="O311">
        <v>9</v>
      </c>
      <c r="P311">
        <v>9633.15</v>
      </c>
      <c r="Q311">
        <v>0</v>
      </c>
      <c r="R311">
        <v>0</v>
      </c>
      <c r="S311" s="11">
        <v>86698.35</v>
      </c>
      <c r="T311">
        <v>-4123.8</v>
      </c>
      <c r="U311">
        <f t="shared" si="4"/>
        <v>86698.35</v>
      </c>
    </row>
    <row r="312" spans="1:21" ht="15" customHeight="1" x14ac:dyDescent="0.25">
      <c r="A312" t="s">
        <v>2567</v>
      </c>
      <c r="B312" s="8">
        <v>44908</v>
      </c>
      <c r="C312" s="8">
        <v>44909</v>
      </c>
      <c r="D312" t="s">
        <v>2568</v>
      </c>
      <c r="E312" t="s">
        <v>3061</v>
      </c>
      <c r="F312" t="s">
        <v>3052</v>
      </c>
      <c r="G312" t="s">
        <v>602</v>
      </c>
      <c r="H312">
        <v>8151393330</v>
      </c>
      <c r="I312" t="s">
        <v>24</v>
      </c>
      <c r="J312" t="s">
        <v>69</v>
      </c>
      <c r="K312" t="s">
        <v>307</v>
      </c>
      <c r="L312" t="s">
        <v>108</v>
      </c>
      <c r="M312" t="s">
        <v>38</v>
      </c>
      <c r="N312" t="s">
        <v>303</v>
      </c>
      <c r="O312">
        <v>8</v>
      </c>
      <c r="P312">
        <v>4236.4799999999996</v>
      </c>
      <c r="Q312">
        <v>10</v>
      </c>
      <c r="R312">
        <v>3389.18</v>
      </c>
      <c r="S312" s="11">
        <v>30502.66</v>
      </c>
      <c r="T312">
        <v>240</v>
      </c>
      <c r="U312">
        <f t="shared" si="4"/>
        <v>30502.66</v>
      </c>
    </row>
    <row r="313" spans="1:21" ht="15" customHeight="1" x14ac:dyDescent="0.25">
      <c r="A313" t="s">
        <v>1289</v>
      </c>
      <c r="B313" s="8">
        <v>44908</v>
      </c>
      <c r="C313" s="8">
        <v>44908</v>
      </c>
      <c r="D313" t="s">
        <v>32</v>
      </c>
      <c r="E313" t="s">
        <v>3076</v>
      </c>
      <c r="F313" t="s">
        <v>3079</v>
      </c>
      <c r="G313" t="s">
        <v>1291</v>
      </c>
      <c r="H313">
        <v>8169132926</v>
      </c>
      <c r="I313" t="s">
        <v>24</v>
      </c>
      <c r="J313" t="s">
        <v>1292</v>
      </c>
      <c r="K313" t="s">
        <v>52</v>
      </c>
      <c r="L313" t="s">
        <v>96</v>
      </c>
      <c r="M313" t="s">
        <v>385</v>
      </c>
      <c r="N313" t="s">
        <v>1010</v>
      </c>
      <c r="O313">
        <v>9</v>
      </c>
      <c r="P313">
        <v>48435.08</v>
      </c>
      <c r="Q313">
        <v>10</v>
      </c>
      <c r="R313">
        <v>43591.57</v>
      </c>
      <c r="S313" s="11">
        <v>392324.15</v>
      </c>
      <c r="U313">
        <f t="shared" si="4"/>
        <v>392324.15</v>
      </c>
    </row>
    <row r="314" spans="1:21" ht="15" customHeight="1" x14ac:dyDescent="0.25">
      <c r="A314" t="s">
        <v>1467</v>
      </c>
      <c r="B314" s="8">
        <v>44909</v>
      </c>
      <c r="C314" s="8">
        <v>44911</v>
      </c>
      <c r="D314" t="s">
        <v>20</v>
      </c>
      <c r="E314" t="s">
        <v>3037</v>
      </c>
      <c r="F314" t="s">
        <v>3074</v>
      </c>
      <c r="G314" t="s">
        <v>1453</v>
      </c>
      <c r="H314">
        <v>8148087921</v>
      </c>
      <c r="I314" t="s">
        <v>35</v>
      </c>
      <c r="J314" t="s">
        <v>25</v>
      </c>
      <c r="K314" t="s">
        <v>44</v>
      </c>
      <c r="L314" t="s">
        <v>27</v>
      </c>
      <c r="M314" t="s">
        <v>173</v>
      </c>
      <c r="N314" t="s">
        <v>662</v>
      </c>
      <c r="O314">
        <v>16</v>
      </c>
      <c r="P314">
        <v>2352.9699999999998</v>
      </c>
      <c r="Q314">
        <v>0</v>
      </c>
      <c r="R314">
        <v>0</v>
      </c>
      <c r="S314" s="11">
        <v>37647.519999999997</v>
      </c>
      <c r="T314">
        <v>16619.830000000002</v>
      </c>
      <c r="U314">
        <f t="shared" si="4"/>
        <v>37647.519999999997</v>
      </c>
    </row>
    <row r="315" spans="1:21" ht="15" customHeight="1" x14ac:dyDescent="0.25">
      <c r="A315" t="s">
        <v>2105</v>
      </c>
      <c r="B315" s="8">
        <v>44911</v>
      </c>
      <c r="C315" s="8">
        <v>44916</v>
      </c>
      <c r="D315" t="s">
        <v>73</v>
      </c>
      <c r="E315" t="s">
        <v>3037</v>
      </c>
      <c r="F315" t="s">
        <v>3052</v>
      </c>
      <c r="G315" t="s">
        <v>698</v>
      </c>
      <c r="H315">
        <v>8145865999</v>
      </c>
      <c r="I315" t="s">
        <v>35</v>
      </c>
      <c r="J315" t="s">
        <v>25</v>
      </c>
      <c r="K315" t="s">
        <v>126</v>
      </c>
      <c r="L315" t="s">
        <v>63</v>
      </c>
      <c r="M315" t="s">
        <v>469</v>
      </c>
      <c r="N315" t="s">
        <v>470</v>
      </c>
      <c r="O315">
        <v>16</v>
      </c>
      <c r="P315">
        <v>23997.74</v>
      </c>
      <c r="Q315">
        <v>10</v>
      </c>
      <c r="R315">
        <v>38396.379999999997</v>
      </c>
      <c r="S315" s="11">
        <v>345567.46</v>
      </c>
      <c r="T315">
        <v>86606.05</v>
      </c>
      <c r="U315">
        <f t="shared" si="4"/>
        <v>345567.46</v>
      </c>
    </row>
    <row r="316" spans="1:21" ht="15" customHeight="1" x14ac:dyDescent="0.25">
      <c r="A316" t="s">
        <v>2888</v>
      </c>
      <c r="B316" s="8">
        <v>44911</v>
      </c>
      <c r="C316" s="8">
        <v>44914</v>
      </c>
      <c r="D316" t="s">
        <v>20</v>
      </c>
      <c r="E316" t="s">
        <v>3051</v>
      </c>
      <c r="F316" t="s">
        <v>3064</v>
      </c>
      <c r="G316" t="s">
        <v>898</v>
      </c>
      <c r="H316">
        <v>8035072102</v>
      </c>
      <c r="I316" t="s">
        <v>24</v>
      </c>
      <c r="J316" t="s">
        <v>69</v>
      </c>
      <c r="K316" t="s">
        <v>155</v>
      </c>
      <c r="L316" t="s">
        <v>108</v>
      </c>
      <c r="M316" t="s">
        <v>109</v>
      </c>
      <c r="N316" t="s">
        <v>157</v>
      </c>
      <c r="O316">
        <v>17</v>
      </c>
      <c r="P316">
        <v>33056.730000000003</v>
      </c>
      <c r="Q316">
        <v>15</v>
      </c>
      <c r="R316">
        <v>84294.66</v>
      </c>
      <c r="S316" s="11">
        <v>477669.75</v>
      </c>
      <c r="T316">
        <v>-10353.69</v>
      </c>
      <c r="U316">
        <f t="shared" si="4"/>
        <v>477669.75</v>
      </c>
    </row>
    <row r="317" spans="1:21" ht="15" customHeight="1" x14ac:dyDescent="0.25">
      <c r="A317" t="s">
        <v>2243</v>
      </c>
      <c r="B317" s="8">
        <v>44911</v>
      </c>
      <c r="C317" s="8">
        <v>44912</v>
      </c>
      <c r="D317" t="s">
        <v>32</v>
      </c>
      <c r="E317" t="s">
        <v>3033</v>
      </c>
      <c r="F317" t="s">
        <v>3034</v>
      </c>
      <c r="G317" t="s">
        <v>2244</v>
      </c>
      <c r="H317">
        <v>7061155332</v>
      </c>
      <c r="I317" t="s">
        <v>43</v>
      </c>
      <c r="J317" t="s">
        <v>25</v>
      </c>
      <c r="K317" t="s">
        <v>26</v>
      </c>
      <c r="L317" t="s">
        <v>63</v>
      </c>
      <c r="M317" t="s">
        <v>249</v>
      </c>
      <c r="N317" t="s">
        <v>329</v>
      </c>
      <c r="O317">
        <v>9</v>
      </c>
      <c r="P317">
        <v>24895.74</v>
      </c>
      <c r="Q317">
        <v>25</v>
      </c>
      <c r="R317">
        <v>56015.42</v>
      </c>
      <c r="S317" s="11">
        <v>168046.24</v>
      </c>
      <c r="U317">
        <f t="shared" si="4"/>
        <v>168046.24</v>
      </c>
    </row>
    <row r="318" spans="1:21" ht="15" customHeight="1" x14ac:dyDescent="0.25">
      <c r="A318" t="s">
        <v>2562</v>
      </c>
      <c r="B318" s="8">
        <v>44911</v>
      </c>
      <c r="C318" s="8">
        <v>44911</v>
      </c>
      <c r="D318" t="s">
        <v>32</v>
      </c>
      <c r="E318" t="s">
        <v>3035</v>
      </c>
      <c r="F318" t="s">
        <v>3078</v>
      </c>
      <c r="G318" t="s">
        <v>2564</v>
      </c>
      <c r="H318">
        <v>8144050662</v>
      </c>
      <c r="I318" t="s">
        <v>43</v>
      </c>
      <c r="J318" t="s">
        <v>69</v>
      </c>
      <c r="K318" t="s">
        <v>70</v>
      </c>
      <c r="L318" t="s">
        <v>108</v>
      </c>
      <c r="M318" t="s">
        <v>114</v>
      </c>
      <c r="N318" t="s">
        <v>115</v>
      </c>
      <c r="O318">
        <v>19</v>
      </c>
      <c r="P318">
        <v>42703.98</v>
      </c>
      <c r="Q318">
        <v>10</v>
      </c>
      <c r="R318">
        <v>81137.56</v>
      </c>
      <c r="S318" s="11">
        <v>730238.06</v>
      </c>
      <c r="T318">
        <v>278485.28000000003</v>
      </c>
      <c r="U318">
        <f t="shared" si="4"/>
        <v>730238.06</v>
      </c>
    </row>
    <row r="319" spans="1:21" ht="15" customHeight="1" x14ac:dyDescent="0.25">
      <c r="A319" t="s">
        <v>1652</v>
      </c>
      <c r="B319" s="8">
        <v>44911</v>
      </c>
      <c r="C319" s="8">
        <v>44911</v>
      </c>
      <c r="D319" t="s">
        <v>32</v>
      </c>
      <c r="E319" t="s">
        <v>3094</v>
      </c>
      <c r="F319" t="s">
        <v>3069</v>
      </c>
      <c r="G319" t="s">
        <v>222</v>
      </c>
      <c r="H319">
        <v>8063151617</v>
      </c>
      <c r="I319" t="s">
        <v>43</v>
      </c>
      <c r="J319" t="s">
        <v>69</v>
      </c>
      <c r="K319" t="s">
        <v>307</v>
      </c>
      <c r="L319" t="s">
        <v>96</v>
      </c>
      <c r="M319" t="s">
        <v>385</v>
      </c>
      <c r="N319" t="s">
        <v>386</v>
      </c>
      <c r="O319">
        <v>8</v>
      </c>
      <c r="P319">
        <v>421100.08</v>
      </c>
      <c r="Q319">
        <v>25</v>
      </c>
      <c r="R319">
        <v>842200.16</v>
      </c>
      <c r="S319" s="11">
        <v>2526600.48</v>
      </c>
      <c r="T319">
        <v>725991.66</v>
      </c>
      <c r="U319">
        <f t="shared" si="4"/>
        <v>2526600.48</v>
      </c>
    </row>
    <row r="320" spans="1:21" ht="15" customHeight="1" x14ac:dyDescent="0.25">
      <c r="A320" t="s">
        <v>1360</v>
      </c>
      <c r="B320" s="8">
        <v>44912</v>
      </c>
      <c r="C320" s="8">
        <v>44913</v>
      </c>
      <c r="D320" t="s">
        <v>32</v>
      </c>
      <c r="E320" t="s">
        <v>3067</v>
      </c>
      <c r="F320" t="s">
        <v>3064</v>
      </c>
      <c r="G320" t="s">
        <v>1362</v>
      </c>
      <c r="H320">
        <v>9023851044</v>
      </c>
      <c r="I320" t="s">
        <v>43</v>
      </c>
      <c r="J320" t="s">
        <v>25</v>
      </c>
      <c r="K320" t="s">
        <v>168</v>
      </c>
      <c r="L320" t="s">
        <v>27</v>
      </c>
      <c r="M320" t="s">
        <v>173</v>
      </c>
      <c r="N320" t="s">
        <v>380</v>
      </c>
      <c r="O320">
        <v>17</v>
      </c>
      <c r="P320">
        <v>965.85</v>
      </c>
      <c r="Q320">
        <v>20</v>
      </c>
      <c r="R320">
        <v>3283.89</v>
      </c>
      <c r="S320" s="11">
        <v>13135.56</v>
      </c>
      <c r="T320">
        <v>4824.95</v>
      </c>
      <c r="U320">
        <f t="shared" si="4"/>
        <v>13135.56</v>
      </c>
    </row>
    <row r="321" spans="1:21" ht="15" customHeight="1" x14ac:dyDescent="0.25">
      <c r="A321" t="s">
        <v>1389</v>
      </c>
      <c r="B321" s="8">
        <v>44913</v>
      </c>
      <c r="C321" s="8">
        <v>44916</v>
      </c>
      <c r="D321" t="s">
        <v>20</v>
      </c>
      <c r="E321" t="s">
        <v>3067</v>
      </c>
      <c r="F321" t="s">
        <v>3083</v>
      </c>
      <c r="G321" t="s">
        <v>1391</v>
      </c>
      <c r="H321">
        <v>8161793880</v>
      </c>
      <c r="I321" t="s">
        <v>35</v>
      </c>
      <c r="J321" t="s">
        <v>51</v>
      </c>
      <c r="K321" t="s">
        <v>227</v>
      </c>
      <c r="L321" t="s">
        <v>85</v>
      </c>
      <c r="M321" t="s">
        <v>243</v>
      </c>
      <c r="N321" t="s">
        <v>404</v>
      </c>
      <c r="O321">
        <v>6</v>
      </c>
      <c r="P321">
        <v>86419.36</v>
      </c>
      <c r="Q321">
        <v>0</v>
      </c>
      <c r="R321">
        <v>0</v>
      </c>
      <c r="S321" s="11">
        <v>518516.16</v>
      </c>
      <c r="T321">
        <v>143674.23999999999</v>
      </c>
      <c r="U321">
        <f t="shared" si="4"/>
        <v>518516.16</v>
      </c>
    </row>
    <row r="322" spans="1:21" ht="15" customHeight="1" x14ac:dyDescent="0.25">
      <c r="A322" t="s">
        <v>851</v>
      </c>
      <c r="B322" s="8">
        <v>44917</v>
      </c>
      <c r="C322" s="8">
        <v>44923</v>
      </c>
      <c r="D322" t="s">
        <v>48</v>
      </c>
      <c r="E322" t="s">
        <v>3050</v>
      </c>
      <c r="F322" t="s">
        <v>3042</v>
      </c>
      <c r="G322" t="s">
        <v>853</v>
      </c>
      <c r="H322">
        <v>8131554840</v>
      </c>
      <c r="I322" t="s">
        <v>24</v>
      </c>
      <c r="J322" t="s">
        <v>69</v>
      </c>
      <c r="K322" t="s">
        <v>119</v>
      </c>
      <c r="L322" t="s">
        <v>108</v>
      </c>
      <c r="M322" t="s">
        <v>114</v>
      </c>
      <c r="N322" t="s">
        <v>482</v>
      </c>
      <c r="O322">
        <v>9</v>
      </c>
      <c r="P322">
        <v>32299.26</v>
      </c>
      <c r="Q322">
        <v>10</v>
      </c>
      <c r="R322">
        <v>29069.33</v>
      </c>
      <c r="S322" s="11">
        <v>261624.01</v>
      </c>
      <c r="T322">
        <v>90025.81</v>
      </c>
      <c r="U322">
        <f t="shared" ref="U322:U385" si="5">VALUE(S322)</f>
        <v>261624.01</v>
      </c>
    </row>
    <row r="323" spans="1:21" ht="15" customHeight="1" x14ac:dyDescent="0.25">
      <c r="A323" t="s">
        <v>1275</v>
      </c>
      <c r="B323" s="8">
        <v>44917</v>
      </c>
      <c r="C323" s="8">
        <v>44921</v>
      </c>
      <c r="D323" t="s">
        <v>73</v>
      </c>
      <c r="E323" t="s">
        <v>3033</v>
      </c>
      <c r="F323" t="s">
        <v>3052</v>
      </c>
      <c r="H323">
        <v>8037044627</v>
      </c>
      <c r="I323" t="s">
        <v>43</v>
      </c>
      <c r="J323" t="s">
        <v>69</v>
      </c>
      <c r="K323" t="s">
        <v>70</v>
      </c>
      <c r="L323" t="s">
        <v>108</v>
      </c>
      <c r="M323" t="s">
        <v>109</v>
      </c>
      <c r="N323" t="s">
        <v>157</v>
      </c>
      <c r="O323">
        <v>5</v>
      </c>
      <c r="P323">
        <v>44890.61</v>
      </c>
      <c r="Q323" t="s">
        <v>376</v>
      </c>
      <c r="R323">
        <v>0</v>
      </c>
      <c r="S323" s="11">
        <v>224453.05</v>
      </c>
      <c r="T323">
        <v>-32105.39</v>
      </c>
      <c r="U323">
        <f t="shared" si="5"/>
        <v>224453.05</v>
      </c>
    </row>
    <row r="324" spans="1:21" ht="15" customHeight="1" x14ac:dyDescent="0.25">
      <c r="A324" t="s">
        <v>1275</v>
      </c>
      <c r="B324" s="8">
        <v>44917</v>
      </c>
      <c r="C324" s="8">
        <v>44921</v>
      </c>
      <c r="D324" t="s">
        <v>73</v>
      </c>
      <c r="E324" t="s">
        <v>3033</v>
      </c>
      <c r="F324" t="s">
        <v>3052</v>
      </c>
      <c r="H324">
        <v>8037044627</v>
      </c>
      <c r="I324" t="s">
        <v>785</v>
      </c>
      <c r="J324" t="s">
        <v>69</v>
      </c>
      <c r="K324" t="s">
        <v>70</v>
      </c>
      <c r="L324" t="s">
        <v>108</v>
      </c>
      <c r="M324" t="s">
        <v>109</v>
      </c>
      <c r="N324" t="s">
        <v>157</v>
      </c>
      <c r="O324">
        <v>5</v>
      </c>
      <c r="P324">
        <v>44890.61</v>
      </c>
      <c r="Q324">
        <v>0</v>
      </c>
      <c r="R324">
        <v>0</v>
      </c>
      <c r="S324" s="11">
        <v>224453.05</v>
      </c>
      <c r="T324">
        <v>-32105.39</v>
      </c>
      <c r="U324">
        <f t="shared" si="5"/>
        <v>224453.05</v>
      </c>
    </row>
    <row r="325" spans="1:21" ht="15" customHeight="1" x14ac:dyDescent="0.25">
      <c r="A325" t="s">
        <v>1682</v>
      </c>
      <c r="B325" s="8">
        <v>44918</v>
      </c>
      <c r="C325" s="8">
        <v>44920</v>
      </c>
      <c r="D325" t="s">
        <v>20</v>
      </c>
      <c r="E325" t="s">
        <v>3061</v>
      </c>
      <c r="F325" t="s">
        <v>3034</v>
      </c>
      <c r="G325" t="s">
        <v>1684</v>
      </c>
      <c r="H325">
        <v>7035126595</v>
      </c>
      <c r="I325" t="s">
        <v>35</v>
      </c>
      <c r="J325" t="s">
        <v>25</v>
      </c>
      <c r="K325" t="s">
        <v>126</v>
      </c>
      <c r="L325" t="s">
        <v>85</v>
      </c>
      <c r="M325" t="s">
        <v>218</v>
      </c>
      <c r="N325" t="s">
        <v>321</v>
      </c>
      <c r="O325">
        <v>9</v>
      </c>
      <c r="P325">
        <v>38285.32</v>
      </c>
      <c r="Q325">
        <v>0</v>
      </c>
      <c r="R325">
        <v>0</v>
      </c>
      <c r="S325" s="11">
        <v>344567.88</v>
      </c>
      <c r="T325">
        <v>-47344.92</v>
      </c>
      <c r="U325">
        <f t="shared" si="5"/>
        <v>344567.88</v>
      </c>
    </row>
    <row r="326" spans="1:21" ht="15" customHeight="1" x14ac:dyDescent="0.25">
      <c r="A326" t="s">
        <v>1077</v>
      </c>
      <c r="B326" s="8">
        <v>44919</v>
      </c>
      <c r="C326" s="8">
        <v>44923</v>
      </c>
      <c r="D326" t="s">
        <v>73</v>
      </c>
      <c r="E326" t="s">
        <v>3097</v>
      </c>
      <c r="F326" t="s">
        <v>3074</v>
      </c>
      <c r="G326" t="s">
        <v>1078</v>
      </c>
      <c r="H326">
        <v>9028498243</v>
      </c>
      <c r="I326" t="s">
        <v>24</v>
      </c>
      <c r="J326" t="s">
        <v>25</v>
      </c>
      <c r="K326" t="s">
        <v>44</v>
      </c>
      <c r="L326" t="s">
        <v>96</v>
      </c>
      <c r="M326" t="s">
        <v>189</v>
      </c>
      <c r="N326" t="s">
        <v>205</v>
      </c>
      <c r="O326">
        <v>5</v>
      </c>
      <c r="P326">
        <v>139637.76000000001</v>
      </c>
      <c r="Q326">
        <v>0</v>
      </c>
      <c r="R326">
        <v>0</v>
      </c>
      <c r="S326" s="11">
        <v>698188.80000000005</v>
      </c>
      <c r="T326">
        <v>163619.42000000001</v>
      </c>
      <c r="U326">
        <f t="shared" si="5"/>
        <v>698188.80000000005</v>
      </c>
    </row>
    <row r="327" spans="1:21" ht="15" customHeight="1" x14ac:dyDescent="0.25">
      <c r="A327" t="s">
        <v>2877</v>
      </c>
      <c r="B327" s="8">
        <v>44921</v>
      </c>
      <c r="C327" s="8">
        <v>44925</v>
      </c>
      <c r="D327" t="s">
        <v>73</v>
      </c>
      <c r="G327" t="s">
        <v>2878</v>
      </c>
      <c r="H327">
        <v>7037366035</v>
      </c>
      <c r="I327" t="s">
        <v>35</v>
      </c>
      <c r="J327" t="s">
        <v>69</v>
      </c>
      <c r="K327" t="s">
        <v>155</v>
      </c>
      <c r="L327" t="s">
        <v>108</v>
      </c>
      <c r="M327" t="s">
        <v>114</v>
      </c>
      <c r="N327" t="s">
        <v>891</v>
      </c>
      <c r="O327">
        <v>1</v>
      </c>
      <c r="P327">
        <v>20691.669999999998</v>
      </c>
      <c r="Q327">
        <v>0</v>
      </c>
      <c r="R327">
        <v>0</v>
      </c>
      <c r="S327" s="11" t="s">
        <v>2879</v>
      </c>
      <c r="T327">
        <v>4335.46</v>
      </c>
      <c r="U327" t="e">
        <f t="shared" si="5"/>
        <v>#VALUE!</v>
      </c>
    </row>
    <row r="328" spans="1:21" ht="15" customHeight="1" x14ac:dyDescent="0.25">
      <c r="A328" t="s">
        <v>333</v>
      </c>
      <c r="B328" s="8">
        <v>44921</v>
      </c>
      <c r="C328" s="8">
        <v>44921</v>
      </c>
      <c r="D328" t="s">
        <v>32</v>
      </c>
      <c r="E328" t="s">
        <v>3033</v>
      </c>
      <c r="F328" t="s">
        <v>3079</v>
      </c>
      <c r="G328" t="s">
        <v>335</v>
      </c>
      <c r="H328">
        <v>8159418719</v>
      </c>
      <c r="I328" t="s">
        <v>24</v>
      </c>
      <c r="J328" t="s">
        <v>51</v>
      </c>
      <c r="K328" t="s">
        <v>223</v>
      </c>
      <c r="L328" t="s">
        <v>63</v>
      </c>
      <c r="M328" t="s">
        <v>194</v>
      </c>
      <c r="N328" t="s">
        <v>336</v>
      </c>
      <c r="O328">
        <v>16</v>
      </c>
      <c r="P328">
        <v>6795.77</v>
      </c>
      <c r="Q328">
        <v>10</v>
      </c>
      <c r="R328">
        <v>10873.23</v>
      </c>
      <c r="S328" s="11">
        <v>97859.09</v>
      </c>
      <c r="T328">
        <v>29155.71</v>
      </c>
      <c r="U328">
        <f t="shared" si="5"/>
        <v>97859.09</v>
      </c>
    </row>
    <row r="329" spans="1:21" ht="15" customHeight="1" x14ac:dyDescent="0.25">
      <c r="A329" t="s">
        <v>880</v>
      </c>
      <c r="B329" s="8">
        <v>44924</v>
      </c>
      <c r="C329" s="8">
        <v>44927</v>
      </c>
      <c r="D329" t="s">
        <v>20</v>
      </c>
      <c r="E329" t="s">
        <v>3087</v>
      </c>
      <c r="F329" t="s">
        <v>3046</v>
      </c>
      <c r="G329" t="s">
        <v>882</v>
      </c>
      <c r="H329">
        <v>8164512853</v>
      </c>
      <c r="I329" t="s">
        <v>43</v>
      </c>
      <c r="J329" t="s">
        <v>61</v>
      </c>
      <c r="L329" t="s">
        <v>85</v>
      </c>
      <c r="M329" t="s">
        <v>266</v>
      </c>
      <c r="N329" t="s">
        <v>803</v>
      </c>
      <c r="O329">
        <v>3</v>
      </c>
      <c r="P329">
        <v>92207.26</v>
      </c>
      <c r="Q329">
        <v>0</v>
      </c>
      <c r="R329">
        <v>0</v>
      </c>
      <c r="S329" s="11">
        <v>276621.78000000003</v>
      </c>
      <c r="T329">
        <v>60493.82</v>
      </c>
      <c r="U329">
        <f t="shared" si="5"/>
        <v>276621.78000000003</v>
      </c>
    </row>
    <row r="330" spans="1:21" ht="15" customHeight="1" x14ac:dyDescent="0.25">
      <c r="A330" t="s">
        <v>1019</v>
      </c>
      <c r="B330" s="8">
        <v>44925</v>
      </c>
      <c r="C330" s="8">
        <v>44933</v>
      </c>
      <c r="D330" t="s">
        <v>48</v>
      </c>
      <c r="E330" t="s">
        <v>3085</v>
      </c>
      <c r="F330" t="s">
        <v>3088</v>
      </c>
      <c r="G330" t="s">
        <v>1020</v>
      </c>
      <c r="H330">
        <v>9029915915</v>
      </c>
      <c r="I330" t="s">
        <v>24</v>
      </c>
      <c r="J330" t="s">
        <v>69</v>
      </c>
      <c r="K330" t="s">
        <v>119</v>
      </c>
      <c r="L330" t="s">
        <v>27</v>
      </c>
      <c r="M330" t="s">
        <v>79</v>
      </c>
      <c r="N330" t="s">
        <v>145</v>
      </c>
      <c r="O330">
        <v>5</v>
      </c>
      <c r="P330">
        <v>4013.26</v>
      </c>
      <c r="Q330">
        <v>25</v>
      </c>
      <c r="R330">
        <v>5016.58</v>
      </c>
      <c r="S330" s="11">
        <v>15049.72</v>
      </c>
      <c r="T330">
        <v>5214.92</v>
      </c>
      <c r="U330">
        <f t="shared" si="5"/>
        <v>15049.72</v>
      </c>
    </row>
    <row r="331" spans="1:21" ht="15" customHeight="1" x14ac:dyDescent="0.25">
      <c r="A331" t="s">
        <v>2886</v>
      </c>
      <c r="B331" s="8">
        <v>44925</v>
      </c>
      <c r="C331" s="8">
        <v>44928</v>
      </c>
      <c r="D331" t="s">
        <v>20</v>
      </c>
      <c r="E331" t="s">
        <v>3089</v>
      </c>
      <c r="F331" t="s">
        <v>3043</v>
      </c>
      <c r="G331" t="s">
        <v>2887</v>
      </c>
      <c r="H331">
        <v>7064148815</v>
      </c>
      <c r="I331" t="s">
        <v>24</v>
      </c>
      <c r="J331" t="s">
        <v>25</v>
      </c>
      <c r="K331" t="s">
        <v>44</v>
      </c>
      <c r="L331" t="s">
        <v>27</v>
      </c>
      <c r="M331" t="s">
        <v>79</v>
      </c>
      <c r="N331" t="s">
        <v>127</v>
      </c>
      <c r="O331">
        <v>5</v>
      </c>
      <c r="P331">
        <v>2362.06</v>
      </c>
      <c r="Q331">
        <v>0</v>
      </c>
      <c r="R331">
        <v>0</v>
      </c>
      <c r="S331" s="11">
        <v>11810.3</v>
      </c>
      <c r="T331">
        <v>-768.84</v>
      </c>
      <c r="U331">
        <f t="shared" si="5"/>
        <v>11810.3</v>
      </c>
    </row>
    <row r="332" spans="1:21" ht="15" customHeight="1" x14ac:dyDescent="0.25">
      <c r="A332" t="s">
        <v>2368</v>
      </c>
      <c r="B332" s="8">
        <v>44925</v>
      </c>
      <c r="C332" s="8">
        <v>44925</v>
      </c>
      <c r="D332" t="s">
        <v>32</v>
      </c>
      <c r="E332" t="s">
        <v>3080</v>
      </c>
      <c r="F332" t="s">
        <v>3036</v>
      </c>
      <c r="G332" t="s">
        <v>2369</v>
      </c>
      <c r="H332">
        <v>8064187908</v>
      </c>
      <c r="I332" t="s">
        <v>35</v>
      </c>
      <c r="J332" t="s">
        <v>61</v>
      </c>
      <c r="K332" t="s">
        <v>62</v>
      </c>
      <c r="L332" t="s">
        <v>96</v>
      </c>
      <c r="M332" t="s">
        <v>385</v>
      </c>
      <c r="N332" t="s">
        <v>1010</v>
      </c>
      <c r="O332">
        <v>7</v>
      </c>
      <c r="P332">
        <v>146700.97</v>
      </c>
      <c r="Q332">
        <v>5</v>
      </c>
      <c r="R332">
        <v>51345.34</v>
      </c>
      <c r="S332" s="11">
        <v>975561.45</v>
      </c>
      <c r="T332">
        <v>-3546.79</v>
      </c>
      <c r="U332">
        <f t="shared" si="5"/>
        <v>975561.45</v>
      </c>
    </row>
    <row r="333" spans="1:21" ht="15" customHeight="1" x14ac:dyDescent="0.25">
      <c r="A333" t="s">
        <v>953</v>
      </c>
      <c r="B333" s="8">
        <v>44925</v>
      </c>
      <c r="C333" s="8">
        <v>44925</v>
      </c>
      <c r="D333" t="s">
        <v>32</v>
      </c>
      <c r="E333" t="s">
        <v>3065</v>
      </c>
      <c r="F333" t="s">
        <v>3062</v>
      </c>
      <c r="G333" t="s">
        <v>955</v>
      </c>
      <c r="H333">
        <v>7061681729</v>
      </c>
      <c r="I333" t="s">
        <v>43</v>
      </c>
      <c r="J333" t="s">
        <v>61</v>
      </c>
      <c r="K333" t="s">
        <v>62</v>
      </c>
      <c r="L333" t="s">
        <v>108</v>
      </c>
      <c r="M333" t="s">
        <v>38</v>
      </c>
      <c r="N333" t="s">
        <v>296</v>
      </c>
      <c r="O333">
        <v>6</v>
      </c>
      <c r="P333">
        <v>13362.3</v>
      </c>
      <c r="Q333">
        <v>10</v>
      </c>
      <c r="R333">
        <v>8017.38</v>
      </c>
      <c r="S333" s="11">
        <v>72156.42</v>
      </c>
      <c r="T333">
        <v>-10579.06</v>
      </c>
      <c r="U333">
        <f t="shared" si="5"/>
        <v>72156.42</v>
      </c>
    </row>
    <row r="334" spans="1:21" ht="15" customHeight="1" x14ac:dyDescent="0.25">
      <c r="A334" t="s">
        <v>1448</v>
      </c>
      <c r="B334" s="8">
        <v>44928</v>
      </c>
      <c r="C334" s="8">
        <v>44936</v>
      </c>
      <c r="D334" t="s">
        <v>48</v>
      </c>
      <c r="E334" t="s">
        <v>3080</v>
      </c>
      <c r="F334" t="s">
        <v>3069</v>
      </c>
      <c r="G334" t="s">
        <v>1450</v>
      </c>
      <c r="H334">
        <v>8106079345</v>
      </c>
      <c r="I334" t="s">
        <v>43</v>
      </c>
      <c r="J334" t="s">
        <v>25</v>
      </c>
      <c r="K334" t="s">
        <v>26</v>
      </c>
      <c r="L334" t="s">
        <v>27</v>
      </c>
      <c r="M334" t="s">
        <v>173</v>
      </c>
      <c r="N334" t="s">
        <v>279</v>
      </c>
      <c r="O334">
        <v>17</v>
      </c>
      <c r="P334">
        <v>6153.32</v>
      </c>
      <c r="Q334">
        <v>20</v>
      </c>
      <c r="R334">
        <v>20921.29</v>
      </c>
      <c r="S334" s="11">
        <v>83685.149999999994</v>
      </c>
      <c r="T334">
        <v>27251.14</v>
      </c>
      <c r="U334">
        <f t="shared" si="5"/>
        <v>83685.149999999994</v>
      </c>
    </row>
    <row r="335" spans="1:21" ht="15" customHeight="1" x14ac:dyDescent="0.25">
      <c r="A335" t="s">
        <v>1347</v>
      </c>
      <c r="B335" s="8">
        <v>44930</v>
      </c>
      <c r="C335" s="8">
        <v>44938</v>
      </c>
      <c r="D335" t="s">
        <v>48</v>
      </c>
      <c r="E335" t="s">
        <v>3085</v>
      </c>
      <c r="F335" t="s">
        <v>3050</v>
      </c>
      <c r="G335" t="s">
        <v>1349</v>
      </c>
      <c r="H335">
        <v>7038026061</v>
      </c>
      <c r="I335" t="s">
        <v>24</v>
      </c>
      <c r="J335" t="s">
        <v>61</v>
      </c>
      <c r="K335" t="s">
        <v>62</v>
      </c>
      <c r="L335" t="s">
        <v>96</v>
      </c>
      <c r="M335" t="s">
        <v>254</v>
      </c>
      <c r="N335" t="s">
        <v>255</v>
      </c>
      <c r="O335">
        <v>17</v>
      </c>
      <c r="P335">
        <v>98477.74</v>
      </c>
      <c r="Q335">
        <v>0</v>
      </c>
      <c r="R335">
        <v>0</v>
      </c>
      <c r="S335" s="11">
        <v>1674121.58</v>
      </c>
      <c r="T335">
        <v>370571.1</v>
      </c>
      <c r="U335">
        <f t="shared" si="5"/>
        <v>1674121.58</v>
      </c>
    </row>
    <row r="336" spans="1:21" ht="15" customHeight="1" x14ac:dyDescent="0.25">
      <c r="A336" t="s">
        <v>1012</v>
      </c>
      <c r="B336" s="8">
        <v>44930</v>
      </c>
      <c r="C336" s="8">
        <v>44933</v>
      </c>
      <c r="D336" t="s">
        <v>20</v>
      </c>
      <c r="E336" t="s">
        <v>3080</v>
      </c>
      <c r="F336" t="s">
        <v>3057</v>
      </c>
      <c r="G336" t="s">
        <v>1014</v>
      </c>
      <c r="H336">
        <v>9015755579</v>
      </c>
      <c r="I336" t="s">
        <v>35</v>
      </c>
      <c r="J336" t="s">
        <v>61</v>
      </c>
      <c r="K336" t="s">
        <v>95</v>
      </c>
      <c r="L336" t="s">
        <v>96</v>
      </c>
      <c r="M336" t="s">
        <v>385</v>
      </c>
      <c r="N336" t="s">
        <v>942</v>
      </c>
      <c r="O336">
        <v>16</v>
      </c>
      <c r="P336">
        <v>278838.77</v>
      </c>
      <c r="Q336">
        <v>20</v>
      </c>
      <c r="R336">
        <v>892284.06</v>
      </c>
      <c r="S336" s="11">
        <v>3569136.26</v>
      </c>
      <c r="T336">
        <v>-170104.78</v>
      </c>
      <c r="U336">
        <f t="shared" si="5"/>
        <v>3569136.26</v>
      </c>
    </row>
    <row r="337" spans="1:21" ht="15" customHeight="1" x14ac:dyDescent="0.25">
      <c r="A337" t="s">
        <v>2627</v>
      </c>
      <c r="B337" s="8">
        <v>44932</v>
      </c>
      <c r="C337" s="8">
        <v>44936</v>
      </c>
      <c r="D337" t="s">
        <v>73</v>
      </c>
      <c r="E337" t="s">
        <v>3082</v>
      </c>
      <c r="F337" t="s">
        <v>3083</v>
      </c>
      <c r="G337" t="s">
        <v>2628</v>
      </c>
      <c r="H337">
        <v>9016492169</v>
      </c>
      <c r="I337" t="s">
        <v>35</v>
      </c>
      <c r="J337" t="s">
        <v>25</v>
      </c>
      <c r="K337" t="s">
        <v>44</v>
      </c>
      <c r="L337" t="s">
        <v>108</v>
      </c>
      <c r="M337" t="s">
        <v>183</v>
      </c>
      <c r="N337" t="s">
        <v>184</v>
      </c>
      <c r="O337">
        <v>16</v>
      </c>
      <c r="P337">
        <v>34415.919999999998</v>
      </c>
      <c r="Q337">
        <v>20</v>
      </c>
      <c r="R337">
        <v>110130.94</v>
      </c>
      <c r="S337" s="11">
        <v>440523.78</v>
      </c>
      <c r="T337">
        <v>82156.77</v>
      </c>
      <c r="U337">
        <f t="shared" si="5"/>
        <v>440523.78</v>
      </c>
    </row>
    <row r="338" spans="1:21" ht="15" customHeight="1" x14ac:dyDescent="0.25">
      <c r="A338" t="s">
        <v>909</v>
      </c>
      <c r="B338" s="8">
        <v>44933</v>
      </c>
      <c r="C338" s="8">
        <v>44934</v>
      </c>
      <c r="D338" t="s">
        <v>32</v>
      </c>
      <c r="E338" t="s">
        <v>3097</v>
      </c>
      <c r="F338" t="s">
        <v>3088</v>
      </c>
      <c r="G338" t="s">
        <v>911</v>
      </c>
      <c r="H338">
        <v>8033192032</v>
      </c>
      <c r="I338" t="s">
        <v>24</v>
      </c>
      <c r="K338" t="s">
        <v>155</v>
      </c>
      <c r="L338" t="s">
        <v>108</v>
      </c>
      <c r="M338" t="s">
        <v>183</v>
      </c>
      <c r="N338" t="s">
        <v>719</v>
      </c>
      <c r="O338">
        <v>15</v>
      </c>
      <c r="P338">
        <v>40166.54</v>
      </c>
      <c r="Q338">
        <v>0</v>
      </c>
      <c r="R338">
        <v>0</v>
      </c>
      <c r="S338" s="11">
        <v>602498.1</v>
      </c>
      <c r="T338">
        <v>-67478.81</v>
      </c>
      <c r="U338">
        <f t="shared" si="5"/>
        <v>602498.1</v>
      </c>
    </row>
    <row r="339" spans="1:21" ht="15" customHeight="1" x14ac:dyDescent="0.25">
      <c r="A339" t="s">
        <v>2494</v>
      </c>
      <c r="B339" s="8">
        <v>44934</v>
      </c>
      <c r="C339" s="8">
        <v>44934</v>
      </c>
      <c r="D339" t="s">
        <v>32</v>
      </c>
      <c r="E339" t="s">
        <v>3097</v>
      </c>
      <c r="F339" t="s">
        <v>3038</v>
      </c>
      <c r="G339" t="s">
        <v>2496</v>
      </c>
      <c r="H339">
        <v>9057277502</v>
      </c>
      <c r="I339" t="s">
        <v>24</v>
      </c>
      <c r="J339" t="s">
        <v>61</v>
      </c>
      <c r="K339" t="s">
        <v>62</v>
      </c>
      <c r="L339" t="s">
        <v>27</v>
      </c>
      <c r="M339" t="s">
        <v>354</v>
      </c>
      <c r="N339" t="s">
        <v>433</v>
      </c>
      <c r="O339">
        <v>6</v>
      </c>
      <c r="P339">
        <v>5739.03</v>
      </c>
      <c r="Q339">
        <v>25</v>
      </c>
      <c r="R339">
        <v>8608.5499999999993</v>
      </c>
      <c r="S339" s="11">
        <v>25825.63</v>
      </c>
      <c r="T339">
        <v>-1567.36</v>
      </c>
      <c r="U339">
        <f t="shared" si="5"/>
        <v>25825.63</v>
      </c>
    </row>
    <row r="340" spans="1:21" ht="15" customHeight="1" x14ac:dyDescent="0.25">
      <c r="A340" t="s">
        <v>456</v>
      </c>
      <c r="B340" s="8">
        <v>44935</v>
      </c>
      <c r="C340" s="8">
        <v>44935</v>
      </c>
      <c r="D340" t="s">
        <v>32</v>
      </c>
      <c r="E340" t="s">
        <v>3044</v>
      </c>
      <c r="F340" t="s">
        <v>3078</v>
      </c>
      <c r="G340" t="s">
        <v>458</v>
      </c>
      <c r="H340">
        <v>8035923149</v>
      </c>
      <c r="I340" t="s">
        <v>24</v>
      </c>
      <c r="J340" t="s">
        <v>61</v>
      </c>
      <c r="K340" t="s">
        <v>204</v>
      </c>
      <c r="L340" t="s">
        <v>85</v>
      </c>
      <c r="M340" t="s">
        <v>86</v>
      </c>
      <c r="N340" t="s">
        <v>87</v>
      </c>
      <c r="O340">
        <v>11</v>
      </c>
      <c r="P340">
        <v>160355.95000000001</v>
      </c>
      <c r="Q340">
        <v>10</v>
      </c>
      <c r="R340">
        <v>176391.55</v>
      </c>
      <c r="S340" s="11">
        <v>1587523.9</v>
      </c>
      <c r="T340">
        <v>252781.67</v>
      </c>
      <c r="U340">
        <f t="shared" si="5"/>
        <v>1587523.9</v>
      </c>
    </row>
    <row r="341" spans="1:21" ht="15" customHeight="1" x14ac:dyDescent="0.25">
      <c r="A341" t="s">
        <v>1851</v>
      </c>
      <c r="B341" s="8">
        <v>44936</v>
      </c>
      <c r="C341" s="8">
        <v>44937</v>
      </c>
      <c r="D341" t="s">
        <v>32</v>
      </c>
      <c r="E341" t="s">
        <v>3097</v>
      </c>
      <c r="F341" t="s">
        <v>3079</v>
      </c>
      <c r="G341" t="s">
        <v>1702</v>
      </c>
      <c r="H341">
        <v>8155812035</v>
      </c>
      <c r="I341" t="s">
        <v>43</v>
      </c>
      <c r="J341" t="s">
        <v>61</v>
      </c>
      <c r="K341" t="s">
        <v>84</v>
      </c>
      <c r="L341" t="s">
        <v>63</v>
      </c>
      <c r="M341" t="s">
        <v>64</v>
      </c>
      <c r="N341" t="s">
        <v>777</v>
      </c>
      <c r="O341">
        <v>8</v>
      </c>
      <c r="P341">
        <v>23571.09</v>
      </c>
      <c r="Q341">
        <v>10</v>
      </c>
      <c r="R341">
        <v>18856.87</v>
      </c>
      <c r="S341" s="11">
        <v>169711.85</v>
      </c>
      <c r="T341">
        <v>39268.120000000003</v>
      </c>
      <c r="U341">
        <f t="shared" si="5"/>
        <v>169711.85</v>
      </c>
    </row>
    <row r="342" spans="1:21" ht="15" customHeight="1" x14ac:dyDescent="0.25">
      <c r="A342" t="s">
        <v>2187</v>
      </c>
      <c r="B342" s="8">
        <v>44937</v>
      </c>
      <c r="C342" s="8">
        <v>44942</v>
      </c>
      <c r="D342" t="s">
        <v>73</v>
      </c>
      <c r="E342" t="s">
        <v>3035</v>
      </c>
      <c r="F342" t="s">
        <v>3042</v>
      </c>
      <c r="G342" t="s">
        <v>2189</v>
      </c>
      <c r="H342">
        <v>8101130589</v>
      </c>
      <c r="I342" t="s">
        <v>43</v>
      </c>
      <c r="J342" t="s">
        <v>69</v>
      </c>
      <c r="K342" t="s">
        <v>144</v>
      </c>
      <c r="L342" t="s">
        <v>2190</v>
      </c>
      <c r="M342" t="s">
        <v>173</v>
      </c>
      <c r="N342" t="s">
        <v>174</v>
      </c>
      <c r="O342">
        <v>15</v>
      </c>
      <c r="P342">
        <v>5489.08</v>
      </c>
      <c r="Q342">
        <v>15</v>
      </c>
      <c r="R342">
        <v>12350.43</v>
      </c>
      <c r="S342" s="11">
        <v>69985.77</v>
      </c>
      <c r="T342">
        <v>2957.75</v>
      </c>
      <c r="U342">
        <f t="shared" si="5"/>
        <v>69985.77</v>
      </c>
    </row>
    <row r="343" spans="1:21" ht="15" customHeight="1" x14ac:dyDescent="0.25">
      <c r="A343" t="s">
        <v>2395</v>
      </c>
      <c r="B343" s="8">
        <v>44939</v>
      </c>
      <c r="C343" s="8">
        <v>44943</v>
      </c>
      <c r="D343" t="s">
        <v>73</v>
      </c>
      <c r="E343" t="s">
        <v>3039</v>
      </c>
      <c r="F343" t="s">
        <v>3043</v>
      </c>
      <c r="G343" t="s">
        <v>2397</v>
      </c>
      <c r="H343">
        <v>7036587015</v>
      </c>
      <c r="I343" t="s">
        <v>24</v>
      </c>
      <c r="J343" t="s">
        <v>51</v>
      </c>
      <c r="K343" t="s">
        <v>316</v>
      </c>
      <c r="L343" t="s">
        <v>85</v>
      </c>
      <c r="M343" t="s">
        <v>243</v>
      </c>
      <c r="N343" t="s">
        <v>404</v>
      </c>
      <c r="O343">
        <v>1</v>
      </c>
      <c r="P343">
        <v>111822.11</v>
      </c>
      <c r="Q343">
        <v>0</v>
      </c>
      <c r="R343">
        <v>0</v>
      </c>
      <c r="S343" s="11">
        <v>111822.11</v>
      </c>
      <c r="T343">
        <v>-8776.44</v>
      </c>
      <c r="U343">
        <f t="shared" si="5"/>
        <v>111822.11</v>
      </c>
    </row>
    <row r="344" spans="1:21" ht="15" customHeight="1" x14ac:dyDescent="0.25">
      <c r="A344" t="s">
        <v>2930</v>
      </c>
      <c r="B344" s="8">
        <v>44940</v>
      </c>
      <c r="C344" s="8">
        <v>44946</v>
      </c>
      <c r="D344" t="s">
        <v>48</v>
      </c>
      <c r="E344" t="s">
        <v>3076</v>
      </c>
      <c r="F344" t="s">
        <v>3096</v>
      </c>
      <c r="G344" t="s">
        <v>2932</v>
      </c>
      <c r="H344">
        <v>9028212098</v>
      </c>
      <c r="I344" t="s">
        <v>125</v>
      </c>
      <c r="J344" t="s">
        <v>61</v>
      </c>
      <c r="K344" t="s">
        <v>62</v>
      </c>
      <c r="M344" t="s">
        <v>189</v>
      </c>
      <c r="N344" t="s">
        <v>205</v>
      </c>
      <c r="O344">
        <v>2</v>
      </c>
      <c r="P344">
        <v>43307.01</v>
      </c>
      <c r="Q344">
        <v>15</v>
      </c>
      <c r="R344">
        <v>12992.1</v>
      </c>
      <c r="S344" s="11">
        <v>73621.919999999998</v>
      </c>
      <c r="T344">
        <v>16442.04</v>
      </c>
      <c r="U344">
        <f t="shared" si="5"/>
        <v>73621.919999999998</v>
      </c>
    </row>
    <row r="345" spans="1:21" ht="15" customHeight="1" x14ac:dyDescent="0.25">
      <c r="A345" t="s">
        <v>2818</v>
      </c>
      <c r="B345" s="8">
        <v>44941</v>
      </c>
      <c r="C345" s="8">
        <v>44946</v>
      </c>
      <c r="D345" t="s">
        <v>73</v>
      </c>
      <c r="E345" t="s">
        <v>3094</v>
      </c>
      <c r="F345" t="s">
        <v>3078</v>
      </c>
      <c r="G345" t="s">
        <v>2820</v>
      </c>
      <c r="H345">
        <v>9071282620</v>
      </c>
      <c r="I345" t="s">
        <v>43</v>
      </c>
      <c r="J345" t="s">
        <v>61</v>
      </c>
      <c r="K345" t="s">
        <v>95</v>
      </c>
      <c r="L345" t="s">
        <v>534</v>
      </c>
      <c r="M345" t="s">
        <v>109</v>
      </c>
      <c r="N345" t="s">
        <v>1258</v>
      </c>
      <c r="O345">
        <v>17</v>
      </c>
      <c r="P345">
        <v>9282.89</v>
      </c>
      <c r="Q345">
        <v>5</v>
      </c>
      <c r="R345">
        <v>7890.46</v>
      </c>
      <c r="S345" s="11">
        <v>149918.67000000001</v>
      </c>
      <c r="T345">
        <v>66532.12</v>
      </c>
      <c r="U345">
        <f t="shared" si="5"/>
        <v>149918.67000000001</v>
      </c>
    </row>
    <row r="346" spans="1:21" ht="15" customHeight="1" x14ac:dyDescent="0.25">
      <c r="A346" t="s">
        <v>1780</v>
      </c>
      <c r="B346" s="8">
        <v>44942</v>
      </c>
      <c r="C346" s="8">
        <v>44945</v>
      </c>
      <c r="D346" t="s">
        <v>73</v>
      </c>
      <c r="E346" t="s">
        <v>3087</v>
      </c>
      <c r="F346" t="s">
        <v>3034</v>
      </c>
      <c r="G346" t="s">
        <v>1782</v>
      </c>
      <c r="H346">
        <v>9024219293</v>
      </c>
      <c r="I346" t="s">
        <v>24</v>
      </c>
      <c r="J346" t="s">
        <v>25</v>
      </c>
      <c r="K346" t="s">
        <v>168</v>
      </c>
      <c r="L346" t="s">
        <v>63</v>
      </c>
      <c r="M346" t="s">
        <v>194</v>
      </c>
      <c r="N346" t="s">
        <v>257</v>
      </c>
      <c r="O346">
        <v>20</v>
      </c>
      <c r="P346">
        <v>11297.9</v>
      </c>
      <c r="Q346">
        <v>0</v>
      </c>
      <c r="R346">
        <v>0</v>
      </c>
      <c r="S346" s="11">
        <v>225958</v>
      </c>
      <c r="T346">
        <v>83834.3</v>
      </c>
      <c r="U346">
        <f t="shared" si="5"/>
        <v>225958</v>
      </c>
    </row>
    <row r="347" spans="1:21" ht="15" customHeight="1" x14ac:dyDescent="0.25">
      <c r="A347" t="s">
        <v>1164</v>
      </c>
      <c r="B347" s="8">
        <v>44943</v>
      </c>
      <c r="C347" s="8">
        <v>44949</v>
      </c>
      <c r="D347" t="s">
        <v>48</v>
      </c>
      <c r="E347" t="s">
        <v>3092</v>
      </c>
      <c r="F347" t="s">
        <v>3071</v>
      </c>
      <c r="G347" t="s">
        <v>1166</v>
      </c>
      <c r="H347">
        <v>8035150551</v>
      </c>
      <c r="I347" t="s">
        <v>43</v>
      </c>
      <c r="J347" t="s">
        <v>25</v>
      </c>
      <c r="K347" t="s">
        <v>44</v>
      </c>
      <c r="L347" t="s">
        <v>27</v>
      </c>
      <c r="M347" t="s">
        <v>45</v>
      </c>
      <c r="N347" t="s">
        <v>838</v>
      </c>
      <c r="O347">
        <v>6</v>
      </c>
      <c r="P347">
        <v>4072.48</v>
      </c>
      <c r="Q347">
        <v>0</v>
      </c>
      <c r="R347">
        <v>0</v>
      </c>
      <c r="S347" s="11">
        <v>24434.880000000001</v>
      </c>
      <c r="T347">
        <v>1418.88</v>
      </c>
      <c r="U347">
        <f t="shared" si="5"/>
        <v>24434.880000000001</v>
      </c>
    </row>
    <row r="348" spans="1:21" ht="15" customHeight="1" x14ac:dyDescent="0.25">
      <c r="A348" t="s">
        <v>1538</v>
      </c>
      <c r="B348" s="8">
        <v>44943</v>
      </c>
      <c r="C348" s="8">
        <v>44946</v>
      </c>
      <c r="D348" t="s">
        <v>20</v>
      </c>
      <c r="E348" t="s">
        <v>3068</v>
      </c>
      <c r="F348" t="s">
        <v>3050</v>
      </c>
      <c r="G348" t="s">
        <v>1540</v>
      </c>
      <c r="H348" t="s">
        <v>23</v>
      </c>
      <c r="I348" t="s">
        <v>43</v>
      </c>
      <c r="J348" t="s">
        <v>69</v>
      </c>
      <c r="K348" t="s">
        <v>307</v>
      </c>
      <c r="L348" t="s">
        <v>108</v>
      </c>
      <c r="M348" t="s">
        <v>109</v>
      </c>
      <c r="N348" t="s">
        <v>1258</v>
      </c>
      <c r="O348">
        <v>17</v>
      </c>
      <c r="P348">
        <v>42018.71</v>
      </c>
      <c r="Q348">
        <v>25</v>
      </c>
      <c r="R348">
        <v>178579.52</v>
      </c>
      <c r="S348" s="11">
        <v>535738.55000000005</v>
      </c>
      <c r="T348">
        <v>-53369.17</v>
      </c>
      <c r="U348">
        <f t="shared" si="5"/>
        <v>535738.55000000005</v>
      </c>
    </row>
    <row r="349" spans="1:21" ht="15" customHeight="1" x14ac:dyDescent="0.25">
      <c r="A349" t="s">
        <v>555</v>
      </c>
      <c r="B349" s="8">
        <v>44943</v>
      </c>
      <c r="C349" s="8">
        <v>44944</v>
      </c>
      <c r="D349" t="s">
        <v>32</v>
      </c>
      <c r="E349" t="s">
        <v>3063</v>
      </c>
      <c r="F349" t="s">
        <v>3046</v>
      </c>
      <c r="G349" t="s">
        <v>557</v>
      </c>
      <c r="H349">
        <v>9052800206</v>
      </c>
      <c r="I349" t="s">
        <v>43</v>
      </c>
      <c r="J349" t="s">
        <v>61</v>
      </c>
      <c r="K349" t="s">
        <v>95</v>
      </c>
      <c r="L349" t="s">
        <v>63</v>
      </c>
      <c r="M349" t="s">
        <v>558</v>
      </c>
      <c r="N349" t="s">
        <v>559</v>
      </c>
      <c r="O349">
        <v>18</v>
      </c>
      <c r="P349">
        <v>24732.94</v>
      </c>
      <c r="Q349">
        <v>25</v>
      </c>
      <c r="R349">
        <v>111298.23</v>
      </c>
      <c r="S349" s="11">
        <v>333894.69</v>
      </c>
      <c r="T349">
        <v>48864.639999999999</v>
      </c>
      <c r="U349">
        <f t="shared" si="5"/>
        <v>333894.69</v>
      </c>
    </row>
    <row r="350" spans="1:21" ht="15" customHeight="1" x14ac:dyDescent="0.25">
      <c r="A350" t="s">
        <v>849</v>
      </c>
      <c r="B350" s="8">
        <v>44946</v>
      </c>
      <c r="C350" s="8">
        <v>44954</v>
      </c>
      <c r="D350" t="s">
        <v>48</v>
      </c>
      <c r="E350" t="s">
        <v>3082</v>
      </c>
      <c r="F350" t="s">
        <v>3042</v>
      </c>
      <c r="H350">
        <v>9019127895</v>
      </c>
      <c r="I350" t="s">
        <v>24</v>
      </c>
      <c r="J350" t="s">
        <v>69</v>
      </c>
      <c r="K350" t="s">
        <v>155</v>
      </c>
      <c r="L350" t="s">
        <v>27</v>
      </c>
      <c r="M350" t="s">
        <v>45</v>
      </c>
      <c r="N350" t="s">
        <v>308</v>
      </c>
      <c r="O350">
        <v>6</v>
      </c>
      <c r="P350">
        <v>4267.58</v>
      </c>
      <c r="Q350">
        <v>110</v>
      </c>
      <c r="R350">
        <v>0</v>
      </c>
      <c r="S350" s="11">
        <v>25605.48</v>
      </c>
      <c r="T350">
        <v>939.05</v>
      </c>
      <c r="U350">
        <f t="shared" si="5"/>
        <v>25605.48</v>
      </c>
    </row>
    <row r="351" spans="1:21" ht="15" customHeight="1" x14ac:dyDescent="0.25">
      <c r="A351" t="s">
        <v>930</v>
      </c>
      <c r="B351" s="8">
        <v>44946</v>
      </c>
      <c r="C351" s="8">
        <v>44949</v>
      </c>
      <c r="D351" t="s">
        <v>73</v>
      </c>
      <c r="E351" t="s">
        <v>3058</v>
      </c>
      <c r="F351" t="s">
        <v>3052</v>
      </c>
      <c r="G351" t="s">
        <v>932</v>
      </c>
      <c r="H351">
        <v>8034197381</v>
      </c>
      <c r="I351" t="s">
        <v>43</v>
      </c>
      <c r="J351" t="s">
        <v>69</v>
      </c>
      <c r="K351" t="s">
        <v>307</v>
      </c>
      <c r="L351" t="s">
        <v>63</v>
      </c>
      <c r="M351" t="s">
        <v>249</v>
      </c>
      <c r="N351" t="s">
        <v>329</v>
      </c>
      <c r="O351">
        <v>19</v>
      </c>
      <c r="P351">
        <v>1639.26</v>
      </c>
      <c r="Q351">
        <v>0</v>
      </c>
      <c r="R351">
        <v>0</v>
      </c>
      <c r="S351" s="11">
        <v>31145.94</v>
      </c>
      <c r="T351">
        <v>9757.6200000000008</v>
      </c>
      <c r="U351">
        <f t="shared" si="5"/>
        <v>31145.94</v>
      </c>
    </row>
    <row r="352" spans="1:21" ht="15" customHeight="1" x14ac:dyDescent="0.25">
      <c r="A352" t="s">
        <v>2806</v>
      </c>
      <c r="B352" s="8">
        <v>44947</v>
      </c>
      <c r="C352" s="8">
        <v>44947</v>
      </c>
      <c r="D352" t="s">
        <v>32</v>
      </c>
      <c r="E352" t="s">
        <v>3094</v>
      </c>
      <c r="F352" t="s">
        <v>3039</v>
      </c>
      <c r="G352" t="s">
        <v>2807</v>
      </c>
      <c r="H352">
        <v>9077250140</v>
      </c>
      <c r="I352" t="s">
        <v>35</v>
      </c>
      <c r="J352" t="s">
        <v>61</v>
      </c>
      <c r="K352" t="s">
        <v>95</v>
      </c>
      <c r="L352" t="s">
        <v>63</v>
      </c>
      <c r="M352" t="s">
        <v>64</v>
      </c>
      <c r="N352" t="s">
        <v>815</v>
      </c>
      <c r="O352">
        <v>15</v>
      </c>
      <c r="P352">
        <v>24254.799999999999</v>
      </c>
      <c r="Q352">
        <v>0</v>
      </c>
      <c r="R352">
        <v>0</v>
      </c>
      <c r="S352" s="11">
        <v>363822</v>
      </c>
      <c r="T352">
        <v>-25304.63</v>
      </c>
      <c r="U352">
        <f t="shared" si="5"/>
        <v>363822</v>
      </c>
    </row>
    <row r="353" spans="1:21" ht="15" customHeight="1" x14ac:dyDescent="0.25">
      <c r="A353" t="s">
        <v>105</v>
      </c>
      <c r="B353" s="8">
        <v>44951</v>
      </c>
      <c r="C353" s="8">
        <v>44956</v>
      </c>
      <c r="D353" t="s">
        <v>73</v>
      </c>
      <c r="E353" t="s">
        <v>3053</v>
      </c>
      <c r="F353" t="s">
        <v>3054</v>
      </c>
      <c r="G353" t="s">
        <v>107</v>
      </c>
      <c r="H353">
        <v>8105673212</v>
      </c>
      <c r="I353" t="s">
        <v>35</v>
      </c>
      <c r="J353" t="s">
        <v>51</v>
      </c>
      <c r="K353" t="s">
        <v>52</v>
      </c>
      <c r="L353" t="s">
        <v>108</v>
      </c>
      <c r="M353" t="s">
        <v>109</v>
      </c>
      <c r="N353" t="s">
        <v>110</v>
      </c>
      <c r="O353">
        <v>18</v>
      </c>
      <c r="P353">
        <v>21054.62</v>
      </c>
      <c r="Q353">
        <v>0</v>
      </c>
      <c r="R353">
        <v>0</v>
      </c>
      <c r="S353" s="11">
        <v>378983.16</v>
      </c>
      <c r="T353">
        <v>-45344.2</v>
      </c>
      <c r="U353">
        <f t="shared" si="5"/>
        <v>378983.16</v>
      </c>
    </row>
    <row r="354" spans="1:21" ht="15" customHeight="1" x14ac:dyDescent="0.25">
      <c r="A354" t="s">
        <v>2691</v>
      </c>
      <c r="B354" s="8">
        <v>44951</v>
      </c>
      <c r="C354" s="8">
        <v>44954</v>
      </c>
      <c r="D354" t="s">
        <v>20</v>
      </c>
      <c r="E354" t="s">
        <v>3037</v>
      </c>
      <c r="F354" t="s">
        <v>3077</v>
      </c>
      <c r="G354" t="s">
        <v>2692</v>
      </c>
      <c r="H354">
        <v>8138762657</v>
      </c>
      <c r="I354" t="s">
        <v>35</v>
      </c>
      <c r="J354" t="s">
        <v>61</v>
      </c>
      <c r="K354" t="s">
        <v>84</v>
      </c>
      <c r="L354" t="s">
        <v>27</v>
      </c>
      <c r="M354" t="s">
        <v>173</v>
      </c>
      <c r="N354" t="s">
        <v>380</v>
      </c>
      <c r="O354">
        <v>10</v>
      </c>
      <c r="P354">
        <v>1202.52</v>
      </c>
      <c r="Q354">
        <v>5</v>
      </c>
      <c r="R354">
        <v>601.26</v>
      </c>
      <c r="S354" s="11">
        <v>11423.94</v>
      </c>
      <c r="T354">
        <v>-303.42</v>
      </c>
      <c r="U354">
        <f t="shared" si="5"/>
        <v>11423.94</v>
      </c>
    </row>
    <row r="355" spans="1:21" ht="15" customHeight="1" x14ac:dyDescent="0.25">
      <c r="A355" t="s">
        <v>1155</v>
      </c>
      <c r="B355" s="8">
        <v>44952</v>
      </c>
      <c r="C355" s="8">
        <v>44955</v>
      </c>
      <c r="D355" t="s">
        <v>20</v>
      </c>
      <c r="E355" t="s">
        <v>3097</v>
      </c>
      <c r="F355" t="s">
        <v>3088</v>
      </c>
      <c r="G355" t="s">
        <v>911</v>
      </c>
      <c r="H355">
        <v>9026114011</v>
      </c>
      <c r="I355" t="s">
        <v>43</v>
      </c>
      <c r="J355" t="s">
        <v>69</v>
      </c>
      <c r="K355" t="s">
        <v>70</v>
      </c>
      <c r="L355" t="s">
        <v>85</v>
      </c>
      <c r="M355" t="s">
        <v>243</v>
      </c>
      <c r="N355" t="s">
        <v>244</v>
      </c>
      <c r="O355">
        <v>15</v>
      </c>
      <c r="P355">
        <v>149312.46</v>
      </c>
      <c r="Q355">
        <v>0</v>
      </c>
      <c r="R355">
        <v>0</v>
      </c>
      <c r="S355" s="11">
        <v>2239686.9</v>
      </c>
      <c r="T355">
        <v>255947.06</v>
      </c>
      <c r="U355">
        <f t="shared" si="5"/>
        <v>2239686.9</v>
      </c>
    </row>
    <row r="356" spans="1:21" ht="15" customHeight="1" x14ac:dyDescent="0.25">
      <c r="A356" t="s">
        <v>1649</v>
      </c>
      <c r="B356" s="8">
        <v>44954</v>
      </c>
      <c r="C356" s="8">
        <v>44956</v>
      </c>
      <c r="D356" t="s">
        <v>20</v>
      </c>
      <c r="E356" t="s">
        <v>3085</v>
      </c>
      <c r="F356" t="s">
        <v>3040</v>
      </c>
      <c r="G356" t="s">
        <v>1651</v>
      </c>
      <c r="H356">
        <v>9024710242</v>
      </c>
      <c r="I356" t="s">
        <v>24</v>
      </c>
      <c r="J356" t="s">
        <v>25</v>
      </c>
      <c r="K356" t="s">
        <v>44</v>
      </c>
      <c r="L356" t="s">
        <v>85</v>
      </c>
      <c r="M356" t="s">
        <v>486</v>
      </c>
      <c r="N356" t="s">
        <v>543</v>
      </c>
      <c r="O356">
        <v>16</v>
      </c>
      <c r="P356">
        <v>14328.92</v>
      </c>
      <c r="Q356">
        <v>5</v>
      </c>
      <c r="R356">
        <v>11463.14</v>
      </c>
      <c r="S356" s="11">
        <v>217799.58</v>
      </c>
      <c r="T356">
        <v>-31737.48</v>
      </c>
      <c r="U356">
        <f t="shared" si="5"/>
        <v>217799.58</v>
      </c>
    </row>
    <row r="357" spans="1:21" ht="15" customHeight="1" x14ac:dyDescent="0.25">
      <c r="A357" t="s">
        <v>967</v>
      </c>
      <c r="B357" s="8">
        <v>44956</v>
      </c>
      <c r="C357" s="8">
        <v>44959</v>
      </c>
      <c r="D357" t="s">
        <v>20</v>
      </c>
      <c r="E357" t="s">
        <v>3092</v>
      </c>
      <c r="F357" t="s">
        <v>3050</v>
      </c>
      <c r="G357" t="s">
        <v>969</v>
      </c>
      <c r="H357">
        <v>8109945709</v>
      </c>
      <c r="I357" t="s">
        <v>35</v>
      </c>
      <c r="J357" t="s">
        <v>69</v>
      </c>
      <c r="K357" t="s">
        <v>70</v>
      </c>
      <c r="L357" t="s">
        <v>96</v>
      </c>
      <c r="M357" t="s">
        <v>120</v>
      </c>
      <c r="N357" t="s">
        <v>359</v>
      </c>
      <c r="O357">
        <v>7</v>
      </c>
      <c r="P357">
        <v>306595.78000000003</v>
      </c>
      <c r="Q357">
        <v>15</v>
      </c>
      <c r="R357">
        <v>321925.57</v>
      </c>
      <c r="S357" s="11">
        <v>1824244.89</v>
      </c>
      <c r="T357">
        <v>641037.92000000004</v>
      </c>
      <c r="U357">
        <f t="shared" si="5"/>
        <v>1824244.89</v>
      </c>
    </row>
    <row r="358" spans="1:21" ht="15" customHeight="1" x14ac:dyDescent="0.25">
      <c r="A358" t="s">
        <v>560</v>
      </c>
      <c r="B358" s="8">
        <v>44956</v>
      </c>
      <c r="C358" s="8">
        <v>44958</v>
      </c>
      <c r="D358" t="s">
        <v>20</v>
      </c>
      <c r="E358" t="s">
        <v>3095</v>
      </c>
      <c r="F358" t="s">
        <v>3062</v>
      </c>
      <c r="G358" t="s">
        <v>562</v>
      </c>
      <c r="H358">
        <v>9075316188</v>
      </c>
      <c r="I358" t="s">
        <v>43</v>
      </c>
      <c r="J358" t="s">
        <v>61</v>
      </c>
      <c r="K358" t="s">
        <v>84</v>
      </c>
      <c r="L358" t="s">
        <v>85</v>
      </c>
      <c r="M358" t="s">
        <v>86</v>
      </c>
      <c r="N358" t="s">
        <v>178</v>
      </c>
      <c r="O358">
        <v>19</v>
      </c>
      <c r="P358">
        <v>144012.04</v>
      </c>
      <c r="Q358">
        <v>5</v>
      </c>
      <c r="R358">
        <v>136811.44</v>
      </c>
      <c r="T358">
        <v>-116201.89</v>
      </c>
      <c r="U358">
        <f t="shared" si="5"/>
        <v>0</v>
      </c>
    </row>
    <row r="359" spans="1:21" ht="15" customHeight="1" x14ac:dyDescent="0.25">
      <c r="A359" t="s">
        <v>1895</v>
      </c>
      <c r="B359" s="8">
        <v>44957</v>
      </c>
      <c r="C359" s="8">
        <v>44962</v>
      </c>
      <c r="D359" t="s">
        <v>73</v>
      </c>
      <c r="E359" t="s">
        <v>3053</v>
      </c>
      <c r="F359" t="s">
        <v>3038</v>
      </c>
      <c r="G359" t="s">
        <v>1897</v>
      </c>
      <c r="H359">
        <v>8156752873</v>
      </c>
      <c r="I359" t="s">
        <v>24</v>
      </c>
      <c r="J359" t="s">
        <v>25</v>
      </c>
      <c r="K359" t="s">
        <v>26</v>
      </c>
      <c r="L359" t="s">
        <v>63</v>
      </c>
      <c r="M359" t="s">
        <v>469</v>
      </c>
      <c r="N359" t="s">
        <v>546</v>
      </c>
      <c r="O359">
        <v>7</v>
      </c>
      <c r="P359">
        <v>24746.29</v>
      </c>
      <c r="Q359">
        <v>25</v>
      </c>
      <c r="R359">
        <v>43306.01</v>
      </c>
      <c r="S359" s="11">
        <v>129918.02</v>
      </c>
      <c r="T359">
        <v>36696.86</v>
      </c>
      <c r="U359">
        <f t="shared" si="5"/>
        <v>129918.02</v>
      </c>
    </row>
    <row r="360" spans="1:21" ht="15" customHeight="1" x14ac:dyDescent="0.25">
      <c r="A360" t="s">
        <v>1670</v>
      </c>
      <c r="B360" s="8">
        <v>44958</v>
      </c>
      <c r="C360" s="8">
        <v>44964</v>
      </c>
      <c r="D360" t="s">
        <v>48</v>
      </c>
      <c r="E360" t="s">
        <v>3092</v>
      </c>
      <c r="F360" t="s">
        <v>3036</v>
      </c>
      <c r="G360" t="s">
        <v>1671</v>
      </c>
      <c r="H360">
        <v>7069076540</v>
      </c>
      <c r="I360" t="s">
        <v>24</v>
      </c>
      <c r="J360" t="s">
        <v>25</v>
      </c>
      <c r="K360" t="s">
        <v>36</v>
      </c>
      <c r="L360" t="s">
        <v>27</v>
      </c>
      <c r="M360" t="s">
        <v>28</v>
      </c>
      <c r="N360" t="s">
        <v>508</v>
      </c>
      <c r="O360">
        <v>2</v>
      </c>
      <c r="P360">
        <v>2172.27</v>
      </c>
      <c r="Q360">
        <v>0</v>
      </c>
      <c r="R360">
        <v>0</v>
      </c>
      <c r="S360" s="11">
        <v>4344.54</v>
      </c>
      <c r="T360">
        <v>-318.85000000000002</v>
      </c>
      <c r="U360">
        <f t="shared" si="5"/>
        <v>4344.54</v>
      </c>
    </row>
    <row r="361" spans="1:21" ht="15" customHeight="1" x14ac:dyDescent="0.25">
      <c r="A361" t="s">
        <v>2265</v>
      </c>
      <c r="B361" s="8">
        <v>44959</v>
      </c>
      <c r="C361" s="8">
        <v>44956</v>
      </c>
      <c r="D361" t="s">
        <v>20</v>
      </c>
      <c r="E361" t="s">
        <v>3095</v>
      </c>
      <c r="F361" t="s">
        <v>3042</v>
      </c>
      <c r="G361" t="s">
        <v>2185</v>
      </c>
      <c r="H361">
        <v>9013838932</v>
      </c>
      <c r="I361" t="s">
        <v>35</v>
      </c>
      <c r="J361" t="s">
        <v>25</v>
      </c>
      <c r="K361" t="s">
        <v>44</v>
      </c>
      <c r="L361" t="s">
        <v>27</v>
      </c>
      <c r="M361" t="s">
        <v>45</v>
      </c>
      <c r="N361" t="s">
        <v>46</v>
      </c>
      <c r="O361">
        <v>13</v>
      </c>
      <c r="P361">
        <v>409.12</v>
      </c>
      <c r="Q361">
        <v>15</v>
      </c>
      <c r="R361">
        <v>797.78</v>
      </c>
      <c r="S361" s="11">
        <v>4520.78</v>
      </c>
      <c r="T361">
        <v>1594.16</v>
      </c>
      <c r="U361">
        <f t="shared" si="5"/>
        <v>4520.78</v>
      </c>
    </row>
    <row r="362" spans="1:21" ht="15" customHeight="1" x14ac:dyDescent="0.25">
      <c r="A362" t="s">
        <v>1305</v>
      </c>
      <c r="B362" s="8">
        <v>44961</v>
      </c>
      <c r="C362" s="8">
        <v>44966</v>
      </c>
      <c r="D362" t="s">
        <v>73</v>
      </c>
      <c r="E362" t="s">
        <v>3095</v>
      </c>
      <c r="F362" t="s">
        <v>3069</v>
      </c>
      <c r="G362" t="s">
        <v>1306</v>
      </c>
      <c r="H362">
        <v>7031177469</v>
      </c>
      <c r="I362" t="s">
        <v>24</v>
      </c>
      <c r="K362" t="s">
        <v>70</v>
      </c>
      <c r="L362" t="s">
        <v>96</v>
      </c>
      <c r="M362" t="s">
        <v>120</v>
      </c>
      <c r="N362" t="s">
        <v>1307</v>
      </c>
      <c r="O362">
        <v>17</v>
      </c>
      <c r="P362">
        <v>193893.21</v>
      </c>
      <c r="Q362">
        <v>0</v>
      </c>
      <c r="R362">
        <v>0</v>
      </c>
      <c r="S362" s="11">
        <v>3296184.57</v>
      </c>
      <c r="T362">
        <v>861292.14</v>
      </c>
      <c r="U362">
        <f t="shared" si="5"/>
        <v>3296184.57</v>
      </c>
    </row>
    <row r="363" spans="1:21" ht="15" customHeight="1" x14ac:dyDescent="0.25">
      <c r="A363" t="s">
        <v>1994</v>
      </c>
      <c r="B363" s="8">
        <v>44962</v>
      </c>
      <c r="C363" s="8">
        <v>44970</v>
      </c>
      <c r="D363" t="s">
        <v>48</v>
      </c>
      <c r="E363" t="s">
        <v>3056</v>
      </c>
      <c r="F363" t="s">
        <v>3039</v>
      </c>
      <c r="G363" t="s">
        <v>1996</v>
      </c>
      <c r="H363">
        <v>7067640565</v>
      </c>
      <c r="I363" t="s">
        <v>43</v>
      </c>
      <c r="J363" t="s">
        <v>69</v>
      </c>
      <c r="K363" t="s">
        <v>155</v>
      </c>
      <c r="L363" t="s">
        <v>96</v>
      </c>
      <c r="M363" t="s">
        <v>97</v>
      </c>
      <c r="N363" t="s">
        <v>443</v>
      </c>
      <c r="O363">
        <v>9</v>
      </c>
      <c r="P363">
        <v>235788.95</v>
      </c>
      <c r="Q363">
        <v>10</v>
      </c>
      <c r="R363">
        <v>212210.06</v>
      </c>
      <c r="S363" s="11">
        <v>1909890.49</v>
      </c>
      <c r="T363">
        <v>65772.83</v>
      </c>
      <c r="U363">
        <f t="shared" si="5"/>
        <v>1909890.49</v>
      </c>
    </row>
    <row r="364" spans="1:21" ht="15" customHeight="1" x14ac:dyDescent="0.25">
      <c r="A364" t="s">
        <v>2463</v>
      </c>
      <c r="B364" s="8">
        <v>44968</v>
      </c>
      <c r="C364" s="8">
        <v>44973</v>
      </c>
      <c r="D364" t="s">
        <v>48</v>
      </c>
      <c r="E364" t="s">
        <v>3081</v>
      </c>
      <c r="F364" t="s">
        <v>3078</v>
      </c>
      <c r="G364" t="s">
        <v>2465</v>
      </c>
      <c r="H364">
        <v>8035418616</v>
      </c>
      <c r="I364" t="s">
        <v>24</v>
      </c>
      <c r="J364" t="s">
        <v>61</v>
      </c>
      <c r="K364" t="s">
        <v>204</v>
      </c>
      <c r="L364" t="s">
        <v>85</v>
      </c>
      <c r="M364" t="s">
        <v>243</v>
      </c>
      <c r="N364" t="s">
        <v>244</v>
      </c>
      <c r="O364">
        <v>5</v>
      </c>
      <c r="P364">
        <v>68853.539999999994</v>
      </c>
      <c r="Q364">
        <v>15</v>
      </c>
      <c r="R364">
        <v>51640.15</v>
      </c>
      <c r="S364" s="11">
        <v>292627.55</v>
      </c>
      <c r="T364">
        <v>-25699.83</v>
      </c>
      <c r="U364">
        <f t="shared" si="5"/>
        <v>292627.55</v>
      </c>
    </row>
    <row r="365" spans="1:21" ht="15" customHeight="1" x14ac:dyDescent="0.25">
      <c r="A365" t="s">
        <v>1979</v>
      </c>
      <c r="B365" s="8">
        <v>44968</v>
      </c>
      <c r="C365" s="8">
        <v>44972</v>
      </c>
      <c r="D365" t="s">
        <v>73</v>
      </c>
      <c r="E365" t="s">
        <v>3051</v>
      </c>
      <c r="F365" t="s">
        <v>3083</v>
      </c>
      <c r="G365" t="s">
        <v>1981</v>
      </c>
      <c r="H365">
        <v>8153695916</v>
      </c>
      <c r="I365" t="s">
        <v>43</v>
      </c>
      <c r="J365" t="s">
        <v>1982</v>
      </c>
      <c r="K365" t="s">
        <v>144</v>
      </c>
      <c r="L365" t="s">
        <v>108</v>
      </c>
      <c r="M365" t="s">
        <v>38</v>
      </c>
      <c r="N365" t="s">
        <v>296</v>
      </c>
      <c r="O365">
        <v>1</v>
      </c>
      <c r="P365">
        <v>18732.93</v>
      </c>
      <c r="Q365">
        <v>25</v>
      </c>
      <c r="R365">
        <v>4683.2299999999996</v>
      </c>
      <c r="S365" s="11">
        <v>14049.7</v>
      </c>
      <c r="T365">
        <v>4493.7</v>
      </c>
      <c r="U365">
        <f t="shared" si="5"/>
        <v>14049.7</v>
      </c>
    </row>
    <row r="366" spans="1:21" ht="15" customHeight="1" x14ac:dyDescent="0.25">
      <c r="A366" t="s">
        <v>1111</v>
      </c>
      <c r="B366" s="8">
        <v>44968</v>
      </c>
      <c r="C366" s="8">
        <v>44971</v>
      </c>
      <c r="D366" t="s">
        <v>20</v>
      </c>
      <c r="E366" t="s">
        <v>3087</v>
      </c>
      <c r="F366" t="s">
        <v>3086</v>
      </c>
      <c r="G366" t="s">
        <v>1112</v>
      </c>
      <c r="H366">
        <v>8064958849</v>
      </c>
      <c r="I366" t="s">
        <v>24</v>
      </c>
      <c r="J366" t="s">
        <v>51</v>
      </c>
      <c r="K366" t="s">
        <v>316</v>
      </c>
      <c r="L366" t="s">
        <v>108</v>
      </c>
      <c r="M366" t="s">
        <v>38</v>
      </c>
      <c r="N366" t="s">
        <v>519</v>
      </c>
      <c r="O366">
        <v>9</v>
      </c>
      <c r="P366">
        <v>9196.5</v>
      </c>
      <c r="Q366">
        <v>0</v>
      </c>
      <c r="R366">
        <v>0</v>
      </c>
      <c r="S366" s="11">
        <v>82768.5</v>
      </c>
      <c r="T366">
        <v>7241</v>
      </c>
      <c r="U366">
        <f t="shared" si="5"/>
        <v>82768.5</v>
      </c>
    </row>
    <row r="367" spans="1:21" ht="15" customHeight="1" x14ac:dyDescent="0.25">
      <c r="A367" t="s">
        <v>1108</v>
      </c>
      <c r="B367" s="8">
        <v>44969</v>
      </c>
      <c r="C367" s="8">
        <v>44977</v>
      </c>
      <c r="D367" t="s">
        <v>48</v>
      </c>
      <c r="E367" t="s">
        <v>3072</v>
      </c>
      <c r="F367" t="s">
        <v>3075</v>
      </c>
      <c r="G367" t="s">
        <v>1110</v>
      </c>
      <c r="H367">
        <v>8147528399</v>
      </c>
      <c r="I367" t="s">
        <v>24</v>
      </c>
      <c r="J367" t="s">
        <v>69</v>
      </c>
      <c r="K367" t="s">
        <v>119</v>
      </c>
      <c r="L367" t="s">
        <v>53</v>
      </c>
      <c r="M367" t="s">
        <v>558</v>
      </c>
      <c r="N367" t="s">
        <v>680</v>
      </c>
      <c r="O367">
        <v>2</v>
      </c>
      <c r="P367">
        <v>15914.52</v>
      </c>
      <c r="Q367">
        <v>25</v>
      </c>
      <c r="R367">
        <v>7957.26</v>
      </c>
      <c r="S367" s="11">
        <v>23871.78</v>
      </c>
      <c r="T367">
        <v>3880.5</v>
      </c>
      <c r="U367">
        <f t="shared" si="5"/>
        <v>23871.78</v>
      </c>
    </row>
    <row r="368" spans="1:21" ht="15" customHeight="1" x14ac:dyDescent="0.25">
      <c r="A368" t="s">
        <v>1870</v>
      </c>
      <c r="B368" s="8">
        <v>44969</v>
      </c>
      <c r="C368" s="8">
        <v>44973</v>
      </c>
      <c r="D368" t="s">
        <v>73</v>
      </c>
      <c r="E368" t="s">
        <v>3091</v>
      </c>
      <c r="F368" t="s">
        <v>3038</v>
      </c>
      <c r="H368">
        <v>8149314244</v>
      </c>
      <c r="I368" t="s">
        <v>35</v>
      </c>
      <c r="J368" t="s">
        <v>69</v>
      </c>
      <c r="K368" t="s">
        <v>144</v>
      </c>
      <c r="L368" t="s">
        <v>85</v>
      </c>
      <c r="M368" t="s">
        <v>243</v>
      </c>
      <c r="N368" t="s">
        <v>439</v>
      </c>
      <c r="O368">
        <v>13</v>
      </c>
      <c r="P368">
        <v>94319.679999999993</v>
      </c>
      <c r="Q368">
        <v>0</v>
      </c>
      <c r="R368">
        <v>0</v>
      </c>
      <c r="S368" s="11">
        <v>1226155.8400000001</v>
      </c>
      <c r="T368">
        <v>-103193.68</v>
      </c>
      <c r="U368">
        <f t="shared" si="5"/>
        <v>1226155.8400000001</v>
      </c>
    </row>
    <row r="369" spans="1:21" ht="15" customHeight="1" x14ac:dyDescent="0.25">
      <c r="A369" t="s">
        <v>656</v>
      </c>
      <c r="B369" s="8">
        <v>44971</v>
      </c>
      <c r="C369" s="8">
        <v>44977</v>
      </c>
      <c r="D369" t="s">
        <v>48</v>
      </c>
      <c r="E369" t="s">
        <v>3060</v>
      </c>
      <c r="F369" t="s">
        <v>3046</v>
      </c>
      <c r="G369" t="s">
        <v>658</v>
      </c>
      <c r="H369">
        <v>9014517316</v>
      </c>
      <c r="I369" t="s">
        <v>43</v>
      </c>
      <c r="J369" t="s">
        <v>51</v>
      </c>
      <c r="K369" t="s">
        <v>316</v>
      </c>
      <c r="L369" t="s">
        <v>108</v>
      </c>
      <c r="M369" t="s">
        <v>38</v>
      </c>
      <c r="N369" t="s">
        <v>519</v>
      </c>
      <c r="O369">
        <v>14</v>
      </c>
      <c r="P369">
        <v>37215.519999999997</v>
      </c>
      <c r="Q369">
        <v>20</v>
      </c>
      <c r="R369">
        <v>104203.46</v>
      </c>
      <c r="S369" s="11">
        <v>416813.82</v>
      </c>
      <c r="T369">
        <v>-27715</v>
      </c>
      <c r="U369">
        <f t="shared" si="5"/>
        <v>416813.82</v>
      </c>
    </row>
    <row r="370" spans="1:21" ht="15" customHeight="1" x14ac:dyDescent="0.25">
      <c r="A370" t="s">
        <v>2625</v>
      </c>
      <c r="B370" s="8">
        <v>44971</v>
      </c>
      <c r="C370" s="8">
        <v>44976</v>
      </c>
      <c r="D370" t="s">
        <v>73</v>
      </c>
      <c r="E370" t="s">
        <v>3093</v>
      </c>
      <c r="F370" t="s">
        <v>3042</v>
      </c>
      <c r="G370" t="s">
        <v>2626</v>
      </c>
      <c r="H370">
        <v>9056089714</v>
      </c>
      <c r="I370" t="s">
        <v>24</v>
      </c>
      <c r="J370" t="s">
        <v>69</v>
      </c>
      <c r="K370" t="s">
        <v>307</v>
      </c>
      <c r="L370" t="s">
        <v>1441</v>
      </c>
      <c r="M370" t="s">
        <v>64</v>
      </c>
      <c r="N370" t="s">
        <v>815</v>
      </c>
      <c r="O370">
        <v>8</v>
      </c>
      <c r="P370">
        <v>16371.84</v>
      </c>
      <c r="Q370">
        <v>10</v>
      </c>
      <c r="R370">
        <v>13097.47</v>
      </c>
      <c r="S370" s="11">
        <v>117877.25</v>
      </c>
      <c r="T370">
        <v>-2347.69</v>
      </c>
      <c r="U370">
        <f t="shared" si="5"/>
        <v>117877.25</v>
      </c>
    </row>
    <row r="371" spans="1:21" ht="15" customHeight="1" x14ac:dyDescent="0.25">
      <c r="A371" t="s">
        <v>1674</v>
      </c>
      <c r="B371" s="8">
        <v>44972</v>
      </c>
      <c r="C371" s="8">
        <v>44977</v>
      </c>
      <c r="D371" t="s">
        <v>73</v>
      </c>
      <c r="E371" t="s">
        <v>3050</v>
      </c>
      <c r="F371" t="s">
        <v>3079</v>
      </c>
      <c r="G371" t="s">
        <v>1676</v>
      </c>
      <c r="H371">
        <v>7034176859</v>
      </c>
      <c r="I371" t="s">
        <v>43</v>
      </c>
      <c r="J371" t="s">
        <v>25</v>
      </c>
      <c r="K371" t="s">
        <v>168</v>
      </c>
      <c r="L371" t="s">
        <v>108</v>
      </c>
      <c r="M371" t="s">
        <v>183</v>
      </c>
      <c r="N371" t="s">
        <v>184</v>
      </c>
      <c r="O371">
        <v>19</v>
      </c>
      <c r="P371">
        <v>31773.8</v>
      </c>
      <c r="Q371">
        <v>10</v>
      </c>
      <c r="R371">
        <v>60370.22</v>
      </c>
      <c r="S371" s="11">
        <v>543331.98</v>
      </c>
      <c r="T371">
        <v>119349.33</v>
      </c>
      <c r="U371">
        <f t="shared" si="5"/>
        <v>543331.98</v>
      </c>
    </row>
    <row r="372" spans="1:21" ht="15" customHeight="1" x14ac:dyDescent="0.25">
      <c r="A372" t="s">
        <v>2286</v>
      </c>
      <c r="B372" s="8">
        <v>44972</v>
      </c>
      <c r="C372" s="8">
        <v>44975</v>
      </c>
      <c r="D372" t="s">
        <v>73</v>
      </c>
      <c r="E372" t="s">
        <v>3093</v>
      </c>
      <c r="F372" t="s">
        <v>3064</v>
      </c>
      <c r="G372" t="s">
        <v>2288</v>
      </c>
      <c r="H372">
        <v>8104962502</v>
      </c>
      <c r="I372" t="s">
        <v>35</v>
      </c>
      <c r="K372" t="s">
        <v>204</v>
      </c>
      <c r="L372" t="s">
        <v>85</v>
      </c>
      <c r="M372" t="s">
        <v>486</v>
      </c>
      <c r="N372" t="s">
        <v>487</v>
      </c>
      <c r="O372">
        <v>5</v>
      </c>
      <c r="P372">
        <v>132551.10999999999</v>
      </c>
      <c r="Q372">
        <v>25</v>
      </c>
      <c r="R372">
        <v>165688.89000000001</v>
      </c>
      <c r="S372" s="11">
        <v>497066.66</v>
      </c>
      <c r="T372">
        <v>177652.14</v>
      </c>
      <c r="U372">
        <f t="shared" si="5"/>
        <v>497066.66</v>
      </c>
    </row>
    <row r="373" spans="1:21" ht="15" customHeight="1" x14ac:dyDescent="0.25">
      <c r="A373" t="s">
        <v>937</v>
      </c>
      <c r="B373" s="8">
        <v>44973</v>
      </c>
      <c r="C373" s="8">
        <v>44976</v>
      </c>
      <c r="D373" t="s">
        <v>73</v>
      </c>
      <c r="G373" t="s">
        <v>938</v>
      </c>
      <c r="H373">
        <v>9076793064</v>
      </c>
      <c r="I373" t="s">
        <v>43</v>
      </c>
      <c r="J373" t="s">
        <v>51</v>
      </c>
      <c r="K373" t="s">
        <v>227</v>
      </c>
      <c r="L373" t="s">
        <v>85</v>
      </c>
      <c r="M373" t="s">
        <v>218</v>
      </c>
      <c r="N373" t="s">
        <v>842</v>
      </c>
      <c r="O373">
        <v>11</v>
      </c>
      <c r="P373">
        <v>101308.53</v>
      </c>
      <c r="Q373">
        <v>0</v>
      </c>
      <c r="R373">
        <v>0</v>
      </c>
      <c r="S373" s="11">
        <v>1114393.83</v>
      </c>
      <c r="T373">
        <v>341522.72</v>
      </c>
      <c r="U373">
        <f t="shared" si="5"/>
        <v>1114393.83</v>
      </c>
    </row>
    <row r="374" spans="1:21" ht="15" customHeight="1" x14ac:dyDescent="0.25">
      <c r="A374" t="s">
        <v>1716</v>
      </c>
      <c r="B374" s="8">
        <v>44977</v>
      </c>
      <c r="C374" s="8">
        <v>44980</v>
      </c>
      <c r="D374" t="s">
        <v>20</v>
      </c>
      <c r="E374" t="s">
        <v>3091</v>
      </c>
      <c r="F374" t="s">
        <v>3052</v>
      </c>
      <c r="G374" t="s">
        <v>587</v>
      </c>
      <c r="H374">
        <v>8108478135</v>
      </c>
      <c r="I374" t="s">
        <v>24</v>
      </c>
      <c r="J374" t="s">
        <v>69</v>
      </c>
      <c r="K374" t="s">
        <v>119</v>
      </c>
      <c r="L374" t="s">
        <v>96</v>
      </c>
      <c r="M374" t="s">
        <v>189</v>
      </c>
      <c r="N374" t="s">
        <v>205</v>
      </c>
      <c r="O374">
        <v>17</v>
      </c>
      <c r="P374">
        <v>366291.14</v>
      </c>
      <c r="Q374">
        <v>10</v>
      </c>
      <c r="R374">
        <v>622694.93999999994</v>
      </c>
      <c r="S374" s="11">
        <v>5604254.4400000004</v>
      </c>
      <c r="T374">
        <v>2220302.06</v>
      </c>
      <c r="U374">
        <f t="shared" si="5"/>
        <v>5604254.4400000004</v>
      </c>
    </row>
    <row r="375" spans="1:21" ht="15" customHeight="1" x14ac:dyDescent="0.25">
      <c r="A375" t="s">
        <v>2199</v>
      </c>
      <c r="B375" s="8">
        <v>44978</v>
      </c>
      <c r="C375" s="8">
        <v>44981</v>
      </c>
      <c r="D375" t="s">
        <v>20</v>
      </c>
      <c r="E375" t="s">
        <v>3094</v>
      </c>
      <c r="F375" t="s">
        <v>3066</v>
      </c>
      <c r="G375" t="s">
        <v>2200</v>
      </c>
      <c r="H375">
        <v>8153116927</v>
      </c>
      <c r="I375" t="s">
        <v>35</v>
      </c>
      <c r="J375" t="s">
        <v>25</v>
      </c>
      <c r="K375" t="s">
        <v>168</v>
      </c>
      <c r="L375" t="s">
        <v>108</v>
      </c>
      <c r="M375" t="s">
        <v>38</v>
      </c>
      <c r="N375" t="s">
        <v>519</v>
      </c>
      <c r="O375">
        <v>4</v>
      </c>
      <c r="P375">
        <v>32798.79</v>
      </c>
      <c r="Q375">
        <v>20</v>
      </c>
      <c r="R375">
        <v>26239.03</v>
      </c>
      <c r="S375" s="11">
        <v>104956.13</v>
      </c>
      <c r="T375">
        <v>40232.61</v>
      </c>
      <c r="U375">
        <f t="shared" si="5"/>
        <v>104956.13</v>
      </c>
    </row>
    <row r="376" spans="1:21" ht="15" customHeight="1" x14ac:dyDescent="0.25">
      <c r="A376" t="s">
        <v>1159</v>
      </c>
      <c r="B376" s="8">
        <v>44979</v>
      </c>
      <c r="C376" s="8">
        <v>44984</v>
      </c>
      <c r="D376" t="s">
        <v>73</v>
      </c>
      <c r="E376" t="s">
        <v>3070</v>
      </c>
      <c r="F376" t="s">
        <v>3096</v>
      </c>
      <c r="G376" t="s">
        <v>422</v>
      </c>
      <c r="H376">
        <v>8159103837</v>
      </c>
      <c r="I376" t="s">
        <v>35</v>
      </c>
      <c r="J376" t="s">
        <v>25</v>
      </c>
      <c r="K376" t="s">
        <v>44</v>
      </c>
      <c r="L376" t="s">
        <v>27</v>
      </c>
      <c r="M376" t="s">
        <v>354</v>
      </c>
      <c r="N376" t="s">
        <v>355</v>
      </c>
      <c r="O376">
        <v>17</v>
      </c>
      <c r="P376">
        <v>3199.87</v>
      </c>
      <c r="Q376">
        <v>0</v>
      </c>
      <c r="R376">
        <v>0</v>
      </c>
      <c r="S376" s="11">
        <v>54397.79</v>
      </c>
      <c r="T376">
        <v>178.09</v>
      </c>
      <c r="U376">
        <f t="shared" si="5"/>
        <v>54397.79</v>
      </c>
    </row>
    <row r="377" spans="1:21" ht="15" customHeight="1" x14ac:dyDescent="0.25">
      <c r="A377" t="s">
        <v>2166</v>
      </c>
      <c r="B377" s="8">
        <v>44979</v>
      </c>
      <c r="C377" s="8">
        <v>44983</v>
      </c>
      <c r="D377" t="s">
        <v>73</v>
      </c>
      <c r="E377" t="s">
        <v>3094</v>
      </c>
      <c r="F377" t="s">
        <v>3039</v>
      </c>
      <c r="G377" t="s">
        <v>2167</v>
      </c>
      <c r="H377">
        <v>8068155068</v>
      </c>
      <c r="I377" t="s">
        <v>35</v>
      </c>
      <c r="J377" t="s">
        <v>25</v>
      </c>
      <c r="K377" t="s">
        <v>36</v>
      </c>
      <c r="L377" t="s">
        <v>1119</v>
      </c>
      <c r="M377" t="s">
        <v>54</v>
      </c>
      <c r="N377" t="s">
        <v>1039</v>
      </c>
      <c r="O377">
        <v>12</v>
      </c>
      <c r="P377">
        <v>8500.24</v>
      </c>
      <c r="Q377">
        <v>10</v>
      </c>
      <c r="R377">
        <v>10200.290000000001</v>
      </c>
      <c r="S377" s="11">
        <v>91802.59</v>
      </c>
      <c r="T377">
        <v>39939.57</v>
      </c>
      <c r="U377">
        <f t="shared" si="5"/>
        <v>91802.59</v>
      </c>
    </row>
    <row r="378" spans="1:21" ht="15" customHeight="1" x14ac:dyDescent="0.25">
      <c r="A378" t="s">
        <v>2832</v>
      </c>
      <c r="B378" s="8">
        <v>44979</v>
      </c>
      <c r="C378" s="8">
        <v>44982</v>
      </c>
      <c r="D378" t="s">
        <v>20</v>
      </c>
      <c r="E378" t="s">
        <v>3056</v>
      </c>
      <c r="F378" t="s">
        <v>3064</v>
      </c>
      <c r="G378" t="s">
        <v>2833</v>
      </c>
      <c r="H378">
        <v>8165686347</v>
      </c>
      <c r="I378" t="s">
        <v>24</v>
      </c>
      <c r="J378" t="s">
        <v>25</v>
      </c>
      <c r="K378" t="s">
        <v>168</v>
      </c>
      <c r="L378" t="s">
        <v>85</v>
      </c>
      <c r="M378" t="s">
        <v>486</v>
      </c>
      <c r="N378" t="s">
        <v>487</v>
      </c>
      <c r="O378">
        <v>17</v>
      </c>
      <c r="P378">
        <v>89396.24</v>
      </c>
      <c r="Q378">
        <v>0</v>
      </c>
      <c r="R378">
        <v>0</v>
      </c>
      <c r="S378" s="11">
        <v>1519736.08</v>
      </c>
      <c r="T378">
        <v>306820.53999999998</v>
      </c>
      <c r="U378">
        <f t="shared" si="5"/>
        <v>1519736.08</v>
      </c>
    </row>
    <row r="379" spans="1:21" ht="15" customHeight="1" x14ac:dyDescent="0.25">
      <c r="A379" t="s">
        <v>2794</v>
      </c>
      <c r="B379" s="8">
        <v>44979</v>
      </c>
      <c r="C379" s="8">
        <v>44979</v>
      </c>
      <c r="D379" t="s">
        <v>32</v>
      </c>
      <c r="E379" t="s">
        <v>3073</v>
      </c>
      <c r="F379" t="s">
        <v>3038</v>
      </c>
      <c r="H379">
        <v>8162150745</v>
      </c>
      <c r="I379" t="s">
        <v>35</v>
      </c>
      <c r="J379" t="s">
        <v>51</v>
      </c>
      <c r="K379" t="s">
        <v>316</v>
      </c>
      <c r="L379" t="s">
        <v>96</v>
      </c>
      <c r="M379" t="s">
        <v>385</v>
      </c>
      <c r="N379" t="s">
        <v>743</v>
      </c>
      <c r="O379">
        <v>1</v>
      </c>
      <c r="P379">
        <v>386068.17</v>
      </c>
      <c r="Q379">
        <v>5</v>
      </c>
      <c r="R379">
        <v>19303.41</v>
      </c>
      <c r="S379" s="11" t="s">
        <v>2796</v>
      </c>
      <c r="T379">
        <v>-40494.730000000003</v>
      </c>
      <c r="U379">
        <f t="shared" si="5"/>
        <v>366764.76</v>
      </c>
    </row>
    <row r="380" spans="1:21" ht="15" customHeight="1" x14ac:dyDescent="0.25">
      <c r="A380" t="s">
        <v>2516</v>
      </c>
      <c r="B380" s="8">
        <v>44981</v>
      </c>
      <c r="C380" s="8">
        <v>44984</v>
      </c>
      <c r="D380" t="s">
        <v>20</v>
      </c>
      <c r="E380" t="s">
        <v>3051</v>
      </c>
      <c r="F380" t="s">
        <v>3078</v>
      </c>
      <c r="G380" t="s">
        <v>2518</v>
      </c>
      <c r="H380">
        <v>7067939725</v>
      </c>
      <c r="I380" t="s">
        <v>24</v>
      </c>
      <c r="J380" t="s">
        <v>51</v>
      </c>
      <c r="K380" t="s">
        <v>316</v>
      </c>
      <c r="L380" t="s">
        <v>108</v>
      </c>
      <c r="M380" t="s">
        <v>38</v>
      </c>
      <c r="N380" t="s">
        <v>303</v>
      </c>
      <c r="O380">
        <v>16</v>
      </c>
      <c r="P380">
        <v>37119.160000000003</v>
      </c>
      <c r="Q380">
        <v>10</v>
      </c>
      <c r="R380">
        <v>59390.66</v>
      </c>
      <c r="S380" s="11">
        <v>534515.9</v>
      </c>
      <c r="T380">
        <v>112289.91</v>
      </c>
      <c r="U380">
        <f t="shared" si="5"/>
        <v>534515.9</v>
      </c>
    </row>
    <row r="381" spans="1:21" ht="15" customHeight="1" x14ac:dyDescent="0.25">
      <c r="A381" t="s">
        <v>2701</v>
      </c>
      <c r="B381" s="8">
        <v>44981</v>
      </c>
      <c r="C381" s="8">
        <v>44981</v>
      </c>
      <c r="D381" t="s">
        <v>32</v>
      </c>
      <c r="E381" t="s">
        <v>3094</v>
      </c>
      <c r="F381" t="s">
        <v>3090</v>
      </c>
      <c r="G381" t="s">
        <v>2703</v>
      </c>
      <c r="H381">
        <v>8066664086</v>
      </c>
      <c r="I381" t="s">
        <v>35</v>
      </c>
      <c r="J381" t="s">
        <v>51</v>
      </c>
      <c r="K381" t="s">
        <v>131</v>
      </c>
      <c r="L381" t="s">
        <v>27</v>
      </c>
      <c r="M381" t="s">
        <v>45</v>
      </c>
      <c r="N381" t="s">
        <v>2704</v>
      </c>
      <c r="O381">
        <v>8</v>
      </c>
      <c r="P381">
        <v>3609.48</v>
      </c>
      <c r="Q381">
        <v>5</v>
      </c>
      <c r="R381">
        <v>1443.79</v>
      </c>
      <c r="S381" s="11">
        <v>27432.05</v>
      </c>
      <c r="T381">
        <v>6062.13</v>
      </c>
      <c r="U381">
        <f t="shared" si="5"/>
        <v>27432.05</v>
      </c>
    </row>
    <row r="382" spans="1:21" ht="15" customHeight="1" x14ac:dyDescent="0.25">
      <c r="A382" t="s">
        <v>1576</v>
      </c>
      <c r="B382" s="8">
        <v>44982</v>
      </c>
      <c r="C382" s="8">
        <v>44989</v>
      </c>
      <c r="D382" t="s">
        <v>48</v>
      </c>
      <c r="E382" t="s">
        <v>3048</v>
      </c>
      <c r="F382" t="s">
        <v>3034</v>
      </c>
      <c r="G382" t="s">
        <v>1577</v>
      </c>
      <c r="H382">
        <v>9018407441</v>
      </c>
      <c r="I382" t="s">
        <v>24</v>
      </c>
      <c r="J382" t="s">
        <v>25</v>
      </c>
      <c r="K382" t="s">
        <v>126</v>
      </c>
      <c r="L382" t="s">
        <v>27</v>
      </c>
      <c r="M382" t="s">
        <v>28</v>
      </c>
      <c r="N382" t="s">
        <v>29</v>
      </c>
      <c r="O382">
        <v>12</v>
      </c>
      <c r="P382">
        <v>1488.08</v>
      </c>
      <c r="Q382">
        <v>10</v>
      </c>
      <c r="R382">
        <v>1785.7</v>
      </c>
      <c r="S382" s="11">
        <v>16071.26</v>
      </c>
      <c r="T382">
        <v>5488.28</v>
      </c>
      <c r="U382">
        <f t="shared" si="5"/>
        <v>16071.26</v>
      </c>
    </row>
    <row r="383" spans="1:21" ht="15" customHeight="1" x14ac:dyDescent="0.25">
      <c r="A383" t="s">
        <v>1748</v>
      </c>
      <c r="B383" s="8">
        <v>44983</v>
      </c>
      <c r="C383" s="8">
        <v>44988</v>
      </c>
      <c r="D383" t="s">
        <v>73</v>
      </c>
      <c r="E383" t="s">
        <v>3087</v>
      </c>
      <c r="F383" t="s">
        <v>3069</v>
      </c>
      <c r="G383" t="s">
        <v>1750</v>
      </c>
      <c r="H383">
        <v>9024731991</v>
      </c>
      <c r="I383" t="s">
        <v>43</v>
      </c>
      <c r="J383" t="s">
        <v>61</v>
      </c>
      <c r="K383" t="s">
        <v>182</v>
      </c>
      <c r="L383" t="s">
        <v>1751</v>
      </c>
      <c r="M383" t="s">
        <v>28</v>
      </c>
      <c r="N383" t="s">
        <v>347</v>
      </c>
      <c r="P383">
        <v>2776.6</v>
      </c>
      <c r="Q383">
        <v>0</v>
      </c>
      <c r="R383">
        <v>0</v>
      </c>
      <c r="S383" s="11">
        <v>41649</v>
      </c>
      <c r="T383">
        <v>-4632.6099999999997</v>
      </c>
      <c r="U383">
        <f t="shared" si="5"/>
        <v>41649</v>
      </c>
    </row>
    <row r="384" spans="1:21" ht="15" customHeight="1" x14ac:dyDescent="0.25">
      <c r="A384" t="s">
        <v>677</v>
      </c>
      <c r="B384" s="8">
        <v>44983</v>
      </c>
      <c r="C384" s="8">
        <v>44987</v>
      </c>
      <c r="D384" t="s">
        <v>73</v>
      </c>
      <c r="E384" t="s">
        <v>3044</v>
      </c>
      <c r="F384" t="s">
        <v>3057</v>
      </c>
      <c r="G384" t="s">
        <v>679</v>
      </c>
      <c r="H384">
        <v>9024136665</v>
      </c>
      <c r="I384" t="s">
        <v>35</v>
      </c>
      <c r="J384" t="s">
        <v>69</v>
      </c>
      <c r="K384" t="s">
        <v>70</v>
      </c>
      <c r="L384" t="s">
        <v>63</v>
      </c>
      <c r="M384" t="s">
        <v>558</v>
      </c>
      <c r="N384" t="s">
        <v>680</v>
      </c>
      <c r="O384">
        <v>9</v>
      </c>
      <c r="P384" t="s">
        <v>681</v>
      </c>
      <c r="Q384" t="s">
        <v>682</v>
      </c>
      <c r="R384">
        <v>21077.98</v>
      </c>
      <c r="S384" s="11">
        <v>84311.93</v>
      </c>
      <c r="T384">
        <v>14048.81</v>
      </c>
      <c r="U384">
        <f t="shared" si="5"/>
        <v>84311.93</v>
      </c>
    </row>
    <row r="385" spans="1:21" ht="15" customHeight="1" x14ac:dyDescent="0.25">
      <c r="A385" t="s">
        <v>1250</v>
      </c>
      <c r="B385" s="8">
        <v>44985</v>
      </c>
      <c r="C385" s="8">
        <v>44992</v>
      </c>
      <c r="D385" t="s">
        <v>48</v>
      </c>
      <c r="E385" t="s">
        <v>3060</v>
      </c>
      <c r="F385" t="s">
        <v>3074</v>
      </c>
      <c r="G385" t="s">
        <v>1251</v>
      </c>
      <c r="H385">
        <v>8105752443</v>
      </c>
      <c r="I385" t="s">
        <v>24</v>
      </c>
      <c r="J385" t="s">
        <v>25</v>
      </c>
      <c r="K385" t="s">
        <v>606</v>
      </c>
      <c r="L385" t="s">
        <v>27</v>
      </c>
      <c r="M385" t="s">
        <v>354</v>
      </c>
      <c r="N385" t="s">
        <v>625</v>
      </c>
      <c r="O385">
        <v>20</v>
      </c>
      <c r="P385">
        <v>848.57</v>
      </c>
      <c r="Q385">
        <v>10</v>
      </c>
      <c r="R385">
        <v>1697.14</v>
      </c>
      <c r="S385" s="11">
        <v>15274.26</v>
      </c>
      <c r="T385">
        <v>2663.01</v>
      </c>
      <c r="U385">
        <f t="shared" si="5"/>
        <v>15274.26</v>
      </c>
    </row>
    <row r="386" spans="1:21" ht="15" customHeight="1" x14ac:dyDescent="0.25">
      <c r="A386" t="s">
        <v>1835</v>
      </c>
      <c r="B386" s="8">
        <v>44986</v>
      </c>
      <c r="C386" s="8">
        <v>44991</v>
      </c>
      <c r="D386" t="s">
        <v>48</v>
      </c>
      <c r="E386" t="s">
        <v>3065</v>
      </c>
      <c r="F386" t="s">
        <v>3086</v>
      </c>
      <c r="G386" t="s">
        <v>1836</v>
      </c>
      <c r="H386">
        <v>8038503322</v>
      </c>
      <c r="I386" t="s">
        <v>24</v>
      </c>
      <c r="J386" t="s">
        <v>69</v>
      </c>
      <c r="K386" t="s">
        <v>307</v>
      </c>
      <c r="L386" t="s">
        <v>63</v>
      </c>
      <c r="M386" t="s">
        <v>249</v>
      </c>
      <c r="N386" t="s">
        <v>465</v>
      </c>
      <c r="O386">
        <v>7</v>
      </c>
      <c r="P386">
        <v>3655.99</v>
      </c>
      <c r="Q386" t="s">
        <v>376</v>
      </c>
      <c r="R386">
        <v>0</v>
      </c>
      <c r="S386" s="11">
        <v>25591.93</v>
      </c>
      <c r="T386">
        <v>-2490.29</v>
      </c>
      <c r="U386">
        <f t="shared" ref="U386:U449" si="6">VALUE(S386)</f>
        <v>25591.93</v>
      </c>
    </row>
    <row r="387" spans="1:21" ht="15" customHeight="1" x14ac:dyDescent="0.25">
      <c r="A387" t="s">
        <v>1735</v>
      </c>
      <c r="B387" s="8">
        <v>44986</v>
      </c>
      <c r="C387" s="8">
        <v>44991</v>
      </c>
      <c r="D387" t="s">
        <v>73</v>
      </c>
      <c r="E387" t="s">
        <v>3058</v>
      </c>
      <c r="F387" t="s">
        <v>3066</v>
      </c>
      <c r="G387" t="s">
        <v>366</v>
      </c>
      <c r="H387">
        <v>8134586633</v>
      </c>
      <c r="I387" t="s">
        <v>24</v>
      </c>
      <c r="J387" t="s">
        <v>51</v>
      </c>
      <c r="K387" t="s">
        <v>223</v>
      </c>
      <c r="L387" t="s">
        <v>96</v>
      </c>
      <c r="M387" t="s">
        <v>97</v>
      </c>
      <c r="N387" t="s">
        <v>1416</v>
      </c>
      <c r="O387">
        <v>13</v>
      </c>
      <c r="P387">
        <v>90525.38</v>
      </c>
      <c r="Q387">
        <v>10</v>
      </c>
      <c r="R387">
        <v>117682.99</v>
      </c>
      <c r="S387" s="11">
        <v>1059146.95</v>
      </c>
      <c r="T387">
        <v>-151258.01999999999</v>
      </c>
      <c r="U387">
        <f t="shared" si="6"/>
        <v>1059146.95</v>
      </c>
    </row>
    <row r="388" spans="1:21" ht="15" customHeight="1" x14ac:dyDescent="0.25">
      <c r="A388" t="s">
        <v>263</v>
      </c>
      <c r="B388" s="8">
        <v>44987</v>
      </c>
      <c r="C388" s="8">
        <v>44993</v>
      </c>
      <c r="D388" t="s">
        <v>48</v>
      </c>
      <c r="E388" t="s">
        <v>3061</v>
      </c>
      <c r="F388" t="s">
        <v>3069</v>
      </c>
      <c r="G388" t="s">
        <v>265</v>
      </c>
      <c r="H388">
        <v>8105024269</v>
      </c>
      <c r="I388" t="s">
        <v>24</v>
      </c>
      <c r="J388" t="s">
        <v>25</v>
      </c>
      <c r="K388" t="s">
        <v>36</v>
      </c>
      <c r="L388" t="s">
        <v>85</v>
      </c>
      <c r="M388" t="s">
        <v>266</v>
      </c>
      <c r="N388" t="s">
        <v>267</v>
      </c>
      <c r="O388">
        <v>14</v>
      </c>
      <c r="P388">
        <v>34923.61</v>
      </c>
      <c r="Q388">
        <v>20</v>
      </c>
      <c r="R388">
        <v>97786.11</v>
      </c>
      <c r="S388" s="11">
        <v>391144.43</v>
      </c>
      <c r="T388">
        <v>103114.54</v>
      </c>
      <c r="U388">
        <f t="shared" si="6"/>
        <v>391144.43</v>
      </c>
    </row>
    <row r="389" spans="1:21" ht="15" customHeight="1" x14ac:dyDescent="0.25">
      <c r="A389" t="s">
        <v>2233</v>
      </c>
      <c r="B389" s="8">
        <v>44987</v>
      </c>
      <c r="C389" s="8">
        <v>44986</v>
      </c>
      <c r="D389" t="s">
        <v>73</v>
      </c>
      <c r="E389" t="s">
        <v>3035</v>
      </c>
      <c r="F389" t="s">
        <v>3043</v>
      </c>
      <c r="G389" t="s">
        <v>2234</v>
      </c>
      <c r="H389">
        <v>8107764490</v>
      </c>
      <c r="I389" t="s">
        <v>24</v>
      </c>
      <c r="K389" t="s">
        <v>26</v>
      </c>
      <c r="L389" t="s">
        <v>27</v>
      </c>
      <c r="M389" t="s">
        <v>28</v>
      </c>
      <c r="N389" t="s">
        <v>347</v>
      </c>
      <c r="O389">
        <v>19</v>
      </c>
      <c r="P389" t="s">
        <v>2235</v>
      </c>
      <c r="Q389">
        <v>5</v>
      </c>
      <c r="R389">
        <v>5573.98</v>
      </c>
      <c r="S389" s="11">
        <v>105905.67</v>
      </c>
      <c r="T389">
        <v>-12141.05</v>
      </c>
      <c r="U389">
        <f t="shared" si="6"/>
        <v>105905.67</v>
      </c>
    </row>
    <row r="390" spans="1:21" ht="15" customHeight="1" x14ac:dyDescent="0.25">
      <c r="A390" t="s">
        <v>2654</v>
      </c>
      <c r="B390" s="8">
        <v>44988</v>
      </c>
      <c r="C390" s="8">
        <v>44991</v>
      </c>
      <c r="D390" t="s">
        <v>20</v>
      </c>
      <c r="E390" t="s">
        <v>3068</v>
      </c>
      <c r="F390" t="s">
        <v>3088</v>
      </c>
      <c r="G390" t="s">
        <v>2656</v>
      </c>
      <c r="H390">
        <v>9071702543</v>
      </c>
      <c r="I390" t="s">
        <v>43</v>
      </c>
      <c r="J390" t="s">
        <v>51</v>
      </c>
      <c r="K390" t="s">
        <v>223</v>
      </c>
      <c r="M390" t="s">
        <v>114</v>
      </c>
      <c r="N390" t="s">
        <v>115</v>
      </c>
      <c r="O390">
        <v>1</v>
      </c>
      <c r="P390">
        <v>15744.17</v>
      </c>
      <c r="Q390">
        <v>10</v>
      </c>
      <c r="R390">
        <v>1574.42</v>
      </c>
      <c r="S390" s="11">
        <v>14169.75</v>
      </c>
      <c r="T390">
        <v>3831.2</v>
      </c>
      <c r="U390">
        <f t="shared" si="6"/>
        <v>14169.75</v>
      </c>
    </row>
    <row r="391" spans="1:21" ht="15" customHeight="1" x14ac:dyDescent="0.25">
      <c r="A391" t="s">
        <v>1265</v>
      </c>
      <c r="B391" s="8">
        <v>44988</v>
      </c>
      <c r="C391" s="8">
        <v>44991</v>
      </c>
      <c r="D391" t="s">
        <v>20</v>
      </c>
      <c r="E391" t="s">
        <v>3068</v>
      </c>
      <c r="F391" t="s">
        <v>3057</v>
      </c>
      <c r="G391" t="s">
        <v>1267</v>
      </c>
      <c r="H391">
        <v>8154962012</v>
      </c>
      <c r="I391" t="s">
        <v>35</v>
      </c>
      <c r="J391" t="s">
        <v>69</v>
      </c>
      <c r="K391" t="s">
        <v>70</v>
      </c>
      <c r="L391" t="s">
        <v>85</v>
      </c>
      <c r="M391" t="s">
        <v>86</v>
      </c>
      <c r="N391" t="s">
        <v>238</v>
      </c>
      <c r="O391">
        <v>4</v>
      </c>
      <c r="P391">
        <v>151920.69</v>
      </c>
      <c r="Q391">
        <v>20</v>
      </c>
      <c r="R391">
        <v>121536.55</v>
      </c>
      <c r="S391" s="11">
        <v>486146.21</v>
      </c>
      <c r="T391">
        <v>21986.86</v>
      </c>
      <c r="U391">
        <f t="shared" si="6"/>
        <v>486146.21</v>
      </c>
    </row>
    <row r="392" spans="1:21" ht="15" customHeight="1" x14ac:dyDescent="0.25">
      <c r="A392" t="s">
        <v>2849</v>
      </c>
      <c r="B392" s="8">
        <v>44990</v>
      </c>
      <c r="C392" s="8">
        <v>44990</v>
      </c>
      <c r="D392" t="s">
        <v>32</v>
      </c>
      <c r="E392" t="s">
        <v>3095</v>
      </c>
      <c r="F392" t="s">
        <v>3043</v>
      </c>
      <c r="G392" t="s">
        <v>2850</v>
      </c>
      <c r="H392">
        <v>8065199616</v>
      </c>
      <c r="I392" t="s">
        <v>43</v>
      </c>
      <c r="J392" t="s">
        <v>69</v>
      </c>
      <c r="K392" t="s">
        <v>307</v>
      </c>
      <c r="L392" t="s">
        <v>27</v>
      </c>
      <c r="M392" t="s">
        <v>173</v>
      </c>
      <c r="N392" t="s">
        <v>380</v>
      </c>
      <c r="O392">
        <v>9</v>
      </c>
      <c r="P392">
        <v>640.11</v>
      </c>
      <c r="Q392">
        <v>25</v>
      </c>
      <c r="R392">
        <v>1440.25</v>
      </c>
      <c r="S392" s="11">
        <v>4320.74</v>
      </c>
      <c r="T392">
        <v>-215.08</v>
      </c>
      <c r="U392">
        <f t="shared" si="6"/>
        <v>4320.74</v>
      </c>
    </row>
    <row r="393" spans="1:21" ht="15" customHeight="1" x14ac:dyDescent="0.25">
      <c r="A393" t="s">
        <v>2253</v>
      </c>
      <c r="B393" s="8">
        <v>44990</v>
      </c>
      <c r="C393" s="8">
        <v>44990</v>
      </c>
      <c r="D393" t="s">
        <v>32</v>
      </c>
      <c r="E393" t="s">
        <v>3049</v>
      </c>
      <c r="F393" t="s">
        <v>3079</v>
      </c>
      <c r="G393" t="s">
        <v>2254</v>
      </c>
      <c r="H393">
        <v>8132532401</v>
      </c>
      <c r="I393" t="s">
        <v>24</v>
      </c>
      <c r="J393" t="s">
        <v>51</v>
      </c>
      <c r="K393" t="s">
        <v>227</v>
      </c>
      <c r="L393" t="s">
        <v>27</v>
      </c>
      <c r="M393" t="s">
        <v>354</v>
      </c>
      <c r="N393" t="s">
        <v>625</v>
      </c>
      <c r="O393">
        <v>1</v>
      </c>
      <c r="P393">
        <v>1569.1</v>
      </c>
      <c r="Q393">
        <v>10</v>
      </c>
      <c r="R393">
        <v>156.91</v>
      </c>
      <c r="S393" s="11">
        <v>1412.19</v>
      </c>
      <c r="T393">
        <v>-145.91999999999999</v>
      </c>
      <c r="U393">
        <f t="shared" si="6"/>
        <v>1412.19</v>
      </c>
    </row>
    <row r="394" spans="1:21" ht="15" customHeight="1" x14ac:dyDescent="0.25">
      <c r="A394" t="s">
        <v>1247</v>
      </c>
      <c r="B394" s="8">
        <v>44991</v>
      </c>
      <c r="C394" s="8">
        <v>44994</v>
      </c>
      <c r="D394" t="s">
        <v>20</v>
      </c>
      <c r="E394" t="s">
        <v>3050</v>
      </c>
      <c r="F394" t="s">
        <v>3052</v>
      </c>
      <c r="G394" t="s">
        <v>1249</v>
      </c>
      <c r="H394">
        <v>8169930106</v>
      </c>
      <c r="I394" t="s">
        <v>24</v>
      </c>
      <c r="J394" t="s">
        <v>51</v>
      </c>
      <c r="K394" t="s">
        <v>52</v>
      </c>
      <c r="L394" t="s">
        <v>63</v>
      </c>
      <c r="M394" t="s">
        <v>194</v>
      </c>
      <c r="N394" t="s">
        <v>257</v>
      </c>
      <c r="O394">
        <v>9</v>
      </c>
      <c r="P394">
        <v>16942.54</v>
      </c>
      <c r="Q394">
        <v>0</v>
      </c>
      <c r="R394">
        <v>0</v>
      </c>
      <c r="S394" s="11">
        <v>152482.85999999999</v>
      </c>
      <c r="T394">
        <v>-8463.16</v>
      </c>
      <c r="U394">
        <f t="shared" si="6"/>
        <v>152482.85999999999</v>
      </c>
    </row>
    <row r="395" spans="1:21" ht="15" customHeight="1" x14ac:dyDescent="0.25">
      <c r="A395" t="s">
        <v>1190</v>
      </c>
      <c r="B395" s="8">
        <v>44992</v>
      </c>
      <c r="C395" s="8">
        <v>44995</v>
      </c>
      <c r="D395" t="s">
        <v>73</v>
      </c>
      <c r="E395" t="s">
        <v>3081</v>
      </c>
      <c r="F395" t="s">
        <v>3045</v>
      </c>
      <c r="G395" t="s">
        <v>1192</v>
      </c>
      <c r="H395">
        <v>9079880742</v>
      </c>
      <c r="I395" t="s">
        <v>43</v>
      </c>
      <c r="J395" t="s">
        <v>25</v>
      </c>
      <c r="K395" t="s">
        <v>26</v>
      </c>
      <c r="L395" t="s">
        <v>85</v>
      </c>
      <c r="M395" t="s">
        <v>486</v>
      </c>
      <c r="N395" t="s">
        <v>1193</v>
      </c>
      <c r="O395">
        <v>16</v>
      </c>
      <c r="P395">
        <v>129816.87</v>
      </c>
      <c r="Q395">
        <v>0</v>
      </c>
      <c r="R395">
        <v>0</v>
      </c>
      <c r="S395" s="11">
        <v>2077069.92</v>
      </c>
      <c r="T395">
        <v>273189.27</v>
      </c>
      <c r="U395">
        <f t="shared" si="6"/>
        <v>2077069.92</v>
      </c>
    </row>
    <row r="396" spans="1:21" ht="15" customHeight="1" x14ac:dyDescent="0.25">
      <c r="A396" t="s">
        <v>2193</v>
      </c>
      <c r="B396" s="8">
        <v>44993</v>
      </c>
      <c r="C396" s="8">
        <v>45001</v>
      </c>
      <c r="D396" t="s">
        <v>48</v>
      </c>
      <c r="E396" t="s">
        <v>3070</v>
      </c>
      <c r="F396" t="s">
        <v>3036</v>
      </c>
      <c r="G396" t="s">
        <v>2195</v>
      </c>
      <c r="H396">
        <v>8066827492</v>
      </c>
      <c r="I396" t="s">
        <v>35</v>
      </c>
      <c r="J396" t="s">
        <v>51</v>
      </c>
      <c r="K396" t="s">
        <v>131</v>
      </c>
      <c r="L396" t="s">
        <v>63</v>
      </c>
      <c r="M396" t="s">
        <v>54</v>
      </c>
      <c r="N396" t="s">
        <v>1039</v>
      </c>
      <c r="O396">
        <v>16</v>
      </c>
      <c r="P396">
        <v>7552.16</v>
      </c>
      <c r="Q396">
        <v>20</v>
      </c>
      <c r="R396">
        <v>24166.91</v>
      </c>
      <c r="S396" s="11">
        <v>96667.65</v>
      </c>
      <c r="T396">
        <v>-1529.28</v>
      </c>
      <c r="U396">
        <f t="shared" si="6"/>
        <v>96667.65</v>
      </c>
    </row>
    <row r="397" spans="1:21" ht="15" customHeight="1" x14ac:dyDescent="0.25">
      <c r="A397" t="s">
        <v>351</v>
      </c>
      <c r="B397" s="8">
        <v>44996</v>
      </c>
      <c r="C397" s="8">
        <v>45001</v>
      </c>
      <c r="D397" t="s">
        <v>48</v>
      </c>
      <c r="E397" t="s">
        <v>3087</v>
      </c>
      <c r="F397" t="s">
        <v>3079</v>
      </c>
      <c r="G397" t="s">
        <v>353</v>
      </c>
      <c r="H397">
        <v>8133112652</v>
      </c>
      <c r="I397" t="s">
        <v>43</v>
      </c>
      <c r="J397" t="s">
        <v>61</v>
      </c>
      <c r="K397" t="s">
        <v>95</v>
      </c>
      <c r="L397" t="s">
        <v>27</v>
      </c>
      <c r="M397" t="s">
        <v>354</v>
      </c>
      <c r="N397" t="s">
        <v>355</v>
      </c>
      <c r="O397">
        <v>18</v>
      </c>
      <c r="P397">
        <v>6689.6</v>
      </c>
      <c r="Q397">
        <v>5</v>
      </c>
      <c r="R397">
        <v>6020.64</v>
      </c>
      <c r="S397" s="11">
        <v>114392.16</v>
      </c>
      <c r="T397">
        <v>23087.75</v>
      </c>
      <c r="U397">
        <f t="shared" si="6"/>
        <v>114392.16</v>
      </c>
    </row>
    <row r="398" spans="1:21" ht="15" customHeight="1" x14ac:dyDescent="0.25">
      <c r="A398" t="s">
        <v>1516</v>
      </c>
      <c r="B398" s="8">
        <v>44996</v>
      </c>
      <c r="C398" s="8">
        <v>44997</v>
      </c>
      <c r="D398" t="s">
        <v>32</v>
      </c>
      <c r="E398" t="s">
        <v>3068</v>
      </c>
      <c r="F398" t="s">
        <v>3034</v>
      </c>
      <c r="G398" t="s">
        <v>1517</v>
      </c>
      <c r="H398">
        <v>8062598523</v>
      </c>
      <c r="I398" t="s">
        <v>24</v>
      </c>
      <c r="J398" t="s">
        <v>61</v>
      </c>
      <c r="K398" t="s">
        <v>182</v>
      </c>
      <c r="L398" t="s">
        <v>27</v>
      </c>
      <c r="M398" t="s">
        <v>79</v>
      </c>
      <c r="N398" t="s">
        <v>145</v>
      </c>
      <c r="O398">
        <v>8</v>
      </c>
      <c r="P398">
        <v>2863.04</v>
      </c>
      <c r="Q398">
        <v>20</v>
      </c>
      <c r="R398">
        <v>4580.8599999999997</v>
      </c>
      <c r="S398" s="11">
        <v>18323.46</v>
      </c>
      <c r="T398">
        <v>7236.59</v>
      </c>
      <c r="U398">
        <f t="shared" si="6"/>
        <v>18323.46</v>
      </c>
    </row>
    <row r="399" spans="1:21" ht="15" customHeight="1" x14ac:dyDescent="0.25">
      <c r="A399" t="s">
        <v>231</v>
      </c>
      <c r="B399" s="8">
        <v>44996</v>
      </c>
      <c r="C399" s="8">
        <v>44997</v>
      </c>
      <c r="D399" t="s">
        <v>32</v>
      </c>
      <c r="E399" t="s">
        <v>3061</v>
      </c>
      <c r="F399" t="s">
        <v>3074</v>
      </c>
      <c r="G399" t="s">
        <v>233</v>
      </c>
      <c r="H399">
        <v>9055635017</v>
      </c>
      <c r="I399" t="s">
        <v>35</v>
      </c>
      <c r="J399" t="s">
        <v>69</v>
      </c>
      <c r="K399" t="s">
        <v>144</v>
      </c>
      <c r="L399" t="s">
        <v>27</v>
      </c>
      <c r="M399" t="s">
        <v>79</v>
      </c>
      <c r="N399" t="s">
        <v>234</v>
      </c>
      <c r="O399">
        <v>3</v>
      </c>
      <c r="P399">
        <v>7600.08</v>
      </c>
      <c r="Q399">
        <v>5</v>
      </c>
      <c r="R399">
        <v>1140.01</v>
      </c>
      <c r="T399">
        <v>6109.16</v>
      </c>
      <c r="U399">
        <f t="shared" si="6"/>
        <v>0</v>
      </c>
    </row>
    <row r="400" spans="1:21" ht="15" customHeight="1" x14ac:dyDescent="0.25">
      <c r="A400" t="s">
        <v>2803</v>
      </c>
      <c r="B400" s="8">
        <v>44996</v>
      </c>
      <c r="C400" s="8">
        <v>44996</v>
      </c>
      <c r="D400" t="s">
        <v>32</v>
      </c>
      <c r="E400" t="s">
        <v>3050</v>
      </c>
      <c r="F400" t="s">
        <v>3088</v>
      </c>
      <c r="G400" t="s">
        <v>2805</v>
      </c>
      <c r="H400">
        <v>9022122405</v>
      </c>
      <c r="I400" t="s">
        <v>35</v>
      </c>
      <c r="J400" t="s">
        <v>69</v>
      </c>
      <c r="K400" t="s">
        <v>70</v>
      </c>
      <c r="L400" t="s">
        <v>85</v>
      </c>
      <c r="M400" t="s">
        <v>486</v>
      </c>
      <c r="N400" t="s">
        <v>527</v>
      </c>
      <c r="O400">
        <v>13</v>
      </c>
      <c r="P400">
        <v>140584.31</v>
      </c>
      <c r="Q400">
        <v>10</v>
      </c>
      <c r="R400">
        <v>182759.6</v>
      </c>
      <c r="S400" s="11">
        <v>1644836.43</v>
      </c>
      <c r="T400">
        <v>387386</v>
      </c>
      <c r="U400">
        <f t="shared" si="6"/>
        <v>1644836.43</v>
      </c>
    </row>
    <row r="401" spans="1:21" ht="15" customHeight="1" x14ac:dyDescent="0.25">
      <c r="A401" t="s">
        <v>2675</v>
      </c>
      <c r="B401" s="8">
        <v>44999</v>
      </c>
      <c r="C401" s="8">
        <v>44999</v>
      </c>
      <c r="D401" t="s">
        <v>32</v>
      </c>
      <c r="E401" t="s">
        <v>3055</v>
      </c>
      <c r="F401" t="s">
        <v>3083</v>
      </c>
      <c r="G401" t="s">
        <v>2677</v>
      </c>
      <c r="H401">
        <v>8132661733</v>
      </c>
      <c r="I401" t="s">
        <v>35</v>
      </c>
      <c r="J401" t="s">
        <v>61</v>
      </c>
      <c r="K401" t="s">
        <v>182</v>
      </c>
      <c r="L401" t="s">
        <v>85</v>
      </c>
      <c r="M401" t="s">
        <v>486</v>
      </c>
      <c r="N401" t="s">
        <v>527</v>
      </c>
      <c r="O401">
        <v>18</v>
      </c>
      <c r="P401">
        <v>116944.21</v>
      </c>
      <c r="Q401">
        <v>0</v>
      </c>
      <c r="R401">
        <v>0</v>
      </c>
      <c r="S401" s="11">
        <v>2104995.7799999998</v>
      </c>
      <c r="T401">
        <v>-131209.78</v>
      </c>
      <c r="U401">
        <f t="shared" si="6"/>
        <v>2104995.7799999998</v>
      </c>
    </row>
    <row r="402" spans="1:21" ht="15" customHeight="1" x14ac:dyDescent="0.25">
      <c r="A402" t="s">
        <v>2260</v>
      </c>
      <c r="B402" s="8">
        <v>44999</v>
      </c>
      <c r="C402" s="8">
        <v>44999</v>
      </c>
      <c r="D402" t="s">
        <v>32</v>
      </c>
      <c r="E402" t="s">
        <v>3098</v>
      </c>
      <c r="F402" t="s">
        <v>3039</v>
      </c>
      <c r="G402" t="s">
        <v>2262</v>
      </c>
      <c r="H402">
        <v>9011179053</v>
      </c>
      <c r="I402" t="s">
        <v>24</v>
      </c>
      <c r="J402" t="s">
        <v>69</v>
      </c>
      <c r="K402" t="s">
        <v>144</v>
      </c>
      <c r="L402" t="s">
        <v>85</v>
      </c>
      <c r="M402" t="s">
        <v>486</v>
      </c>
      <c r="N402" t="s">
        <v>543</v>
      </c>
      <c r="O402">
        <v>1</v>
      </c>
      <c r="P402">
        <v>98472.45</v>
      </c>
      <c r="Q402">
        <v>10</v>
      </c>
      <c r="R402">
        <v>9847.25</v>
      </c>
      <c r="S402" s="11">
        <v>88625.2</v>
      </c>
      <c r="T402">
        <v>4171.67</v>
      </c>
      <c r="U402">
        <f t="shared" si="6"/>
        <v>88625.2</v>
      </c>
    </row>
    <row r="403" spans="1:21" ht="15" customHeight="1" x14ac:dyDescent="0.25">
      <c r="A403" t="s">
        <v>2511</v>
      </c>
      <c r="B403" s="8">
        <v>45001</v>
      </c>
      <c r="C403" s="8">
        <v>45006</v>
      </c>
      <c r="D403" t="s">
        <v>48</v>
      </c>
      <c r="E403" t="s">
        <v>3039</v>
      </c>
      <c r="F403" t="s">
        <v>3062</v>
      </c>
      <c r="G403" t="s">
        <v>2513</v>
      </c>
      <c r="H403">
        <v>9016373918</v>
      </c>
      <c r="I403" t="s">
        <v>43</v>
      </c>
      <c r="J403" t="s">
        <v>61</v>
      </c>
      <c r="K403" t="s">
        <v>84</v>
      </c>
      <c r="L403" t="s">
        <v>1430</v>
      </c>
      <c r="M403" t="s">
        <v>385</v>
      </c>
      <c r="N403" t="s">
        <v>942</v>
      </c>
      <c r="O403">
        <v>20</v>
      </c>
      <c r="P403">
        <v>104930.57</v>
      </c>
      <c r="Q403">
        <v>0</v>
      </c>
      <c r="R403">
        <v>0</v>
      </c>
      <c r="S403" s="11">
        <v>2098611.4</v>
      </c>
      <c r="T403">
        <v>-257834.71</v>
      </c>
      <c r="U403">
        <f t="shared" si="6"/>
        <v>2098611.4</v>
      </c>
    </row>
    <row r="404" spans="1:21" ht="15" customHeight="1" x14ac:dyDescent="0.25">
      <c r="A404" t="s">
        <v>2897</v>
      </c>
      <c r="B404" s="8">
        <v>45004</v>
      </c>
      <c r="C404" s="8">
        <v>45007</v>
      </c>
      <c r="D404" t="s">
        <v>73</v>
      </c>
      <c r="E404" t="s">
        <v>3097</v>
      </c>
      <c r="F404" t="s">
        <v>3052</v>
      </c>
      <c r="G404" t="s">
        <v>2899</v>
      </c>
      <c r="H404">
        <v>9056286061</v>
      </c>
      <c r="I404" t="s">
        <v>35</v>
      </c>
      <c r="J404" t="s">
        <v>25</v>
      </c>
      <c r="K404" t="s">
        <v>44</v>
      </c>
      <c r="L404" t="s">
        <v>96</v>
      </c>
      <c r="M404" t="s">
        <v>189</v>
      </c>
      <c r="N404" t="s">
        <v>190</v>
      </c>
      <c r="O404">
        <v>4</v>
      </c>
      <c r="P404">
        <v>365916.67</v>
      </c>
      <c r="Q404">
        <v>0</v>
      </c>
      <c r="R404">
        <v>0</v>
      </c>
      <c r="S404" s="11">
        <v>1463666.68</v>
      </c>
      <c r="T404">
        <v>-136494.32999999999</v>
      </c>
      <c r="U404">
        <f t="shared" si="6"/>
        <v>1463666.68</v>
      </c>
    </row>
    <row r="405" spans="1:21" ht="15" customHeight="1" x14ac:dyDescent="0.25">
      <c r="A405" t="s">
        <v>2014</v>
      </c>
      <c r="B405" s="8">
        <v>45006</v>
      </c>
      <c r="C405" s="8">
        <v>45011</v>
      </c>
      <c r="D405" t="s">
        <v>48</v>
      </c>
      <c r="E405" t="s">
        <v>3041</v>
      </c>
      <c r="F405" t="s">
        <v>3054</v>
      </c>
      <c r="G405" t="s">
        <v>807</v>
      </c>
      <c r="H405">
        <v>8063123664</v>
      </c>
      <c r="I405" t="s">
        <v>43</v>
      </c>
      <c r="J405" t="s">
        <v>61</v>
      </c>
      <c r="K405" t="s">
        <v>62</v>
      </c>
      <c r="L405" t="s">
        <v>1119</v>
      </c>
      <c r="M405" t="s">
        <v>558</v>
      </c>
      <c r="N405" t="s">
        <v>559</v>
      </c>
      <c r="O405">
        <v>3</v>
      </c>
      <c r="P405">
        <v>5381.32</v>
      </c>
      <c r="Q405">
        <v>10</v>
      </c>
      <c r="R405">
        <v>1614.4</v>
      </c>
      <c r="S405" s="11">
        <v>14529.56</v>
      </c>
      <c r="T405">
        <v>3993.45</v>
      </c>
      <c r="U405">
        <f t="shared" si="6"/>
        <v>14529.56</v>
      </c>
    </row>
    <row r="406" spans="1:21" ht="15" customHeight="1" x14ac:dyDescent="0.25">
      <c r="A406" t="s">
        <v>2588</v>
      </c>
      <c r="B406" s="8">
        <v>45006</v>
      </c>
      <c r="C406" s="8">
        <v>45009</v>
      </c>
      <c r="D406" t="s">
        <v>73</v>
      </c>
      <c r="E406" t="s">
        <v>3047</v>
      </c>
      <c r="F406" t="s">
        <v>3045</v>
      </c>
      <c r="G406" t="s">
        <v>2590</v>
      </c>
      <c r="H406">
        <v>8105544781</v>
      </c>
      <c r="I406" t="s">
        <v>24</v>
      </c>
      <c r="J406" t="s">
        <v>61</v>
      </c>
      <c r="K406" t="s">
        <v>62</v>
      </c>
      <c r="L406" t="s">
        <v>63</v>
      </c>
      <c r="M406" t="s">
        <v>54</v>
      </c>
      <c r="N406" t="s">
        <v>1039</v>
      </c>
      <c r="O406">
        <v>6</v>
      </c>
      <c r="P406">
        <v>12684.4</v>
      </c>
      <c r="Q406">
        <v>10</v>
      </c>
      <c r="R406">
        <v>7610.64</v>
      </c>
      <c r="S406" s="11">
        <v>68495.759999999995</v>
      </c>
      <c r="T406">
        <v>23827.41</v>
      </c>
      <c r="U406">
        <f t="shared" si="6"/>
        <v>68495.759999999995</v>
      </c>
    </row>
    <row r="407" spans="1:21" ht="15" customHeight="1" x14ac:dyDescent="0.25">
      <c r="A407" t="s">
        <v>728</v>
      </c>
      <c r="B407" s="8">
        <v>45006</v>
      </c>
      <c r="C407" s="8">
        <v>45006</v>
      </c>
      <c r="D407" t="s">
        <v>32</v>
      </c>
      <c r="E407" t="s">
        <v>3072</v>
      </c>
      <c r="F407" t="s">
        <v>3054</v>
      </c>
      <c r="G407" t="s">
        <v>730</v>
      </c>
      <c r="H407">
        <v>9057442986</v>
      </c>
      <c r="I407" t="s">
        <v>43</v>
      </c>
      <c r="J407" t="s">
        <v>61</v>
      </c>
      <c r="K407" t="s">
        <v>62</v>
      </c>
      <c r="L407" t="s">
        <v>53</v>
      </c>
      <c r="M407" t="s">
        <v>64</v>
      </c>
      <c r="N407" t="s">
        <v>65</v>
      </c>
      <c r="O407">
        <v>8</v>
      </c>
      <c r="P407">
        <v>19881.38</v>
      </c>
      <c r="Q407">
        <v>10</v>
      </c>
      <c r="R407">
        <v>15905.1</v>
      </c>
      <c r="S407" s="11">
        <v>143145.94</v>
      </c>
      <c r="T407">
        <v>33893</v>
      </c>
      <c r="U407">
        <f t="shared" si="6"/>
        <v>143145.94</v>
      </c>
    </row>
    <row r="408" spans="1:21" ht="15" customHeight="1" x14ac:dyDescent="0.25">
      <c r="A408" t="s">
        <v>116</v>
      </c>
      <c r="B408" s="8">
        <v>45007</v>
      </c>
      <c r="C408" s="8">
        <v>45009</v>
      </c>
      <c r="D408" t="s">
        <v>20</v>
      </c>
      <c r="E408" t="s">
        <v>3035</v>
      </c>
      <c r="F408" t="s">
        <v>3034</v>
      </c>
      <c r="G408" t="s">
        <v>118</v>
      </c>
      <c r="H408">
        <v>9016261415</v>
      </c>
      <c r="I408" t="s">
        <v>35</v>
      </c>
      <c r="J408" t="s">
        <v>69</v>
      </c>
      <c r="K408" t="s">
        <v>119</v>
      </c>
      <c r="L408" t="s">
        <v>96</v>
      </c>
      <c r="M408" t="s">
        <v>120</v>
      </c>
      <c r="N408" t="s">
        <v>121</v>
      </c>
      <c r="O408">
        <v>17</v>
      </c>
      <c r="P408">
        <v>222403</v>
      </c>
      <c r="Q408">
        <v>0</v>
      </c>
      <c r="R408">
        <v>0</v>
      </c>
      <c r="S408" s="11">
        <v>3780851</v>
      </c>
      <c r="T408">
        <v>-438095.72</v>
      </c>
      <c r="U408">
        <f t="shared" si="6"/>
        <v>3780851</v>
      </c>
    </row>
    <row r="409" spans="1:21" ht="15" customHeight="1" x14ac:dyDescent="0.25">
      <c r="A409" t="s">
        <v>2579</v>
      </c>
      <c r="B409" s="8">
        <v>45008</v>
      </c>
      <c r="C409" s="8">
        <v>45011</v>
      </c>
      <c r="D409" t="s">
        <v>20</v>
      </c>
      <c r="E409" t="s">
        <v>3061</v>
      </c>
      <c r="F409" t="s">
        <v>3042</v>
      </c>
      <c r="G409" t="s">
        <v>2581</v>
      </c>
      <c r="H409">
        <v>9015039461</v>
      </c>
      <c r="I409" t="s">
        <v>43</v>
      </c>
      <c r="K409" t="s">
        <v>227</v>
      </c>
      <c r="L409" t="s">
        <v>27</v>
      </c>
      <c r="M409" t="s">
        <v>79</v>
      </c>
      <c r="N409" t="s">
        <v>80</v>
      </c>
      <c r="O409">
        <v>6</v>
      </c>
      <c r="P409">
        <v>2467.16</v>
      </c>
      <c r="Q409">
        <v>0</v>
      </c>
      <c r="R409">
        <v>0</v>
      </c>
      <c r="S409" s="11">
        <v>14802.96</v>
      </c>
      <c r="T409">
        <v>-1673.15</v>
      </c>
      <c r="U409">
        <f t="shared" si="6"/>
        <v>14802.96</v>
      </c>
    </row>
    <row r="410" spans="1:21" ht="15" customHeight="1" x14ac:dyDescent="0.25">
      <c r="A410" t="s">
        <v>1055</v>
      </c>
      <c r="B410" s="8">
        <v>45009</v>
      </c>
      <c r="C410" s="8">
        <v>45012</v>
      </c>
      <c r="D410" t="s">
        <v>20</v>
      </c>
      <c r="E410" t="s">
        <v>3065</v>
      </c>
      <c r="F410" t="s">
        <v>3034</v>
      </c>
      <c r="G410" t="s">
        <v>1057</v>
      </c>
      <c r="H410">
        <v>8144349848</v>
      </c>
      <c r="I410" t="s">
        <v>43</v>
      </c>
      <c r="J410" t="s">
        <v>61</v>
      </c>
      <c r="K410" t="s">
        <v>204</v>
      </c>
      <c r="L410" t="s">
        <v>85</v>
      </c>
      <c r="M410" t="s">
        <v>218</v>
      </c>
      <c r="N410" t="s">
        <v>1058</v>
      </c>
      <c r="O410">
        <v>7</v>
      </c>
      <c r="P410">
        <v>43565.919999999998</v>
      </c>
      <c r="Q410">
        <v>5</v>
      </c>
      <c r="R410">
        <v>15248.07</v>
      </c>
      <c r="S410" s="11">
        <v>289713.37</v>
      </c>
      <c r="T410">
        <v>101921.4</v>
      </c>
      <c r="U410">
        <f t="shared" si="6"/>
        <v>289713.37</v>
      </c>
    </row>
    <row r="411" spans="1:21" ht="15" customHeight="1" x14ac:dyDescent="0.25">
      <c r="A411" t="s">
        <v>2719</v>
      </c>
      <c r="B411" s="8">
        <v>45010</v>
      </c>
      <c r="C411" s="8">
        <v>45015</v>
      </c>
      <c r="D411" t="s">
        <v>73</v>
      </c>
      <c r="E411" t="s">
        <v>3070</v>
      </c>
      <c r="F411" t="s">
        <v>3088</v>
      </c>
      <c r="G411" t="s">
        <v>2721</v>
      </c>
      <c r="H411">
        <v>8031608900</v>
      </c>
      <c r="I411" t="s">
        <v>35</v>
      </c>
      <c r="K411" t="s">
        <v>316</v>
      </c>
      <c r="L411" t="s">
        <v>108</v>
      </c>
      <c r="M411" t="s">
        <v>38</v>
      </c>
      <c r="N411" t="s">
        <v>519</v>
      </c>
      <c r="O411">
        <v>3</v>
      </c>
      <c r="P411">
        <v>34710.54</v>
      </c>
      <c r="Q411">
        <v>0</v>
      </c>
      <c r="R411">
        <v>0</v>
      </c>
      <c r="S411" s="11">
        <v>104131.62</v>
      </c>
      <c r="T411">
        <v>-9848.14</v>
      </c>
      <c r="U411">
        <f t="shared" si="6"/>
        <v>104131.62</v>
      </c>
    </row>
    <row r="412" spans="1:21" ht="15" customHeight="1" x14ac:dyDescent="0.25">
      <c r="A412" t="s">
        <v>569</v>
      </c>
      <c r="B412" s="8">
        <v>45010</v>
      </c>
      <c r="C412" s="8">
        <v>45013</v>
      </c>
      <c r="D412" t="s">
        <v>73</v>
      </c>
      <c r="E412" t="s">
        <v>3055</v>
      </c>
      <c r="F412" t="s">
        <v>3054</v>
      </c>
      <c r="G412" t="s">
        <v>571</v>
      </c>
      <c r="H412">
        <v>9017268384</v>
      </c>
      <c r="I412" t="s">
        <v>24</v>
      </c>
      <c r="J412" t="s">
        <v>51</v>
      </c>
      <c r="K412" t="s">
        <v>223</v>
      </c>
      <c r="L412" t="s">
        <v>108</v>
      </c>
      <c r="M412" t="s">
        <v>189</v>
      </c>
      <c r="N412" t="s">
        <v>478</v>
      </c>
      <c r="O412">
        <v>7</v>
      </c>
      <c r="P412">
        <v>34566.07</v>
      </c>
      <c r="Q412">
        <v>5</v>
      </c>
      <c r="R412">
        <v>12098.12</v>
      </c>
      <c r="S412" s="11">
        <v>229864.37</v>
      </c>
      <c r="T412">
        <v>59352.160000000003</v>
      </c>
      <c r="U412">
        <f t="shared" si="6"/>
        <v>229864.37</v>
      </c>
    </row>
    <row r="413" spans="1:21" ht="15" customHeight="1" x14ac:dyDescent="0.25">
      <c r="A413" t="s">
        <v>330</v>
      </c>
      <c r="B413" s="8">
        <v>45010</v>
      </c>
      <c r="C413" s="8">
        <v>45012</v>
      </c>
      <c r="D413" t="s">
        <v>20</v>
      </c>
      <c r="E413" t="s">
        <v>3085</v>
      </c>
      <c r="F413" t="s">
        <v>3036</v>
      </c>
      <c r="G413" t="s">
        <v>332</v>
      </c>
      <c r="H413">
        <v>9072630140</v>
      </c>
      <c r="I413" t="s">
        <v>35</v>
      </c>
      <c r="J413" t="s">
        <v>69</v>
      </c>
      <c r="K413" t="s">
        <v>144</v>
      </c>
      <c r="L413" t="s">
        <v>96</v>
      </c>
      <c r="M413" t="s">
        <v>97</v>
      </c>
      <c r="N413" t="s">
        <v>230</v>
      </c>
      <c r="O413">
        <v>12</v>
      </c>
      <c r="P413">
        <v>29513.57</v>
      </c>
      <c r="Q413">
        <v>0</v>
      </c>
      <c r="R413">
        <v>0</v>
      </c>
      <c r="S413" s="11">
        <v>354162.84</v>
      </c>
      <c r="T413">
        <v>-33971.29</v>
      </c>
      <c r="U413">
        <f t="shared" si="6"/>
        <v>354162.84</v>
      </c>
    </row>
    <row r="414" spans="1:21" ht="15" customHeight="1" x14ac:dyDescent="0.25">
      <c r="A414" t="s">
        <v>186</v>
      </c>
      <c r="B414" s="8">
        <v>45010</v>
      </c>
      <c r="C414" s="8">
        <v>45010</v>
      </c>
      <c r="D414" t="s">
        <v>32</v>
      </c>
      <c r="E414" t="s">
        <v>3070</v>
      </c>
      <c r="F414" t="s">
        <v>3071</v>
      </c>
      <c r="G414" t="s">
        <v>188</v>
      </c>
      <c r="H414">
        <v>8155180853</v>
      </c>
      <c r="I414" t="s">
        <v>35</v>
      </c>
      <c r="J414" t="s">
        <v>61</v>
      </c>
      <c r="K414" t="s">
        <v>95</v>
      </c>
      <c r="L414" t="s">
        <v>96</v>
      </c>
      <c r="M414" t="s">
        <v>189</v>
      </c>
      <c r="N414" t="s">
        <v>190</v>
      </c>
      <c r="O414">
        <v>17</v>
      </c>
      <c r="P414">
        <v>363616.22</v>
      </c>
      <c r="Q414">
        <v>25</v>
      </c>
      <c r="R414">
        <v>1545368.93</v>
      </c>
      <c r="S414" s="11">
        <v>4636106.8099999996</v>
      </c>
      <c r="T414">
        <v>960932.31</v>
      </c>
      <c r="U414">
        <f t="shared" si="6"/>
        <v>4636106.8099999996</v>
      </c>
    </row>
    <row r="415" spans="1:21" ht="15" customHeight="1" x14ac:dyDescent="0.25">
      <c r="A415" t="s">
        <v>31</v>
      </c>
      <c r="B415" s="8">
        <v>45013</v>
      </c>
      <c r="C415" s="8">
        <v>45014</v>
      </c>
      <c r="D415" t="s">
        <v>32</v>
      </c>
      <c r="E415" t="s">
        <v>3035</v>
      </c>
      <c r="F415" t="s">
        <v>3036</v>
      </c>
      <c r="G415" t="s">
        <v>34</v>
      </c>
      <c r="H415">
        <v>9023678638</v>
      </c>
      <c r="I415" t="s">
        <v>35</v>
      </c>
      <c r="J415" t="s">
        <v>25</v>
      </c>
      <c r="K415" t="s">
        <v>36</v>
      </c>
      <c r="L415" t="s">
        <v>37</v>
      </c>
      <c r="M415" t="s">
        <v>38</v>
      </c>
      <c r="N415" t="s">
        <v>39</v>
      </c>
      <c r="O415">
        <v>11</v>
      </c>
      <c r="P415">
        <v>8685.6200000000008</v>
      </c>
      <c r="Q415">
        <v>0</v>
      </c>
      <c r="R415">
        <v>0</v>
      </c>
      <c r="S415" s="11">
        <v>95541.82</v>
      </c>
      <c r="T415">
        <v>-9014.61</v>
      </c>
      <c r="U415">
        <f t="shared" si="6"/>
        <v>95541.82</v>
      </c>
    </row>
    <row r="416" spans="1:21" ht="15" customHeight="1" x14ac:dyDescent="0.25">
      <c r="A416" t="s">
        <v>858</v>
      </c>
      <c r="B416" s="8">
        <v>45015</v>
      </c>
      <c r="C416" s="8">
        <v>45020</v>
      </c>
      <c r="D416" t="s">
        <v>73</v>
      </c>
      <c r="E416" t="s">
        <v>3067</v>
      </c>
      <c r="F416" t="s">
        <v>3069</v>
      </c>
      <c r="H416">
        <v>8167870390</v>
      </c>
      <c r="I416" t="s">
        <v>35</v>
      </c>
      <c r="J416" t="s">
        <v>69</v>
      </c>
      <c r="K416" t="s">
        <v>307</v>
      </c>
      <c r="L416" t="s">
        <v>27</v>
      </c>
      <c r="M416" t="s">
        <v>79</v>
      </c>
      <c r="N416" t="s">
        <v>145</v>
      </c>
      <c r="O416">
        <v>5</v>
      </c>
      <c r="P416">
        <v>3950.55</v>
      </c>
      <c r="Q416">
        <v>0</v>
      </c>
      <c r="R416">
        <v>0</v>
      </c>
      <c r="S416" s="11">
        <v>19752.75</v>
      </c>
      <c r="T416">
        <v>4161.6099999999997</v>
      </c>
      <c r="U416">
        <f t="shared" si="6"/>
        <v>19752.75</v>
      </c>
    </row>
    <row r="417" spans="1:21" ht="15" customHeight="1" x14ac:dyDescent="0.25">
      <c r="A417" t="s">
        <v>401</v>
      </c>
      <c r="B417" s="8">
        <v>45015</v>
      </c>
      <c r="C417" s="8">
        <v>45018</v>
      </c>
      <c r="D417" t="s">
        <v>20</v>
      </c>
      <c r="E417" t="s">
        <v>3048</v>
      </c>
      <c r="F417" t="s">
        <v>3050</v>
      </c>
      <c r="G417" t="s">
        <v>403</v>
      </c>
      <c r="H417">
        <v>8159555575</v>
      </c>
      <c r="I417" t="s">
        <v>24</v>
      </c>
      <c r="J417" t="s">
        <v>69</v>
      </c>
      <c r="K417" t="s">
        <v>144</v>
      </c>
      <c r="L417" t="s">
        <v>85</v>
      </c>
      <c r="M417" t="s">
        <v>243</v>
      </c>
      <c r="N417" t="s">
        <v>404</v>
      </c>
      <c r="O417" t="s">
        <v>405</v>
      </c>
      <c r="P417">
        <v>133109.21</v>
      </c>
      <c r="Q417">
        <v>5</v>
      </c>
      <c r="R417">
        <v>33277.300000000003</v>
      </c>
      <c r="S417" s="11">
        <v>632268.75</v>
      </c>
      <c r="T417">
        <v>-55840.26</v>
      </c>
      <c r="U417">
        <f t="shared" si="6"/>
        <v>632268.75</v>
      </c>
    </row>
    <row r="418" spans="1:21" ht="15" customHeight="1" x14ac:dyDescent="0.25">
      <c r="A418" t="s">
        <v>924</v>
      </c>
      <c r="B418" s="8">
        <v>45016</v>
      </c>
      <c r="C418" s="8">
        <v>45021</v>
      </c>
      <c r="D418" t="s">
        <v>48</v>
      </c>
      <c r="E418" t="s">
        <v>3095</v>
      </c>
      <c r="F418" t="s">
        <v>3039</v>
      </c>
      <c r="G418" t="s">
        <v>926</v>
      </c>
      <c r="H418">
        <v>8159757456</v>
      </c>
      <c r="I418" t="s">
        <v>35</v>
      </c>
      <c r="J418" t="s">
        <v>51</v>
      </c>
      <c r="K418" t="s">
        <v>316</v>
      </c>
      <c r="L418" t="s">
        <v>63</v>
      </c>
      <c r="M418" t="s">
        <v>469</v>
      </c>
      <c r="N418" t="s">
        <v>470</v>
      </c>
      <c r="O418">
        <v>6</v>
      </c>
      <c r="P418">
        <v>1621.56</v>
      </c>
      <c r="Q418">
        <v>20</v>
      </c>
      <c r="R418">
        <v>1945.87</v>
      </c>
      <c r="S418" s="11">
        <v>7783.49</v>
      </c>
      <c r="U418">
        <f t="shared" si="6"/>
        <v>7783.49</v>
      </c>
    </row>
    <row r="419" spans="1:21" ht="15" customHeight="1" x14ac:dyDescent="0.25">
      <c r="A419" t="s">
        <v>1181</v>
      </c>
      <c r="B419" s="8">
        <v>45017</v>
      </c>
      <c r="C419" s="8">
        <v>45017</v>
      </c>
      <c r="D419" t="s">
        <v>32</v>
      </c>
      <c r="E419" t="s">
        <v>3082</v>
      </c>
      <c r="F419" t="s">
        <v>3050</v>
      </c>
      <c r="G419" t="s">
        <v>1183</v>
      </c>
      <c r="H419">
        <v>8149219877</v>
      </c>
      <c r="I419" t="s">
        <v>43</v>
      </c>
      <c r="J419" t="s">
        <v>69</v>
      </c>
      <c r="K419" t="s">
        <v>307</v>
      </c>
      <c r="L419" t="s">
        <v>63</v>
      </c>
      <c r="M419" t="s">
        <v>194</v>
      </c>
      <c r="N419" t="s">
        <v>257</v>
      </c>
      <c r="O419">
        <v>14</v>
      </c>
      <c r="P419">
        <v>22245.88</v>
      </c>
      <c r="Q419">
        <v>15</v>
      </c>
      <c r="R419">
        <v>46716.35</v>
      </c>
      <c r="S419" s="11">
        <v>264725.96999999997</v>
      </c>
      <c r="T419">
        <v>83581.62</v>
      </c>
      <c r="U419">
        <f t="shared" si="6"/>
        <v>264725.96999999997</v>
      </c>
    </row>
    <row r="420" spans="1:21" ht="15" customHeight="1" x14ac:dyDescent="0.25">
      <c r="A420" t="s">
        <v>2404</v>
      </c>
      <c r="B420" s="8">
        <v>45018</v>
      </c>
      <c r="C420" s="8">
        <v>45021</v>
      </c>
      <c r="D420" t="s">
        <v>20</v>
      </c>
      <c r="E420" t="s">
        <v>3037</v>
      </c>
      <c r="F420" t="s">
        <v>3071</v>
      </c>
      <c r="G420" t="s">
        <v>2406</v>
      </c>
      <c r="H420">
        <v>9026949960</v>
      </c>
      <c r="I420" t="s">
        <v>35</v>
      </c>
      <c r="J420" t="s">
        <v>51</v>
      </c>
      <c r="K420" t="s">
        <v>316</v>
      </c>
      <c r="L420" t="s">
        <v>27</v>
      </c>
      <c r="M420" t="s">
        <v>354</v>
      </c>
      <c r="N420" t="s">
        <v>625</v>
      </c>
      <c r="O420">
        <v>7</v>
      </c>
      <c r="P420">
        <v>6252.04</v>
      </c>
      <c r="Q420">
        <v>10</v>
      </c>
      <c r="R420">
        <v>4376.43</v>
      </c>
      <c r="S420" s="11">
        <v>39387.85</v>
      </c>
      <c r="T420">
        <v>-1616.79</v>
      </c>
      <c r="U420">
        <f t="shared" si="6"/>
        <v>39387.85</v>
      </c>
    </row>
    <row r="421" spans="1:21" ht="15" customHeight="1" x14ac:dyDescent="0.25">
      <c r="A421" t="s">
        <v>1801</v>
      </c>
      <c r="B421" s="8">
        <v>45019</v>
      </c>
      <c r="C421" s="8">
        <v>45023</v>
      </c>
      <c r="D421" t="s">
        <v>73</v>
      </c>
      <c r="E421" t="s">
        <v>3056</v>
      </c>
      <c r="F421" t="s">
        <v>3064</v>
      </c>
      <c r="G421" t="s">
        <v>1803</v>
      </c>
      <c r="H421">
        <v>8062495511</v>
      </c>
      <c r="I421" t="s">
        <v>43</v>
      </c>
      <c r="J421" t="s">
        <v>69</v>
      </c>
      <c r="K421" t="s">
        <v>155</v>
      </c>
      <c r="L421" t="s">
        <v>63</v>
      </c>
      <c r="M421" t="s">
        <v>469</v>
      </c>
      <c r="N421" t="s">
        <v>1099</v>
      </c>
      <c r="O421">
        <v>4</v>
      </c>
      <c r="P421">
        <v>23461.66</v>
      </c>
      <c r="Q421">
        <v>10</v>
      </c>
      <c r="R421">
        <v>9384.66</v>
      </c>
      <c r="S421" s="11">
        <v>84461.98</v>
      </c>
      <c r="T421">
        <v>-6212.14</v>
      </c>
      <c r="U421">
        <f t="shared" si="6"/>
        <v>84461.98</v>
      </c>
    </row>
    <row r="422" spans="1:21" ht="15" customHeight="1" x14ac:dyDescent="0.25">
      <c r="A422" t="s">
        <v>872</v>
      </c>
      <c r="B422" s="8">
        <v>45019</v>
      </c>
      <c r="C422" s="8">
        <v>45022</v>
      </c>
      <c r="D422" t="s">
        <v>20</v>
      </c>
      <c r="E422" t="s">
        <v>3051</v>
      </c>
      <c r="F422" t="s">
        <v>3079</v>
      </c>
      <c r="G422" t="s">
        <v>874</v>
      </c>
      <c r="H422">
        <v>7035371458</v>
      </c>
      <c r="I422" t="s">
        <v>35</v>
      </c>
      <c r="J422" t="s">
        <v>51</v>
      </c>
      <c r="K422" t="s">
        <v>52</v>
      </c>
      <c r="M422" t="s">
        <v>45</v>
      </c>
      <c r="N422" t="s">
        <v>875</v>
      </c>
      <c r="O422">
        <v>16</v>
      </c>
      <c r="P422">
        <v>6854.35</v>
      </c>
      <c r="Q422" t="s">
        <v>376</v>
      </c>
      <c r="R422">
        <v>0</v>
      </c>
      <c r="S422" s="11">
        <v>109669.6</v>
      </c>
      <c r="T422">
        <v>40559.769999999997</v>
      </c>
      <c r="U422">
        <f t="shared" si="6"/>
        <v>109669.6</v>
      </c>
    </row>
    <row r="423" spans="1:21" ht="15" customHeight="1" x14ac:dyDescent="0.25">
      <c r="A423" t="s">
        <v>2540</v>
      </c>
      <c r="B423" s="8">
        <v>45021</v>
      </c>
      <c r="C423" s="8">
        <v>45026</v>
      </c>
      <c r="D423" t="s">
        <v>48</v>
      </c>
      <c r="E423" t="s">
        <v>3094</v>
      </c>
      <c r="F423" t="s">
        <v>3077</v>
      </c>
      <c r="G423" t="s">
        <v>2542</v>
      </c>
      <c r="H423">
        <v>8038993139</v>
      </c>
      <c r="I423" t="s">
        <v>24</v>
      </c>
      <c r="J423" t="s">
        <v>25</v>
      </c>
      <c r="K423" t="s">
        <v>168</v>
      </c>
      <c r="L423" t="s">
        <v>2543</v>
      </c>
      <c r="M423" t="s">
        <v>28</v>
      </c>
      <c r="N423" t="s">
        <v>71</v>
      </c>
      <c r="O423">
        <v>13</v>
      </c>
      <c r="P423">
        <v>5579.2</v>
      </c>
      <c r="Q423">
        <v>20</v>
      </c>
      <c r="R423">
        <v>14505.92</v>
      </c>
      <c r="S423" s="11">
        <v>58023.68</v>
      </c>
      <c r="T423">
        <v>22985.77</v>
      </c>
      <c r="U423">
        <f t="shared" si="6"/>
        <v>58023.68</v>
      </c>
    </row>
    <row r="424" spans="1:21" ht="15" customHeight="1" x14ac:dyDescent="0.25">
      <c r="A424" t="s">
        <v>2908</v>
      </c>
      <c r="B424" s="8">
        <v>45024</v>
      </c>
      <c r="C424" s="8">
        <v>45026</v>
      </c>
      <c r="D424" t="s">
        <v>20</v>
      </c>
      <c r="E424" t="s">
        <v>3058</v>
      </c>
      <c r="F424" t="s">
        <v>3075</v>
      </c>
      <c r="G424" t="s">
        <v>2909</v>
      </c>
      <c r="H424">
        <v>7031442518</v>
      </c>
      <c r="I424" t="s">
        <v>24</v>
      </c>
      <c r="J424" t="s">
        <v>51</v>
      </c>
      <c r="K424" t="s">
        <v>52</v>
      </c>
      <c r="L424" t="s">
        <v>27</v>
      </c>
      <c r="M424" t="s">
        <v>354</v>
      </c>
      <c r="N424" t="s">
        <v>433</v>
      </c>
      <c r="O424">
        <v>6</v>
      </c>
      <c r="P424">
        <v>1799.24</v>
      </c>
      <c r="Q424">
        <v>5</v>
      </c>
      <c r="R424">
        <v>539.77</v>
      </c>
      <c r="S424" s="11">
        <v>10255.67</v>
      </c>
      <c r="T424">
        <v>2194.11</v>
      </c>
      <c r="U424">
        <f t="shared" si="6"/>
        <v>10255.67</v>
      </c>
    </row>
    <row r="425" spans="1:21" ht="15" customHeight="1" x14ac:dyDescent="0.25">
      <c r="A425" t="s">
        <v>2428</v>
      </c>
      <c r="B425" s="8">
        <v>45025</v>
      </c>
      <c r="C425" s="8">
        <v>45029</v>
      </c>
      <c r="D425" t="s">
        <v>73</v>
      </c>
      <c r="E425" t="s">
        <v>3065</v>
      </c>
      <c r="F425" t="s">
        <v>3034</v>
      </c>
      <c r="G425" t="s">
        <v>2429</v>
      </c>
      <c r="H425">
        <v>7038753576</v>
      </c>
      <c r="I425" t="s">
        <v>35</v>
      </c>
      <c r="J425" t="s">
        <v>51</v>
      </c>
      <c r="K425" t="s">
        <v>227</v>
      </c>
      <c r="L425" t="s">
        <v>27</v>
      </c>
      <c r="M425" t="s">
        <v>173</v>
      </c>
      <c r="N425" t="s">
        <v>1795</v>
      </c>
      <c r="O425">
        <v>9</v>
      </c>
      <c r="P425">
        <v>4744.1899999999996</v>
      </c>
      <c r="Q425">
        <v>0</v>
      </c>
      <c r="R425">
        <v>0</v>
      </c>
      <c r="S425" s="11">
        <v>42697.71</v>
      </c>
      <c r="T425">
        <v>1996.82</v>
      </c>
      <c r="U425">
        <f t="shared" si="6"/>
        <v>42697.71</v>
      </c>
    </row>
    <row r="426" spans="1:21" ht="15" customHeight="1" x14ac:dyDescent="0.25">
      <c r="A426" t="s">
        <v>1422</v>
      </c>
      <c r="B426" s="8">
        <v>45026</v>
      </c>
      <c r="C426" s="8">
        <v>45030</v>
      </c>
      <c r="D426" t="s">
        <v>73</v>
      </c>
      <c r="E426" t="s">
        <v>3033</v>
      </c>
      <c r="F426" t="s">
        <v>3052</v>
      </c>
      <c r="G426" t="s">
        <v>1423</v>
      </c>
      <c r="H426">
        <v>8068127046</v>
      </c>
      <c r="I426" t="s">
        <v>35</v>
      </c>
      <c r="J426" t="s">
        <v>25</v>
      </c>
      <c r="K426" t="s">
        <v>126</v>
      </c>
      <c r="L426" t="s">
        <v>96</v>
      </c>
      <c r="M426" t="s">
        <v>120</v>
      </c>
      <c r="N426" t="s">
        <v>1307</v>
      </c>
      <c r="O426">
        <v>14</v>
      </c>
      <c r="P426">
        <v>351991.15</v>
      </c>
      <c r="Q426">
        <v>0</v>
      </c>
      <c r="R426">
        <v>0</v>
      </c>
      <c r="S426" s="11">
        <v>4927876.0999999996</v>
      </c>
      <c r="T426">
        <v>-158625.4</v>
      </c>
      <c r="U426">
        <f t="shared" si="6"/>
        <v>4927876.0999999996</v>
      </c>
    </row>
    <row r="427" spans="1:21" ht="15" customHeight="1" x14ac:dyDescent="0.25">
      <c r="A427" t="s">
        <v>2139</v>
      </c>
      <c r="B427" s="8">
        <v>45027</v>
      </c>
      <c r="C427" s="8">
        <v>45035</v>
      </c>
      <c r="D427" t="s">
        <v>210</v>
      </c>
      <c r="E427" t="s">
        <v>3037</v>
      </c>
      <c r="F427" t="s">
        <v>3057</v>
      </c>
      <c r="G427" t="s">
        <v>2141</v>
      </c>
      <c r="H427">
        <v>9021249956</v>
      </c>
      <c r="I427" t="s">
        <v>35</v>
      </c>
      <c r="J427" t="s">
        <v>61</v>
      </c>
      <c r="K427" t="s">
        <v>62</v>
      </c>
      <c r="L427" t="s">
        <v>85</v>
      </c>
      <c r="M427" t="s">
        <v>86</v>
      </c>
      <c r="N427" t="s">
        <v>584</v>
      </c>
      <c r="O427">
        <v>15</v>
      </c>
      <c r="P427">
        <v>17744.59</v>
      </c>
      <c r="Q427">
        <v>0</v>
      </c>
      <c r="R427">
        <v>0</v>
      </c>
      <c r="S427" s="11">
        <v>266168.84999999998</v>
      </c>
      <c r="T427">
        <v>5205.62</v>
      </c>
      <c r="U427">
        <f t="shared" si="6"/>
        <v>266168.84999999998</v>
      </c>
    </row>
    <row r="428" spans="1:21" ht="15" customHeight="1" x14ac:dyDescent="0.25">
      <c r="A428" t="s">
        <v>1947</v>
      </c>
      <c r="B428" s="8">
        <v>45027</v>
      </c>
      <c r="C428" s="8">
        <v>45030</v>
      </c>
      <c r="D428" t="s">
        <v>20</v>
      </c>
      <c r="E428" t="s">
        <v>3048</v>
      </c>
      <c r="F428" t="s">
        <v>3036</v>
      </c>
      <c r="H428" t="s">
        <v>1948</v>
      </c>
      <c r="I428" t="s">
        <v>24</v>
      </c>
      <c r="J428" t="s">
        <v>51</v>
      </c>
      <c r="K428" t="s">
        <v>227</v>
      </c>
      <c r="L428" t="s">
        <v>85</v>
      </c>
      <c r="M428" t="s">
        <v>218</v>
      </c>
      <c r="N428" t="s">
        <v>219</v>
      </c>
      <c r="O428">
        <v>8</v>
      </c>
      <c r="P428">
        <v>114475.53</v>
      </c>
      <c r="Q428">
        <v>15</v>
      </c>
      <c r="R428">
        <v>137370.64000000001</v>
      </c>
      <c r="S428" s="11">
        <v>778433.6</v>
      </c>
      <c r="T428">
        <v>-30969</v>
      </c>
      <c r="U428">
        <f t="shared" si="6"/>
        <v>778433.6</v>
      </c>
    </row>
    <row r="429" spans="1:21" ht="15" customHeight="1" x14ac:dyDescent="0.25">
      <c r="A429" t="s">
        <v>2162</v>
      </c>
      <c r="B429" s="8">
        <v>45028</v>
      </c>
      <c r="C429" s="8">
        <v>45033</v>
      </c>
      <c r="D429" t="s">
        <v>48</v>
      </c>
      <c r="E429" t="s">
        <v>3061</v>
      </c>
      <c r="F429" t="s">
        <v>3036</v>
      </c>
      <c r="G429" t="s">
        <v>2164</v>
      </c>
      <c r="H429">
        <v>9076927978</v>
      </c>
      <c r="I429" t="s">
        <v>43</v>
      </c>
      <c r="J429" t="s">
        <v>69</v>
      </c>
      <c r="K429" t="s">
        <v>155</v>
      </c>
      <c r="L429" t="s">
        <v>27</v>
      </c>
      <c r="M429" t="s">
        <v>79</v>
      </c>
      <c r="N429" t="s">
        <v>234</v>
      </c>
      <c r="O429">
        <v>4</v>
      </c>
      <c r="P429">
        <v>2107.17</v>
      </c>
      <c r="Q429">
        <v>0</v>
      </c>
      <c r="R429">
        <v>0</v>
      </c>
      <c r="S429" s="11" t="s">
        <v>2165</v>
      </c>
      <c r="T429">
        <v>1299.3900000000001</v>
      </c>
      <c r="U429">
        <f t="shared" si="6"/>
        <v>8428.68</v>
      </c>
    </row>
    <row r="430" spans="1:21" ht="15" customHeight="1" x14ac:dyDescent="0.25">
      <c r="A430" t="s">
        <v>751</v>
      </c>
      <c r="B430" s="8">
        <v>45029</v>
      </c>
      <c r="C430" s="8">
        <v>45034</v>
      </c>
      <c r="D430" t="s">
        <v>48</v>
      </c>
      <c r="E430" t="s">
        <v>3063</v>
      </c>
      <c r="F430" t="s">
        <v>3086</v>
      </c>
      <c r="H430">
        <v>8131771442</v>
      </c>
      <c r="I430" t="s">
        <v>24</v>
      </c>
      <c r="J430" t="s">
        <v>51</v>
      </c>
      <c r="K430" t="s">
        <v>52</v>
      </c>
      <c r="L430" t="s">
        <v>108</v>
      </c>
      <c r="M430" t="s">
        <v>38</v>
      </c>
      <c r="N430" t="s">
        <v>213</v>
      </c>
      <c r="O430">
        <v>6</v>
      </c>
      <c r="P430">
        <v>41569.74</v>
      </c>
      <c r="Q430">
        <v>0</v>
      </c>
      <c r="R430">
        <v>0</v>
      </c>
      <c r="S430" s="11">
        <v>249418.44</v>
      </c>
      <c r="T430">
        <v>45324.04</v>
      </c>
      <c r="U430">
        <f t="shared" si="6"/>
        <v>249418.44</v>
      </c>
    </row>
    <row r="431" spans="1:21" ht="15" customHeight="1" x14ac:dyDescent="0.25">
      <c r="A431" t="s">
        <v>1581</v>
      </c>
      <c r="B431" s="8">
        <v>45029</v>
      </c>
      <c r="C431" s="8">
        <v>45029</v>
      </c>
      <c r="D431" t="s">
        <v>32</v>
      </c>
      <c r="E431" t="s">
        <v>3068</v>
      </c>
      <c r="F431" t="s">
        <v>3066</v>
      </c>
      <c r="G431" t="s">
        <v>1583</v>
      </c>
      <c r="H431">
        <v>8149659648</v>
      </c>
      <c r="I431" t="s">
        <v>24</v>
      </c>
      <c r="J431" t="s">
        <v>61</v>
      </c>
      <c r="K431" t="s">
        <v>62</v>
      </c>
      <c r="L431" t="s">
        <v>63</v>
      </c>
      <c r="M431" t="s">
        <v>249</v>
      </c>
      <c r="N431" t="s">
        <v>329</v>
      </c>
      <c r="O431">
        <v>1</v>
      </c>
      <c r="P431">
        <v>4066.82</v>
      </c>
      <c r="Q431">
        <v>25</v>
      </c>
      <c r="R431">
        <v>1016.71</v>
      </c>
      <c r="S431" s="11">
        <v>3050.11</v>
      </c>
      <c r="T431">
        <v>1269.4100000000001</v>
      </c>
      <c r="U431">
        <f t="shared" si="6"/>
        <v>3050.11</v>
      </c>
    </row>
    <row r="432" spans="1:21" ht="15" customHeight="1" x14ac:dyDescent="0.25">
      <c r="A432" t="s">
        <v>1880</v>
      </c>
      <c r="B432" s="8">
        <v>45031</v>
      </c>
      <c r="C432" s="8">
        <v>45034</v>
      </c>
      <c r="D432" t="s">
        <v>73</v>
      </c>
      <c r="E432" t="s">
        <v>3033</v>
      </c>
      <c r="F432" t="s">
        <v>3045</v>
      </c>
      <c r="G432" t="s">
        <v>1882</v>
      </c>
      <c r="H432">
        <v>8164224201</v>
      </c>
      <c r="I432" t="s">
        <v>24</v>
      </c>
      <c r="J432" t="s">
        <v>61</v>
      </c>
      <c r="K432" t="s">
        <v>84</v>
      </c>
      <c r="L432" t="s">
        <v>85</v>
      </c>
      <c r="M432" t="s">
        <v>486</v>
      </c>
      <c r="N432" t="s">
        <v>487</v>
      </c>
      <c r="O432">
        <v>3</v>
      </c>
      <c r="P432">
        <v>114032.39</v>
      </c>
      <c r="Q432">
        <v>0</v>
      </c>
      <c r="R432">
        <v>0</v>
      </c>
      <c r="S432" s="11">
        <v>342097.17</v>
      </c>
      <c r="T432">
        <v>26755.96</v>
      </c>
      <c r="U432">
        <f t="shared" si="6"/>
        <v>342097.17</v>
      </c>
    </row>
    <row r="433" spans="1:21" ht="15" customHeight="1" x14ac:dyDescent="0.25">
      <c r="A433" t="s">
        <v>2219</v>
      </c>
      <c r="B433" s="8">
        <v>45031</v>
      </c>
      <c r="C433" s="8">
        <v>45032</v>
      </c>
      <c r="D433" t="s">
        <v>32</v>
      </c>
      <c r="E433" t="s">
        <v>3048</v>
      </c>
      <c r="F433" t="s">
        <v>3039</v>
      </c>
      <c r="G433" t="s">
        <v>2221</v>
      </c>
      <c r="H433">
        <v>7064617421</v>
      </c>
      <c r="I433" t="s">
        <v>24</v>
      </c>
      <c r="J433" t="s">
        <v>61</v>
      </c>
      <c r="K433" t="s">
        <v>62</v>
      </c>
      <c r="L433" t="s">
        <v>27</v>
      </c>
      <c r="M433" t="s">
        <v>354</v>
      </c>
      <c r="N433" t="s">
        <v>355</v>
      </c>
      <c r="O433">
        <v>1</v>
      </c>
      <c r="P433">
        <v>577.78</v>
      </c>
      <c r="Q433">
        <v>25</v>
      </c>
      <c r="R433">
        <v>144.44</v>
      </c>
      <c r="S433" s="11">
        <v>433.34</v>
      </c>
      <c r="T433">
        <v>-38.35</v>
      </c>
      <c r="U433">
        <f t="shared" si="6"/>
        <v>433.34</v>
      </c>
    </row>
    <row r="434" spans="1:21" ht="15" customHeight="1" x14ac:dyDescent="0.25">
      <c r="A434" t="s">
        <v>91</v>
      </c>
      <c r="B434" s="8">
        <v>45033</v>
      </c>
      <c r="C434" s="8">
        <v>45039</v>
      </c>
      <c r="D434" t="s">
        <v>48</v>
      </c>
      <c r="E434" t="s">
        <v>3049</v>
      </c>
      <c r="F434" t="s">
        <v>3050</v>
      </c>
      <c r="G434" t="s">
        <v>93</v>
      </c>
      <c r="H434" t="s">
        <v>94</v>
      </c>
      <c r="I434" t="s">
        <v>43</v>
      </c>
      <c r="J434" t="s">
        <v>61</v>
      </c>
      <c r="K434" t="s">
        <v>95</v>
      </c>
      <c r="L434" t="s">
        <v>96</v>
      </c>
      <c r="M434" t="s">
        <v>97</v>
      </c>
      <c r="N434" t="s">
        <v>98</v>
      </c>
      <c r="O434">
        <v>9</v>
      </c>
      <c r="P434">
        <v>238657.91</v>
      </c>
      <c r="Q434">
        <v>20</v>
      </c>
      <c r="R434">
        <v>429584.24</v>
      </c>
      <c r="S434" s="11" t="s">
        <v>99</v>
      </c>
      <c r="T434">
        <v>-36871.93</v>
      </c>
      <c r="U434">
        <f t="shared" si="6"/>
        <v>1718336.95</v>
      </c>
    </row>
    <row r="435" spans="1:21" ht="15" customHeight="1" x14ac:dyDescent="0.25">
      <c r="A435" t="s">
        <v>1353</v>
      </c>
      <c r="B435" s="8">
        <v>45033</v>
      </c>
      <c r="C435" s="8">
        <v>45035</v>
      </c>
      <c r="D435" t="s">
        <v>20</v>
      </c>
      <c r="E435" t="s">
        <v>3041</v>
      </c>
      <c r="F435" t="s">
        <v>3043</v>
      </c>
      <c r="G435" t="s">
        <v>1355</v>
      </c>
      <c r="H435">
        <v>8137922203</v>
      </c>
      <c r="I435" t="s">
        <v>35</v>
      </c>
      <c r="J435" t="s">
        <v>51</v>
      </c>
      <c r="K435" t="s">
        <v>316</v>
      </c>
      <c r="L435" t="s">
        <v>85</v>
      </c>
      <c r="M435" t="s">
        <v>486</v>
      </c>
      <c r="N435" t="s">
        <v>1193</v>
      </c>
      <c r="O435">
        <v>19</v>
      </c>
      <c r="P435">
        <v>20647.11</v>
      </c>
      <c r="Q435">
        <v>20</v>
      </c>
      <c r="R435">
        <v>78459.02</v>
      </c>
      <c r="S435" s="11">
        <v>313836.07</v>
      </c>
      <c r="U435">
        <f t="shared" si="6"/>
        <v>313836.07</v>
      </c>
    </row>
    <row r="436" spans="1:21" ht="15" customHeight="1" x14ac:dyDescent="0.25">
      <c r="A436" t="s">
        <v>2826</v>
      </c>
      <c r="B436" s="8">
        <v>45034</v>
      </c>
      <c r="C436" s="8">
        <v>45040</v>
      </c>
      <c r="D436" t="s">
        <v>48</v>
      </c>
      <c r="E436" t="s">
        <v>3063</v>
      </c>
      <c r="F436" t="s">
        <v>3034</v>
      </c>
      <c r="G436" t="s">
        <v>2827</v>
      </c>
      <c r="H436">
        <v>9077622282</v>
      </c>
      <c r="I436" t="s">
        <v>35</v>
      </c>
      <c r="J436" t="s">
        <v>25</v>
      </c>
      <c r="K436" t="s">
        <v>126</v>
      </c>
      <c r="L436" t="s">
        <v>85</v>
      </c>
      <c r="M436" t="s">
        <v>218</v>
      </c>
      <c r="N436" t="s">
        <v>1058</v>
      </c>
      <c r="O436">
        <v>19</v>
      </c>
      <c r="P436">
        <v>173016.77</v>
      </c>
      <c r="Q436">
        <v>0</v>
      </c>
      <c r="R436">
        <v>0</v>
      </c>
      <c r="S436" s="11">
        <v>3287318.63</v>
      </c>
      <c r="T436">
        <v>792611.31</v>
      </c>
      <c r="U436">
        <f t="shared" si="6"/>
        <v>3287318.63</v>
      </c>
    </row>
    <row r="437" spans="1:21" ht="15" customHeight="1" x14ac:dyDescent="0.25">
      <c r="A437" t="s">
        <v>2196</v>
      </c>
      <c r="B437" s="8">
        <v>45036</v>
      </c>
      <c r="C437" s="8">
        <v>45043</v>
      </c>
      <c r="D437" t="s">
        <v>48</v>
      </c>
      <c r="E437" t="s">
        <v>3084</v>
      </c>
      <c r="F437" t="s">
        <v>3038</v>
      </c>
      <c r="G437" t="s">
        <v>2198</v>
      </c>
      <c r="H437">
        <v>8159534539</v>
      </c>
      <c r="I437" t="s">
        <v>43</v>
      </c>
      <c r="J437" t="s">
        <v>61</v>
      </c>
      <c r="K437" t="s">
        <v>182</v>
      </c>
      <c r="L437" t="s">
        <v>85</v>
      </c>
      <c r="M437" t="s">
        <v>86</v>
      </c>
      <c r="N437" t="s">
        <v>238</v>
      </c>
      <c r="O437">
        <v>18</v>
      </c>
      <c r="P437">
        <v>163237.1</v>
      </c>
      <c r="Q437">
        <v>25</v>
      </c>
      <c r="R437">
        <v>734566.95</v>
      </c>
      <c r="S437" s="11">
        <v>2203700.85</v>
      </c>
      <c r="T437">
        <v>725888.48</v>
      </c>
      <c r="U437">
        <f t="shared" si="6"/>
        <v>2203700.85</v>
      </c>
    </row>
    <row r="438" spans="1:21" ht="15" customHeight="1" x14ac:dyDescent="0.25">
      <c r="A438" t="s">
        <v>1564</v>
      </c>
      <c r="B438" s="8">
        <v>45037</v>
      </c>
      <c r="C438" s="8">
        <v>45037</v>
      </c>
      <c r="D438" t="s">
        <v>32</v>
      </c>
      <c r="E438" t="s">
        <v>3035</v>
      </c>
      <c r="F438" t="s">
        <v>3069</v>
      </c>
      <c r="G438" t="s">
        <v>1565</v>
      </c>
      <c r="H438">
        <v>9058859576</v>
      </c>
      <c r="I438" t="s">
        <v>43</v>
      </c>
      <c r="J438" t="s">
        <v>61</v>
      </c>
      <c r="K438" t="s">
        <v>204</v>
      </c>
      <c r="L438" t="s">
        <v>1566</v>
      </c>
      <c r="M438" t="s">
        <v>243</v>
      </c>
      <c r="N438" t="s">
        <v>439</v>
      </c>
      <c r="O438">
        <v>12</v>
      </c>
      <c r="P438">
        <v>173086.18</v>
      </c>
      <c r="Q438">
        <v>20</v>
      </c>
      <c r="R438">
        <v>415406.83</v>
      </c>
      <c r="S438" s="11">
        <v>1661627.33</v>
      </c>
      <c r="T438">
        <v>548092.81999999995</v>
      </c>
      <c r="U438">
        <f t="shared" si="6"/>
        <v>1661627.33</v>
      </c>
    </row>
    <row r="439" spans="1:21" ht="15" customHeight="1" x14ac:dyDescent="0.25">
      <c r="A439" t="s">
        <v>1742</v>
      </c>
      <c r="B439" s="8">
        <v>45038</v>
      </c>
      <c r="C439" s="8">
        <v>45043</v>
      </c>
      <c r="D439" t="s">
        <v>48</v>
      </c>
      <c r="E439" t="s">
        <v>3085</v>
      </c>
      <c r="F439" t="s">
        <v>3096</v>
      </c>
      <c r="G439" t="s">
        <v>1744</v>
      </c>
      <c r="H439">
        <v>8164966072</v>
      </c>
      <c r="I439" t="s">
        <v>24</v>
      </c>
      <c r="J439" t="s">
        <v>61</v>
      </c>
      <c r="K439" t="s">
        <v>84</v>
      </c>
      <c r="L439" t="s">
        <v>108</v>
      </c>
      <c r="M439" t="s">
        <v>109</v>
      </c>
      <c r="N439" t="s">
        <v>426</v>
      </c>
      <c r="O439">
        <v>5</v>
      </c>
      <c r="P439">
        <v>5413.75</v>
      </c>
      <c r="Q439">
        <v>10</v>
      </c>
      <c r="R439">
        <v>2706.88</v>
      </c>
      <c r="S439" s="11">
        <v>24361.87</v>
      </c>
      <c r="T439">
        <v>3635.67</v>
      </c>
      <c r="U439">
        <f t="shared" si="6"/>
        <v>24361.87</v>
      </c>
    </row>
    <row r="440" spans="1:21" ht="15" customHeight="1" x14ac:dyDescent="0.25">
      <c r="A440" t="s">
        <v>2922</v>
      </c>
      <c r="B440" s="8">
        <v>45040</v>
      </c>
      <c r="C440" s="8">
        <v>45045</v>
      </c>
      <c r="D440" t="s">
        <v>73</v>
      </c>
      <c r="E440" t="s">
        <v>3073</v>
      </c>
      <c r="F440" t="s">
        <v>3088</v>
      </c>
      <c r="G440" t="s">
        <v>2924</v>
      </c>
      <c r="H440">
        <v>8032719240</v>
      </c>
      <c r="I440" t="s">
        <v>35</v>
      </c>
      <c r="J440" t="s">
        <v>61</v>
      </c>
      <c r="K440" t="s">
        <v>204</v>
      </c>
      <c r="L440" t="s">
        <v>63</v>
      </c>
      <c r="M440" t="s">
        <v>64</v>
      </c>
      <c r="N440" t="s">
        <v>815</v>
      </c>
      <c r="O440">
        <v>2</v>
      </c>
      <c r="P440">
        <v>15339.21</v>
      </c>
      <c r="Q440">
        <v>25</v>
      </c>
      <c r="R440">
        <v>7669.6</v>
      </c>
      <c r="S440" s="11">
        <v>23008.82</v>
      </c>
      <c r="T440">
        <v>1632.38</v>
      </c>
      <c r="U440">
        <f t="shared" si="6"/>
        <v>23008.82</v>
      </c>
    </row>
    <row r="441" spans="1:21" ht="15" customHeight="1" x14ac:dyDescent="0.25">
      <c r="A441" t="s">
        <v>2211</v>
      </c>
      <c r="B441" s="8">
        <v>45042</v>
      </c>
      <c r="C441" s="8">
        <v>45042</v>
      </c>
      <c r="D441" t="s">
        <v>32</v>
      </c>
      <c r="E441" t="s">
        <v>3076</v>
      </c>
      <c r="F441" t="s">
        <v>3036</v>
      </c>
      <c r="G441" t="s">
        <v>2213</v>
      </c>
      <c r="H441">
        <v>8037861979</v>
      </c>
      <c r="I441" t="s">
        <v>43</v>
      </c>
      <c r="J441" t="s">
        <v>61</v>
      </c>
      <c r="K441" t="s">
        <v>2214</v>
      </c>
      <c r="L441" t="s">
        <v>96</v>
      </c>
      <c r="M441" t="s">
        <v>254</v>
      </c>
      <c r="N441" t="s">
        <v>455</v>
      </c>
      <c r="O441">
        <v>11</v>
      </c>
      <c r="P441">
        <v>128798.29</v>
      </c>
      <c r="Q441">
        <v>15</v>
      </c>
      <c r="R441">
        <v>212517.18</v>
      </c>
      <c r="S441" s="11">
        <v>1204264.01</v>
      </c>
      <c r="T441">
        <v>102154.15</v>
      </c>
      <c r="U441">
        <f t="shared" si="6"/>
        <v>1204264.01</v>
      </c>
    </row>
    <row r="442" spans="1:21" ht="15" customHeight="1" x14ac:dyDescent="0.25">
      <c r="A442" t="s">
        <v>122</v>
      </c>
      <c r="B442" s="8">
        <v>45043</v>
      </c>
      <c r="C442" s="8">
        <v>45051</v>
      </c>
      <c r="D442" t="s">
        <v>48</v>
      </c>
      <c r="E442" t="s">
        <v>3056</v>
      </c>
      <c r="F442" t="s">
        <v>3057</v>
      </c>
      <c r="G442" t="s">
        <v>124</v>
      </c>
      <c r="H442">
        <v>9051666754</v>
      </c>
      <c r="I442" t="s">
        <v>125</v>
      </c>
      <c r="J442" t="s">
        <v>25</v>
      </c>
      <c r="K442" t="s">
        <v>126</v>
      </c>
      <c r="L442" t="s">
        <v>27</v>
      </c>
      <c r="M442" t="s">
        <v>79</v>
      </c>
      <c r="N442" t="s">
        <v>127</v>
      </c>
      <c r="O442">
        <v>19</v>
      </c>
      <c r="P442">
        <v>5361.77</v>
      </c>
      <c r="Q442">
        <v>25</v>
      </c>
      <c r="R442">
        <v>25468.41</v>
      </c>
      <c r="S442" s="11">
        <v>76405.22</v>
      </c>
      <c r="T442">
        <v>3042.6</v>
      </c>
      <c r="U442">
        <f t="shared" si="6"/>
        <v>76405.22</v>
      </c>
    </row>
    <row r="443" spans="1:21" ht="15" customHeight="1" x14ac:dyDescent="0.25">
      <c r="A443" t="s">
        <v>1167</v>
      </c>
      <c r="B443" s="8">
        <v>45045</v>
      </c>
      <c r="C443" s="8">
        <v>45048</v>
      </c>
      <c r="D443" t="s">
        <v>20</v>
      </c>
      <c r="E443" t="s">
        <v>3087</v>
      </c>
      <c r="F443" t="s">
        <v>3040</v>
      </c>
      <c r="G443" t="s">
        <v>1169</v>
      </c>
      <c r="H443">
        <v>7061494355</v>
      </c>
      <c r="I443" t="s">
        <v>24</v>
      </c>
      <c r="J443" t="s">
        <v>51</v>
      </c>
      <c r="K443" t="s">
        <v>223</v>
      </c>
      <c r="L443" t="s">
        <v>27</v>
      </c>
      <c r="M443" t="s">
        <v>45</v>
      </c>
      <c r="N443" t="s">
        <v>523</v>
      </c>
      <c r="O443">
        <v>13</v>
      </c>
      <c r="P443">
        <v>1468.15</v>
      </c>
      <c r="Q443">
        <v>0</v>
      </c>
      <c r="R443">
        <v>0</v>
      </c>
      <c r="S443" s="11">
        <v>19085.95</v>
      </c>
      <c r="T443">
        <v>-1857.5</v>
      </c>
      <c r="U443">
        <f t="shared" si="6"/>
        <v>19085.95</v>
      </c>
    </row>
    <row r="444" spans="1:21" ht="15" customHeight="1" x14ac:dyDescent="0.25">
      <c r="A444" t="s">
        <v>151</v>
      </c>
      <c r="B444" s="8">
        <v>45046</v>
      </c>
      <c r="C444" s="8">
        <v>45049</v>
      </c>
      <c r="D444" t="s">
        <v>73</v>
      </c>
      <c r="E444" t="s">
        <v>3065</v>
      </c>
      <c r="F444" t="s">
        <v>3066</v>
      </c>
      <c r="G444" t="s">
        <v>153</v>
      </c>
      <c r="H444">
        <v>8106573147</v>
      </c>
      <c r="I444" t="s">
        <v>24</v>
      </c>
      <c r="J444" t="s">
        <v>154</v>
      </c>
      <c r="K444" t="s">
        <v>155</v>
      </c>
      <c r="L444" t="s">
        <v>156</v>
      </c>
      <c r="M444" t="s">
        <v>109</v>
      </c>
      <c r="N444" t="s">
        <v>157</v>
      </c>
      <c r="O444">
        <v>4</v>
      </c>
      <c r="P444">
        <v>8845.51</v>
      </c>
      <c r="Q444">
        <v>15</v>
      </c>
      <c r="R444">
        <v>5307.31</v>
      </c>
      <c r="S444" s="11">
        <v>30074.73</v>
      </c>
      <c r="T444">
        <v>11226.9</v>
      </c>
      <c r="U444">
        <f t="shared" si="6"/>
        <v>30074.73</v>
      </c>
    </row>
    <row r="445" spans="1:21" ht="15" customHeight="1" x14ac:dyDescent="0.25">
      <c r="A445" t="s">
        <v>1238</v>
      </c>
      <c r="B445" s="8">
        <v>45048</v>
      </c>
      <c r="C445" s="8">
        <v>45049</v>
      </c>
      <c r="D445" t="s">
        <v>32</v>
      </c>
      <c r="E445" t="s">
        <v>3053</v>
      </c>
      <c r="F445" t="s">
        <v>3042</v>
      </c>
      <c r="G445" t="s">
        <v>1240</v>
      </c>
      <c r="H445">
        <v>8139809723</v>
      </c>
      <c r="I445" t="s">
        <v>35</v>
      </c>
      <c r="J445" t="s">
        <v>51</v>
      </c>
      <c r="K445" t="s">
        <v>316</v>
      </c>
      <c r="L445" t="s">
        <v>63</v>
      </c>
      <c r="M445" t="s">
        <v>54</v>
      </c>
      <c r="N445" t="s">
        <v>1039</v>
      </c>
      <c r="O445">
        <v>2</v>
      </c>
      <c r="P445">
        <v>9668.2800000000007</v>
      </c>
      <c r="Q445">
        <v>5</v>
      </c>
      <c r="R445">
        <v>966.83</v>
      </c>
      <c r="S445" s="11">
        <v>18369.73</v>
      </c>
      <c r="T445">
        <v>7311.38</v>
      </c>
      <c r="U445">
        <f t="shared" si="6"/>
        <v>18369.73</v>
      </c>
    </row>
    <row r="446" spans="1:21" ht="15" customHeight="1" x14ac:dyDescent="0.25">
      <c r="A446" t="s">
        <v>128</v>
      </c>
      <c r="B446" s="8">
        <v>45050</v>
      </c>
      <c r="C446" s="8">
        <v>45053</v>
      </c>
      <c r="D446" t="s">
        <v>20</v>
      </c>
      <c r="E446" t="s">
        <v>3058</v>
      </c>
      <c r="F446" t="s">
        <v>3054</v>
      </c>
      <c r="G446" t="s">
        <v>130</v>
      </c>
      <c r="H446">
        <v>8146304573</v>
      </c>
      <c r="I446" t="s">
        <v>24</v>
      </c>
      <c r="J446" t="s">
        <v>51</v>
      </c>
      <c r="K446" t="s">
        <v>131</v>
      </c>
      <c r="L446" t="s">
        <v>132</v>
      </c>
      <c r="M446" t="s">
        <v>120</v>
      </c>
      <c r="N446" t="s">
        <v>133</v>
      </c>
      <c r="O446">
        <v>19</v>
      </c>
      <c r="P446">
        <v>285204.28000000003</v>
      </c>
      <c r="Q446">
        <v>0</v>
      </c>
      <c r="R446">
        <v>0</v>
      </c>
      <c r="S446" s="11">
        <v>5418881.3200000003</v>
      </c>
      <c r="T446">
        <v>-574637.51</v>
      </c>
      <c r="U446">
        <f t="shared" si="6"/>
        <v>5418881.3200000003</v>
      </c>
    </row>
    <row r="447" spans="1:21" ht="15" customHeight="1" x14ac:dyDescent="0.25">
      <c r="A447" t="s">
        <v>994</v>
      </c>
      <c r="B447" s="8">
        <v>45051</v>
      </c>
      <c r="C447" s="8">
        <v>45057</v>
      </c>
      <c r="D447" t="s">
        <v>48</v>
      </c>
      <c r="E447" t="s">
        <v>3092</v>
      </c>
      <c r="F447" t="s">
        <v>3054</v>
      </c>
      <c r="G447" t="s">
        <v>996</v>
      </c>
      <c r="H447">
        <v>8104005557</v>
      </c>
      <c r="I447" t="s">
        <v>43</v>
      </c>
      <c r="J447" t="s">
        <v>25</v>
      </c>
      <c r="K447" t="s">
        <v>168</v>
      </c>
      <c r="L447" t="s">
        <v>27</v>
      </c>
      <c r="M447" t="s">
        <v>173</v>
      </c>
      <c r="N447" t="s">
        <v>380</v>
      </c>
      <c r="O447">
        <v>16</v>
      </c>
      <c r="P447">
        <v>5966.58</v>
      </c>
      <c r="Q447">
        <v>10</v>
      </c>
      <c r="R447">
        <v>9546.5300000000007</v>
      </c>
      <c r="S447" s="11">
        <v>85918.75</v>
      </c>
      <c r="T447">
        <v>-10804.12</v>
      </c>
      <c r="U447">
        <f t="shared" si="6"/>
        <v>85918.75</v>
      </c>
    </row>
    <row r="448" spans="1:21" ht="15" customHeight="1" x14ac:dyDescent="0.25">
      <c r="A448" t="s">
        <v>1123</v>
      </c>
      <c r="B448" s="8">
        <v>45051</v>
      </c>
      <c r="C448" s="8">
        <v>45054</v>
      </c>
      <c r="D448" t="s">
        <v>20</v>
      </c>
      <c r="E448" t="s">
        <v>3044</v>
      </c>
      <c r="F448" t="s">
        <v>3069</v>
      </c>
      <c r="G448" t="s">
        <v>1125</v>
      </c>
      <c r="H448">
        <v>8139792431</v>
      </c>
      <c r="I448" t="s">
        <v>1126</v>
      </c>
      <c r="J448" t="s">
        <v>69</v>
      </c>
      <c r="K448" t="s">
        <v>119</v>
      </c>
      <c r="L448" t="s">
        <v>108</v>
      </c>
      <c r="M448" t="s">
        <v>189</v>
      </c>
      <c r="N448" t="s">
        <v>190</v>
      </c>
      <c r="O448">
        <v>11</v>
      </c>
      <c r="P448">
        <v>28360.69</v>
      </c>
      <c r="Q448">
        <v>15</v>
      </c>
      <c r="R448">
        <v>46795.14</v>
      </c>
      <c r="S448" s="11" t="s">
        <v>1127</v>
      </c>
      <c r="T448">
        <v>62194.17</v>
      </c>
      <c r="U448">
        <f t="shared" si="6"/>
        <v>265172.45</v>
      </c>
    </row>
    <row r="449" spans="1:21" ht="15" customHeight="1" x14ac:dyDescent="0.25">
      <c r="A449" t="s">
        <v>2941</v>
      </c>
      <c r="B449" s="8">
        <v>45054</v>
      </c>
      <c r="C449" s="8">
        <v>45059</v>
      </c>
      <c r="D449" t="s">
        <v>73</v>
      </c>
      <c r="E449" t="s">
        <v>3093</v>
      </c>
      <c r="F449" t="s">
        <v>3086</v>
      </c>
      <c r="G449" t="s">
        <v>2943</v>
      </c>
      <c r="H449">
        <v>9071680518</v>
      </c>
      <c r="I449" t="s">
        <v>24</v>
      </c>
      <c r="J449" t="s">
        <v>51</v>
      </c>
      <c r="K449" t="s">
        <v>316</v>
      </c>
      <c r="L449" t="s">
        <v>96</v>
      </c>
      <c r="M449" t="s">
        <v>385</v>
      </c>
      <c r="N449" t="s">
        <v>942</v>
      </c>
      <c r="O449">
        <v>1</v>
      </c>
      <c r="P449">
        <v>342264.79</v>
      </c>
      <c r="Q449">
        <v>0</v>
      </c>
      <c r="R449">
        <v>0</v>
      </c>
      <c r="S449" s="11">
        <v>342264.79</v>
      </c>
      <c r="T449">
        <v>85781.759999999995</v>
      </c>
      <c r="U449">
        <f t="shared" si="6"/>
        <v>342264.79</v>
      </c>
    </row>
    <row r="450" spans="1:21" ht="15" customHeight="1" x14ac:dyDescent="0.25">
      <c r="A450" t="s">
        <v>449</v>
      </c>
      <c r="B450" s="8">
        <v>45054</v>
      </c>
      <c r="C450" s="8">
        <v>45057</v>
      </c>
      <c r="D450" t="s">
        <v>20</v>
      </c>
      <c r="E450" t="s">
        <v>3065</v>
      </c>
      <c r="F450" t="s">
        <v>3069</v>
      </c>
      <c r="G450" t="s">
        <v>451</v>
      </c>
      <c r="H450">
        <v>8157049927</v>
      </c>
      <c r="I450" t="s">
        <v>35</v>
      </c>
      <c r="J450" t="s">
        <v>51</v>
      </c>
      <c r="L450" t="s">
        <v>96</v>
      </c>
      <c r="M450" t="s">
        <v>254</v>
      </c>
      <c r="N450" t="s">
        <v>452</v>
      </c>
      <c r="O450">
        <v>17</v>
      </c>
      <c r="P450">
        <v>235687.55</v>
      </c>
      <c r="Q450">
        <v>25</v>
      </c>
      <c r="R450">
        <v>1001672.09</v>
      </c>
      <c r="S450" s="11">
        <v>3005016.26</v>
      </c>
      <c r="T450">
        <v>-414089.49</v>
      </c>
      <c r="U450">
        <f t="shared" ref="U450:U513" si="7">VALUE(S450)</f>
        <v>3005016.26</v>
      </c>
    </row>
    <row r="451" spans="1:21" ht="15" customHeight="1" x14ac:dyDescent="0.25">
      <c r="A451" t="s">
        <v>794</v>
      </c>
      <c r="B451" s="8">
        <v>45055</v>
      </c>
      <c r="C451" s="8">
        <v>45059</v>
      </c>
      <c r="D451" t="s">
        <v>73</v>
      </c>
      <c r="E451" t="s">
        <v>3037</v>
      </c>
      <c r="F451" t="s">
        <v>3042</v>
      </c>
      <c r="G451" t="s">
        <v>796</v>
      </c>
      <c r="H451">
        <v>9024681115</v>
      </c>
      <c r="I451" t="s">
        <v>35</v>
      </c>
      <c r="J451" t="s">
        <v>61</v>
      </c>
      <c r="K451" t="s">
        <v>62</v>
      </c>
      <c r="L451" t="s">
        <v>27</v>
      </c>
      <c r="M451" t="s">
        <v>28</v>
      </c>
      <c r="N451" t="s">
        <v>71</v>
      </c>
      <c r="O451">
        <v>6</v>
      </c>
      <c r="P451">
        <v>7501.09</v>
      </c>
      <c r="Q451">
        <v>0</v>
      </c>
      <c r="R451">
        <v>0</v>
      </c>
      <c r="T451">
        <v>-363.17</v>
      </c>
      <c r="U451">
        <f t="shared" si="7"/>
        <v>0</v>
      </c>
    </row>
    <row r="452" spans="1:21" ht="15" customHeight="1" x14ac:dyDescent="0.25">
      <c r="A452" t="s">
        <v>2869</v>
      </c>
      <c r="B452" s="8">
        <v>45056</v>
      </c>
      <c r="C452" s="8">
        <v>45061</v>
      </c>
      <c r="D452" t="s">
        <v>48</v>
      </c>
      <c r="E452" t="s">
        <v>3095</v>
      </c>
      <c r="F452" t="s">
        <v>3075</v>
      </c>
      <c r="G452" t="s">
        <v>2367</v>
      </c>
      <c r="H452">
        <v>8165381205</v>
      </c>
      <c r="I452" t="s">
        <v>35</v>
      </c>
      <c r="J452" t="s">
        <v>61</v>
      </c>
      <c r="K452" t="s">
        <v>62</v>
      </c>
      <c r="L452" t="s">
        <v>63</v>
      </c>
      <c r="M452" t="s">
        <v>312</v>
      </c>
      <c r="N452" t="s">
        <v>736</v>
      </c>
      <c r="O452">
        <v>2</v>
      </c>
      <c r="P452">
        <v>20788.7</v>
      </c>
      <c r="Q452">
        <v>15</v>
      </c>
      <c r="R452">
        <v>6236.61</v>
      </c>
      <c r="S452" s="11">
        <v>35340.79</v>
      </c>
      <c r="T452">
        <v>5099.8500000000004</v>
      </c>
      <c r="U452">
        <f t="shared" si="7"/>
        <v>35340.79</v>
      </c>
    </row>
    <row r="453" spans="1:21" ht="15" customHeight="1" x14ac:dyDescent="0.25">
      <c r="A453" t="s">
        <v>854</v>
      </c>
      <c r="B453" s="8">
        <v>45057</v>
      </c>
      <c r="C453" s="8">
        <v>45064</v>
      </c>
      <c r="D453" t="s">
        <v>48</v>
      </c>
      <c r="E453" t="s">
        <v>3089</v>
      </c>
      <c r="F453" t="s">
        <v>3088</v>
      </c>
      <c r="G453" t="s">
        <v>856</v>
      </c>
      <c r="H453">
        <v>8108962169</v>
      </c>
      <c r="I453" t="s">
        <v>24</v>
      </c>
      <c r="J453" t="s">
        <v>69</v>
      </c>
      <c r="K453" t="s">
        <v>307</v>
      </c>
      <c r="L453" t="s">
        <v>857</v>
      </c>
      <c r="M453" t="s">
        <v>173</v>
      </c>
      <c r="N453" t="s">
        <v>174</v>
      </c>
      <c r="O453">
        <v>9</v>
      </c>
      <c r="P453">
        <v>2950.72</v>
      </c>
      <c r="Q453">
        <v>0</v>
      </c>
      <c r="R453">
        <v>0</v>
      </c>
      <c r="S453" s="11">
        <v>26556.48</v>
      </c>
      <c r="T453">
        <v>558.79</v>
      </c>
      <c r="U453">
        <f t="shared" si="7"/>
        <v>26556.48</v>
      </c>
    </row>
    <row r="454" spans="1:21" ht="15" customHeight="1" x14ac:dyDescent="0.25">
      <c r="A454" t="s">
        <v>100</v>
      </c>
      <c r="B454" s="8">
        <v>45059</v>
      </c>
      <c r="C454" s="8">
        <v>45060</v>
      </c>
      <c r="D454" t="s">
        <v>32</v>
      </c>
      <c r="E454" t="s">
        <v>3051</v>
      </c>
      <c r="F454" t="s">
        <v>3052</v>
      </c>
      <c r="G454" t="s">
        <v>102</v>
      </c>
      <c r="H454">
        <v>8068231838</v>
      </c>
      <c r="I454" t="s">
        <v>24</v>
      </c>
      <c r="J454" t="s">
        <v>61</v>
      </c>
      <c r="K454" t="s">
        <v>103</v>
      </c>
      <c r="L454" t="s">
        <v>63</v>
      </c>
      <c r="M454" t="s">
        <v>64</v>
      </c>
      <c r="N454" t="s">
        <v>104</v>
      </c>
      <c r="O454">
        <v>2</v>
      </c>
      <c r="P454">
        <v>11942.1</v>
      </c>
      <c r="Q454">
        <v>0</v>
      </c>
      <c r="R454">
        <v>0</v>
      </c>
      <c r="S454" s="11">
        <v>23884.2</v>
      </c>
      <c r="T454">
        <v>-2714.02</v>
      </c>
      <c r="U454">
        <f t="shared" si="7"/>
        <v>23884.2</v>
      </c>
    </row>
    <row r="455" spans="1:21" ht="15" customHeight="1" x14ac:dyDescent="0.25">
      <c r="A455" t="s">
        <v>100</v>
      </c>
      <c r="B455" s="8">
        <v>45059</v>
      </c>
      <c r="C455" s="8">
        <v>45060</v>
      </c>
      <c r="D455" t="s">
        <v>32</v>
      </c>
      <c r="E455" t="s">
        <v>3051</v>
      </c>
      <c r="F455" t="s">
        <v>3052</v>
      </c>
      <c r="G455" t="s">
        <v>102</v>
      </c>
      <c r="H455">
        <v>8068231838</v>
      </c>
      <c r="I455" t="s">
        <v>1669</v>
      </c>
      <c r="J455" t="s">
        <v>61</v>
      </c>
      <c r="K455" t="s">
        <v>84</v>
      </c>
      <c r="L455" t="s">
        <v>63</v>
      </c>
      <c r="M455" t="s">
        <v>64</v>
      </c>
      <c r="N455" t="s">
        <v>104</v>
      </c>
      <c r="O455">
        <v>2</v>
      </c>
      <c r="P455">
        <v>11942.1</v>
      </c>
      <c r="Q455">
        <v>0</v>
      </c>
      <c r="R455">
        <v>0</v>
      </c>
      <c r="S455" s="11">
        <v>23884.2</v>
      </c>
      <c r="T455">
        <v>-2714.02</v>
      </c>
      <c r="U455">
        <f t="shared" si="7"/>
        <v>23884.2</v>
      </c>
    </row>
    <row r="456" spans="1:21" ht="15" customHeight="1" x14ac:dyDescent="0.25">
      <c r="A456" t="s">
        <v>2761</v>
      </c>
      <c r="B456" s="8">
        <v>45060</v>
      </c>
      <c r="C456" s="8">
        <v>45062</v>
      </c>
      <c r="D456" t="s">
        <v>20</v>
      </c>
      <c r="E456" t="s">
        <v>3095</v>
      </c>
      <c r="F456" t="s">
        <v>3062</v>
      </c>
      <c r="G456" t="s">
        <v>2762</v>
      </c>
      <c r="H456">
        <v>9057322454</v>
      </c>
      <c r="I456" t="s">
        <v>35</v>
      </c>
      <c r="J456" t="s">
        <v>69</v>
      </c>
      <c r="K456" t="s">
        <v>70</v>
      </c>
      <c r="L456" t="s">
        <v>96</v>
      </c>
      <c r="M456" t="s">
        <v>120</v>
      </c>
      <c r="N456" t="s">
        <v>1307</v>
      </c>
      <c r="O456">
        <v>1</v>
      </c>
      <c r="P456">
        <v>50804.959999999999</v>
      </c>
      <c r="Q456">
        <v>0</v>
      </c>
      <c r="R456">
        <v>0</v>
      </c>
      <c r="S456" s="11">
        <v>50804.959999999999</v>
      </c>
      <c r="T456">
        <v>8851.36</v>
      </c>
      <c r="U456">
        <f t="shared" si="7"/>
        <v>50804.959999999999</v>
      </c>
    </row>
    <row r="457" spans="1:21" ht="15" customHeight="1" x14ac:dyDescent="0.25">
      <c r="A457" t="s">
        <v>2838</v>
      </c>
      <c r="B457" s="8">
        <v>45062</v>
      </c>
      <c r="C457" s="8">
        <v>45064</v>
      </c>
      <c r="D457" t="s">
        <v>20</v>
      </c>
      <c r="E457" t="s">
        <v>3089</v>
      </c>
      <c r="F457" t="s">
        <v>3075</v>
      </c>
      <c r="G457" t="s">
        <v>2839</v>
      </c>
      <c r="H457">
        <v>8101328330</v>
      </c>
      <c r="I457" t="s">
        <v>43</v>
      </c>
      <c r="J457" t="s">
        <v>25</v>
      </c>
      <c r="K457" t="s">
        <v>126</v>
      </c>
      <c r="L457" t="s">
        <v>63</v>
      </c>
      <c r="M457" t="s">
        <v>194</v>
      </c>
      <c r="N457" t="s">
        <v>195</v>
      </c>
      <c r="O457">
        <v>11</v>
      </c>
      <c r="P457">
        <v>10783.29</v>
      </c>
      <c r="Q457" t="s">
        <v>376</v>
      </c>
      <c r="R457">
        <v>0</v>
      </c>
      <c r="S457" s="11">
        <v>118616.19</v>
      </c>
      <c r="T457">
        <v>16441.57</v>
      </c>
      <c r="U457">
        <f t="shared" si="7"/>
        <v>118616.19</v>
      </c>
    </row>
    <row r="458" spans="1:21" ht="15" customHeight="1" x14ac:dyDescent="0.25">
      <c r="A458" t="s">
        <v>19</v>
      </c>
      <c r="B458" s="8">
        <v>45063</v>
      </c>
      <c r="C458" s="8">
        <v>45065</v>
      </c>
      <c r="D458" t="s">
        <v>20</v>
      </c>
      <c r="E458" t="s">
        <v>3033</v>
      </c>
      <c r="F458" t="s">
        <v>3034</v>
      </c>
      <c r="G458" t="s">
        <v>22</v>
      </c>
      <c r="H458" t="s">
        <v>23</v>
      </c>
      <c r="I458" t="s">
        <v>24</v>
      </c>
      <c r="J458" t="s">
        <v>25</v>
      </c>
      <c r="K458" t="s">
        <v>26</v>
      </c>
      <c r="L458" t="s">
        <v>27</v>
      </c>
      <c r="M458" t="s">
        <v>28</v>
      </c>
      <c r="N458" t="s">
        <v>29</v>
      </c>
      <c r="O458">
        <v>7</v>
      </c>
      <c r="P458">
        <v>529.44000000000005</v>
      </c>
      <c r="Q458" t="s">
        <v>30</v>
      </c>
      <c r="R458">
        <v>185.3</v>
      </c>
      <c r="S458" s="11">
        <v>3520.78</v>
      </c>
      <c r="T458">
        <v>539.42999999999995</v>
      </c>
      <c r="U458">
        <f t="shared" si="7"/>
        <v>3520.78</v>
      </c>
    </row>
    <row r="459" spans="1:21" ht="15" customHeight="1" x14ac:dyDescent="0.25">
      <c r="A459" t="s">
        <v>2345</v>
      </c>
      <c r="B459" s="8">
        <v>45063</v>
      </c>
      <c r="C459" s="8">
        <v>45064</v>
      </c>
      <c r="D459" t="s">
        <v>32</v>
      </c>
      <c r="E459" t="s">
        <v>3059</v>
      </c>
      <c r="F459" t="s">
        <v>3079</v>
      </c>
      <c r="G459" t="s">
        <v>2347</v>
      </c>
      <c r="H459">
        <v>8149392214</v>
      </c>
      <c r="I459" t="s">
        <v>43</v>
      </c>
      <c r="J459" t="s">
        <v>61</v>
      </c>
      <c r="K459" t="s">
        <v>84</v>
      </c>
      <c r="L459" t="s">
        <v>96</v>
      </c>
      <c r="M459" t="s">
        <v>254</v>
      </c>
      <c r="N459" t="s">
        <v>455</v>
      </c>
      <c r="P459">
        <v>394357.17</v>
      </c>
      <c r="Q459">
        <v>5</v>
      </c>
      <c r="R459">
        <v>118307.15</v>
      </c>
      <c r="S459" s="11">
        <v>2247835.87</v>
      </c>
      <c r="T459">
        <v>286210.96000000002</v>
      </c>
      <c r="U459">
        <f t="shared" si="7"/>
        <v>2247835.87</v>
      </c>
    </row>
    <row r="460" spans="1:21" ht="15" customHeight="1" x14ac:dyDescent="0.25">
      <c r="A460" t="s">
        <v>2708</v>
      </c>
      <c r="B460" s="8">
        <v>45066</v>
      </c>
      <c r="C460" s="8">
        <v>45074</v>
      </c>
      <c r="D460" t="s">
        <v>48</v>
      </c>
      <c r="E460" t="s">
        <v>3067</v>
      </c>
      <c r="F460" t="s">
        <v>3043</v>
      </c>
      <c r="G460" t="s">
        <v>2709</v>
      </c>
      <c r="H460">
        <v>9053779020</v>
      </c>
      <c r="I460" t="s">
        <v>35</v>
      </c>
      <c r="J460" t="s">
        <v>51</v>
      </c>
      <c r="K460" t="s">
        <v>316</v>
      </c>
      <c r="L460" t="s">
        <v>85</v>
      </c>
      <c r="M460" t="s">
        <v>218</v>
      </c>
      <c r="N460" t="s">
        <v>1058</v>
      </c>
      <c r="O460">
        <v>8</v>
      </c>
      <c r="P460">
        <v>26470.55</v>
      </c>
      <c r="Q460">
        <v>10</v>
      </c>
      <c r="R460">
        <v>21176.44</v>
      </c>
      <c r="S460" s="11">
        <v>190587.96</v>
      </c>
      <c r="U460">
        <f t="shared" si="7"/>
        <v>190587.96</v>
      </c>
    </row>
    <row r="461" spans="1:21" ht="15" customHeight="1" x14ac:dyDescent="0.25">
      <c r="A461" t="s">
        <v>540</v>
      </c>
      <c r="B461" s="8">
        <v>45066</v>
      </c>
      <c r="C461" s="8">
        <v>45070</v>
      </c>
      <c r="D461" t="s">
        <v>73</v>
      </c>
      <c r="E461" t="s">
        <v>3060</v>
      </c>
      <c r="F461" t="s">
        <v>3064</v>
      </c>
      <c r="G461" t="s">
        <v>542</v>
      </c>
      <c r="H461">
        <v>8165848684</v>
      </c>
      <c r="I461" t="s">
        <v>60</v>
      </c>
      <c r="J461" t="s">
        <v>51</v>
      </c>
      <c r="K461" t="s">
        <v>227</v>
      </c>
      <c r="L461" t="s">
        <v>85</v>
      </c>
      <c r="M461" t="s">
        <v>486</v>
      </c>
      <c r="N461" t="s">
        <v>543</v>
      </c>
      <c r="O461">
        <v>18</v>
      </c>
      <c r="P461">
        <v>90526.19</v>
      </c>
      <c r="Q461">
        <v>10</v>
      </c>
      <c r="R461">
        <v>162947.14000000001</v>
      </c>
      <c r="S461" s="11">
        <v>1466524.28</v>
      </c>
      <c r="T461">
        <v>33251.42</v>
      </c>
      <c r="U461">
        <f t="shared" si="7"/>
        <v>1466524.28</v>
      </c>
    </row>
    <row r="462" spans="1:21" ht="15" customHeight="1" x14ac:dyDescent="0.25">
      <c r="A462" t="s">
        <v>2271</v>
      </c>
      <c r="B462" s="8">
        <v>45067</v>
      </c>
      <c r="C462" s="8">
        <v>45074</v>
      </c>
      <c r="D462" t="s">
        <v>48</v>
      </c>
      <c r="E462" t="s">
        <v>3050</v>
      </c>
      <c r="F462" t="s">
        <v>3034</v>
      </c>
      <c r="G462" t="s">
        <v>2272</v>
      </c>
      <c r="H462">
        <v>8161894817</v>
      </c>
      <c r="I462" t="s">
        <v>43</v>
      </c>
      <c r="J462" t="s">
        <v>61</v>
      </c>
      <c r="K462" t="s">
        <v>182</v>
      </c>
      <c r="L462" t="s">
        <v>108</v>
      </c>
      <c r="M462" t="s">
        <v>38</v>
      </c>
      <c r="N462" t="s">
        <v>303</v>
      </c>
      <c r="O462">
        <v>19</v>
      </c>
      <c r="P462">
        <v>13995.43</v>
      </c>
      <c r="Q462">
        <v>10</v>
      </c>
      <c r="R462">
        <v>26591.32</v>
      </c>
      <c r="S462" s="11">
        <v>239321.85</v>
      </c>
      <c r="T462">
        <v>23546.799999999999</v>
      </c>
      <c r="U462">
        <f t="shared" si="7"/>
        <v>239321.85</v>
      </c>
    </row>
    <row r="463" spans="1:21" ht="15" customHeight="1" x14ac:dyDescent="0.25">
      <c r="A463" t="s">
        <v>2602</v>
      </c>
      <c r="B463" s="8">
        <v>45070</v>
      </c>
      <c r="C463" s="8">
        <v>45069</v>
      </c>
      <c r="D463" t="s">
        <v>20</v>
      </c>
      <c r="E463" t="s">
        <v>3068</v>
      </c>
      <c r="F463" t="s">
        <v>3078</v>
      </c>
      <c r="G463" t="s">
        <v>2603</v>
      </c>
      <c r="H463">
        <v>8165378650</v>
      </c>
      <c r="I463" t="s">
        <v>24</v>
      </c>
      <c r="J463" t="s">
        <v>61</v>
      </c>
      <c r="K463" t="s">
        <v>84</v>
      </c>
      <c r="L463" t="s">
        <v>85</v>
      </c>
      <c r="M463" t="s">
        <v>218</v>
      </c>
      <c r="N463" t="s">
        <v>1058</v>
      </c>
      <c r="O463">
        <v>14</v>
      </c>
      <c r="P463">
        <v>12348.8</v>
      </c>
      <c r="Q463">
        <v>0</v>
      </c>
      <c r="R463">
        <v>0</v>
      </c>
      <c r="S463" s="11">
        <v>172883.20000000001</v>
      </c>
      <c r="T463">
        <v>12305.65</v>
      </c>
      <c r="U463">
        <f t="shared" si="7"/>
        <v>172883.20000000001</v>
      </c>
    </row>
    <row r="464" spans="1:21" ht="15" customHeight="1" x14ac:dyDescent="0.25">
      <c r="A464" t="s">
        <v>2756</v>
      </c>
      <c r="B464" s="8">
        <v>45071</v>
      </c>
      <c r="C464" s="8">
        <v>45075</v>
      </c>
      <c r="D464" t="s">
        <v>73</v>
      </c>
      <c r="E464" t="s">
        <v>3084</v>
      </c>
      <c r="F464" t="s">
        <v>3038</v>
      </c>
      <c r="G464" t="s">
        <v>2757</v>
      </c>
      <c r="H464">
        <v>7067708381</v>
      </c>
      <c r="I464" t="s">
        <v>35</v>
      </c>
      <c r="J464" t="s">
        <v>1118</v>
      </c>
      <c r="K464" t="s">
        <v>84</v>
      </c>
      <c r="L464" t="s">
        <v>108</v>
      </c>
      <c r="M464" t="s">
        <v>189</v>
      </c>
      <c r="N464" t="s">
        <v>325</v>
      </c>
      <c r="O464">
        <v>8</v>
      </c>
      <c r="P464">
        <v>14860.63</v>
      </c>
      <c r="Q464">
        <v>0</v>
      </c>
      <c r="R464">
        <v>0</v>
      </c>
      <c r="S464" s="11">
        <v>118885.04</v>
      </c>
      <c r="T464">
        <v>26610.62</v>
      </c>
      <c r="U464">
        <f t="shared" si="7"/>
        <v>118885.04</v>
      </c>
    </row>
    <row r="465" spans="1:21" ht="15" customHeight="1" x14ac:dyDescent="0.25">
      <c r="A465" t="s">
        <v>1755</v>
      </c>
      <c r="B465" s="8">
        <v>45071</v>
      </c>
      <c r="C465" s="8">
        <v>45075</v>
      </c>
      <c r="D465" t="s">
        <v>416</v>
      </c>
      <c r="E465" t="s">
        <v>3076</v>
      </c>
      <c r="F465" t="s">
        <v>3057</v>
      </c>
      <c r="G465" t="s">
        <v>1757</v>
      </c>
      <c r="H465">
        <v>9074378948</v>
      </c>
      <c r="I465" t="s">
        <v>43</v>
      </c>
      <c r="J465" t="s">
        <v>61</v>
      </c>
      <c r="K465" t="s">
        <v>62</v>
      </c>
      <c r="L465" t="s">
        <v>63</v>
      </c>
      <c r="M465" t="s">
        <v>194</v>
      </c>
      <c r="N465" t="s">
        <v>257</v>
      </c>
      <c r="O465">
        <v>12</v>
      </c>
      <c r="P465">
        <v>2460.39</v>
      </c>
      <c r="Q465">
        <v>15</v>
      </c>
      <c r="R465">
        <v>4428.7</v>
      </c>
      <c r="S465" s="11">
        <v>25095.98</v>
      </c>
      <c r="T465">
        <v>1923.12</v>
      </c>
      <c r="U465">
        <f t="shared" si="7"/>
        <v>25095.98</v>
      </c>
    </row>
    <row r="466" spans="1:21" ht="15" customHeight="1" x14ac:dyDescent="0.25">
      <c r="A466" t="s">
        <v>778</v>
      </c>
      <c r="B466" s="8">
        <v>45073</v>
      </c>
      <c r="C466" s="8">
        <v>45073</v>
      </c>
      <c r="D466" t="s">
        <v>32</v>
      </c>
      <c r="E466" t="s">
        <v>3039</v>
      </c>
      <c r="F466" t="s">
        <v>3038</v>
      </c>
      <c r="G466" t="s">
        <v>780</v>
      </c>
      <c r="H466">
        <v>8061200603</v>
      </c>
      <c r="I466" t="s">
        <v>43</v>
      </c>
      <c r="J466" t="s">
        <v>61</v>
      </c>
      <c r="K466" t="s">
        <v>95</v>
      </c>
      <c r="L466" t="s">
        <v>96</v>
      </c>
      <c r="M466" t="s">
        <v>385</v>
      </c>
      <c r="N466" t="s">
        <v>781</v>
      </c>
      <c r="O466">
        <v>13</v>
      </c>
      <c r="P466">
        <v>101187.87</v>
      </c>
      <c r="Q466">
        <v>10</v>
      </c>
      <c r="R466">
        <v>131544.23000000001</v>
      </c>
      <c r="S466" s="11">
        <v>1183898.08</v>
      </c>
      <c r="T466">
        <v>309910.37</v>
      </c>
      <c r="U466">
        <f t="shared" si="7"/>
        <v>1183898.08</v>
      </c>
    </row>
    <row r="467" spans="1:21" ht="15" customHeight="1" x14ac:dyDescent="0.25">
      <c r="A467" t="s">
        <v>984</v>
      </c>
      <c r="B467" s="8">
        <v>45075</v>
      </c>
      <c r="C467" s="8">
        <v>45080</v>
      </c>
      <c r="D467" t="s">
        <v>48</v>
      </c>
      <c r="E467" t="s">
        <v>3050</v>
      </c>
      <c r="F467" t="s">
        <v>3034</v>
      </c>
      <c r="G467" t="s">
        <v>986</v>
      </c>
      <c r="H467">
        <v>7036991787</v>
      </c>
      <c r="I467" t="s">
        <v>24</v>
      </c>
      <c r="J467" t="s">
        <v>25</v>
      </c>
      <c r="K467" t="s">
        <v>44</v>
      </c>
      <c r="L467" t="s">
        <v>85</v>
      </c>
      <c r="M467" t="s">
        <v>218</v>
      </c>
      <c r="N467" t="s">
        <v>321</v>
      </c>
      <c r="P467">
        <v>57043.59</v>
      </c>
      <c r="Q467">
        <v>5</v>
      </c>
      <c r="R467">
        <v>8556.5400000000009</v>
      </c>
      <c r="S467" s="11">
        <v>162574.23000000001</v>
      </c>
      <c r="T467">
        <v>6612.15</v>
      </c>
      <c r="U467">
        <f t="shared" si="7"/>
        <v>162574.23000000001</v>
      </c>
    </row>
    <row r="468" spans="1:21" ht="15" customHeight="1" x14ac:dyDescent="0.25">
      <c r="A468" t="s">
        <v>235</v>
      </c>
      <c r="B468" s="8">
        <v>45076</v>
      </c>
      <c r="C468" s="8">
        <v>45077</v>
      </c>
      <c r="D468" t="s">
        <v>32</v>
      </c>
      <c r="E468" t="s">
        <v>3048</v>
      </c>
      <c r="F468" t="s">
        <v>3075</v>
      </c>
      <c r="G468" t="s">
        <v>237</v>
      </c>
      <c r="H468">
        <v>8101610970</v>
      </c>
      <c r="I468" t="s">
        <v>24</v>
      </c>
      <c r="J468" t="s">
        <v>51</v>
      </c>
      <c r="K468" t="s">
        <v>227</v>
      </c>
      <c r="L468" t="s">
        <v>85</v>
      </c>
      <c r="M468" t="s">
        <v>86</v>
      </c>
      <c r="N468" t="s">
        <v>238</v>
      </c>
      <c r="O468">
        <v>10</v>
      </c>
      <c r="P468">
        <v>179090.91</v>
      </c>
      <c r="Q468">
        <v>0</v>
      </c>
      <c r="R468">
        <v>0</v>
      </c>
      <c r="S468" s="11" t="s">
        <v>239</v>
      </c>
      <c r="T468">
        <v>380814.35</v>
      </c>
      <c r="U468">
        <f t="shared" si="7"/>
        <v>1790909.1</v>
      </c>
    </row>
    <row r="469" spans="1:21" ht="15" customHeight="1" x14ac:dyDescent="0.25">
      <c r="A469" t="s">
        <v>235</v>
      </c>
      <c r="B469" s="8">
        <v>45076</v>
      </c>
      <c r="C469" s="8">
        <v>45077</v>
      </c>
      <c r="D469" t="s">
        <v>32</v>
      </c>
      <c r="E469" t="s">
        <v>3048</v>
      </c>
      <c r="F469" t="s">
        <v>3075</v>
      </c>
      <c r="G469" t="s">
        <v>237</v>
      </c>
      <c r="H469">
        <v>8101610970</v>
      </c>
      <c r="I469" t="s">
        <v>24</v>
      </c>
      <c r="J469" t="s">
        <v>51</v>
      </c>
      <c r="K469" t="s">
        <v>227</v>
      </c>
      <c r="L469" t="s">
        <v>85</v>
      </c>
      <c r="M469" t="s">
        <v>86</v>
      </c>
      <c r="N469" t="s">
        <v>238</v>
      </c>
      <c r="O469">
        <v>10</v>
      </c>
      <c r="P469">
        <v>179090.91</v>
      </c>
      <c r="Q469">
        <v>0</v>
      </c>
      <c r="R469">
        <v>0</v>
      </c>
      <c r="S469" s="11">
        <v>1790909.1</v>
      </c>
      <c r="T469">
        <v>380814.35</v>
      </c>
      <c r="U469">
        <f t="shared" si="7"/>
        <v>1790909.1</v>
      </c>
    </row>
    <row r="470" spans="1:21" ht="15" customHeight="1" x14ac:dyDescent="0.25">
      <c r="A470" t="s">
        <v>1308</v>
      </c>
      <c r="B470" s="8">
        <v>45077</v>
      </c>
      <c r="C470" s="8">
        <v>45079</v>
      </c>
      <c r="D470" t="s">
        <v>1309</v>
      </c>
      <c r="E470" t="s">
        <v>3063</v>
      </c>
      <c r="F470" t="s">
        <v>3046</v>
      </c>
      <c r="G470" t="s">
        <v>1310</v>
      </c>
      <c r="H470">
        <v>8034637715</v>
      </c>
      <c r="I470" t="s">
        <v>24</v>
      </c>
      <c r="J470" t="s">
        <v>51</v>
      </c>
      <c r="K470" t="s">
        <v>1311</v>
      </c>
      <c r="L470" t="s">
        <v>27</v>
      </c>
      <c r="M470" t="s">
        <v>79</v>
      </c>
      <c r="N470" t="s">
        <v>145</v>
      </c>
      <c r="O470">
        <v>20</v>
      </c>
      <c r="P470">
        <v>965.18</v>
      </c>
      <c r="Q470">
        <v>0</v>
      </c>
      <c r="R470">
        <v>0</v>
      </c>
      <c r="S470" s="11">
        <v>19303.599999999999</v>
      </c>
      <c r="T470">
        <v>1458.87</v>
      </c>
      <c r="U470">
        <f t="shared" si="7"/>
        <v>19303.599999999999</v>
      </c>
    </row>
    <row r="471" spans="1:21" ht="15" customHeight="1" x14ac:dyDescent="0.25">
      <c r="A471" t="s">
        <v>2488</v>
      </c>
      <c r="B471" s="8">
        <v>45078</v>
      </c>
      <c r="C471" s="8">
        <v>45079</v>
      </c>
      <c r="D471" t="s">
        <v>32</v>
      </c>
      <c r="E471" t="s">
        <v>3081</v>
      </c>
      <c r="F471" t="s">
        <v>3062</v>
      </c>
      <c r="G471" t="s">
        <v>2490</v>
      </c>
      <c r="H471">
        <v>7064365631</v>
      </c>
      <c r="I471" t="s">
        <v>24</v>
      </c>
      <c r="J471" t="s">
        <v>51</v>
      </c>
      <c r="K471" t="s">
        <v>131</v>
      </c>
      <c r="L471" t="s">
        <v>85</v>
      </c>
      <c r="M471" t="s">
        <v>243</v>
      </c>
      <c r="N471" t="s">
        <v>1054</v>
      </c>
      <c r="O471">
        <v>4</v>
      </c>
      <c r="P471">
        <v>66431.87</v>
      </c>
      <c r="Q471">
        <v>25</v>
      </c>
      <c r="R471">
        <v>66431.87</v>
      </c>
      <c r="S471" s="11">
        <v>199295.61</v>
      </c>
      <c r="T471">
        <v>928.86</v>
      </c>
      <c r="U471">
        <f t="shared" si="7"/>
        <v>199295.61</v>
      </c>
    </row>
    <row r="472" spans="1:21" ht="15" customHeight="1" x14ac:dyDescent="0.25">
      <c r="A472" t="s">
        <v>1898</v>
      </c>
      <c r="B472" s="8">
        <v>45079</v>
      </c>
      <c r="C472" s="8">
        <v>45080</v>
      </c>
      <c r="D472" t="s">
        <v>32</v>
      </c>
      <c r="E472" t="s">
        <v>3073</v>
      </c>
      <c r="F472" t="s">
        <v>3071</v>
      </c>
      <c r="G472" t="s">
        <v>1900</v>
      </c>
      <c r="H472">
        <v>7062135960</v>
      </c>
      <c r="I472" t="s">
        <v>35</v>
      </c>
      <c r="J472" t="s">
        <v>25</v>
      </c>
      <c r="L472" t="s">
        <v>108</v>
      </c>
      <c r="M472" t="s">
        <v>183</v>
      </c>
      <c r="N472" t="s">
        <v>184</v>
      </c>
      <c r="O472">
        <v>17</v>
      </c>
      <c r="P472">
        <v>42047.29</v>
      </c>
      <c r="Q472">
        <v>0</v>
      </c>
      <c r="R472">
        <v>0</v>
      </c>
      <c r="S472" s="11">
        <v>714803.93</v>
      </c>
      <c r="T472">
        <v>-35625.06</v>
      </c>
      <c r="U472">
        <f t="shared" si="7"/>
        <v>714803.93</v>
      </c>
    </row>
    <row r="473" spans="1:21" ht="15" customHeight="1" x14ac:dyDescent="0.25">
      <c r="A473" t="s">
        <v>1493</v>
      </c>
      <c r="B473" s="8">
        <v>45080</v>
      </c>
      <c r="C473" s="8">
        <v>45085</v>
      </c>
      <c r="D473" t="s">
        <v>73</v>
      </c>
      <c r="E473" t="s">
        <v>3098</v>
      </c>
      <c r="F473" t="s">
        <v>3064</v>
      </c>
      <c r="G473" t="s">
        <v>1495</v>
      </c>
      <c r="H473">
        <v>9023047722</v>
      </c>
      <c r="I473" t="s">
        <v>24</v>
      </c>
      <c r="J473" t="s">
        <v>25</v>
      </c>
      <c r="K473" t="s">
        <v>26</v>
      </c>
      <c r="L473" t="s">
        <v>27</v>
      </c>
      <c r="M473" t="s">
        <v>354</v>
      </c>
      <c r="N473" t="s">
        <v>433</v>
      </c>
      <c r="O473">
        <v>13</v>
      </c>
      <c r="P473">
        <v>3291.23</v>
      </c>
      <c r="Q473">
        <v>10</v>
      </c>
      <c r="R473">
        <v>4278.6000000000004</v>
      </c>
      <c r="S473" s="11">
        <v>38507.39</v>
      </c>
      <c r="T473">
        <v>1175.74</v>
      </c>
      <c r="U473">
        <f t="shared" si="7"/>
        <v>38507.39</v>
      </c>
    </row>
    <row r="474" spans="1:21" ht="15" customHeight="1" x14ac:dyDescent="0.25">
      <c r="A474" t="s">
        <v>1312</v>
      </c>
      <c r="B474" s="8">
        <v>45080</v>
      </c>
      <c r="C474" s="8">
        <v>45084</v>
      </c>
      <c r="D474" t="s">
        <v>73</v>
      </c>
      <c r="E474" t="s">
        <v>3039</v>
      </c>
      <c r="F474" t="s">
        <v>3069</v>
      </c>
      <c r="G474" t="s">
        <v>1314</v>
      </c>
      <c r="H474">
        <v>9078607523</v>
      </c>
      <c r="I474" t="s">
        <v>24</v>
      </c>
      <c r="J474" t="s">
        <v>61</v>
      </c>
      <c r="K474" t="s">
        <v>95</v>
      </c>
      <c r="L474" t="s">
        <v>63</v>
      </c>
      <c r="M474" t="s">
        <v>194</v>
      </c>
      <c r="N474" t="s">
        <v>257</v>
      </c>
      <c r="O474" t="s">
        <v>1315</v>
      </c>
      <c r="P474">
        <v>17459.43</v>
      </c>
      <c r="Q474">
        <v>10</v>
      </c>
      <c r="R474">
        <v>19205.37</v>
      </c>
      <c r="S474" s="11">
        <v>172848.36</v>
      </c>
      <c r="T474">
        <v>-9129.92</v>
      </c>
      <c r="U474">
        <f t="shared" si="7"/>
        <v>172848.36</v>
      </c>
    </row>
    <row r="475" spans="1:21" ht="15" customHeight="1" x14ac:dyDescent="0.25">
      <c r="A475" t="s">
        <v>2456</v>
      </c>
      <c r="B475" s="8">
        <v>45081</v>
      </c>
      <c r="C475" s="8">
        <v>45082</v>
      </c>
      <c r="D475" t="s">
        <v>32</v>
      </c>
      <c r="E475" t="s">
        <v>3097</v>
      </c>
      <c r="F475" t="s">
        <v>3039</v>
      </c>
      <c r="G475" t="s">
        <v>2458</v>
      </c>
      <c r="H475">
        <v>8168482755</v>
      </c>
      <c r="I475" t="s">
        <v>24</v>
      </c>
      <c r="J475" t="s">
        <v>69</v>
      </c>
      <c r="K475" t="s">
        <v>307</v>
      </c>
      <c r="L475" t="s">
        <v>1815</v>
      </c>
      <c r="M475" t="s">
        <v>97</v>
      </c>
      <c r="N475" t="s">
        <v>230</v>
      </c>
      <c r="O475">
        <v>9</v>
      </c>
      <c r="P475">
        <v>319110.43</v>
      </c>
      <c r="Q475">
        <v>0</v>
      </c>
      <c r="R475">
        <v>0</v>
      </c>
      <c r="S475" s="11">
        <v>2871993.87</v>
      </c>
      <c r="T475">
        <v>-69994.48</v>
      </c>
      <c r="U475">
        <f t="shared" si="7"/>
        <v>2871993.87</v>
      </c>
    </row>
    <row r="476" spans="1:21" ht="15" customHeight="1" x14ac:dyDescent="0.25">
      <c r="A476" t="s">
        <v>165</v>
      </c>
      <c r="B476" s="8">
        <v>45083</v>
      </c>
      <c r="C476" s="8">
        <v>45086</v>
      </c>
      <c r="D476" t="s">
        <v>73</v>
      </c>
      <c r="E476" t="s">
        <v>3068</v>
      </c>
      <c r="F476" t="s">
        <v>3046</v>
      </c>
      <c r="G476" t="s">
        <v>167</v>
      </c>
      <c r="H476">
        <v>7038235969</v>
      </c>
      <c r="I476" t="s">
        <v>24</v>
      </c>
      <c r="J476" t="s">
        <v>25</v>
      </c>
      <c r="K476" t="s">
        <v>168</v>
      </c>
      <c r="L476" t="s">
        <v>96</v>
      </c>
      <c r="M476" t="s">
        <v>97</v>
      </c>
      <c r="N476" t="s">
        <v>169</v>
      </c>
      <c r="O476">
        <v>4</v>
      </c>
      <c r="P476">
        <v>151553.31</v>
      </c>
      <c r="Q476">
        <v>10</v>
      </c>
      <c r="R476">
        <v>60621.32</v>
      </c>
      <c r="T476">
        <v>84170.38</v>
      </c>
      <c r="U476">
        <f t="shared" si="7"/>
        <v>0</v>
      </c>
    </row>
    <row r="477" spans="1:21" ht="15" customHeight="1" x14ac:dyDescent="0.25">
      <c r="A477" t="s">
        <v>373</v>
      </c>
      <c r="B477" s="8">
        <v>45084</v>
      </c>
      <c r="C477" s="8">
        <v>45087</v>
      </c>
      <c r="D477" t="s">
        <v>20</v>
      </c>
      <c r="E477" t="s">
        <v>3084</v>
      </c>
      <c r="F477" t="s">
        <v>3069</v>
      </c>
      <c r="G477" t="s">
        <v>375</v>
      </c>
      <c r="H477">
        <v>8062530497</v>
      </c>
      <c r="I477" t="s">
        <v>43</v>
      </c>
      <c r="J477" t="s">
        <v>25</v>
      </c>
      <c r="K477" t="s">
        <v>44</v>
      </c>
      <c r="L477" t="s">
        <v>96</v>
      </c>
      <c r="M477" t="s">
        <v>120</v>
      </c>
      <c r="N477" t="s">
        <v>133</v>
      </c>
      <c r="O477">
        <v>12</v>
      </c>
      <c r="P477">
        <v>57005.53</v>
      </c>
      <c r="Q477" t="s">
        <v>376</v>
      </c>
      <c r="R477">
        <v>0</v>
      </c>
      <c r="S477" s="11">
        <v>684066.36</v>
      </c>
      <c r="T477">
        <v>125746.75</v>
      </c>
      <c r="U477">
        <f t="shared" si="7"/>
        <v>684066.36</v>
      </c>
    </row>
    <row r="478" spans="1:21" ht="15" customHeight="1" x14ac:dyDescent="0.25">
      <c r="A478" t="s">
        <v>1024</v>
      </c>
      <c r="B478" s="8">
        <v>45089</v>
      </c>
      <c r="C478" s="8">
        <v>45089</v>
      </c>
      <c r="D478" t="s">
        <v>32</v>
      </c>
      <c r="E478" t="s">
        <v>3049</v>
      </c>
      <c r="F478" t="s">
        <v>3078</v>
      </c>
      <c r="G478" t="s">
        <v>1025</v>
      </c>
      <c r="H478">
        <v>9059766777</v>
      </c>
      <c r="I478" t="s">
        <v>43</v>
      </c>
      <c r="J478" t="s">
        <v>61</v>
      </c>
      <c r="K478" t="s">
        <v>95</v>
      </c>
      <c r="L478" t="s">
        <v>96</v>
      </c>
      <c r="M478" t="s">
        <v>254</v>
      </c>
      <c r="N478" t="s">
        <v>756</v>
      </c>
      <c r="O478">
        <v>7</v>
      </c>
      <c r="P478">
        <v>178138</v>
      </c>
      <c r="Q478">
        <v>10</v>
      </c>
      <c r="R478">
        <v>124696.6</v>
      </c>
      <c r="S478" s="11">
        <v>1122269.3999999999</v>
      </c>
      <c r="T478">
        <v>106960.18</v>
      </c>
      <c r="U478">
        <f t="shared" si="7"/>
        <v>1122269.3999999999</v>
      </c>
    </row>
    <row r="479" spans="1:21" ht="15" customHeight="1" x14ac:dyDescent="0.25">
      <c r="A479" t="s">
        <v>2810</v>
      </c>
      <c r="B479" s="8">
        <v>45090</v>
      </c>
      <c r="C479" s="8">
        <v>45094</v>
      </c>
      <c r="D479" t="s">
        <v>73</v>
      </c>
      <c r="E479" t="s">
        <v>3084</v>
      </c>
      <c r="F479" t="s">
        <v>3036</v>
      </c>
      <c r="G479" t="s">
        <v>2812</v>
      </c>
      <c r="H479">
        <v>8037912713</v>
      </c>
      <c r="I479" t="s">
        <v>43</v>
      </c>
      <c r="J479" t="s">
        <v>25</v>
      </c>
      <c r="K479" t="s">
        <v>26</v>
      </c>
      <c r="L479" t="s">
        <v>96</v>
      </c>
      <c r="M479" t="s">
        <v>254</v>
      </c>
      <c r="N479" t="s">
        <v>455</v>
      </c>
      <c r="O479">
        <v>10</v>
      </c>
      <c r="P479">
        <v>47673.57</v>
      </c>
      <c r="Q479">
        <v>10</v>
      </c>
      <c r="R479">
        <v>47673.57</v>
      </c>
      <c r="S479" s="11">
        <v>429062.13</v>
      </c>
      <c r="T479">
        <v>40384.410000000003</v>
      </c>
      <c r="U479">
        <f t="shared" si="7"/>
        <v>429062.13</v>
      </c>
    </row>
    <row r="480" spans="1:21" ht="15" customHeight="1" x14ac:dyDescent="0.25">
      <c r="A480" t="s">
        <v>1960</v>
      </c>
      <c r="B480" s="8">
        <v>45090</v>
      </c>
      <c r="C480" s="8">
        <v>45091</v>
      </c>
      <c r="D480" t="s">
        <v>32</v>
      </c>
      <c r="E480" t="s">
        <v>3061</v>
      </c>
      <c r="F480" t="s">
        <v>3096</v>
      </c>
      <c r="G480" t="s">
        <v>1962</v>
      </c>
      <c r="H480">
        <v>9073356313</v>
      </c>
      <c r="I480" t="s">
        <v>24</v>
      </c>
      <c r="J480" t="s">
        <v>25</v>
      </c>
      <c r="K480" t="s">
        <v>126</v>
      </c>
      <c r="L480" t="s">
        <v>96</v>
      </c>
      <c r="M480" t="s">
        <v>254</v>
      </c>
      <c r="N480" t="s">
        <v>530</v>
      </c>
      <c r="O480">
        <v>10</v>
      </c>
      <c r="P480" t="s">
        <v>1963</v>
      </c>
      <c r="Q480">
        <v>15</v>
      </c>
      <c r="R480">
        <v>48334.2</v>
      </c>
      <c r="S480" s="11">
        <v>273893.8</v>
      </c>
      <c r="T480">
        <v>26134.93</v>
      </c>
      <c r="U480">
        <f t="shared" si="7"/>
        <v>273893.8</v>
      </c>
    </row>
    <row r="481" spans="1:21" ht="15" customHeight="1" x14ac:dyDescent="0.25">
      <c r="A481" t="s">
        <v>1849</v>
      </c>
      <c r="B481" s="8">
        <v>45092</v>
      </c>
      <c r="C481" s="8">
        <v>45095</v>
      </c>
      <c r="D481" t="s">
        <v>1823</v>
      </c>
      <c r="E481" t="s">
        <v>3092</v>
      </c>
      <c r="F481" t="s">
        <v>3078</v>
      </c>
      <c r="G481" t="s">
        <v>1850</v>
      </c>
      <c r="H481">
        <v>9073120109</v>
      </c>
      <c r="I481" t="s">
        <v>24</v>
      </c>
      <c r="J481" t="s">
        <v>69</v>
      </c>
      <c r="K481" t="s">
        <v>70</v>
      </c>
      <c r="L481" t="s">
        <v>85</v>
      </c>
      <c r="M481" t="s">
        <v>486</v>
      </c>
      <c r="N481" t="s">
        <v>527</v>
      </c>
      <c r="O481">
        <v>2</v>
      </c>
      <c r="P481">
        <v>134492.65</v>
      </c>
      <c r="Q481">
        <v>10</v>
      </c>
      <c r="R481">
        <v>26898.53</v>
      </c>
      <c r="S481" s="11">
        <v>242086.77</v>
      </c>
      <c r="T481">
        <v>66453.17</v>
      </c>
      <c r="U481">
        <f t="shared" si="7"/>
        <v>242086.77</v>
      </c>
    </row>
    <row r="482" spans="1:21" ht="15" customHeight="1" x14ac:dyDescent="0.25">
      <c r="A482" t="s">
        <v>209</v>
      </c>
      <c r="B482" s="8">
        <v>45094</v>
      </c>
      <c r="C482" s="8">
        <v>45102</v>
      </c>
      <c r="D482" t="s">
        <v>210</v>
      </c>
      <c r="E482" t="s">
        <v>3041</v>
      </c>
      <c r="F482" t="s">
        <v>3052</v>
      </c>
      <c r="G482" t="s">
        <v>212</v>
      </c>
      <c r="H482">
        <v>7036662319</v>
      </c>
      <c r="I482" t="s">
        <v>35</v>
      </c>
      <c r="J482" t="s">
        <v>61</v>
      </c>
      <c r="K482" t="s">
        <v>204</v>
      </c>
      <c r="L482" t="s">
        <v>108</v>
      </c>
      <c r="M482" t="s">
        <v>38</v>
      </c>
      <c r="N482" t="s">
        <v>213</v>
      </c>
      <c r="O482">
        <v>3</v>
      </c>
      <c r="P482">
        <v>12847.68</v>
      </c>
      <c r="Q482">
        <v>20</v>
      </c>
      <c r="R482">
        <v>7708.61</v>
      </c>
      <c r="S482" s="11">
        <v>30834.43</v>
      </c>
      <c r="T482">
        <v>-4266.5600000000004</v>
      </c>
      <c r="U482">
        <f t="shared" si="7"/>
        <v>30834.43</v>
      </c>
    </row>
    <row r="483" spans="1:21" ht="15" customHeight="1" x14ac:dyDescent="0.25">
      <c r="A483" t="s">
        <v>2768</v>
      </c>
      <c r="B483" s="8">
        <v>45094</v>
      </c>
      <c r="C483" s="8">
        <v>45094</v>
      </c>
      <c r="D483" t="s">
        <v>32</v>
      </c>
      <c r="E483" t="s">
        <v>3092</v>
      </c>
      <c r="F483" t="s">
        <v>3038</v>
      </c>
      <c r="G483" t="s">
        <v>2770</v>
      </c>
      <c r="H483">
        <v>9054754605</v>
      </c>
      <c r="I483" t="s">
        <v>959</v>
      </c>
      <c r="J483" t="s">
        <v>51</v>
      </c>
      <c r="K483" t="s">
        <v>131</v>
      </c>
      <c r="L483" t="s">
        <v>63</v>
      </c>
      <c r="M483" t="s">
        <v>249</v>
      </c>
      <c r="N483" t="s">
        <v>329</v>
      </c>
      <c r="O483">
        <v>6</v>
      </c>
      <c r="P483">
        <v>21377.83</v>
      </c>
      <c r="Q483">
        <v>20</v>
      </c>
      <c r="R483">
        <v>25653.4</v>
      </c>
      <c r="S483" s="11">
        <v>102613.58</v>
      </c>
      <c r="T483">
        <v>34494.83</v>
      </c>
      <c r="U483">
        <f t="shared" si="7"/>
        <v>102613.58</v>
      </c>
    </row>
    <row r="484" spans="1:21" ht="15" customHeight="1" x14ac:dyDescent="0.25">
      <c r="A484" t="s">
        <v>2002</v>
      </c>
      <c r="B484" s="8">
        <v>45094</v>
      </c>
      <c r="C484" s="8">
        <v>45094</v>
      </c>
      <c r="D484" t="s">
        <v>32</v>
      </c>
      <c r="E484" t="s">
        <v>3041</v>
      </c>
      <c r="F484" t="s">
        <v>3052</v>
      </c>
      <c r="G484" t="s">
        <v>2003</v>
      </c>
      <c r="H484">
        <v>8061430171</v>
      </c>
      <c r="I484" t="s">
        <v>35</v>
      </c>
      <c r="J484" t="s">
        <v>61</v>
      </c>
      <c r="K484" t="s">
        <v>84</v>
      </c>
      <c r="L484" t="s">
        <v>108</v>
      </c>
      <c r="M484" t="s">
        <v>114</v>
      </c>
      <c r="N484" t="s">
        <v>891</v>
      </c>
      <c r="O484">
        <v>20</v>
      </c>
      <c r="P484">
        <v>8581.09</v>
      </c>
      <c r="Q484">
        <v>25</v>
      </c>
      <c r="R484">
        <v>42905.45</v>
      </c>
      <c r="S484" s="11">
        <v>128716.35</v>
      </c>
      <c r="T484">
        <v>51789.88</v>
      </c>
      <c r="U484">
        <f t="shared" si="7"/>
        <v>128716.35</v>
      </c>
    </row>
    <row r="485" spans="1:21" ht="15" customHeight="1" x14ac:dyDescent="0.25">
      <c r="A485" t="s">
        <v>2179</v>
      </c>
      <c r="B485" s="8">
        <v>45095</v>
      </c>
      <c r="C485" s="8">
        <v>45099</v>
      </c>
      <c r="D485" t="s">
        <v>73</v>
      </c>
      <c r="E485" t="s">
        <v>3095</v>
      </c>
      <c r="F485" t="s">
        <v>3074</v>
      </c>
      <c r="G485" t="s">
        <v>2181</v>
      </c>
      <c r="H485">
        <v>8067853539</v>
      </c>
      <c r="I485" t="s">
        <v>24</v>
      </c>
      <c r="J485" t="s">
        <v>69</v>
      </c>
      <c r="K485" t="s">
        <v>155</v>
      </c>
      <c r="L485" t="s">
        <v>108</v>
      </c>
      <c r="M485" t="s">
        <v>189</v>
      </c>
      <c r="N485" t="s">
        <v>190</v>
      </c>
      <c r="O485">
        <v>7</v>
      </c>
      <c r="P485">
        <v>26768.51</v>
      </c>
      <c r="Q485">
        <v>0</v>
      </c>
      <c r="R485">
        <v>0</v>
      </c>
      <c r="S485" s="11">
        <v>187379.57</v>
      </c>
      <c r="T485">
        <v>70425.38</v>
      </c>
      <c r="U485">
        <f t="shared" si="7"/>
        <v>187379.57</v>
      </c>
    </row>
    <row r="486" spans="1:21" ht="15" customHeight="1" x14ac:dyDescent="0.25">
      <c r="A486" t="s">
        <v>2622</v>
      </c>
      <c r="B486" s="8">
        <v>45095</v>
      </c>
      <c r="C486" s="8">
        <v>45098</v>
      </c>
      <c r="D486" t="s">
        <v>20</v>
      </c>
      <c r="E486" t="s">
        <v>3056</v>
      </c>
      <c r="F486" t="s">
        <v>3040</v>
      </c>
      <c r="G486" t="s">
        <v>2624</v>
      </c>
      <c r="H486">
        <v>8141483477</v>
      </c>
      <c r="I486" t="s">
        <v>35</v>
      </c>
      <c r="J486" t="s">
        <v>51</v>
      </c>
      <c r="K486" t="s">
        <v>223</v>
      </c>
      <c r="L486" t="s">
        <v>108</v>
      </c>
      <c r="M486" t="s">
        <v>189</v>
      </c>
      <c r="N486" t="s">
        <v>205</v>
      </c>
      <c r="O486">
        <v>7</v>
      </c>
      <c r="P486">
        <v>35110.720000000001</v>
      </c>
      <c r="Q486">
        <v>0</v>
      </c>
      <c r="R486">
        <v>0</v>
      </c>
      <c r="S486" s="11">
        <v>245775.04</v>
      </c>
      <c r="T486">
        <v>-20247.91</v>
      </c>
      <c r="U486">
        <f t="shared" si="7"/>
        <v>245775.04</v>
      </c>
    </row>
    <row r="487" spans="1:21" ht="15" customHeight="1" x14ac:dyDescent="0.25">
      <c r="A487" t="s">
        <v>1521</v>
      </c>
      <c r="B487" s="8">
        <v>45095</v>
      </c>
      <c r="C487" s="8">
        <v>45098</v>
      </c>
      <c r="D487" t="s">
        <v>73</v>
      </c>
      <c r="E487" t="s">
        <v>3041</v>
      </c>
      <c r="F487" t="s">
        <v>3090</v>
      </c>
      <c r="G487" t="s">
        <v>1523</v>
      </c>
      <c r="H487">
        <v>8145714408</v>
      </c>
      <c r="I487" t="s">
        <v>43</v>
      </c>
      <c r="J487" t="s">
        <v>51</v>
      </c>
      <c r="K487" t="s">
        <v>227</v>
      </c>
      <c r="L487" t="s">
        <v>63</v>
      </c>
      <c r="M487" t="s">
        <v>64</v>
      </c>
      <c r="N487" t="s">
        <v>65</v>
      </c>
      <c r="O487">
        <v>9</v>
      </c>
      <c r="P487">
        <v>22618.42</v>
      </c>
      <c r="Q487">
        <v>10</v>
      </c>
      <c r="R487">
        <v>20356.580000000002</v>
      </c>
      <c r="S487" s="11">
        <v>183209.2</v>
      </c>
      <c r="T487">
        <v>29347.11</v>
      </c>
      <c r="U487">
        <f t="shared" si="7"/>
        <v>183209.2</v>
      </c>
    </row>
    <row r="488" spans="1:21" ht="15" customHeight="1" x14ac:dyDescent="0.25">
      <c r="A488" t="s">
        <v>2966</v>
      </c>
      <c r="B488" s="8">
        <v>45096</v>
      </c>
      <c r="C488" s="8">
        <v>45101</v>
      </c>
      <c r="D488" t="s">
        <v>73</v>
      </c>
      <c r="E488" t="s">
        <v>3051</v>
      </c>
      <c r="F488" t="s">
        <v>3062</v>
      </c>
      <c r="G488" t="s">
        <v>2967</v>
      </c>
      <c r="H488">
        <v>9019242744</v>
      </c>
      <c r="I488" t="s">
        <v>24</v>
      </c>
      <c r="J488" t="s">
        <v>61</v>
      </c>
      <c r="L488" t="s">
        <v>27</v>
      </c>
      <c r="M488" t="s">
        <v>28</v>
      </c>
      <c r="N488" t="s">
        <v>508</v>
      </c>
      <c r="O488">
        <v>8</v>
      </c>
      <c r="P488">
        <v>6135.66</v>
      </c>
      <c r="Q488">
        <v>25</v>
      </c>
      <c r="R488">
        <v>12271.32</v>
      </c>
      <c r="S488" s="11">
        <v>36813.96</v>
      </c>
      <c r="T488">
        <v>-153.97</v>
      </c>
      <c r="U488">
        <f t="shared" si="7"/>
        <v>36813.96</v>
      </c>
    </row>
    <row r="489" spans="1:21" ht="15" customHeight="1" x14ac:dyDescent="0.25">
      <c r="A489" t="s">
        <v>1499</v>
      </c>
      <c r="B489" s="8">
        <v>45096</v>
      </c>
      <c r="C489" s="8">
        <v>45101</v>
      </c>
      <c r="D489" t="s">
        <v>73</v>
      </c>
      <c r="E489" t="s">
        <v>3044</v>
      </c>
      <c r="F489" t="s">
        <v>3039</v>
      </c>
      <c r="G489" t="s">
        <v>1501</v>
      </c>
      <c r="H489">
        <v>9056482263</v>
      </c>
      <c r="I489" t="s">
        <v>35</v>
      </c>
      <c r="J489" t="s">
        <v>51</v>
      </c>
      <c r="K489" t="s">
        <v>316</v>
      </c>
      <c r="L489" t="s">
        <v>108</v>
      </c>
      <c r="M489" t="s">
        <v>114</v>
      </c>
      <c r="N489" t="s">
        <v>291</v>
      </c>
      <c r="O489">
        <v>6</v>
      </c>
      <c r="P489">
        <v>29579.03</v>
      </c>
      <c r="Q489">
        <v>20</v>
      </c>
      <c r="R489">
        <v>35494.839999999997</v>
      </c>
      <c r="S489" s="11">
        <v>141979.34</v>
      </c>
      <c r="T489">
        <v>46088.14</v>
      </c>
      <c r="U489">
        <f t="shared" si="7"/>
        <v>141979.34</v>
      </c>
    </row>
    <row r="490" spans="1:21" ht="15" customHeight="1" x14ac:dyDescent="0.25">
      <c r="A490" t="s">
        <v>2090</v>
      </c>
      <c r="B490" s="8">
        <v>45097</v>
      </c>
      <c r="C490" s="8">
        <v>45104</v>
      </c>
      <c r="D490" t="s">
        <v>48</v>
      </c>
      <c r="E490" t="s">
        <v>3080</v>
      </c>
      <c r="F490" t="s">
        <v>3064</v>
      </c>
      <c r="G490" t="s">
        <v>2091</v>
      </c>
      <c r="H490">
        <v>9058311783</v>
      </c>
      <c r="I490" t="s">
        <v>43</v>
      </c>
      <c r="J490" t="s">
        <v>69</v>
      </c>
      <c r="K490" t="s">
        <v>70</v>
      </c>
      <c r="L490" t="s">
        <v>63</v>
      </c>
      <c r="M490" t="s">
        <v>194</v>
      </c>
      <c r="N490" t="s">
        <v>195</v>
      </c>
      <c r="O490">
        <v>7</v>
      </c>
      <c r="P490">
        <v>3909.82</v>
      </c>
      <c r="Q490">
        <v>10</v>
      </c>
      <c r="R490">
        <v>2736.87</v>
      </c>
      <c r="S490" s="11">
        <v>24631.87</v>
      </c>
      <c r="T490">
        <v>-1689.39</v>
      </c>
      <c r="U490">
        <f t="shared" si="7"/>
        <v>24631.87</v>
      </c>
    </row>
    <row r="491" spans="1:21" ht="15" customHeight="1" x14ac:dyDescent="0.25">
      <c r="A491" t="s">
        <v>566</v>
      </c>
      <c r="B491" s="8">
        <v>45097</v>
      </c>
      <c r="C491" s="8">
        <v>45104</v>
      </c>
      <c r="D491" t="s">
        <v>48</v>
      </c>
      <c r="E491" t="s">
        <v>3059</v>
      </c>
      <c r="F491" t="s">
        <v>3090</v>
      </c>
      <c r="G491" t="s">
        <v>568</v>
      </c>
      <c r="H491">
        <v>8146147356</v>
      </c>
      <c r="I491" t="s">
        <v>24</v>
      </c>
      <c r="J491" t="s">
        <v>51</v>
      </c>
      <c r="K491" t="s">
        <v>227</v>
      </c>
      <c r="L491" t="s">
        <v>85</v>
      </c>
      <c r="M491" t="s">
        <v>486</v>
      </c>
      <c r="N491" t="s">
        <v>527</v>
      </c>
      <c r="O491">
        <v>10</v>
      </c>
      <c r="P491">
        <v>166774.23000000001</v>
      </c>
      <c r="Q491">
        <v>0</v>
      </c>
      <c r="R491">
        <v>0</v>
      </c>
      <c r="S491" s="11">
        <v>1667742.3</v>
      </c>
      <c r="T491">
        <v>388962.19</v>
      </c>
      <c r="U491">
        <f t="shared" si="7"/>
        <v>1667742.3</v>
      </c>
    </row>
    <row r="492" spans="1:21" ht="15" customHeight="1" x14ac:dyDescent="0.25">
      <c r="A492" t="s">
        <v>1026</v>
      </c>
      <c r="B492" s="8">
        <v>45097</v>
      </c>
      <c r="C492" s="8">
        <v>45100</v>
      </c>
      <c r="D492" t="s">
        <v>20</v>
      </c>
      <c r="E492" t="s">
        <v>3094</v>
      </c>
      <c r="F492" t="s">
        <v>3039</v>
      </c>
      <c r="G492" t="s">
        <v>1028</v>
      </c>
      <c r="H492">
        <v>9077668174</v>
      </c>
      <c r="I492" t="s">
        <v>43</v>
      </c>
      <c r="J492" t="s">
        <v>25</v>
      </c>
      <c r="K492" t="s">
        <v>126</v>
      </c>
      <c r="L492" t="s">
        <v>85</v>
      </c>
      <c r="M492" t="s">
        <v>486</v>
      </c>
      <c r="N492" t="s">
        <v>527</v>
      </c>
      <c r="O492">
        <v>16</v>
      </c>
      <c r="P492">
        <v>142811.60999999999</v>
      </c>
      <c r="Q492">
        <v>0</v>
      </c>
      <c r="R492">
        <v>0</v>
      </c>
      <c r="S492" s="11">
        <v>2284985.7599999998</v>
      </c>
      <c r="T492">
        <v>164810.95000000001</v>
      </c>
      <c r="U492">
        <f t="shared" si="7"/>
        <v>2284985.7599999998</v>
      </c>
    </row>
    <row r="493" spans="1:21" ht="15" customHeight="1" x14ac:dyDescent="0.25">
      <c r="A493" t="s">
        <v>1204</v>
      </c>
      <c r="B493" s="8">
        <v>45098</v>
      </c>
      <c r="C493" s="8">
        <v>45103</v>
      </c>
      <c r="D493" t="s">
        <v>73</v>
      </c>
      <c r="E493" t="s">
        <v>3048</v>
      </c>
      <c r="F493" t="s">
        <v>3090</v>
      </c>
      <c r="G493" t="s">
        <v>1206</v>
      </c>
      <c r="H493">
        <v>9058195804</v>
      </c>
      <c r="I493" t="s">
        <v>43</v>
      </c>
      <c r="J493" t="s">
        <v>61</v>
      </c>
      <c r="K493" t="s">
        <v>95</v>
      </c>
      <c r="L493" t="s">
        <v>27</v>
      </c>
      <c r="M493" t="s">
        <v>45</v>
      </c>
      <c r="N493" t="s">
        <v>523</v>
      </c>
      <c r="O493">
        <v>12</v>
      </c>
      <c r="P493">
        <v>985.77</v>
      </c>
      <c r="Q493">
        <v>0</v>
      </c>
      <c r="R493">
        <v>0</v>
      </c>
      <c r="S493" s="11">
        <v>11829.24</v>
      </c>
      <c r="T493">
        <v>4948.72</v>
      </c>
      <c r="U493">
        <f t="shared" si="7"/>
        <v>11829.24</v>
      </c>
    </row>
    <row r="494" spans="1:21" ht="15" customHeight="1" x14ac:dyDescent="0.25">
      <c r="A494" t="s">
        <v>1096</v>
      </c>
      <c r="B494" s="8">
        <v>45100</v>
      </c>
      <c r="C494" s="8">
        <v>45103</v>
      </c>
      <c r="D494" t="s">
        <v>73</v>
      </c>
      <c r="E494" t="s">
        <v>3068</v>
      </c>
      <c r="F494" t="s">
        <v>3040</v>
      </c>
      <c r="G494" t="s">
        <v>1098</v>
      </c>
      <c r="H494">
        <v>8155561139</v>
      </c>
      <c r="I494" t="s">
        <v>43</v>
      </c>
      <c r="J494" t="s">
        <v>61</v>
      </c>
      <c r="K494" t="s">
        <v>204</v>
      </c>
      <c r="L494" t="s">
        <v>63</v>
      </c>
      <c r="M494" t="s">
        <v>469</v>
      </c>
      <c r="N494" t="s">
        <v>1099</v>
      </c>
      <c r="O494">
        <v>14</v>
      </c>
      <c r="P494">
        <v>20315.810000000001</v>
      </c>
      <c r="Q494">
        <v>5</v>
      </c>
      <c r="R494">
        <v>14221.07</v>
      </c>
      <c r="S494" s="11">
        <v>270200.27</v>
      </c>
      <c r="T494">
        <v>97836.6</v>
      </c>
      <c r="U494">
        <f t="shared" si="7"/>
        <v>270200.27</v>
      </c>
    </row>
    <row r="495" spans="1:21" ht="15" customHeight="1" x14ac:dyDescent="0.25">
      <c r="A495" t="s">
        <v>2182</v>
      </c>
      <c r="B495" s="8">
        <v>45101</v>
      </c>
      <c r="C495" s="8">
        <v>45102</v>
      </c>
      <c r="D495" t="s">
        <v>32</v>
      </c>
      <c r="E495" t="s">
        <v>3072</v>
      </c>
      <c r="F495" t="s">
        <v>3054</v>
      </c>
      <c r="G495" t="s">
        <v>730</v>
      </c>
      <c r="H495">
        <v>8038238024</v>
      </c>
      <c r="I495" t="s">
        <v>35</v>
      </c>
      <c r="J495" t="s">
        <v>25</v>
      </c>
      <c r="K495" t="s">
        <v>126</v>
      </c>
      <c r="L495" t="s">
        <v>96</v>
      </c>
      <c r="M495" t="s">
        <v>385</v>
      </c>
      <c r="N495" t="s">
        <v>743</v>
      </c>
      <c r="O495">
        <v>17</v>
      </c>
      <c r="P495">
        <v>72584.320000000007</v>
      </c>
      <c r="Q495">
        <v>15</v>
      </c>
      <c r="R495">
        <v>185090.02</v>
      </c>
      <c r="S495" s="11" t="s">
        <v>2183</v>
      </c>
      <c r="T495">
        <v>411730.02</v>
      </c>
      <c r="U495">
        <f t="shared" si="7"/>
        <v>1048843.42</v>
      </c>
    </row>
    <row r="496" spans="1:21" ht="15" customHeight="1" x14ac:dyDescent="0.25">
      <c r="A496" t="s">
        <v>2044</v>
      </c>
      <c r="B496" s="8">
        <v>45102</v>
      </c>
      <c r="C496" s="8">
        <v>45109</v>
      </c>
      <c r="D496" t="s">
        <v>48</v>
      </c>
      <c r="E496" t="s">
        <v>3081</v>
      </c>
      <c r="F496" t="s">
        <v>3039</v>
      </c>
      <c r="G496" t="s">
        <v>2045</v>
      </c>
      <c r="H496">
        <v>9074454281</v>
      </c>
      <c r="I496" t="s">
        <v>35</v>
      </c>
      <c r="J496" t="s">
        <v>51</v>
      </c>
      <c r="K496" t="s">
        <v>316</v>
      </c>
      <c r="L496" t="s">
        <v>96</v>
      </c>
      <c r="M496" t="s">
        <v>120</v>
      </c>
      <c r="N496" t="s">
        <v>133</v>
      </c>
      <c r="O496">
        <v>1</v>
      </c>
      <c r="P496">
        <v>41216.11</v>
      </c>
      <c r="Q496">
        <v>5</v>
      </c>
      <c r="R496">
        <v>2060.81</v>
      </c>
      <c r="S496" s="11">
        <v>39155.300000000003</v>
      </c>
      <c r="T496">
        <v>5125.05</v>
      </c>
      <c r="U496">
        <f t="shared" si="7"/>
        <v>39155.300000000003</v>
      </c>
    </row>
    <row r="497" spans="1:21" ht="15" customHeight="1" x14ac:dyDescent="0.25">
      <c r="A497" t="s">
        <v>498</v>
      </c>
      <c r="B497" s="8">
        <v>45104</v>
      </c>
      <c r="C497" s="8">
        <v>45110</v>
      </c>
      <c r="D497" t="s">
        <v>48</v>
      </c>
      <c r="E497" t="s">
        <v>3094</v>
      </c>
      <c r="F497" t="s">
        <v>3066</v>
      </c>
      <c r="G497" t="s">
        <v>500</v>
      </c>
      <c r="H497">
        <v>8145859883</v>
      </c>
      <c r="I497" t="s">
        <v>35</v>
      </c>
      <c r="J497" t="s">
        <v>25</v>
      </c>
      <c r="K497" t="s">
        <v>26</v>
      </c>
      <c r="L497" t="s">
        <v>63</v>
      </c>
      <c r="M497" t="s">
        <v>64</v>
      </c>
      <c r="N497" t="s">
        <v>501</v>
      </c>
      <c r="O497">
        <v>13</v>
      </c>
      <c r="P497">
        <v>20214.86</v>
      </c>
      <c r="Q497">
        <v>10</v>
      </c>
      <c r="R497">
        <v>26279.32</v>
      </c>
      <c r="S497" s="11">
        <v>236513.86</v>
      </c>
      <c r="T497">
        <v>28884.61</v>
      </c>
      <c r="U497">
        <f t="shared" si="7"/>
        <v>236513.86</v>
      </c>
    </row>
    <row r="498" spans="1:21" ht="15" customHeight="1" x14ac:dyDescent="0.25">
      <c r="A498" t="s">
        <v>1471</v>
      </c>
      <c r="B498" s="8">
        <v>45105</v>
      </c>
      <c r="C498" s="8">
        <v>45107</v>
      </c>
      <c r="D498" t="s">
        <v>20</v>
      </c>
      <c r="E498" t="s">
        <v>3093</v>
      </c>
      <c r="F498" t="s">
        <v>3057</v>
      </c>
      <c r="G498" t="s">
        <v>1473</v>
      </c>
      <c r="H498">
        <v>9024789737</v>
      </c>
      <c r="I498" t="s">
        <v>35</v>
      </c>
      <c r="J498" t="s">
        <v>25</v>
      </c>
      <c r="K498" t="s">
        <v>36</v>
      </c>
      <c r="L498" t="s">
        <v>27</v>
      </c>
      <c r="M498" t="s">
        <v>79</v>
      </c>
      <c r="N498" t="s">
        <v>234</v>
      </c>
      <c r="O498">
        <v>11</v>
      </c>
      <c r="P498">
        <v>1029.45</v>
      </c>
      <c r="Q498">
        <v>10</v>
      </c>
      <c r="R498">
        <v>1132.3900000000001</v>
      </c>
      <c r="S498" s="11">
        <v>10191.56</v>
      </c>
      <c r="T498">
        <v>-1117.3800000000001</v>
      </c>
      <c r="U498">
        <f t="shared" si="7"/>
        <v>10191.56</v>
      </c>
    </row>
    <row r="499" spans="1:21" ht="15" customHeight="1" x14ac:dyDescent="0.25">
      <c r="A499" t="s">
        <v>2266</v>
      </c>
      <c r="B499" s="8">
        <v>45108</v>
      </c>
      <c r="C499" s="8">
        <v>45111</v>
      </c>
      <c r="D499" t="s">
        <v>73</v>
      </c>
      <c r="E499" t="s">
        <v>3065</v>
      </c>
      <c r="F499" t="s">
        <v>3071</v>
      </c>
      <c r="G499" t="s">
        <v>2267</v>
      </c>
      <c r="H499">
        <v>8164333354</v>
      </c>
      <c r="I499" t="s">
        <v>35</v>
      </c>
      <c r="J499" t="s">
        <v>25</v>
      </c>
      <c r="K499" t="s">
        <v>26</v>
      </c>
      <c r="L499" t="s">
        <v>27</v>
      </c>
      <c r="M499" t="s">
        <v>28</v>
      </c>
      <c r="N499" t="s">
        <v>508</v>
      </c>
      <c r="O499">
        <v>1</v>
      </c>
      <c r="P499">
        <v>5191.8100000000004</v>
      </c>
      <c r="Q499">
        <v>10</v>
      </c>
      <c r="R499">
        <v>519.17999999999995</v>
      </c>
      <c r="S499" s="11">
        <v>4672.63</v>
      </c>
      <c r="T499">
        <v>66.62</v>
      </c>
      <c r="U499">
        <f t="shared" si="7"/>
        <v>4672.63</v>
      </c>
    </row>
    <row r="500" spans="1:21" ht="15" customHeight="1" x14ac:dyDescent="0.25">
      <c r="A500" t="s">
        <v>2748</v>
      </c>
      <c r="B500" s="8">
        <v>45109</v>
      </c>
      <c r="C500" s="8">
        <v>45109</v>
      </c>
      <c r="D500" t="s">
        <v>32</v>
      </c>
      <c r="E500" t="s">
        <v>3084</v>
      </c>
      <c r="F500" t="s">
        <v>3096</v>
      </c>
      <c r="G500" t="s">
        <v>2749</v>
      </c>
      <c r="H500">
        <v>8067440597</v>
      </c>
      <c r="I500" t="s">
        <v>43</v>
      </c>
      <c r="K500" t="s">
        <v>204</v>
      </c>
      <c r="L500" t="s">
        <v>63</v>
      </c>
      <c r="M500" t="s">
        <v>64</v>
      </c>
      <c r="N500" t="s">
        <v>501</v>
      </c>
      <c r="O500">
        <v>10</v>
      </c>
      <c r="P500">
        <v>1526.35</v>
      </c>
      <c r="Q500">
        <v>0</v>
      </c>
      <c r="R500">
        <v>0</v>
      </c>
      <c r="S500" s="11">
        <v>15263.5</v>
      </c>
      <c r="T500">
        <v>6443.27</v>
      </c>
      <c r="U500">
        <f t="shared" si="7"/>
        <v>15263.5</v>
      </c>
    </row>
    <row r="501" spans="1:21" ht="15" customHeight="1" x14ac:dyDescent="0.25">
      <c r="A501" t="s">
        <v>845</v>
      </c>
      <c r="B501" s="8">
        <v>45112</v>
      </c>
      <c r="C501" s="8">
        <v>45113</v>
      </c>
      <c r="D501" t="s">
        <v>32</v>
      </c>
      <c r="E501" t="s">
        <v>3047</v>
      </c>
      <c r="F501" t="s">
        <v>3074</v>
      </c>
      <c r="G501" t="s">
        <v>847</v>
      </c>
      <c r="H501">
        <v>8165703436</v>
      </c>
      <c r="I501" t="s">
        <v>35</v>
      </c>
      <c r="J501" t="s">
        <v>51</v>
      </c>
      <c r="K501" t="s">
        <v>131</v>
      </c>
      <c r="L501" t="s">
        <v>534</v>
      </c>
      <c r="M501" t="s">
        <v>114</v>
      </c>
      <c r="N501" t="s">
        <v>848</v>
      </c>
      <c r="O501">
        <v>15</v>
      </c>
      <c r="P501">
        <v>7778.58</v>
      </c>
      <c r="Q501">
        <v>10</v>
      </c>
      <c r="R501">
        <v>11667.87</v>
      </c>
      <c r="S501" s="11">
        <v>105010.83</v>
      </c>
      <c r="T501">
        <v>1223.58</v>
      </c>
      <c r="U501">
        <f t="shared" si="7"/>
        <v>105010.83</v>
      </c>
    </row>
    <row r="502" spans="1:21" ht="15" customHeight="1" x14ac:dyDescent="0.25">
      <c r="A502" t="s">
        <v>1845</v>
      </c>
      <c r="B502" s="8">
        <v>45113</v>
      </c>
      <c r="C502" s="8">
        <v>45119</v>
      </c>
      <c r="D502" t="s">
        <v>48</v>
      </c>
      <c r="E502" t="s">
        <v>3073</v>
      </c>
      <c r="F502" t="s">
        <v>3057</v>
      </c>
      <c r="G502" t="s">
        <v>1847</v>
      </c>
      <c r="H502">
        <v>7063575158</v>
      </c>
      <c r="I502" t="s">
        <v>35</v>
      </c>
      <c r="J502" t="s">
        <v>61</v>
      </c>
      <c r="K502" t="s">
        <v>84</v>
      </c>
      <c r="L502" t="s">
        <v>1163</v>
      </c>
      <c r="M502" t="s">
        <v>194</v>
      </c>
      <c r="N502" t="s">
        <v>257</v>
      </c>
      <c r="O502">
        <v>20</v>
      </c>
      <c r="P502">
        <v>9784.08</v>
      </c>
      <c r="Q502">
        <v>5</v>
      </c>
      <c r="R502">
        <v>9784.08</v>
      </c>
      <c r="S502" s="11">
        <v>185897.52</v>
      </c>
      <c r="T502">
        <v>-19237.650000000001</v>
      </c>
      <c r="U502">
        <f t="shared" si="7"/>
        <v>185897.52</v>
      </c>
    </row>
    <row r="503" spans="1:21" ht="15" customHeight="1" x14ac:dyDescent="0.25">
      <c r="A503" t="s">
        <v>56</v>
      </c>
      <c r="B503" s="8">
        <v>45114</v>
      </c>
      <c r="C503" s="8">
        <v>45114</v>
      </c>
      <c r="D503" t="s">
        <v>32</v>
      </c>
      <c r="E503" t="s">
        <v>3041</v>
      </c>
      <c r="F503" t="s">
        <v>3042</v>
      </c>
      <c r="G503" t="s">
        <v>58</v>
      </c>
      <c r="H503" t="s">
        <v>59</v>
      </c>
      <c r="I503" t="s">
        <v>60</v>
      </c>
      <c r="J503" t="s">
        <v>61</v>
      </c>
      <c r="K503" t="s">
        <v>62</v>
      </c>
      <c r="L503" t="s">
        <v>63</v>
      </c>
      <c r="M503" t="s">
        <v>64</v>
      </c>
      <c r="N503" t="s">
        <v>65</v>
      </c>
      <c r="O503">
        <v>19</v>
      </c>
      <c r="P503">
        <v>2121.62</v>
      </c>
      <c r="Q503">
        <v>10</v>
      </c>
      <c r="R503">
        <v>4031.08</v>
      </c>
      <c r="S503" s="11">
        <v>36279.699999999997</v>
      </c>
      <c r="T503">
        <v>-813.54</v>
      </c>
      <c r="U503">
        <f t="shared" si="7"/>
        <v>36279.699999999997</v>
      </c>
    </row>
    <row r="504" spans="1:21" ht="15" customHeight="1" x14ac:dyDescent="0.25">
      <c r="A504" t="s">
        <v>245</v>
      </c>
      <c r="B504" s="8">
        <v>45116</v>
      </c>
      <c r="C504" s="8">
        <v>45117</v>
      </c>
      <c r="D504" t="s">
        <v>32</v>
      </c>
      <c r="E504" t="s">
        <v>3061</v>
      </c>
      <c r="F504" t="s">
        <v>3043</v>
      </c>
      <c r="G504" t="s">
        <v>247</v>
      </c>
      <c r="H504">
        <v>9014231028</v>
      </c>
      <c r="I504" t="s">
        <v>24</v>
      </c>
      <c r="J504" t="s">
        <v>51</v>
      </c>
      <c r="K504" t="s">
        <v>223</v>
      </c>
      <c r="L504" t="s">
        <v>248</v>
      </c>
      <c r="M504" t="s">
        <v>249</v>
      </c>
      <c r="N504" t="s">
        <v>250</v>
      </c>
      <c r="O504">
        <v>6</v>
      </c>
      <c r="P504">
        <v>23796.5</v>
      </c>
      <c r="Q504">
        <v>5</v>
      </c>
      <c r="R504">
        <v>7138.95</v>
      </c>
      <c r="S504" s="11">
        <v>135640.04999999999</v>
      </c>
      <c r="T504">
        <v>-2735.75</v>
      </c>
      <c r="U504">
        <f t="shared" si="7"/>
        <v>135640.04999999999</v>
      </c>
    </row>
    <row r="505" spans="1:21" ht="15" customHeight="1" x14ac:dyDescent="0.25">
      <c r="A505" t="s">
        <v>2263</v>
      </c>
      <c r="B505" s="8">
        <v>45121</v>
      </c>
      <c r="C505" s="8">
        <v>45126</v>
      </c>
      <c r="D505" t="s">
        <v>48</v>
      </c>
      <c r="E505" t="s">
        <v>3091</v>
      </c>
      <c r="F505" t="s">
        <v>3040</v>
      </c>
      <c r="G505" t="s">
        <v>1563</v>
      </c>
      <c r="H505">
        <v>7061736811</v>
      </c>
      <c r="I505" t="s">
        <v>24</v>
      </c>
      <c r="J505" t="s">
        <v>51</v>
      </c>
      <c r="K505" t="s">
        <v>223</v>
      </c>
      <c r="L505" t="s">
        <v>63</v>
      </c>
      <c r="M505" t="s">
        <v>558</v>
      </c>
      <c r="N505" t="s">
        <v>1460</v>
      </c>
      <c r="O505">
        <v>1</v>
      </c>
      <c r="P505">
        <v>24292.95</v>
      </c>
      <c r="Q505">
        <v>20</v>
      </c>
      <c r="R505">
        <v>4858.59</v>
      </c>
      <c r="S505" s="11">
        <v>19434.36</v>
      </c>
      <c r="T505">
        <v>8713.18</v>
      </c>
      <c r="U505">
        <f t="shared" si="7"/>
        <v>19434.36</v>
      </c>
    </row>
    <row r="506" spans="1:21" ht="15" customHeight="1" x14ac:dyDescent="0.25">
      <c r="A506" t="s">
        <v>2077</v>
      </c>
      <c r="B506" s="8">
        <v>45122</v>
      </c>
      <c r="C506" s="8">
        <v>45130</v>
      </c>
      <c r="D506" t="s">
        <v>48</v>
      </c>
      <c r="E506" t="s">
        <v>3070</v>
      </c>
      <c r="F506" t="s">
        <v>3062</v>
      </c>
      <c r="G506" t="s">
        <v>2079</v>
      </c>
      <c r="H506">
        <v>9076852648</v>
      </c>
      <c r="I506" t="s">
        <v>2080</v>
      </c>
      <c r="J506" t="s">
        <v>25</v>
      </c>
      <c r="K506" t="s">
        <v>126</v>
      </c>
      <c r="L506" t="s">
        <v>63</v>
      </c>
      <c r="M506" t="s">
        <v>64</v>
      </c>
      <c r="N506" t="s">
        <v>777</v>
      </c>
      <c r="O506">
        <v>9</v>
      </c>
      <c r="P506">
        <v>10723.71</v>
      </c>
      <c r="Q506">
        <v>10</v>
      </c>
      <c r="R506">
        <v>9651.34</v>
      </c>
      <c r="S506" s="11">
        <v>86862.05</v>
      </c>
      <c r="T506">
        <v>-3097.19</v>
      </c>
      <c r="U506">
        <f t="shared" si="7"/>
        <v>86862.05</v>
      </c>
    </row>
    <row r="507" spans="1:21" ht="15" customHeight="1" x14ac:dyDescent="0.25">
      <c r="A507" t="s">
        <v>1976</v>
      </c>
      <c r="B507" s="8">
        <v>45122</v>
      </c>
      <c r="C507" s="8">
        <v>45130</v>
      </c>
      <c r="D507" t="s">
        <v>48</v>
      </c>
      <c r="E507" t="s">
        <v>3081</v>
      </c>
      <c r="F507" t="s">
        <v>3064</v>
      </c>
      <c r="G507" t="s">
        <v>1978</v>
      </c>
      <c r="H507">
        <v>8038041764</v>
      </c>
      <c r="I507" t="s">
        <v>35</v>
      </c>
      <c r="J507" t="s">
        <v>61</v>
      </c>
      <c r="L507" t="s">
        <v>27</v>
      </c>
      <c r="M507" t="s">
        <v>354</v>
      </c>
      <c r="N507" t="s">
        <v>494</v>
      </c>
      <c r="O507">
        <v>2</v>
      </c>
      <c r="P507">
        <v>1717.4</v>
      </c>
      <c r="Q507">
        <v>0</v>
      </c>
      <c r="R507">
        <v>0</v>
      </c>
      <c r="S507" s="11">
        <v>3434.8</v>
      </c>
      <c r="T507">
        <v>1329.18</v>
      </c>
      <c r="U507">
        <f t="shared" si="7"/>
        <v>3434.8</v>
      </c>
    </row>
    <row r="508" spans="1:21" ht="15" customHeight="1" x14ac:dyDescent="0.25">
      <c r="A508" t="s">
        <v>1812</v>
      </c>
      <c r="B508" s="8">
        <v>45122</v>
      </c>
      <c r="C508" s="8">
        <v>45130</v>
      </c>
      <c r="D508" t="s">
        <v>48</v>
      </c>
      <c r="E508" t="s">
        <v>3082</v>
      </c>
      <c r="F508" t="s">
        <v>3083</v>
      </c>
      <c r="G508" t="s">
        <v>1814</v>
      </c>
      <c r="H508">
        <v>9017320122</v>
      </c>
      <c r="I508" t="s">
        <v>1669</v>
      </c>
      <c r="J508" t="s">
        <v>51</v>
      </c>
      <c r="K508" t="s">
        <v>227</v>
      </c>
      <c r="L508" t="s">
        <v>1815</v>
      </c>
      <c r="M508" t="s">
        <v>97</v>
      </c>
      <c r="N508" t="s">
        <v>443</v>
      </c>
      <c r="O508">
        <v>7</v>
      </c>
      <c r="P508">
        <v>375129.84</v>
      </c>
      <c r="Q508">
        <v>5</v>
      </c>
      <c r="R508">
        <v>131295.44</v>
      </c>
      <c r="S508" s="11">
        <v>2494613.44</v>
      </c>
      <c r="T508">
        <v>674155.43</v>
      </c>
      <c r="U508">
        <f t="shared" si="7"/>
        <v>2494613.44</v>
      </c>
    </row>
    <row r="509" spans="1:21" ht="15" customHeight="1" x14ac:dyDescent="0.25">
      <c r="A509" t="s">
        <v>1176</v>
      </c>
      <c r="B509" s="8">
        <v>45122</v>
      </c>
      <c r="C509" s="8">
        <v>45122</v>
      </c>
      <c r="D509" t="s">
        <v>32</v>
      </c>
      <c r="E509" t="s">
        <v>3050</v>
      </c>
      <c r="F509" t="s">
        <v>3038</v>
      </c>
      <c r="G509" t="s">
        <v>1178</v>
      </c>
      <c r="H509">
        <v>8101439533</v>
      </c>
      <c r="I509" t="s">
        <v>43</v>
      </c>
      <c r="J509" t="s">
        <v>69</v>
      </c>
      <c r="K509" t="s">
        <v>70</v>
      </c>
      <c r="L509" t="s">
        <v>27</v>
      </c>
      <c r="M509" t="s">
        <v>173</v>
      </c>
      <c r="N509" t="s">
        <v>174</v>
      </c>
      <c r="O509">
        <v>20</v>
      </c>
      <c r="P509">
        <v>4963.1499999999996</v>
      </c>
      <c r="Q509">
        <v>5</v>
      </c>
      <c r="R509">
        <v>4963.1499999999996</v>
      </c>
      <c r="S509" s="11">
        <v>94299.85</v>
      </c>
      <c r="T509">
        <v>19597.060000000001</v>
      </c>
      <c r="U509">
        <f t="shared" si="7"/>
        <v>94299.85</v>
      </c>
    </row>
    <row r="510" spans="1:21" ht="15" customHeight="1" x14ac:dyDescent="0.25">
      <c r="A510" t="s">
        <v>2387</v>
      </c>
      <c r="B510" s="8">
        <v>45123</v>
      </c>
      <c r="C510" s="8">
        <v>45123</v>
      </c>
      <c r="D510" t="s">
        <v>32</v>
      </c>
      <c r="E510" t="s">
        <v>3044</v>
      </c>
      <c r="F510" t="s">
        <v>3043</v>
      </c>
      <c r="G510" t="s">
        <v>2388</v>
      </c>
      <c r="H510">
        <v>7039047740</v>
      </c>
      <c r="I510" t="s">
        <v>24</v>
      </c>
      <c r="J510" t="s">
        <v>61</v>
      </c>
      <c r="K510" t="s">
        <v>62</v>
      </c>
      <c r="L510" t="s">
        <v>27</v>
      </c>
      <c r="M510" t="s">
        <v>28</v>
      </c>
      <c r="N510" t="s">
        <v>29</v>
      </c>
      <c r="O510">
        <v>13</v>
      </c>
      <c r="P510">
        <v>6315.46</v>
      </c>
      <c r="Q510">
        <v>20</v>
      </c>
      <c r="R510">
        <v>16420.2</v>
      </c>
      <c r="S510" s="11">
        <v>65680.78</v>
      </c>
      <c r="T510">
        <v>-6.06</v>
      </c>
      <c r="U510">
        <f t="shared" si="7"/>
        <v>65680.78</v>
      </c>
    </row>
    <row r="511" spans="1:21" ht="15" customHeight="1" x14ac:dyDescent="0.25">
      <c r="A511" t="s">
        <v>2414</v>
      </c>
      <c r="B511" s="8">
        <v>45124</v>
      </c>
      <c r="C511" s="8">
        <v>45131</v>
      </c>
      <c r="D511" t="s">
        <v>48</v>
      </c>
      <c r="E511" t="s">
        <v>3063</v>
      </c>
      <c r="F511" t="s">
        <v>3054</v>
      </c>
      <c r="G511" t="s">
        <v>2416</v>
      </c>
      <c r="H511">
        <v>8101155591</v>
      </c>
      <c r="I511" t="s">
        <v>43</v>
      </c>
      <c r="J511" t="s">
        <v>25</v>
      </c>
      <c r="K511" t="s">
        <v>168</v>
      </c>
      <c r="L511" t="s">
        <v>85</v>
      </c>
      <c r="M511" t="s">
        <v>266</v>
      </c>
      <c r="N511" t="s">
        <v>803</v>
      </c>
      <c r="O511">
        <v>16</v>
      </c>
      <c r="P511">
        <v>32117.9</v>
      </c>
      <c r="Q511">
        <v>0</v>
      </c>
      <c r="R511">
        <v>0</v>
      </c>
      <c r="S511" s="11">
        <v>513886.4</v>
      </c>
      <c r="T511">
        <v>-58218.77</v>
      </c>
      <c r="U511">
        <f t="shared" si="7"/>
        <v>513886.4</v>
      </c>
    </row>
    <row r="512" spans="1:21" ht="15" customHeight="1" x14ac:dyDescent="0.25">
      <c r="A512" t="s">
        <v>495</v>
      </c>
      <c r="B512" s="8">
        <v>45124</v>
      </c>
      <c r="C512" s="8">
        <v>45127</v>
      </c>
      <c r="D512" t="s">
        <v>73</v>
      </c>
      <c r="E512" t="s">
        <v>3093</v>
      </c>
      <c r="F512" t="s">
        <v>3088</v>
      </c>
      <c r="G512" t="s">
        <v>497</v>
      </c>
      <c r="H512">
        <v>8153829240</v>
      </c>
      <c r="I512" t="s">
        <v>43</v>
      </c>
      <c r="J512" t="s">
        <v>51</v>
      </c>
      <c r="K512" t="s">
        <v>52</v>
      </c>
      <c r="L512" t="s">
        <v>27</v>
      </c>
      <c r="M512" t="s">
        <v>173</v>
      </c>
      <c r="N512" t="s">
        <v>380</v>
      </c>
      <c r="O512">
        <v>20</v>
      </c>
      <c r="P512">
        <v>1618.24</v>
      </c>
      <c r="Q512">
        <v>10</v>
      </c>
      <c r="R512">
        <v>3236.48</v>
      </c>
      <c r="S512" s="11">
        <v>29128.32</v>
      </c>
      <c r="T512">
        <v>10355.64</v>
      </c>
      <c r="U512">
        <f t="shared" si="7"/>
        <v>29128.32</v>
      </c>
    </row>
    <row r="513" spans="1:21" ht="15" customHeight="1" x14ac:dyDescent="0.25">
      <c r="A513" t="s">
        <v>2854</v>
      </c>
      <c r="B513" s="8">
        <v>45125</v>
      </c>
      <c r="C513" s="8">
        <v>45131</v>
      </c>
      <c r="D513" t="s">
        <v>48</v>
      </c>
      <c r="E513" t="s">
        <v>3065</v>
      </c>
      <c r="F513" t="s">
        <v>3042</v>
      </c>
      <c r="G513" t="s">
        <v>2856</v>
      </c>
      <c r="H513">
        <v>8131758400</v>
      </c>
      <c r="I513" t="s">
        <v>24</v>
      </c>
      <c r="J513" t="s">
        <v>25</v>
      </c>
      <c r="K513" t="s">
        <v>26</v>
      </c>
      <c r="L513" t="s">
        <v>85</v>
      </c>
      <c r="M513" t="s">
        <v>218</v>
      </c>
      <c r="N513" t="s">
        <v>708</v>
      </c>
      <c r="O513">
        <v>10</v>
      </c>
      <c r="P513">
        <v>41994.879999999997</v>
      </c>
      <c r="Q513">
        <v>20</v>
      </c>
      <c r="R513">
        <v>83989.759999999995</v>
      </c>
      <c r="S513" s="11">
        <v>335959.03999999998</v>
      </c>
      <c r="T513">
        <v>-38042.29</v>
      </c>
      <c r="U513">
        <f t="shared" si="7"/>
        <v>335959.03999999998</v>
      </c>
    </row>
    <row r="514" spans="1:21" ht="15" customHeight="1" x14ac:dyDescent="0.25">
      <c r="A514" t="s">
        <v>860</v>
      </c>
      <c r="B514" s="8">
        <v>45125</v>
      </c>
      <c r="C514" s="8">
        <v>45128</v>
      </c>
      <c r="D514" t="s">
        <v>20</v>
      </c>
      <c r="E514" t="s">
        <v>3098</v>
      </c>
      <c r="F514" t="s">
        <v>3086</v>
      </c>
      <c r="G514" t="s">
        <v>862</v>
      </c>
      <c r="H514">
        <v>8145227836</v>
      </c>
      <c r="I514" t="s">
        <v>43</v>
      </c>
      <c r="J514" t="s">
        <v>25</v>
      </c>
      <c r="K514" t="s">
        <v>126</v>
      </c>
      <c r="L514" t="s">
        <v>85</v>
      </c>
      <c r="M514" t="s">
        <v>486</v>
      </c>
      <c r="N514" t="s">
        <v>543</v>
      </c>
      <c r="O514">
        <v>20</v>
      </c>
      <c r="P514">
        <v>124477.74</v>
      </c>
      <c r="Q514">
        <v>15</v>
      </c>
      <c r="R514">
        <v>373433.22</v>
      </c>
      <c r="S514" s="11">
        <v>2116121.58</v>
      </c>
      <c r="T514">
        <v>424689.29</v>
      </c>
      <c r="U514">
        <f t="shared" ref="U514:U577" si="8">VALUE(S514)</f>
        <v>2116121.58</v>
      </c>
    </row>
    <row r="515" spans="1:21" ht="15" customHeight="1" x14ac:dyDescent="0.25">
      <c r="A515" t="s">
        <v>2910</v>
      </c>
      <c r="B515" s="8">
        <v>45125</v>
      </c>
      <c r="C515" s="8">
        <v>45126</v>
      </c>
      <c r="D515" t="s">
        <v>32</v>
      </c>
      <c r="E515" t="s">
        <v>3095</v>
      </c>
      <c r="F515" t="s">
        <v>3066</v>
      </c>
      <c r="G515" t="s">
        <v>2912</v>
      </c>
      <c r="H515">
        <v>8065280661</v>
      </c>
      <c r="I515" t="s">
        <v>35</v>
      </c>
      <c r="J515" t="s">
        <v>61</v>
      </c>
      <c r="K515" t="s">
        <v>95</v>
      </c>
      <c r="L515" t="s">
        <v>96</v>
      </c>
      <c r="M515" t="s">
        <v>97</v>
      </c>
      <c r="N515" t="s">
        <v>443</v>
      </c>
      <c r="O515">
        <v>14</v>
      </c>
      <c r="P515">
        <v>241060.91</v>
      </c>
      <c r="Q515">
        <v>0</v>
      </c>
      <c r="R515">
        <v>0</v>
      </c>
      <c r="S515" s="11">
        <v>3374852.74</v>
      </c>
      <c r="T515">
        <v>1173604.52</v>
      </c>
      <c r="U515">
        <f t="shared" si="8"/>
        <v>3374852.74</v>
      </c>
    </row>
    <row r="516" spans="1:21" ht="15" customHeight="1" x14ac:dyDescent="0.25">
      <c r="A516" t="s">
        <v>1830</v>
      </c>
      <c r="B516" s="8">
        <v>45125</v>
      </c>
      <c r="C516" s="8">
        <v>45126</v>
      </c>
      <c r="D516" t="s">
        <v>32</v>
      </c>
      <c r="E516" t="s">
        <v>3101</v>
      </c>
      <c r="F516" t="s">
        <v>3046</v>
      </c>
      <c r="G516" t="s">
        <v>1832</v>
      </c>
      <c r="H516">
        <v>8062386418</v>
      </c>
      <c r="I516" t="s">
        <v>24</v>
      </c>
      <c r="J516" t="s">
        <v>25</v>
      </c>
      <c r="K516" t="s">
        <v>168</v>
      </c>
      <c r="L516" t="s">
        <v>96</v>
      </c>
      <c r="M516" t="s">
        <v>189</v>
      </c>
      <c r="N516" t="s">
        <v>205</v>
      </c>
      <c r="O516">
        <v>19</v>
      </c>
      <c r="P516">
        <v>112846.74</v>
      </c>
      <c r="Q516">
        <v>20</v>
      </c>
      <c r="R516">
        <v>428817.61</v>
      </c>
      <c r="S516" s="11">
        <v>1715270.45</v>
      </c>
      <c r="T516">
        <v>24416.68</v>
      </c>
      <c r="U516">
        <f t="shared" si="8"/>
        <v>1715270.45</v>
      </c>
    </row>
    <row r="517" spans="1:21" ht="15" customHeight="1" x14ac:dyDescent="0.25">
      <c r="A517" t="s">
        <v>2161</v>
      </c>
      <c r="B517" s="8">
        <v>45127</v>
      </c>
      <c r="C517" s="8">
        <v>45130</v>
      </c>
      <c r="D517" t="s">
        <v>20</v>
      </c>
      <c r="E517" t="s">
        <v>3089</v>
      </c>
      <c r="F517" t="s">
        <v>3054</v>
      </c>
      <c r="G517" t="s">
        <v>1383</v>
      </c>
      <c r="H517">
        <v>9073927545</v>
      </c>
      <c r="I517" t="s">
        <v>35</v>
      </c>
      <c r="J517" t="s">
        <v>25</v>
      </c>
      <c r="K517" t="s">
        <v>168</v>
      </c>
      <c r="L517" t="s">
        <v>85</v>
      </c>
      <c r="M517" t="s">
        <v>266</v>
      </c>
      <c r="N517" t="s">
        <v>267</v>
      </c>
      <c r="O517">
        <v>2</v>
      </c>
      <c r="P517">
        <v>48019.66</v>
      </c>
      <c r="Q517">
        <v>0</v>
      </c>
      <c r="R517">
        <v>0</v>
      </c>
      <c r="S517" s="11">
        <v>96039.32</v>
      </c>
      <c r="T517">
        <v>25034.07</v>
      </c>
      <c r="U517">
        <f t="shared" si="8"/>
        <v>96039.32</v>
      </c>
    </row>
    <row r="518" spans="1:21" ht="15" customHeight="1" x14ac:dyDescent="0.25">
      <c r="A518" t="s">
        <v>1350</v>
      </c>
      <c r="B518" s="8">
        <v>45128</v>
      </c>
      <c r="C518" s="8">
        <v>45131</v>
      </c>
      <c r="D518" t="s">
        <v>73</v>
      </c>
      <c r="E518" t="s">
        <v>3050</v>
      </c>
      <c r="F518" t="s">
        <v>3038</v>
      </c>
      <c r="G518" t="s">
        <v>1178</v>
      </c>
      <c r="H518">
        <v>9078959326</v>
      </c>
      <c r="I518" t="s">
        <v>24</v>
      </c>
      <c r="J518" t="s">
        <v>61</v>
      </c>
      <c r="K518" t="s">
        <v>204</v>
      </c>
      <c r="L518" t="s">
        <v>108</v>
      </c>
      <c r="M518" t="s">
        <v>109</v>
      </c>
      <c r="N518" t="s">
        <v>1258</v>
      </c>
      <c r="O518">
        <v>2</v>
      </c>
      <c r="P518">
        <v>30816.13</v>
      </c>
      <c r="Q518">
        <v>0</v>
      </c>
      <c r="R518">
        <v>0</v>
      </c>
      <c r="S518" s="11">
        <v>61632.26</v>
      </c>
      <c r="T518">
        <v>14601.7</v>
      </c>
      <c r="U518">
        <f t="shared" si="8"/>
        <v>61632.26</v>
      </c>
    </row>
    <row r="519" spans="1:21" ht="15" customHeight="1" x14ac:dyDescent="0.25">
      <c r="A519" t="s">
        <v>356</v>
      </c>
      <c r="B519" s="8">
        <v>45129</v>
      </c>
      <c r="C519" s="8">
        <v>45135</v>
      </c>
      <c r="D519" t="s">
        <v>48</v>
      </c>
      <c r="E519" t="s">
        <v>3033</v>
      </c>
      <c r="F519" t="s">
        <v>3077</v>
      </c>
      <c r="G519" t="s">
        <v>358</v>
      </c>
      <c r="H519">
        <v>9023927575</v>
      </c>
      <c r="I519" t="s">
        <v>35</v>
      </c>
      <c r="J519" t="s">
        <v>61</v>
      </c>
      <c r="K519" t="s">
        <v>182</v>
      </c>
      <c r="L519" t="s">
        <v>96</v>
      </c>
      <c r="M519" t="s">
        <v>120</v>
      </c>
      <c r="N519" t="s">
        <v>359</v>
      </c>
      <c r="O519">
        <v>8</v>
      </c>
      <c r="P519">
        <v>21464.240000000002</v>
      </c>
      <c r="Q519">
        <v>10</v>
      </c>
      <c r="R519">
        <v>17171.39</v>
      </c>
      <c r="S519" s="11">
        <v>154542.53</v>
      </c>
      <c r="T519">
        <v>-21718.07</v>
      </c>
      <c r="U519">
        <f t="shared" si="8"/>
        <v>154542.53</v>
      </c>
    </row>
    <row r="520" spans="1:21" ht="15" customHeight="1" x14ac:dyDescent="0.25">
      <c r="A520" t="s">
        <v>1907</v>
      </c>
      <c r="B520" s="8">
        <v>45130</v>
      </c>
      <c r="C520" s="8">
        <v>45133</v>
      </c>
      <c r="D520" t="s">
        <v>73</v>
      </c>
      <c r="E520" t="s">
        <v>3091</v>
      </c>
      <c r="F520" t="s">
        <v>3086</v>
      </c>
      <c r="G520" t="s">
        <v>1909</v>
      </c>
      <c r="H520">
        <v>9075177662</v>
      </c>
      <c r="I520" t="s">
        <v>35</v>
      </c>
      <c r="J520" t="s">
        <v>61</v>
      </c>
      <c r="K520" t="s">
        <v>182</v>
      </c>
      <c r="L520" t="s">
        <v>85</v>
      </c>
      <c r="M520" t="s">
        <v>266</v>
      </c>
      <c r="N520" t="s">
        <v>267</v>
      </c>
      <c r="O520">
        <v>12</v>
      </c>
      <c r="P520">
        <v>8240.7900000000009</v>
      </c>
      <c r="Q520">
        <v>10</v>
      </c>
      <c r="R520">
        <v>9888.9500000000007</v>
      </c>
      <c r="S520" s="11">
        <v>89000.53</v>
      </c>
      <c r="T520">
        <v>3981.63</v>
      </c>
      <c r="U520">
        <f t="shared" si="8"/>
        <v>89000.53</v>
      </c>
    </row>
    <row r="521" spans="1:21" ht="15" customHeight="1" x14ac:dyDescent="0.25">
      <c r="A521" t="s">
        <v>2782</v>
      </c>
      <c r="B521" s="8">
        <v>45131</v>
      </c>
      <c r="C521" s="8">
        <v>45131</v>
      </c>
      <c r="D521" t="s">
        <v>32</v>
      </c>
      <c r="E521" t="s">
        <v>3065</v>
      </c>
      <c r="F521" t="s">
        <v>3066</v>
      </c>
      <c r="G521" t="s">
        <v>153</v>
      </c>
      <c r="H521">
        <v>9021154772</v>
      </c>
      <c r="I521" t="s">
        <v>24</v>
      </c>
      <c r="J521" t="s">
        <v>61</v>
      </c>
      <c r="K521" t="s">
        <v>62</v>
      </c>
      <c r="L521" t="s">
        <v>63</v>
      </c>
      <c r="M521" t="s">
        <v>469</v>
      </c>
      <c r="N521" t="s">
        <v>1082</v>
      </c>
      <c r="O521">
        <v>12</v>
      </c>
      <c r="P521">
        <v>20105.11</v>
      </c>
      <c r="Q521">
        <v>10</v>
      </c>
      <c r="R521">
        <v>24126.13</v>
      </c>
      <c r="S521" s="11">
        <v>217135.19</v>
      </c>
      <c r="T521">
        <v>-32213.66</v>
      </c>
      <c r="U521">
        <f t="shared" si="8"/>
        <v>217135.19</v>
      </c>
    </row>
    <row r="522" spans="1:21" ht="15" customHeight="1" x14ac:dyDescent="0.25">
      <c r="A522" t="s">
        <v>280</v>
      </c>
      <c r="B522" s="8">
        <v>45131</v>
      </c>
      <c r="C522" s="8">
        <v>45131</v>
      </c>
      <c r="D522" t="s">
        <v>32</v>
      </c>
      <c r="E522" t="s">
        <v>3035</v>
      </c>
      <c r="F522" t="s">
        <v>3066</v>
      </c>
      <c r="G522" t="s">
        <v>282</v>
      </c>
      <c r="H522">
        <v>8068885465</v>
      </c>
      <c r="I522" t="s">
        <v>24</v>
      </c>
      <c r="J522" t="s">
        <v>61</v>
      </c>
      <c r="K522" t="s">
        <v>204</v>
      </c>
      <c r="L522" t="s">
        <v>63</v>
      </c>
      <c r="M522" t="s">
        <v>64</v>
      </c>
      <c r="N522" t="s">
        <v>65</v>
      </c>
      <c r="O522">
        <v>4</v>
      </c>
      <c r="P522" t="s">
        <v>283</v>
      </c>
      <c r="Q522">
        <v>0</v>
      </c>
      <c r="R522">
        <v>0</v>
      </c>
      <c r="S522" s="11">
        <v>33463.72</v>
      </c>
      <c r="T522">
        <v>1602.32</v>
      </c>
      <c r="U522">
        <f t="shared" si="8"/>
        <v>33463.72</v>
      </c>
    </row>
    <row r="523" spans="1:21" ht="15" customHeight="1" x14ac:dyDescent="0.25">
      <c r="A523" t="s">
        <v>280</v>
      </c>
      <c r="B523" s="8">
        <v>45131</v>
      </c>
      <c r="C523" s="8">
        <v>45131</v>
      </c>
      <c r="D523" t="s">
        <v>32</v>
      </c>
      <c r="E523" t="s">
        <v>3035</v>
      </c>
      <c r="F523" t="s">
        <v>3066</v>
      </c>
      <c r="G523" t="s">
        <v>282</v>
      </c>
      <c r="H523">
        <v>8068885465</v>
      </c>
      <c r="I523" t="s">
        <v>24</v>
      </c>
      <c r="J523" t="s">
        <v>61</v>
      </c>
      <c r="K523" t="s">
        <v>204</v>
      </c>
      <c r="L523" t="s">
        <v>63</v>
      </c>
      <c r="M523" t="s">
        <v>64</v>
      </c>
      <c r="N523" t="s">
        <v>65</v>
      </c>
      <c r="O523">
        <v>4</v>
      </c>
      <c r="P523">
        <v>8365.93</v>
      </c>
      <c r="Q523">
        <v>0</v>
      </c>
      <c r="R523">
        <v>0</v>
      </c>
      <c r="S523" s="11">
        <v>33463.72</v>
      </c>
      <c r="T523">
        <v>1602.32</v>
      </c>
      <c r="U523">
        <f t="shared" si="8"/>
        <v>33463.72</v>
      </c>
    </row>
    <row r="524" spans="1:21" ht="15" customHeight="1" x14ac:dyDescent="0.25">
      <c r="A524" t="s">
        <v>1736</v>
      </c>
      <c r="B524" s="8">
        <v>45132</v>
      </c>
      <c r="C524" s="8">
        <v>45139</v>
      </c>
      <c r="D524" t="s">
        <v>48</v>
      </c>
      <c r="E524" t="s">
        <v>3063</v>
      </c>
      <c r="F524" t="s">
        <v>3050</v>
      </c>
      <c r="G524" t="s">
        <v>1738</v>
      </c>
      <c r="H524">
        <v>7066058905</v>
      </c>
      <c r="I524" t="s">
        <v>35</v>
      </c>
      <c r="J524" t="s">
        <v>61</v>
      </c>
      <c r="K524" t="s">
        <v>204</v>
      </c>
      <c r="L524" t="s">
        <v>27</v>
      </c>
      <c r="M524" t="s">
        <v>28</v>
      </c>
      <c r="N524" t="s">
        <v>29</v>
      </c>
      <c r="O524">
        <v>19</v>
      </c>
      <c r="P524">
        <v>5786.49</v>
      </c>
      <c r="Q524">
        <v>0</v>
      </c>
      <c r="R524">
        <v>0</v>
      </c>
      <c r="S524" s="11">
        <v>109943.31</v>
      </c>
      <c r="T524">
        <v>127.98</v>
      </c>
      <c r="U524">
        <f t="shared" si="8"/>
        <v>109943.31</v>
      </c>
    </row>
    <row r="525" spans="1:21" ht="15" customHeight="1" x14ac:dyDescent="0.25">
      <c r="A525" t="s">
        <v>381</v>
      </c>
      <c r="B525" s="8">
        <v>45132</v>
      </c>
      <c r="C525" s="8">
        <v>45138</v>
      </c>
      <c r="D525" t="s">
        <v>48</v>
      </c>
      <c r="E525" t="s">
        <v>3068</v>
      </c>
      <c r="F525" t="s">
        <v>3086</v>
      </c>
      <c r="G525" t="s">
        <v>383</v>
      </c>
      <c r="H525">
        <v>9055487028</v>
      </c>
      <c r="I525" t="s">
        <v>43</v>
      </c>
      <c r="J525" t="s">
        <v>384</v>
      </c>
      <c r="K525" t="s">
        <v>227</v>
      </c>
      <c r="L525" t="s">
        <v>96</v>
      </c>
      <c r="M525" t="s">
        <v>385</v>
      </c>
      <c r="N525" t="s">
        <v>386</v>
      </c>
      <c r="O525">
        <v>10</v>
      </c>
      <c r="P525">
        <v>320673.96999999997</v>
      </c>
      <c r="Q525">
        <v>10</v>
      </c>
      <c r="R525">
        <v>320673.96999999997</v>
      </c>
      <c r="S525" s="11">
        <v>2886065.73</v>
      </c>
      <c r="T525">
        <v>174936.14</v>
      </c>
      <c r="U525">
        <f t="shared" si="8"/>
        <v>2886065.73</v>
      </c>
    </row>
    <row r="526" spans="1:21" ht="15" customHeight="1" x14ac:dyDescent="0.25">
      <c r="A526" t="s">
        <v>2201</v>
      </c>
      <c r="B526" s="8">
        <v>45132</v>
      </c>
      <c r="C526" s="8">
        <v>45137</v>
      </c>
      <c r="D526" t="s">
        <v>1823</v>
      </c>
      <c r="E526" t="s">
        <v>3056</v>
      </c>
      <c r="F526" t="s">
        <v>3039</v>
      </c>
      <c r="G526" t="s">
        <v>2202</v>
      </c>
      <c r="H526">
        <v>9014731953</v>
      </c>
      <c r="I526" t="s">
        <v>35</v>
      </c>
      <c r="J526" t="s">
        <v>69</v>
      </c>
      <c r="K526" t="s">
        <v>144</v>
      </c>
      <c r="L526" t="s">
        <v>96</v>
      </c>
      <c r="M526" t="s">
        <v>97</v>
      </c>
      <c r="N526" t="s">
        <v>443</v>
      </c>
      <c r="O526">
        <v>9</v>
      </c>
      <c r="P526">
        <v>235571.18</v>
      </c>
      <c r="Q526">
        <v>20</v>
      </c>
      <c r="R526">
        <v>424028.12</v>
      </c>
      <c r="S526" s="11">
        <v>1696112.5</v>
      </c>
      <c r="T526">
        <v>387348.62</v>
      </c>
      <c r="U526">
        <f t="shared" si="8"/>
        <v>1696112.5</v>
      </c>
    </row>
    <row r="527" spans="1:21" ht="15" customHeight="1" x14ac:dyDescent="0.25">
      <c r="A527" t="s">
        <v>1932</v>
      </c>
      <c r="B527" s="8">
        <v>45132</v>
      </c>
      <c r="C527" s="8">
        <v>45132</v>
      </c>
      <c r="D527" t="s">
        <v>32</v>
      </c>
      <c r="E527" t="s">
        <v>3081</v>
      </c>
      <c r="F527" t="s">
        <v>3074</v>
      </c>
      <c r="G527" t="s">
        <v>1705</v>
      </c>
      <c r="H527">
        <v>8107459520</v>
      </c>
      <c r="I527" t="s">
        <v>35</v>
      </c>
      <c r="J527" t="s">
        <v>69</v>
      </c>
      <c r="K527" t="s">
        <v>307</v>
      </c>
      <c r="L527" t="s">
        <v>63</v>
      </c>
      <c r="M527" t="s">
        <v>558</v>
      </c>
      <c r="N527" t="s">
        <v>559</v>
      </c>
      <c r="O527">
        <v>14</v>
      </c>
      <c r="P527">
        <v>10883.89</v>
      </c>
      <c r="Q527">
        <v>10</v>
      </c>
      <c r="R527">
        <v>15237.45</v>
      </c>
      <c r="S527" s="11">
        <v>137137.01</v>
      </c>
      <c r="T527">
        <v>-9197.4</v>
      </c>
      <c r="U527">
        <f t="shared" si="8"/>
        <v>137137.01</v>
      </c>
    </row>
    <row r="528" spans="1:21" ht="15" customHeight="1" x14ac:dyDescent="0.25">
      <c r="A528" t="s">
        <v>2668</v>
      </c>
      <c r="B528" s="8">
        <v>45133</v>
      </c>
      <c r="C528" s="8">
        <v>45141</v>
      </c>
      <c r="D528" t="s">
        <v>48</v>
      </c>
      <c r="E528" t="s">
        <v>3060</v>
      </c>
      <c r="F528" t="s">
        <v>3078</v>
      </c>
      <c r="G528" t="s">
        <v>2670</v>
      </c>
      <c r="H528" t="s">
        <v>59</v>
      </c>
      <c r="I528" t="s">
        <v>43</v>
      </c>
      <c r="J528" t="s">
        <v>25</v>
      </c>
      <c r="K528" t="s">
        <v>168</v>
      </c>
      <c r="L528" t="s">
        <v>96</v>
      </c>
      <c r="M528" t="s">
        <v>97</v>
      </c>
      <c r="N528" t="s">
        <v>1416</v>
      </c>
      <c r="O528">
        <v>17</v>
      </c>
      <c r="P528">
        <v>221462.1</v>
      </c>
      <c r="Q528">
        <v>5</v>
      </c>
      <c r="R528">
        <v>188242.79</v>
      </c>
      <c r="S528" s="11">
        <v>3576612.91</v>
      </c>
      <c r="T528">
        <v>1409077.27</v>
      </c>
      <c r="U528">
        <f t="shared" si="8"/>
        <v>3576612.91</v>
      </c>
    </row>
    <row r="529" spans="1:21" ht="15" customHeight="1" x14ac:dyDescent="0.25">
      <c r="A529" t="s">
        <v>2948</v>
      </c>
      <c r="B529" s="8">
        <v>45133</v>
      </c>
      <c r="C529" s="8">
        <v>45138</v>
      </c>
      <c r="D529" t="s">
        <v>48</v>
      </c>
      <c r="E529" t="s">
        <v>3076</v>
      </c>
      <c r="F529" t="s">
        <v>3040</v>
      </c>
      <c r="G529" t="s">
        <v>2949</v>
      </c>
      <c r="H529">
        <v>8036392076</v>
      </c>
      <c r="I529" t="s">
        <v>24</v>
      </c>
      <c r="J529" t="s">
        <v>25</v>
      </c>
      <c r="K529" t="s">
        <v>168</v>
      </c>
      <c r="L529" t="s">
        <v>96</v>
      </c>
      <c r="M529" t="s">
        <v>189</v>
      </c>
      <c r="N529" t="s">
        <v>478</v>
      </c>
      <c r="O529">
        <v>17</v>
      </c>
      <c r="P529">
        <v>351539.63</v>
      </c>
      <c r="Q529">
        <v>5</v>
      </c>
      <c r="R529">
        <v>298808.69</v>
      </c>
      <c r="S529" s="11">
        <v>5677365.0199999996</v>
      </c>
      <c r="T529">
        <v>2118249.8199999998</v>
      </c>
      <c r="U529">
        <f t="shared" si="8"/>
        <v>5677365.0199999996</v>
      </c>
    </row>
    <row r="530" spans="1:21" ht="15" customHeight="1" x14ac:dyDescent="0.25">
      <c r="A530" t="s">
        <v>1363</v>
      </c>
      <c r="B530" s="8">
        <v>45133</v>
      </c>
      <c r="C530" s="8">
        <v>45133</v>
      </c>
      <c r="D530" t="s">
        <v>32</v>
      </c>
      <c r="E530" t="s">
        <v>3068</v>
      </c>
      <c r="F530" t="s">
        <v>3034</v>
      </c>
      <c r="G530" t="s">
        <v>1365</v>
      </c>
      <c r="H530">
        <v>8136491114</v>
      </c>
      <c r="I530" t="s">
        <v>43</v>
      </c>
      <c r="J530" t="s">
        <v>61</v>
      </c>
      <c r="K530" t="s">
        <v>84</v>
      </c>
      <c r="L530" t="s">
        <v>108</v>
      </c>
      <c r="M530" t="s">
        <v>189</v>
      </c>
      <c r="N530" t="s">
        <v>190</v>
      </c>
      <c r="O530">
        <v>19</v>
      </c>
      <c r="P530">
        <v>40348.370000000003</v>
      </c>
      <c r="Q530">
        <v>0</v>
      </c>
      <c r="R530">
        <v>0</v>
      </c>
      <c r="S530" s="11">
        <v>766619.03</v>
      </c>
      <c r="T530">
        <v>305308.2</v>
      </c>
      <c r="U530">
        <f t="shared" si="8"/>
        <v>766619.03</v>
      </c>
    </row>
    <row r="531" spans="1:21" ht="15" customHeight="1" x14ac:dyDescent="0.25">
      <c r="A531" t="s">
        <v>1587</v>
      </c>
      <c r="B531" s="8">
        <v>45134</v>
      </c>
      <c r="C531" s="8">
        <v>45140</v>
      </c>
      <c r="D531" t="s">
        <v>48</v>
      </c>
      <c r="E531" t="s">
        <v>3058</v>
      </c>
      <c r="F531" t="s">
        <v>3071</v>
      </c>
      <c r="G531" t="s">
        <v>1589</v>
      </c>
      <c r="H531">
        <v>8158417942</v>
      </c>
      <c r="I531" t="s">
        <v>43</v>
      </c>
      <c r="J531" t="s">
        <v>51</v>
      </c>
      <c r="K531" t="s">
        <v>223</v>
      </c>
      <c r="L531" t="s">
        <v>63</v>
      </c>
      <c r="M531" t="s">
        <v>194</v>
      </c>
      <c r="N531" t="s">
        <v>257</v>
      </c>
      <c r="O531">
        <v>10</v>
      </c>
      <c r="P531">
        <v>19497.310000000001</v>
      </c>
      <c r="Q531">
        <v>0</v>
      </c>
      <c r="R531">
        <v>0</v>
      </c>
      <c r="S531" s="11">
        <v>194973.1</v>
      </c>
      <c r="T531">
        <v>-24921.05</v>
      </c>
      <c r="U531">
        <f t="shared" si="8"/>
        <v>194973.1</v>
      </c>
    </row>
    <row r="532" spans="1:21" ht="15" customHeight="1" x14ac:dyDescent="0.25">
      <c r="A532" t="s">
        <v>520</v>
      </c>
      <c r="B532" s="8">
        <v>45134</v>
      </c>
      <c r="C532" s="8">
        <v>45134</v>
      </c>
      <c r="D532" t="s">
        <v>32</v>
      </c>
      <c r="E532" t="s">
        <v>3033</v>
      </c>
      <c r="F532" t="s">
        <v>3038</v>
      </c>
      <c r="G532" t="s">
        <v>522</v>
      </c>
      <c r="H532">
        <v>7036688907</v>
      </c>
      <c r="I532" t="s">
        <v>43</v>
      </c>
      <c r="J532" t="s">
        <v>51</v>
      </c>
      <c r="K532" t="s">
        <v>52</v>
      </c>
      <c r="L532" t="s">
        <v>27</v>
      </c>
      <c r="M532" t="s">
        <v>45</v>
      </c>
      <c r="N532" t="s">
        <v>523</v>
      </c>
      <c r="O532">
        <v>17</v>
      </c>
      <c r="P532">
        <v>1832.75</v>
      </c>
      <c r="Q532">
        <v>15</v>
      </c>
      <c r="R532">
        <v>4673.51</v>
      </c>
      <c r="S532" s="11">
        <v>26483.24</v>
      </c>
      <c r="T532">
        <v>3973.72</v>
      </c>
      <c r="U532">
        <f t="shared" si="8"/>
        <v>26483.24</v>
      </c>
    </row>
    <row r="533" spans="1:21" ht="15" customHeight="1" x14ac:dyDescent="0.25">
      <c r="A533" t="s">
        <v>629</v>
      </c>
      <c r="B533" s="8">
        <v>45136</v>
      </c>
      <c r="C533" s="8">
        <v>45141</v>
      </c>
      <c r="D533" t="s">
        <v>48</v>
      </c>
      <c r="E533" t="s">
        <v>3065</v>
      </c>
      <c r="F533" t="s">
        <v>3086</v>
      </c>
      <c r="G533" t="s">
        <v>631</v>
      </c>
      <c r="H533">
        <v>8034475536</v>
      </c>
      <c r="I533" t="s">
        <v>35</v>
      </c>
      <c r="J533" t="s">
        <v>69</v>
      </c>
      <c r="K533" t="s">
        <v>144</v>
      </c>
      <c r="L533" t="s">
        <v>27</v>
      </c>
      <c r="M533" t="s">
        <v>354</v>
      </c>
      <c r="N533" t="s">
        <v>433</v>
      </c>
      <c r="O533">
        <v>10</v>
      </c>
      <c r="P533">
        <v>7452.34</v>
      </c>
      <c r="Q533">
        <v>0</v>
      </c>
      <c r="R533">
        <v>0</v>
      </c>
      <c r="S533" s="11">
        <v>74523.399999999994</v>
      </c>
      <c r="T533">
        <v>14038.34</v>
      </c>
      <c r="U533">
        <f t="shared" si="8"/>
        <v>74523.399999999994</v>
      </c>
    </row>
    <row r="534" spans="1:21" ht="15" customHeight="1" x14ac:dyDescent="0.25">
      <c r="A534" t="s">
        <v>1235</v>
      </c>
      <c r="B534" s="8">
        <v>45136</v>
      </c>
      <c r="C534" s="8">
        <v>45139</v>
      </c>
      <c r="D534" t="s">
        <v>73</v>
      </c>
      <c r="E534" t="s">
        <v>3095</v>
      </c>
      <c r="F534" t="s">
        <v>3045</v>
      </c>
      <c r="G534" t="s">
        <v>1237</v>
      </c>
      <c r="H534">
        <v>9057535837</v>
      </c>
      <c r="I534" t="s">
        <v>125</v>
      </c>
      <c r="J534" t="s">
        <v>51</v>
      </c>
      <c r="K534" t="s">
        <v>223</v>
      </c>
      <c r="L534" t="s">
        <v>85</v>
      </c>
      <c r="M534" t="s">
        <v>266</v>
      </c>
      <c r="N534" t="s">
        <v>267</v>
      </c>
      <c r="O534">
        <v>10</v>
      </c>
      <c r="P534">
        <v>156710.10999999999</v>
      </c>
      <c r="Q534">
        <v>10</v>
      </c>
      <c r="R534">
        <v>156710.10999999999</v>
      </c>
      <c r="S534" s="11">
        <v>1410390.99</v>
      </c>
      <c r="T534">
        <v>389132.53</v>
      </c>
      <c r="U534">
        <f t="shared" si="8"/>
        <v>1410390.99</v>
      </c>
    </row>
    <row r="535" spans="1:21" ht="15" customHeight="1" x14ac:dyDescent="0.25">
      <c r="A535" t="s">
        <v>2304</v>
      </c>
      <c r="B535" s="8">
        <v>45138</v>
      </c>
      <c r="C535" s="8">
        <v>45138</v>
      </c>
      <c r="D535" t="s">
        <v>32</v>
      </c>
      <c r="E535" t="s">
        <v>3056</v>
      </c>
      <c r="F535" t="s">
        <v>3086</v>
      </c>
      <c r="G535" t="s">
        <v>2306</v>
      </c>
      <c r="H535">
        <v>8147158985</v>
      </c>
      <c r="I535" t="s">
        <v>35</v>
      </c>
      <c r="J535" t="s">
        <v>69</v>
      </c>
      <c r="L535" t="s">
        <v>96</v>
      </c>
      <c r="M535" t="s">
        <v>254</v>
      </c>
      <c r="N535" t="s">
        <v>455</v>
      </c>
      <c r="O535">
        <v>11</v>
      </c>
      <c r="P535">
        <v>124762.16</v>
      </c>
      <c r="Q535">
        <v>10</v>
      </c>
      <c r="R535">
        <v>137238.38</v>
      </c>
      <c r="S535" s="11">
        <v>1235145.3799999999</v>
      </c>
      <c r="T535">
        <v>383018.89</v>
      </c>
      <c r="U535">
        <f t="shared" si="8"/>
        <v>1235145.3799999999</v>
      </c>
    </row>
    <row r="536" spans="1:21" ht="15" customHeight="1" x14ac:dyDescent="0.25">
      <c r="A536" t="s">
        <v>1506</v>
      </c>
      <c r="B536" s="8">
        <v>45139</v>
      </c>
      <c r="C536" s="8">
        <v>45141</v>
      </c>
      <c r="D536" t="s">
        <v>20</v>
      </c>
      <c r="E536" t="s">
        <v>3081</v>
      </c>
      <c r="F536" t="s">
        <v>3066</v>
      </c>
      <c r="G536" t="s">
        <v>1507</v>
      </c>
      <c r="H536" t="s">
        <v>1508</v>
      </c>
      <c r="I536" t="s">
        <v>35</v>
      </c>
      <c r="J536" t="s">
        <v>61</v>
      </c>
      <c r="K536" t="s">
        <v>182</v>
      </c>
      <c r="L536" t="s">
        <v>108</v>
      </c>
      <c r="M536" t="s">
        <v>189</v>
      </c>
      <c r="N536" t="s">
        <v>190</v>
      </c>
      <c r="O536">
        <v>1</v>
      </c>
      <c r="P536">
        <v>2891.59</v>
      </c>
      <c r="Q536">
        <v>25</v>
      </c>
      <c r="R536">
        <v>722.9</v>
      </c>
      <c r="S536" s="11">
        <v>2168.69</v>
      </c>
      <c r="T536">
        <v>516.72</v>
      </c>
      <c r="U536">
        <f t="shared" si="8"/>
        <v>2168.69</v>
      </c>
    </row>
    <row r="537" spans="1:21" ht="15" customHeight="1" x14ac:dyDescent="0.25">
      <c r="A537" t="s">
        <v>863</v>
      </c>
      <c r="B537" s="8">
        <v>45140</v>
      </c>
      <c r="C537" s="8">
        <v>45143</v>
      </c>
      <c r="D537" t="s">
        <v>20</v>
      </c>
      <c r="E537" t="s">
        <v>3072</v>
      </c>
      <c r="F537" t="s">
        <v>3083</v>
      </c>
      <c r="G537" t="s">
        <v>865</v>
      </c>
      <c r="H537">
        <v>7035638619</v>
      </c>
      <c r="I537" t="s">
        <v>24</v>
      </c>
      <c r="J537" t="s">
        <v>25</v>
      </c>
      <c r="K537" t="s">
        <v>36</v>
      </c>
      <c r="L537" t="s">
        <v>63</v>
      </c>
      <c r="M537" t="s">
        <v>194</v>
      </c>
      <c r="N537" t="s">
        <v>716</v>
      </c>
      <c r="O537">
        <v>10</v>
      </c>
      <c r="P537">
        <v>6898.1</v>
      </c>
      <c r="Q537">
        <v>5</v>
      </c>
      <c r="R537">
        <v>3449.05</v>
      </c>
      <c r="S537" s="11">
        <v>65531.95</v>
      </c>
      <c r="T537">
        <v>-3934.7</v>
      </c>
      <c r="U537">
        <f t="shared" si="8"/>
        <v>65531.95</v>
      </c>
    </row>
    <row r="538" spans="1:21" ht="15" customHeight="1" x14ac:dyDescent="0.25">
      <c r="A538" t="s">
        <v>2204</v>
      </c>
      <c r="B538" s="8">
        <v>45140</v>
      </c>
      <c r="C538" s="8">
        <v>45140</v>
      </c>
      <c r="D538" t="s">
        <v>32</v>
      </c>
      <c r="E538" t="s">
        <v>3050</v>
      </c>
      <c r="F538" t="s">
        <v>3040</v>
      </c>
      <c r="G538" t="s">
        <v>2206</v>
      </c>
      <c r="H538">
        <v>8154593496</v>
      </c>
      <c r="I538" t="s">
        <v>35</v>
      </c>
      <c r="J538" t="s">
        <v>61</v>
      </c>
      <c r="K538" t="s">
        <v>204</v>
      </c>
      <c r="L538" t="s">
        <v>96</v>
      </c>
      <c r="M538" t="s">
        <v>189</v>
      </c>
      <c r="N538" t="s">
        <v>287</v>
      </c>
      <c r="O538">
        <v>20</v>
      </c>
      <c r="P538">
        <v>228450.65</v>
      </c>
      <c r="Q538">
        <v>5</v>
      </c>
      <c r="R538">
        <v>228450.65</v>
      </c>
      <c r="S538" s="11">
        <v>4340562.3499999996</v>
      </c>
      <c r="T538">
        <v>1197970.49</v>
      </c>
      <c r="U538">
        <f t="shared" si="8"/>
        <v>4340562.3499999996</v>
      </c>
    </row>
    <row r="539" spans="1:21" ht="15" customHeight="1" x14ac:dyDescent="0.25">
      <c r="A539" t="s">
        <v>2222</v>
      </c>
      <c r="B539" s="8">
        <v>45141</v>
      </c>
      <c r="C539" s="8">
        <v>45145</v>
      </c>
      <c r="D539" t="s">
        <v>73</v>
      </c>
      <c r="E539" t="s">
        <v>3047</v>
      </c>
      <c r="F539" t="s">
        <v>3043</v>
      </c>
      <c r="G539" t="s">
        <v>2223</v>
      </c>
      <c r="H539">
        <v>8035571090</v>
      </c>
      <c r="I539" t="s">
        <v>35</v>
      </c>
      <c r="J539" t="s">
        <v>69</v>
      </c>
      <c r="K539" t="s">
        <v>70</v>
      </c>
      <c r="L539" t="s">
        <v>96</v>
      </c>
      <c r="M539" t="s">
        <v>189</v>
      </c>
      <c r="N539" t="s">
        <v>478</v>
      </c>
      <c r="O539">
        <v>9</v>
      </c>
      <c r="P539">
        <v>72069.039999999994</v>
      </c>
      <c r="Q539">
        <v>0</v>
      </c>
      <c r="R539">
        <v>0</v>
      </c>
      <c r="S539" s="11">
        <v>648621.36</v>
      </c>
      <c r="T539">
        <v>-67510.94</v>
      </c>
      <c r="U539">
        <f t="shared" si="8"/>
        <v>648621.36</v>
      </c>
    </row>
    <row r="540" spans="1:21" ht="15" customHeight="1" x14ac:dyDescent="0.25">
      <c r="A540" t="s">
        <v>256</v>
      </c>
      <c r="B540" s="8">
        <v>45144</v>
      </c>
      <c r="C540" s="8">
        <v>45152</v>
      </c>
      <c r="D540" t="s">
        <v>48</v>
      </c>
      <c r="E540" t="s">
        <v>3055</v>
      </c>
      <c r="F540" t="s">
        <v>3071</v>
      </c>
      <c r="G540" t="s">
        <v>193</v>
      </c>
      <c r="H540">
        <v>8101861958</v>
      </c>
      <c r="I540" t="s">
        <v>35</v>
      </c>
      <c r="J540" t="s">
        <v>61</v>
      </c>
      <c r="K540" t="s">
        <v>204</v>
      </c>
      <c r="L540" t="s">
        <v>63</v>
      </c>
      <c r="M540" t="s">
        <v>194</v>
      </c>
      <c r="N540" t="s">
        <v>257</v>
      </c>
      <c r="O540">
        <v>3</v>
      </c>
      <c r="P540">
        <v>3295.13</v>
      </c>
      <c r="Q540">
        <v>15</v>
      </c>
      <c r="R540">
        <v>1482.81</v>
      </c>
      <c r="S540" s="11">
        <v>8402.58</v>
      </c>
      <c r="T540">
        <v>1218.78</v>
      </c>
      <c r="U540">
        <f t="shared" si="8"/>
        <v>8402.58</v>
      </c>
    </row>
    <row r="541" spans="1:21" ht="15" customHeight="1" x14ac:dyDescent="0.25">
      <c r="A541" t="s">
        <v>2746</v>
      </c>
      <c r="B541" s="8">
        <v>45145</v>
      </c>
      <c r="C541" s="8">
        <v>45148</v>
      </c>
      <c r="D541" t="s">
        <v>20</v>
      </c>
      <c r="E541" t="s">
        <v>3087</v>
      </c>
      <c r="F541" t="s">
        <v>3079</v>
      </c>
      <c r="G541" t="s">
        <v>2747</v>
      </c>
      <c r="H541">
        <v>8149179175</v>
      </c>
      <c r="I541" t="s">
        <v>24</v>
      </c>
      <c r="J541" t="s">
        <v>69</v>
      </c>
      <c r="K541" t="s">
        <v>144</v>
      </c>
      <c r="L541" t="s">
        <v>108</v>
      </c>
      <c r="M541" t="s">
        <v>189</v>
      </c>
      <c r="N541" t="s">
        <v>287</v>
      </c>
      <c r="O541">
        <v>18</v>
      </c>
      <c r="P541">
        <v>30651.759999999998</v>
      </c>
      <c r="Q541">
        <v>25</v>
      </c>
      <c r="R541">
        <v>137932.92000000001</v>
      </c>
      <c r="S541" s="11">
        <v>413798.76</v>
      </c>
      <c r="T541">
        <v>-45363.31</v>
      </c>
      <c r="U541">
        <f t="shared" si="8"/>
        <v>413798.76</v>
      </c>
    </row>
    <row r="542" spans="1:21" ht="15" customHeight="1" x14ac:dyDescent="0.25">
      <c r="A542" t="s">
        <v>2523</v>
      </c>
      <c r="B542" s="8">
        <v>45145</v>
      </c>
      <c r="C542" s="8">
        <v>45148</v>
      </c>
      <c r="D542" t="s">
        <v>20</v>
      </c>
      <c r="E542" t="s">
        <v>3072</v>
      </c>
      <c r="F542" t="s">
        <v>3096</v>
      </c>
      <c r="G542" t="s">
        <v>2525</v>
      </c>
      <c r="H542">
        <v>7064391113</v>
      </c>
      <c r="I542" t="s">
        <v>24</v>
      </c>
      <c r="J542" t="s">
        <v>2526</v>
      </c>
      <c r="K542" t="s">
        <v>144</v>
      </c>
      <c r="L542" t="s">
        <v>96</v>
      </c>
      <c r="M542" t="s">
        <v>254</v>
      </c>
      <c r="N542" t="s">
        <v>530</v>
      </c>
      <c r="O542">
        <v>17</v>
      </c>
      <c r="P542">
        <v>102342.85</v>
      </c>
      <c r="Q542">
        <v>0</v>
      </c>
      <c r="R542">
        <v>0</v>
      </c>
      <c r="S542" s="11">
        <v>1739828.45</v>
      </c>
      <c r="T542">
        <v>228568.56</v>
      </c>
      <c r="U542">
        <f t="shared" si="8"/>
        <v>1739828.45</v>
      </c>
    </row>
    <row r="543" spans="1:21" ht="15" customHeight="1" x14ac:dyDescent="0.25">
      <c r="A543" t="s">
        <v>1625</v>
      </c>
      <c r="B543" s="8">
        <v>45146</v>
      </c>
      <c r="C543" s="8">
        <v>45149</v>
      </c>
      <c r="D543" t="s">
        <v>73</v>
      </c>
      <c r="E543" t="s">
        <v>3065</v>
      </c>
      <c r="F543" t="s">
        <v>3036</v>
      </c>
      <c r="G543" t="s">
        <v>1627</v>
      </c>
      <c r="H543">
        <v>8106147152</v>
      </c>
      <c r="I543" t="s">
        <v>24</v>
      </c>
      <c r="J543" t="s">
        <v>25</v>
      </c>
      <c r="K543" t="s">
        <v>26</v>
      </c>
      <c r="L543" t="s">
        <v>108</v>
      </c>
      <c r="M543" t="s">
        <v>109</v>
      </c>
      <c r="N543" t="s">
        <v>110</v>
      </c>
      <c r="P543">
        <v>28422.44</v>
      </c>
      <c r="Q543">
        <v>0</v>
      </c>
      <c r="R543">
        <v>0</v>
      </c>
      <c r="S543" s="11">
        <v>312646.84000000003</v>
      </c>
      <c r="T543">
        <v>-41800.03</v>
      </c>
      <c r="U543">
        <f t="shared" si="8"/>
        <v>312646.84000000003</v>
      </c>
    </row>
    <row r="544" spans="1:21" ht="15" customHeight="1" x14ac:dyDescent="0.25">
      <c r="A544" t="s">
        <v>459</v>
      </c>
      <c r="B544" s="8">
        <v>45147</v>
      </c>
      <c r="C544" s="8">
        <v>45151</v>
      </c>
      <c r="D544" t="s">
        <v>73</v>
      </c>
      <c r="E544" t="s">
        <v>3087</v>
      </c>
      <c r="F544" t="s">
        <v>3086</v>
      </c>
      <c r="G544" t="s">
        <v>461</v>
      </c>
      <c r="H544">
        <v>8163088344</v>
      </c>
      <c r="I544" t="s">
        <v>35</v>
      </c>
      <c r="J544" t="s">
        <v>69</v>
      </c>
      <c r="K544" t="s">
        <v>144</v>
      </c>
      <c r="L544" t="s">
        <v>63</v>
      </c>
      <c r="M544" t="s">
        <v>64</v>
      </c>
      <c r="N544" t="s">
        <v>104</v>
      </c>
      <c r="O544">
        <v>13</v>
      </c>
      <c r="P544">
        <v>18711.04</v>
      </c>
      <c r="Q544">
        <v>10</v>
      </c>
      <c r="R544">
        <v>24324.35</v>
      </c>
      <c r="S544" s="11">
        <v>218919.17</v>
      </c>
      <c r="T544">
        <v>95062.18</v>
      </c>
      <c r="U544">
        <f t="shared" si="8"/>
        <v>218919.17</v>
      </c>
    </row>
    <row r="545" spans="1:21" ht="15" customHeight="1" x14ac:dyDescent="0.25">
      <c r="A545" t="s">
        <v>516</v>
      </c>
      <c r="B545" s="8">
        <v>45147</v>
      </c>
      <c r="C545" s="8">
        <v>45147</v>
      </c>
      <c r="D545" t="s">
        <v>32</v>
      </c>
      <c r="E545" t="s">
        <v>3072</v>
      </c>
      <c r="F545" t="s">
        <v>3066</v>
      </c>
      <c r="G545" t="s">
        <v>518</v>
      </c>
      <c r="H545">
        <v>8167136730</v>
      </c>
      <c r="I545" t="s">
        <v>24</v>
      </c>
      <c r="J545" t="s">
        <v>51</v>
      </c>
      <c r="K545" t="s">
        <v>316</v>
      </c>
      <c r="L545" t="s">
        <v>108</v>
      </c>
      <c r="M545" t="s">
        <v>38</v>
      </c>
      <c r="N545" t="s">
        <v>519</v>
      </c>
      <c r="O545">
        <v>19</v>
      </c>
      <c r="P545">
        <v>19225.009999999998</v>
      </c>
      <c r="Q545">
        <v>25</v>
      </c>
      <c r="R545">
        <v>91318.8</v>
      </c>
      <c r="S545" s="11">
        <v>273956.39</v>
      </c>
      <c r="T545">
        <v>-9097.2199999999993</v>
      </c>
      <c r="U545">
        <f t="shared" si="8"/>
        <v>273956.39</v>
      </c>
    </row>
    <row r="546" spans="1:21" ht="15" customHeight="1" x14ac:dyDescent="0.25">
      <c r="A546" t="s">
        <v>1944</v>
      </c>
      <c r="B546" s="8">
        <v>45149</v>
      </c>
      <c r="C546" s="8">
        <v>45154</v>
      </c>
      <c r="D546" t="s">
        <v>48</v>
      </c>
      <c r="E546" t="s">
        <v>3084</v>
      </c>
      <c r="F546" t="s">
        <v>3090</v>
      </c>
      <c r="G546" t="s">
        <v>1946</v>
      </c>
      <c r="H546">
        <v>9053912192</v>
      </c>
      <c r="I546" t="s">
        <v>24</v>
      </c>
      <c r="J546" t="s">
        <v>51</v>
      </c>
      <c r="K546" t="s">
        <v>316</v>
      </c>
      <c r="L546" t="s">
        <v>27</v>
      </c>
      <c r="M546" t="s">
        <v>354</v>
      </c>
      <c r="N546" t="s">
        <v>355</v>
      </c>
      <c r="O546">
        <v>14</v>
      </c>
      <c r="P546">
        <v>3352.21</v>
      </c>
      <c r="Q546">
        <v>20</v>
      </c>
      <c r="R546">
        <v>9386.19</v>
      </c>
      <c r="S546" s="11">
        <v>37544.75</v>
      </c>
      <c r="T546">
        <v>6851.67</v>
      </c>
      <c r="U546">
        <f t="shared" si="8"/>
        <v>37544.75</v>
      </c>
    </row>
    <row r="547" spans="1:21" ht="15" customHeight="1" x14ac:dyDescent="0.25">
      <c r="A547" t="s">
        <v>2209</v>
      </c>
      <c r="B547" s="8">
        <v>45150</v>
      </c>
      <c r="C547" s="8">
        <v>45158</v>
      </c>
      <c r="D547" t="s">
        <v>48</v>
      </c>
      <c r="E547" t="s">
        <v>3053</v>
      </c>
      <c r="F547" t="s">
        <v>3074</v>
      </c>
      <c r="G547" t="s">
        <v>2210</v>
      </c>
      <c r="H547">
        <v>9078128056</v>
      </c>
      <c r="I547" t="s">
        <v>35</v>
      </c>
      <c r="J547" t="s">
        <v>51</v>
      </c>
      <c r="K547" t="s">
        <v>52</v>
      </c>
      <c r="L547" t="s">
        <v>96</v>
      </c>
      <c r="M547" t="s">
        <v>385</v>
      </c>
      <c r="N547" t="s">
        <v>942</v>
      </c>
      <c r="O547">
        <v>4</v>
      </c>
      <c r="P547">
        <v>430997.25</v>
      </c>
      <c r="Q547">
        <v>10</v>
      </c>
      <c r="R547">
        <v>172398.9</v>
      </c>
      <c r="S547" s="11">
        <v>1551590.1</v>
      </c>
      <c r="T547">
        <v>416107.21</v>
      </c>
      <c r="U547">
        <f t="shared" si="8"/>
        <v>1551590.1</v>
      </c>
    </row>
    <row r="548" spans="1:21" ht="15" customHeight="1" x14ac:dyDescent="0.25">
      <c r="A548" t="s">
        <v>2155</v>
      </c>
      <c r="B548" s="8">
        <v>45150</v>
      </c>
      <c r="C548" s="8">
        <v>45151</v>
      </c>
      <c r="D548" t="s">
        <v>32</v>
      </c>
      <c r="E548" t="s">
        <v>3068</v>
      </c>
      <c r="F548" t="s">
        <v>3057</v>
      </c>
      <c r="G548" t="s">
        <v>1267</v>
      </c>
      <c r="H548">
        <v>8107397002</v>
      </c>
      <c r="I548" t="s">
        <v>24</v>
      </c>
      <c r="J548" t="s">
        <v>25</v>
      </c>
      <c r="K548" t="s">
        <v>26</v>
      </c>
      <c r="L548" t="s">
        <v>108</v>
      </c>
      <c r="M548" t="s">
        <v>109</v>
      </c>
      <c r="N548" t="s">
        <v>1258</v>
      </c>
      <c r="O548">
        <v>9</v>
      </c>
      <c r="P548">
        <v>41031.64</v>
      </c>
      <c r="Q548">
        <v>10</v>
      </c>
      <c r="R548">
        <v>36928.480000000003</v>
      </c>
      <c r="S548" s="11">
        <v>332356.28000000003</v>
      </c>
      <c r="T548">
        <v>-32796.21</v>
      </c>
      <c r="U548">
        <f t="shared" si="8"/>
        <v>332356.28000000003</v>
      </c>
    </row>
    <row r="549" spans="1:21" ht="15" customHeight="1" x14ac:dyDescent="0.25">
      <c r="A549" t="s">
        <v>2725</v>
      </c>
      <c r="B549" s="8">
        <v>45152</v>
      </c>
      <c r="C549" s="8">
        <v>45157</v>
      </c>
      <c r="D549" t="s">
        <v>73</v>
      </c>
      <c r="E549" t="s">
        <v>3055</v>
      </c>
      <c r="F549" t="s">
        <v>3066</v>
      </c>
      <c r="H549">
        <v>8131288262</v>
      </c>
      <c r="I549" t="s">
        <v>24</v>
      </c>
      <c r="J549" t="s">
        <v>25</v>
      </c>
      <c r="K549" t="s">
        <v>36</v>
      </c>
      <c r="L549" t="s">
        <v>85</v>
      </c>
      <c r="M549" t="s">
        <v>266</v>
      </c>
      <c r="N549" t="s">
        <v>267</v>
      </c>
      <c r="O549">
        <v>4</v>
      </c>
      <c r="P549">
        <v>19589.72</v>
      </c>
      <c r="Q549">
        <v>10</v>
      </c>
      <c r="R549">
        <v>7835.89</v>
      </c>
      <c r="S549" s="11">
        <v>70522.990000000005</v>
      </c>
      <c r="T549">
        <v>24004.18</v>
      </c>
      <c r="U549">
        <f t="shared" si="8"/>
        <v>70522.990000000005</v>
      </c>
    </row>
    <row r="550" spans="1:21" ht="15" customHeight="1" x14ac:dyDescent="0.25">
      <c r="A550" t="s">
        <v>268</v>
      </c>
      <c r="B550" s="8">
        <v>45152</v>
      </c>
      <c r="C550" s="8">
        <v>45157</v>
      </c>
      <c r="D550" t="s">
        <v>73</v>
      </c>
      <c r="E550" t="s">
        <v>3076</v>
      </c>
      <c r="F550" t="s">
        <v>3078</v>
      </c>
      <c r="G550" t="s">
        <v>270</v>
      </c>
      <c r="H550">
        <v>8064916201</v>
      </c>
      <c r="I550" t="s">
        <v>35</v>
      </c>
      <c r="J550" t="s">
        <v>69</v>
      </c>
      <c r="K550" t="s">
        <v>144</v>
      </c>
      <c r="L550" t="s">
        <v>271</v>
      </c>
      <c r="M550" t="s">
        <v>194</v>
      </c>
      <c r="N550" t="s">
        <v>272</v>
      </c>
      <c r="O550">
        <v>7</v>
      </c>
      <c r="P550">
        <v>16698.98</v>
      </c>
      <c r="Q550">
        <v>15</v>
      </c>
      <c r="R550">
        <v>17533.93</v>
      </c>
      <c r="S550" s="11">
        <v>99358.93</v>
      </c>
      <c r="T550">
        <v>-8061.41</v>
      </c>
      <c r="U550">
        <f t="shared" si="8"/>
        <v>99358.93</v>
      </c>
    </row>
    <row r="551" spans="1:21" ht="15" customHeight="1" x14ac:dyDescent="0.25">
      <c r="A551" t="s">
        <v>2339</v>
      </c>
      <c r="B551" s="8">
        <v>45152</v>
      </c>
      <c r="C551" s="8">
        <v>45152</v>
      </c>
      <c r="D551" t="s">
        <v>32</v>
      </c>
      <c r="E551" t="s">
        <v>3037</v>
      </c>
      <c r="F551" t="s">
        <v>3042</v>
      </c>
      <c r="G551" t="s">
        <v>2340</v>
      </c>
      <c r="H551">
        <v>9028784988</v>
      </c>
      <c r="I551" t="s">
        <v>35</v>
      </c>
      <c r="J551" t="s">
        <v>69</v>
      </c>
      <c r="K551" t="s">
        <v>119</v>
      </c>
      <c r="L551" t="s">
        <v>85</v>
      </c>
      <c r="M551" t="s">
        <v>86</v>
      </c>
      <c r="N551" t="s">
        <v>199</v>
      </c>
      <c r="O551">
        <v>14</v>
      </c>
      <c r="P551">
        <v>107787.15</v>
      </c>
      <c r="Q551">
        <v>15</v>
      </c>
      <c r="R551">
        <v>226353.01</v>
      </c>
      <c r="T551">
        <v>123362.15</v>
      </c>
      <c r="U551">
        <f t="shared" si="8"/>
        <v>0</v>
      </c>
    </row>
    <row r="552" spans="1:21" ht="15" customHeight="1" x14ac:dyDescent="0.25">
      <c r="A552" t="s">
        <v>977</v>
      </c>
      <c r="B552" s="8">
        <v>45155</v>
      </c>
      <c r="C552" s="8">
        <v>45162</v>
      </c>
      <c r="D552" t="s">
        <v>48</v>
      </c>
      <c r="E552" t="s">
        <v>3080</v>
      </c>
      <c r="F552" t="s">
        <v>3050</v>
      </c>
      <c r="G552" t="s">
        <v>979</v>
      </c>
      <c r="H552">
        <v>9028342987</v>
      </c>
      <c r="I552" t="s">
        <v>24</v>
      </c>
      <c r="J552" t="s">
        <v>25</v>
      </c>
      <c r="K552" t="s">
        <v>44</v>
      </c>
      <c r="L552" t="s">
        <v>108</v>
      </c>
      <c r="M552" t="s">
        <v>183</v>
      </c>
      <c r="N552" t="s">
        <v>719</v>
      </c>
      <c r="O552">
        <v>18</v>
      </c>
      <c r="P552">
        <v>22381.47</v>
      </c>
      <c r="Q552">
        <v>5</v>
      </c>
      <c r="R552">
        <v>20143.32</v>
      </c>
      <c r="S552" s="11">
        <v>382723.14</v>
      </c>
      <c r="T552">
        <v>-26090.67</v>
      </c>
      <c r="U552">
        <f t="shared" si="8"/>
        <v>382723.14</v>
      </c>
    </row>
    <row r="553" spans="1:21" ht="15" customHeight="1" x14ac:dyDescent="0.25">
      <c r="A553" t="s">
        <v>2514</v>
      </c>
      <c r="B553" s="8">
        <v>45156</v>
      </c>
      <c r="C553" s="8">
        <v>45161</v>
      </c>
      <c r="D553" t="s">
        <v>48</v>
      </c>
      <c r="E553" t="s">
        <v>3059</v>
      </c>
      <c r="F553" t="s">
        <v>3069</v>
      </c>
      <c r="H553">
        <v>8107541701</v>
      </c>
      <c r="I553" t="s">
        <v>24</v>
      </c>
      <c r="J553" t="s">
        <v>69</v>
      </c>
      <c r="K553" t="s">
        <v>119</v>
      </c>
      <c r="L553" t="s">
        <v>1566</v>
      </c>
      <c r="M553" t="s">
        <v>243</v>
      </c>
      <c r="N553" t="s">
        <v>439</v>
      </c>
      <c r="O553">
        <v>5</v>
      </c>
      <c r="P553">
        <v>15698.17</v>
      </c>
      <c r="Q553">
        <v>5</v>
      </c>
      <c r="R553">
        <v>3924.54</v>
      </c>
      <c r="S553" s="11">
        <v>74566.31</v>
      </c>
      <c r="T553">
        <v>16632.63</v>
      </c>
      <c r="U553">
        <f t="shared" si="8"/>
        <v>74566.31</v>
      </c>
    </row>
    <row r="554" spans="1:21" ht="15" customHeight="1" x14ac:dyDescent="0.25">
      <c r="A554" t="s">
        <v>544</v>
      </c>
      <c r="B554" s="8">
        <v>45156</v>
      </c>
      <c r="C554" s="8">
        <v>45159</v>
      </c>
      <c r="D554" t="s">
        <v>73</v>
      </c>
      <c r="E554" t="s">
        <v>3076</v>
      </c>
      <c r="F554" t="s">
        <v>3078</v>
      </c>
      <c r="G554" t="s">
        <v>545</v>
      </c>
      <c r="H554">
        <v>7038421839</v>
      </c>
      <c r="I554" t="s">
        <v>43</v>
      </c>
      <c r="J554" t="s">
        <v>69</v>
      </c>
      <c r="K554" t="s">
        <v>70</v>
      </c>
      <c r="L554" t="s">
        <v>63</v>
      </c>
      <c r="M554" t="s">
        <v>469</v>
      </c>
      <c r="N554" t="s">
        <v>546</v>
      </c>
      <c r="O554">
        <v>18</v>
      </c>
      <c r="P554">
        <v>5742.68</v>
      </c>
      <c r="Q554">
        <v>10</v>
      </c>
      <c r="R554">
        <v>10336.82</v>
      </c>
      <c r="S554" s="11">
        <v>93031.42</v>
      </c>
      <c r="T554">
        <v>38125.61</v>
      </c>
      <c r="U554">
        <f t="shared" si="8"/>
        <v>93031.42</v>
      </c>
    </row>
    <row r="555" spans="1:21" ht="15" customHeight="1" x14ac:dyDescent="0.25">
      <c r="A555" t="s">
        <v>1438</v>
      </c>
      <c r="B555" s="8">
        <v>45157</v>
      </c>
      <c r="C555" s="8">
        <v>45158</v>
      </c>
      <c r="D555" t="s">
        <v>32</v>
      </c>
      <c r="E555" t="s">
        <v>3050</v>
      </c>
      <c r="F555" t="s">
        <v>3086</v>
      </c>
      <c r="G555" t="s">
        <v>1440</v>
      </c>
      <c r="H555" t="s">
        <v>649</v>
      </c>
      <c r="I555" t="s">
        <v>35</v>
      </c>
      <c r="J555" t="s">
        <v>51</v>
      </c>
      <c r="K555" t="s">
        <v>316</v>
      </c>
      <c r="L555" t="s">
        <v>1441</v>
      </c>
      <c r="M555" t="s">
        <v>54</v>
      </c>
      <c r="N555" t="s">
        <v>1039</v>
      </c>
      <c r="O555">
        <v>16</v>
      </c>
      <c r="P555">
        <v>24968.720000000001</v>
      </c>
      <c r="Q555">
        <v>0</v>
      </c>
      <c r="R555">
        <v>0</v>
      </c>
      <c r="S555" s="11">
        <v>399499.52000000002</v>
      </c>
      <c r="T555">
        <v>35084.79</v>
      </c>
      <c r="U555">
        <f t="shared" si="8"/>
        <v>399499.52000000002</v>
      </c>
    </row>
    <row r="556" spans="1:21" ht="15" customHeight="1" x14ac:dyDescent="0.25">
      <c r="A556" t="s">
        <v>2450</v>
      </c>
      <c r="B556" s="8">
        <v>45158</v>
      </c>
      <c r="C556" s="8">
        <v>45158</v>
      </c>
      <c r="D556" t="s">
        <v>32</v>
      </c>
      <c r="E556" t="s">
        <v>3070</v>
      </c>
      <c r="F556" t="s">
        <v>3038</v>
      </c>
      <c r="G556" t="s">
        <v>1246</v>
      </c>
      <c r="H556">
        <v>9017082569</v>
      </c>
      <c r="I556" t="s">
        <v>35</v>
      </c>
      <c r="J556" t="s">
        <v>69</v>
      </c>
      <c r="K556" t="s">
        <v>155</v>
      </c>
      <c r="L556" t="s">
        <v>85</v>
      </c>
      <c r="M556" t="s">
        <v>486</v>
      </c>
      <c r="N556" t="s">
        <v>1018</v>
      </c>
      <c r="O556">
        <v>4</v>
      </c>
      <c r="P556">
        <v>80527.95</v>
      </c>
      <c r="Q556">
        <v>10</v>
      </c>
      <c r="R556">
        <v>32211.18</v>
      </c>
      <c r="S556" s="11">
        <v>289900.62</v>
      </c>
      <c r="T556">
        <v>103029.23</v>
      </c>
      <c r="U556">
        <f t="shared" si="8"/>
        <v>289900.62</v>
      </c>
    </row>
    <row r="557" spans="1:21" ht="15" customHeight="1" x14ac:dyDescent="0.25">
      <c r="A557" t="s">
        <v>2142</v>
      </c>
      <c r="B557" s="8">
        <v>45160</v>
      </c>
      <c r="C557" s="8">
        <v>45163</v>
      </c>
      <c r="D557" t="s">
        <v>73</v>
      </c>
      <c r="E557" t="s">
        <v>3080</v>
      </c>
      <c r="F557" t="s">
        <v>3045</v>
      </c>
      <c r="G557" t="s">
        <v>2143</v>
      </c>
      <c r="H557">
        <v>9073053134</v>
      </c>
      <c r="I557" t="s">
        <v>24</v>
      </c>
      <c r="J557" t="s">
        <v>51</v>
      </c>
      <c r="K557" t="s">
        <v>223</v>
      </c>
      <c r="L557" t="s">
        <v>96</v>
      </c>
      <c r="M557" t="s">
        <v>120</v>
      </c>
      <c r="N557" t="s">
        <v>367</v>
      </c>
      <c r="O557">
        <v>7</v>
      </c>
      <c r="P557">
        <v>423191.01</v>
      </c>
      <c r="Q557">
        <v>20</v>
      </c>
      <c r="R557">
        <v>592467.41</v>
      </c>
      <c r="S557" s="11">
        <v>2369869.66</v>
      </c>
      <c r="T557">
        <v>647337.27</v>
      </c>
      <c r="U557">
        <f t="shared" si="8"/>
        <v>2369869.66</v>
      </c>
    </row>
    <row r="558" spans="1:21" ht="15" customHeight="1" x14ac:dyDescent="0.25">
      <c r="A558" t="s">
        <v>2307</v>
      </c>
      <c r="B558" s="8">
        <v>45162</v>
      </c>
      <c r="C558" s="8">
        <v>45166</v>
      </c>
      <c r="D558" t="s">
        <v>73</v>
      </c>
      <c r="E558" t="s">
        <v>3051</v>
      </c>
      <c r="F558" t="s">
        <v>3046</v>
      </c>
      <c r="G558" t="s">
        <v>2309</v>
      </c>
      <c r="H558">
        <v>7035994297</v>
      </c>
      <c r="I558" t="s">
        <v>43</v>
      </c>
      <c r="J558" t="s">
        <v>25</v>
      </c>
      <c r="K558" t="s">
        <v>36</v>
      </c>
      <c r="L558" t="s">
        <v>96</v>
      </c>
      <c r="M558" t="s">
        <v>254</v>
      </c>
      <c r="N558" t="s">
        <v>756</v>
      </c>
      <c r="O558">
        <v>2</v>
      </c>
      <c r="P558">
        <v>170401.35</v>
      </c>
      <c r="Q558">
        <v>25</v>
      </c>
      <c r="R558">
        <v>85200.68</v>
      </c>
      <c r="S558" s="11">
        <v>255602.02</v>
      </c>
      <c r="T558">
        <v>74944.600000000006</v>
      </c>
      <c r="U558">
        <f t="shared" si="8"/>
        <v>255602.02</v>
      </c>
    </row>
    <row r="559" spans="1:21" ht="15" customHeight="1" x14ac:dyDescent="0.25">
      <c r="A559" t="s">
        <v>2184</v>
      </c>
      <c r="B559" s="8">
        <v>45162</v>
      </c>
      <c r="C559" s="8">
        <v>45165</v>
      </c>
      <c r="D559" t="s">
        <v>73</v>
      </c>
      <c r="E559" t="s">
        <v>3095</v>
      </c>
      <c r="F559" t="s">
        <v>3042</v>
      </c>
      <c r="G559" t="s">
        <v>2185</v>
      </c>
      <c r="H559">
        <v>9052808110</v>
      </c>
      <c r="I559" t="s">
        <v>43</v>
      </c>
      <c r="J559" t="s">
        <v>51</v>
      </c>
      <c r="K559" t="s">
        <v>131</v>
      </c>
      <c r="L559" t="s">
        <v>2186</v>
      </c>
      <c r="M559" t="s">
        <v>120</v>
      </c>
      <c r="N559" t="s">
        <v>367</v>
      </c>
      <c r="O559">
        <v>14</v>
      </c>
      <c r="P559">
        <v>428214.79</v>
      </c>
      <c r="Q559">
        <v>20</v>
      </c>
      <c r="R559">
        <v>1199001.4099999999</v>
      </c>
      <c r="S559" s="11">
        <v>4796005.6500000004</v>
      </c>
      <c r="T559">
        <v>1412032.73</v>
      </c>
      <c r="U559">
        <f t="shared" si="8"/>
        <v>4796005.6500000004</v>
      </c>
    </row>
    <row r="560" spans="1:21" ht="15" customHeight="1" x14ac:dyDescent="0.25">
      <c r="A560" t="s">
        <v>2892</v>
      </c>
      <c r="B560" s="8">
        <v>45163</v>
      </c>
      <c r="C560" s="8">
        <v>45166</v>
      </c>
      <c r="D560" t="s">
        <v>73</v>
      </c>
      <c r="E560" t="s">
        <v>3047</v>
      </c>
      <c r="F560" t="s">
        <v>3069</v>
      </c>
      <c r="G560" t="s">
        <v>2894</v>
      </c>
      <c r="H560">
        <v>8147329559</v>
      </c>
      <c r="I560" t="s">
        <v>43</v>
      </c>
      <c r="J560" t="s">
        <v>61</v>
      </c>
      <c r="K560" t="s">
        <v>182</v>
      </c>
      <c r="L560" t="s">
        <v>63</v>
      </c>
      <c r="M560" t="s">
        <v>64</v>
      </c>
      <c r="N560" t="s">
        <v>65</v>
      </c>
      <c r="O560">
        <v>17</v>
      </c>
      <c r="P560">
        <v>21645.56</v>
      </c>
      <c r="Q560">
        <v>25</v>
      </c>
      <c r="R560">
        <v>91993.63</v>
      </c>
      <c r="S560" s="11">
        <v>275980.89</v>
      </c>
      <c r="T560">
        <v>42260.9</v>
      </c>
      <c r="U560">
        <f t="shared" si="8"/>
        <v>275980.89</v>
      </c>
    </row>
    <row r="561" spans="1:21" ht="15" customHeight="1" x14ac:dyDescent="0.25">
      <c r="A561" t="s">
        <v>2021</v>
      </c>
      <c r="B561" s="8">
        <v>45163</v>
      </c>
      <c r="C561" s="8">
        <v>45164</v>
      </c>
      <c r="D561" t="s">
        <v>32</v>
      </c>
      <c r="E561" t="s">
        <v>3058</v>
      </c>
      <c r="F561" t="s">
        <v>3046</v>
      </c>
      <c r="G561" t="s">
        <v>2023</v>
      </c>
      <c r="H561">
        <v>8106413691</v>
      </c>
      <c r="I561" t="s">
        <v>43</v>
      </c>
      <c r="J561" t="s">
        <v>25</v>
      </c>
      <c r="K561" t="s">
        <v>36</v>
      </c>
      <c r="L561" t="s">
        <v>108</v>
      </c>
      <c r="M561" t="s">
        <v>109</v>
      </c>
      <c r="N561" t="s">
        <v>2024</v>
      </c>
      <c r="O561">
        <v>7</v>
      </c>
      <c r="P561">
        <v>12548.68</v>
      </c>
      <c r="Q561">
        <v>10</v>
      </c>
      <c r="R561">
        <v>8784.08</v>
      </c>
      <c r="S561" s="11">
        <v>79056.679999999993</v>
      </c>
      <c r="T561">
        <v>5785.25</v>
      </c>
      <c r="U561">
        <f t="shared" si="8"/>
        <v>79056.679999999993</v>
      </c>
    </row>
    <row r="562" spans="1:21" ht="15" customHeight="1" x14ac:dyDescent="0.25">
      <c r="A562" t="s">
        <v>1610</v>
      </c>
      <c r="B562" s="8">
        <v>45164</v>
      </c>
      <c r="C562" s="8">
        <v>45167</v>
      </c>
      <c r="D562" t="s">
        <v>20</v>
      </c>
      <c r="E562" t="s">
        <v>3047</v>
      </c>
      <c r="F562" t="s">
        <v>3079</v>
      </c>
      <c r="G562" t="s">
        <v>1612</v>
      </c>
      <c r="H562">
        <v>8108075907</v>
      </c>
      <c r="I562" t="s">
        <v>785</v>
      </c>
      <c r="J562" t="s">
        <v>51</v>
      </c>
      <c r="K562" t="s">
        <v>223</v>
      </c>
      <c r="L562" t="s">
        <v>96</v>
      </c>
      <c r="M562" t="s">
        <v>97</v>
      </c>
      <c r="N562" t="s">
        <v>1416</v>
      </c>
      <c r="O562">
        <v>16</v>
      </c>
      <c r="P562">
        <v>108777.93</v>
      </c>
      <c r="Q562">
        <v>0</v>
      </c>
      <c r="R562">
        <v>0</v>
      </c>
      <c r="S562" s="11">
        <v>1740446.88</v>
      </c>
      <c r="T562">
        <v>-133323.9</v>
      </c>
      <c r="U562">
        <f t="shared" si="8"/>
        <v>1740446.88</v>
      </c>
    </row>
    <row r="563" spans="1:21" ht="15" customHeight="1" x14ac:dyDescent="0.25">
      <c r="A563" t="s">
        <v>2083</v>
      </c>
      <c r="B563" s="8">
        <v>45165</v>
      </c>
      <c r="C563" s="8">
        <v>45170</v>
      </c>
      <c r="D563" t="s">
        <v>48</v>
      </c>
      <c r="E563" t="s">
        <v>3039</v>
      </c>
      <c r="F563" t="s">
        <v>3090</v>
      </c>
      <c r="G563" t="s">
        <v>2085</v>
      </c>
      <c r="H563">
        <v>8163070908</v>
      </c>
      <c r="I563" t="s">
        <v>43</v>
      </c>
      <c r="J563" t="s">
        <v>51</v>
      </c>
      <c r="K563" t="s">
        <v>316</v>
      </c>
      <c r="L563" t="s">
        <v>96</v>
      </c>
      <c r="M563" t="s">
        <v>189</v>
      </c>
      <c r="N563" t="s">
        <v>325</v>
      </c>
      <c r="O563">
        <v>12</v>
      </c>
      <c r="P563">
        <v>17214.259999999998</v>
      </c>
      <c r="Q563">
        <v>0</v>
      </c>
      <c r="R563">
        <v>0</v>
      </c>
      <c r="S563" s="11">
        <v>206571.12</v>
      </c>
      <c r="T563">
        <v>-24800.68</v>
      </c>
      <c r="U563">
        <f t="shared" si="8"/>
        <v>206571.12</v>
      </c>
    </row>
    <row r="564" spans="1:21" ht="15" customHeight="1" x14ac:dyDescent="0.25">
      <c r="A564" t="s">
        <v>2273</v>
      </c>
      <c r="B564" s="8">
        <v>45166</v>
      </c>
      <c r="C564" s="8">
        <v>45170</v>
      </c>
      <c r="D564" t="s">
        <v>73</v>
      </c>
      <c r="E564" t="s">
        <v>3053</v>
      </c>
      <c r="F564" t="s">
        <v>3036</v>
      </c>
      <c r="G564" t="s">
        <v>2275</v>
      </c>
      <c r="H564">
        <v>8146958480</v>
      </c>
      <c r="I564" t="s">
        <v>35</v>
      </c>
      <c r="J564" t="s">
        <v>61</v>
      </c>
      <c r="K564" t="s">
        <v>182</v>
      </c>
      <c r="L564" t="s">
        <v>27</v>
      </c>
      <c r="M564" t="s">
        <v>45</v>
      </c>
      <c r="N564" t="s">
        <v>838</v>
      </c>
      <c r="O564">
        <v>17</v>
      </c>
      <c r="P564">
        <v>6247.25</v>
      </c>
      <c r="Q564">
        <v>20</v>
      </c>
      <c r="R564">
        <v>21240.65</v>
      </c>
      <c r="S564" s="11">
        <v>84962.6</v>
      </c>
      <c r="T564">
        <v>29541.5</v>
      </c>
      <c r="U564">
        <f t="shared" si="8"/>
        <v>84962.6</v>
      </c>
    </row>
    <row r="565" spans="1:21" ht="15" customHeight="1" x14ac:dyDescent="0.25">
      <c r="A565" t="s">
        <v>2651</v>
      </c>
      <c r="B565" s="8">
        <v>45167</v>
      </c>
      <c r="C565" s="8">
        <v>45172</v>
      </c>
      <c r="D565" t="s">
        <v>48</v>
      </c>
      <c r="E565" t="s">
        <v>3082</v>
      </c>
      <c r="F565" t="s">
        <v>3062</v>
      </c>
      <c r="G565" t="s">
        <v>2653</v>
      </c>
      <c r="H565">
        <v>8065251915</v>
      </c>
      <c r="I565" t="s">
        <v>35</v>
      </c>
      <c r="J565" t="s">
        <v>61</v>
      </c>
      <c r="K565" t="s">
        <v>95</v>
      </c>
      <c r="L565" t="s">
        <v>108</v>
      </c>
      <c r="M565" t="s">
        <v>114</v>
      </c>
      <c r="N565" t="s">
        <v>115</v>
      </c>
      <c r="O565">
        <v>13</v>
      </c>
      <c r="P565">
        <v>42629.61</v>
      </c>
      <c r="Q565">
        <v>0</v>
      </c>
      <c r="R565">
        <v>0</v>
      </c>
      <c r="S565" s="11">
        <v>554184.93000000005</v>
      </c>
      <c r="T565">
        <v>148904.56</v>
      </c>
      <c r="U565">
        <f t="shared" si="8"/>
        <v>554184.93000000005</v>
      </c>
    </row>
    <row r="566" spans="1:21" ht="15" customHeight="1" x14ac:dyDescent="0.25">
      <c r="A566" t="s">
        <v>2468</v>
      </c>
      <c r="B566" s="8">
        <v>45169</v>
      </c>
      <c r="C566" s="8">
        <v>45175</v>
      </c>
      <c r="D566" t="s">
        <v>48</v>
      </c>
      <c r="E566" t="s">
        <v>3047</v>
      </c>
      <c r="F566" t="s">
        <v>3086</v>
      </c>
      <c r="G566" t="s">
        <v>2470</v>
      </c>
      <c r="H566">
        <v>8038364357</v>
      </c>
      <c r="I566" t="s">
        <v>35</v>
      </c>
      <c r="J566" t="s">
        <v>69</v>
      </c>
      <c r="K566" t="s">
        <v>119</v>
      </c>
      <c r="L566" t="s">
        <v>108</v>
      </c>
      <c r="M566" t="s">
        <v>189</v>
      </c>
      <c r="N566" t="s">
        <v>205</v>
      </c>
      <c r="O566">
        <v>7</v>
      </c>
      <c r="P566">
        <v>44930.02</v>
      </c>
      <c r="Q566">
        <v>15</v>
      </c>
      <c r="R566">
        <v>47176.52</v>
      </c>
      <c r="S566" s="11">
        <v>267333.62</v>
      </c>
      <c r="T566">
        <v>-10256.299999999999</v>
      </c>
      <c r="U566">
        <f t="shared" si="8"/>
        <v>267333.62</v>
      </c>
    </row>
    <row r="567" spans="1:21" ht="15" customHeight="1" x14ac:dyDescent="0.25">
      <c r="A567" t="s">
        <v>2092</v>
      </c>
      <c r="B567" s="8">
        <v>45170</v>
      </c>
      <c r="C567" s="8">
        <v>45178</v>
      </c>
      <c r="D567" t="s">
        <v>48</v>
      </c>
      <c r="G567" t="s">
        <v>2093</v>
      </c>
      <c r="H567">
        <v>9028329845</v>
      </c>
      <c r="I567" t="s">
        <v>43</v>
      </c>
      <c r="J567" t="s">
        <v>61</v>
      </c>
      <c r="K567" t="s">
        <v>182</v>
      </c>
      <c r="L567" t="s">
        <v>96</v>
      </c>
      <c r="M567" t="s">
        <v>385</v>
      </c>
      <c r="N567" t="s">
        <v>1010</v>
      </c>
      <c r="O567">
        <v>11</v>
      </c>
      <c r="P567">
        <v>207227.08</v>
      </c>
      <c r="Q567">
        <v>25</v>
      </c>
      <c r="R567">
        <v>569874.47</v>
      </c>
      <c r="S567" s="11">
        <v>1709623.41</v>
      </c>
      <c r="T567">
        <v>702531.94</v>
      </c>
      <c r="U567">
        <f t="shared" si="8"/>
        <v>1709623.41</v>
      </c>
    </row>
    <row r="568" spans="1:21" ht="15" customHeight="1" x14ac:dyDescent="0.25">
      <c r="A568" t="s">
        <v>1550</v>
      </c>
      <c r="B568" s="8">
        <v>45171</v>
      </c>
      <c r="D568" t="s">
        <v>32</v>
      </c>
      <c r="E568" t="s">
        <v>3035</v>
      </c>
      <c r="F568" t="s">
        <v>3034</v>
      </c>
      <c r="G568" t="s">
        <v>1551</v>
      </c>
      <c r="H568">
        <v>9028548873</v>
      </c>
      <c r="I568" t="s">
        <v>35</v>
      </c>
      <c r="J568" t="s">
        <v>69</v>
      </c>
      <c r="K568" t="s">
        <v>307</v>
      </c>
      <c r="L568" t="s">
        <v>27</v>
      </c>
      <c r="M568" t="s">
        <v>45</v>
      </c>
      <c r="N568" t="s">
        <v>838</v>
      </c>
      <c r="O568">
        <v>6</v>
      </c>
      <c r="P568">
        <v>7743.74</v>
      </c>
      <c r="Q568">
        <v>5</v>
      </c>
      <c r="R568">
        <v>2323.12</v>
      </c>
      <c r="S568" s="11">
        <v>44139.32</v>
      </c>
      <c r="T568">
        <v>-1719.12</v>
      </c>
      <c r="U568">
        <f t="shared" si="8"/>
        <v>44139.32</v>
      </c>
    </row>
    <row r="569" spans="1:21" ht="15" customHeight="1" x14ac:dyDescent="0.25">
      <c r="A569" t="s">
        <v>980</v>
      </c>
      <c r="B569" s="8">
        <v>45172</v>
      </c>
      <c r="C569" s="8">
        <v>45177</v>
      </c>
      <c r="D569" t="s">
        <v>73</v>
      </c>
      <c r="E569" t="s">
        <v>3073</v>
      </c>
      <c r="F569" t="s">
        <v>3046</v>
      </c>
      <c r="H569">
        <v>8061700837</v>
      </c>
      <c r="I569" t="s">
        <v>43</v>
      </c>
      <c r="J569" t="s">
        <v>69</v>
      </c>
      <c r="K569" t="s">
        <v>155</v>
      </c>
      <c r="L569" t="s">
        <v>96</v>
      </c>
      <c r="M569" t="s">
        <v>254</v>
      </c>
      <c r="N569" t="s">
        <v>452</v>
      </c>
      <c r="O569">
        <v>18</v>
      </c>
      <c r="P569">
        <v>186425.54</v>
      </c>
      <c r="Q569">
        <v>0</v>
      </c>
      <c r="R569">
        <v>0</v>
      </c>
      <c r="S569" s="11">
        <v>3355659.72</v>
      </c>
      <c r="T569">
        <v>110114.94</v>
      </c>
      <c r="U569">
        <f t="shared" si="8"/>
        <v>3355659.72</v>
      </c>
    </row>
    <row r="570" spans="1:21" ht="15" customHeight="1" x14ac:dyDescent="0.25">
      <c r="A570" t="s">
        <v>1816</v>
      </c>
      <c r="B570" s="8">
        <v>45174</v>
      </c>
      <c r="C570" s="8">
        <v>45174</v>
      </c>
      <c r="D570" t="s">
        <v>32</v>
      </c>
      <c r="E570" t="s">
        <v>3047</v>
      </c>
      <c r="F570" t="s">
        <v>3077</v>
      </c>
      <c r="G570" t="s">
        <v>1818</v>
      </c>
      <c r="H570">
        <v>7038087324</v>
      </c>
      <c r="I570" t="s">
        <v>43</v>
      </c>
      <c r="J570" t="s">
        <v>25</v>
      </c>
      <c r="K570" t="s">
        <v>126</v>
      </c>
      <c r="L570" t="s">
        <v>108</v>
      </c>
      <c r="M570" t="s">
        <v>38</v>
      </c>
      <c r="N570" t="s">
        <v>213</v>
      </c>
      <c r="O570">
        <v>17</v>
      </c>
      <c r="P570">
        <v>18815.71</v>
      </c>
      <c r="Q570">
        <v>10</v>
      </c>
      <c r="R570">
        <v>31986.71</v>
      </c>
      <c r="S570" s="11">
        <v>287880.36</v>
      </c>
      <c r="T570">
        <v>5590.19</v>
      </c>
      <c r="U570">
        <f t="shared" si="8"/>
        <v>287880.36</v>
      </c>
    </row>
    <row r="571" spans="1:21" ht="15" customHeight="1" x14ac:dyDescent="0.25">
      <c r="A571" t="s">
        <v>833</v>
      </c>
      <c r="B571" s="8">
        <v>45174</v>
      </c>
      <c r="C571" s="8">
        <v>45174</v>
      </c>
      <c r="D571" t="s">
        <v>32</v>
      </c>
      <c r="E571" t="s">
        <v>3058</v>
      </c>
      <c r="F571" t="s">
        <v>3086</v>
      </c>
      <c r="G571" t="s">
        <v>834</v>
      </c>
      <c r="H571">
        <v>8159670757</v>
      </c>
      <c r="I571" t="s">
        <v>35</v>
      </c>
      <c r="J571" t="s">
        <v>69</v>
      </c>
      <c r="K571" t="s">
        <v>155</v>
      </c>
      <c r="L571" t="s">
        <v>27</v>
      </c>
      <c r="M571" t="s">
        <v>173</v>
      </c>
      <c r="N571" t="s">
        <v>380</v>
      </c>
      <c r="O571">
        <v>15</v>
      </c>
      <c r="P571">
        <v>1226.17</v>
      </c>
      <c r="Q571">
        <v>0</v>
      </c>
      <c r="R571">
        <v>0</v>
      </c>
      <c r="S571" s="11">
        <v>18392.55</v>
      </c>
      <c r="T571">
        <v>7714.51</v>
      </c>
      <c r="U571">
        <f t="shared" si="8"/>
        <v>18392.55</v>
      </c>
    </row>
    <row r="572" spans="1:21" ht="15" customHeight="1" x14ac:dyDescent="0.25">
      <c r="A572" t="s">
        <v>1700</v>
      </c>
      <c r="B572" s="8">
        <v>45175</v>
      </c>
      <c r="C572" s="8">
        <v>45182</v>
      </c>
      <c r="D572" t="s">
        <v>48</v>
      </c>
      <c r="E572" t="s">
        <v>3097</v>
      </c>
      <c r="F572" t="s">
        <v>3079</v>
      </c>
      <c r="G572" t="s">
        <v>1702</v>
      </c>
      <c r="H572">
        <v>7061199493</v>
      </c>
      <c r="I572" t="s">
        <v>43</v>
      </c>
      <c r="J572" t="s">
        <v>61</v>
      </c>
      <c r="L572" t="s">
        <v>108</v>
      </c>
      <c r="M572" t="s">
        <v>189</v>
      </c>
      <c r="N572" t="s">
        <v>1703</v>
      </c>
      <c r="O572">
        <v>8</v>
      </c>
      <c r="P572">
        <v>39215.040000000001</v>
      </c>
      <c r="Q572">
        <v>5</v>
      </c>
      <c r="R572">
        <v>15686.02</v>
      </c>
      <c r="S572" s="11">
        <v>298034.3</v>
      </c>
      <c r="T572">
        <v>84642.2</v>
      </c>
      <c r="U572">
        <f t="shared" si="8"/>
        <v>298034.3</v>
      </c>
    </row>
    <row r="573" spans="1:21" ht="15" customHeight="1" x14ac:dyDescent="0.25">
      <c r="A573" t="s">
        <v>597</v>
      </c>
      <c r="B573" s="8">
        <v>45176</v>
      </c>
      <c r="C573" s="8">
        <v>45180</v>
      </c>
      <c r="D573" t="s">
        <v>73</v>
      </c>
      <c r="E573" t="s">
        <v>3065</v>
      </c>
      <c r="F573" t="s">
        <v>3096</v>
      </c>
      <c r="G573" t="s">
        <v>599</v>
      </c>
      <c r="H573">
        <v>8134780654</v>
      </c>
      <c r="I573" t="s">
        <v>43</v>
      </c>
      <c r="J573" t="s">
        <v>51</v>
      </c>
      <c r="K573" t="s">
        <v>316</v>
      </c>
      <c r="L573" t="s">
        <v>63</v>
      </c>
      <c r="M573" t="s">
        <v>194</v>
      </c>
      <c r="N573" t="s">
        <v>336</v>
      </c>
      <c r="O573">
        <v>2</v>
      </c>
      <c r="P573">
        <v>20241.52</v>
      </c>
      <c r="Q573">
        <v>25</v>
      </c>
      <c r="R573">
        <v>10120.76</v>
      </c>
      <c r="S573" s="11">
        <v>30362.28</v>
      </c>
      <c r="T573">
        <v>2963.56</v>
      </c>
      <c r="U573">
        <f t="shared" si="8"/>
        <v>30362.28</v>
      </c>
    </row>
    <row r="574" spans="1:21" ht="15" customHeight="1" x14ac:dyDescent="0.25">
      <c r="A574" t="s">
        <v>2673</v>
      </c>
      <c r="B574" s="8">
        <v>45177</v>
      </c>
      <c r="C574" s="8">
        <v>45180</v>
      </c>
      <c r="D574" t="s">
        <v>73</v>
      </c>
      <c r="E574" t="s">
        <v>3058</v>
      </c>
      <c r="F574" t="s">
        <v>3046</v>
      </c>
      <c r="G574" t="s">
        <v>2674</v>
      </c>
      <c r="H574">
        <v>8039559668</v>
      </c>
      <c r="I574" t="s">
        <v>35</v>
      </c>
      <c r="J574" t="s">
        <v>25</v>
      </c>
      <c r="K574" t="s">
        <v>126</v>
      </c>
      <c r="L574" t="s">
        <v>96</v>
      </c>
      <c r="M574" t="s">
        <v>120</v>
      </c>
      <c r="N574" t="s">
        <v>121</v>
      </c>
      <c r="O574">
        <v>19</v>
      </c>
      <c r="P574">
        <v>304671.37</v>
      </c>
      <c r="Q574">
        <v>25</v>
      </c>
      <c r="R574">
        <v>1447189.01</v>
      </c>
      <c r="S574" s="11">
        <v>4341567.0199999996</v>
      </c>
      <c r="T574">
        <v>-628161.81999999995</v>
      </c>
      <c r="U574">
        <f t="shared" si="8"/>
        <v>4341567.0199999996</v>
      </c>
    </row>
    <row r="575" spans="1:21" ht="15" customHeight="1" x14ac:dyDescent="0.25">
      <c r="A575" t="s">
        <v>2149</v>
      </c>
      <c r="B575" s="8">
        <v>45177</v>
      </c>
      <c r="C575" s="8">
        <v>45177</v>
      </c>
      <c r="D575" t="s">
        <v>32</v>
      </c>
      <c r="E575" t="s">
        <v>3087</v>
      </c>
      <c r="F575" t="s">
        <v>3036</v>
      </c>
      <c r="G575" t="s">
        <v>2150</v>
      </c>
      <c r="H575">
        <v>8141316224</v>
      </c>
      <c r="I575" t="s">
        <v>43</v>
      </c>
      <c r="J575" t="s">
        <v>25</v>
      </c>
      <c r="K575" t="s">
        <v>44</v>
      </c>
      <c r="L575" t="s">
        <v>108</v>
      </c>
      <c r="M575" t="s">
        <v>183</v>
      </c>
      <c r="N575" t="s">
        <v>869</v>
      </c>
      <c r="O575">
        <v>7</v>
      </c>
      <c r="P575">
        <v>3909.87</v>
      </c>
      <c r="Q575">
        <v>15</v>
      </c>
      <c r="R575">
        <v>4105.3599999999997</v>
      </c>
      <c r="S575" s="11">
        <v>23263.73</v>
      </c>
      <c r="T575">
        <v>-915.29</v>
      </c>
      <c r="U575">
        <f t="shared" si="8"/>
        <v>23263.73</v>
      </c>
    </row>
    <row r="576" spans="1:21" ht="15" customHeight="1" x14ac:dyDescent="0.25">
      <c r="A576" t="s">
        <v>1518</v>
      </c>
      <c r="B576" s="8">
        <v>45181</v>
      </c>
      <c r="C576" s="8">
        <v>45182</v>
      </c>
      <c r="D576" t="s">
        <v>32</v>
      </c>
      <c r="F576" t="s">
        <v>3073</v>
      </c>
      <c r="G576" t="s">
        <v>1520</v>
      </c>
      <c r="H576">
        <v>9054009366</v>
      </c>
      <c r="I576" t="s">
        <v>43</v>
      </c>
      <c r="J576" t="s">
        <v>25</v>
      </c>
      <c r="K576" t="s">
        <v>26</v>
      </c>
      <c r="L576" t="s">
        <v>63</v>
      </c>
      <c r="M576" t="s">
        <v>54</v>
      </c>
      <c r="N576" t="s">
        <v>963</v>
      </c>
      <c r="O576">
        <v>11</v>
      </c>
      <c r="P576">
        <v>12574.58</v>
      </c>
      <c r="Q576">
        <v>20</v>
      </c>
      <c r="R576">
        <v>27664.080000000002</v>
      </c>
      <c r="S576" s="11">
        <v>110656.3</v>
      </c>
      <c r="T576">
        <v>-7839.81</v>
      </c>
      <c r="U576">
        <f t="shared" si="8"/>
        <v>110656.3</v>
      </c>
    </row>
    <row r="577" spans="1:21" ht="15" customHeight="1" x14ac:dyDescent="0.25">
      <c r="A577" t="s">
        <v>2135</v>
      </c>
      <c r="B577" s="8">
        <v>45183</v>
      </c>
      <c r="C577" s="8">
        <v>45183</v>
      </c>
      <c r="D577" t="s">
        <v>32</v>
      </c>
      <c r="E577" t="s">
        <v>3047</v>
      </c>
      <c r="F577" t="s">
        <v>3090</v>
      </c>
      <c r="H577">
        <v>9024291258</v>
      </c>
      <c r="I577" t="s">
        <v>43</v>
      </c>
      <c r="J577" t="s">
        <v>61</v>
      </c>
      <c r="K577" t="s">
        <v>182</v>
      </c>
      <c r="L577" t="s">
        <v>27</v>
      </c>
      <c r="M577" t="s">
        <v>173</v>
      </c>
      <c r="N577" t="s">
        <v>662</v>
      </c>
      <c r="O577">
        <v>1</v>
      </c>
      <c r="P577">
        <v>5550.95</v>
      </c>
      <c r="Q577">
        <v>25</v>
      </c>
      <c r="R577">
        <v>1387.74</v>
      </c>
      <c r="S577" s="11">
        <v>4163.21</v>
      </c>
      <c r="T577">
        <v>579.95000000000005</v>
      </c>
      <c r="U577">
        <f t="shared" si="8"/>
        <v>4163.21</v>
      </c>
    </row>
    <row r="578" spans="1:21" ht="15" customHeight="1" x14ac:dyDescent="0.25">
      <c r="A578" t="s">
        <v>2146</v>
      </c>
      <c r="B578" s="8">
        <v>45186</v>
      </c>
      <c r="C578" s="8">
        <v>45191</v>
      </c>
      <c r="D578" t="s">
        <v>73</v>
      </c>
      <c r="E578" t="s">
        <v>3060</v>
      </c>
      <c r="F578" t="s">
        <v>3052</v>
      </c>
      <c r="G578" t="s">
        <v>2148</v>
      </c>
      <c r="H578">
        <v>7033381714</v>
      </c>
      <c r="I578" t="s">
        <v>24</v>
      </c>
      <c r="J578" t="s">
        <v>61</v>
      </c>
      <c r="K578" t="s">
        <v>62</v>
      </c>
      <c r="L578" t="s">
        <v>96</v>
      </c>
      <c r="M578" t="s">
        <v>385</v>
      </c>
      <c r="N578" t="s">
        <v>942</v>
      </c>
      <c r="O578">
        <v>15</v>
      </c>
      <c r="P578">
        <v>297710.02</v>
      </c>
      <c r="Q578">
        <v>0</v>
      </c>
      <c r="R578">
        <v>0</v>
      </c>
      <c r="S578" s="11">
        <v>4465650.3</v>
      </c>
      <c r="T578">
        <v>-612804.26</v>
      </c>
      <c r="U578">
        <f t="shared" ref="U578:U641" si="9">VALUE(S578)</f>
        <v>4465650.3</v>
      </c>
    </row>
    <row r="579" spans="1:21" ht="15" customHeight="1" x14ac:dyDescent="0.25">
      <c r="A579" t="s">
        <v>1502</v>
      </c>
      <c r="B579" s="8">
        <v>45187</v>
      </c>
      <c r="C579" s="8">
        <v>45191</v>
      </c>
      <c r="D579" t="s">
        <v>73</v>
      </c>
      <c r="E579" t="s">
        <v>3094</v>
      </c>
      <c r="F579" t="s">
        <v>3050</v>
      </c>
      <c r="G579" t="s">
        <v>1504</v>
      </c>
      <c r="H579">
        <v>8105187652</v>
      </c>
      <c r="I579" t="s">
        <v>43</v>
      </c>
      <c r="J579" t="s">
        <v>1505</v>
      </c>
      <c r="K579" t="s">
        <v>95</v>
      </c>
      <c r="L579" t="s">
        <v>27</v>
      </c>
      <c r="M579" t="s">
        <v>354</v>
      </c>
      <c r="N579" t="s">
        <v>789</v>
      </c>
      <c r="O579">
        <v>11</v>
      </c>
      <c r="P579">
        <v>5580.3</v>
      </c>
      <c r="Q579">
        <v>20</v>
      </c>
      <c r="R579">
        <v>12276.66</v>
      </c>
      <c r="S579" s="11">
        <v>49106.64</v>
      </c>
      <c r="T579">
        <v>6728.56</v>
      </c>
      <c r="U579">
        <f t="shared" si="9"/>
        <v>49106.64</v>
      </c>
    </row>
    <row r="580" spans="1:21" ht="15" customHeight="1" x14ac:dyDescent="0.25">
      <c r="A580" t="s">
        <v>488</v>
      </c>
      <c r="B580" s="8">
        <v>45195</v>
      </c>
      <c r="C580" s="8">
        <v>45203</v>
      </c>
      <c r="D580" t="s">
        <v>48</v>
      </c>
      <c r="E580" t="s">
        <v>3055</v>
      </c>
      <c r="F580" t="s">
        <v>3075</v>
      </c>
      <c r="G580" t="s">
        <v>489</v>
      </c>
      <c r="H580">
        <v>9027869154</v>
      </c>
      <c r="I580" t="s">
        <v>35</v>
      </c>
      <c r="J580" t="s">
        <v>61</v>
      </c>
      <c r="K580" t="s">
        <v>84</v>
      </c>
      <c r="L580" t="s">
        <v>27</v>
      </c>
      <c r="M580" t="s">
        <v>79</v>
      </c>
      <c r="N580" t="s">
        <v>490</v>
      </c>
      <c r="O580">
        <v>3</v>
      </c>
      <c r="P580">
        <v>7787.32</v>
      </c>
      <c r="Q580">
        <v>20</v>
      </c>
      <c r="R580">
        <v>4672.3900000000003</v>
      </c>
      <c r="S580" s="11">
        <v>18689.57</v>
      </c>
      <c r="T580">
        <v>2420.3000000000002</v>
      </c>
      <c r="U580">
        <f t="shared" si="9"/>
        <v>18689.57</v>
      </c>
    </row>
    <row r="581" spans="1:21" ht="15" customHeight="1" x14ac:dyDescent="0.25">
      <c r="A581" t="s">
        <v>1957</v>
      </c>
      <c r="B581" s="8">
        <v>45195</v>
      </c>
      <c r="C581" s="8">
        <v>45200</v>
      </c>
      <c r="D581" t="s">
        <v>73</v>
      </c>
      <c r="E581" t="s">
        <v>3081</v>
      </c>
      <c r="F581" t="s">
        <v>3083</v>
      </c>
      <c r="G581" t="s">
        <v>1959</v>
      </c>
      <c r="H581">
        <v>8146263326</v>
      </c>
      <c r="I581" t="s">
        <v>35</v>
      </c>
      <c r="J581" t="s">
        <v>69</v>
      </c>
      <c r="K581" t="s">
        <v>307</v>
      </c>
      <c r="L581" t="s">
        <v>85</v>
      </c>
      <c r="M581" t="s">
        <v>243</v>
      </c>
      <c r="N581" t="s">
        <v>613</v>
      </c>
      <c r="O581">
        <v>19</v>
      </c>
      <c r="P581">
        <v>19723.84</v>
      </c>
      <c r="Q581">
        <v>10</v>
      </c>
      <c r="R581">
        <v>37475.300000000003</v>
      </c>
      <c r="S581" s="11">
        <v>337277.66</v>
      </c>
      <c r="T581">
        <v>20918.330000000002</v>
      </c>
      <c r="U581">
        <f t="shared" si="9"/>
        <v>337277.66</v>
      </c>
    </row>
    <row r="582" spans="1:21" ht="15" customHeight="1" x14ac:dyDescent="0.25">
      <c r="A582" t="s">
        <v>434</v>
      </c>
      <c r="B582" s="8">
        <v>45195</v>
      </c>
      <c r="C582" s="8">
        <v>45199</v>
      </c>
      <c r="D582" t="s">
        <v>416</v>
      </c>
      <c r="E582" t="s">
        <v>3050</v>
      </c>
      <c r="F582" t="s">
        <v>3039</v>
      </c>
      <c r="G582" t="s">
        <v>436</v>
      </c>
      <c r="H582">
        <v>8145727345</v>
      </c>
      <c r="I582" t="s">
        <v>35</v>
      </c>
      <c r="J582" t="s">
        <v>51</v>
      </c>
      <c r="K582" t="s">
        <v>316</v>
      </c>
      <c r="L582" t="s">
        <v>108</v>
      </c>
      <c r="M582" t="s">
        <v>189</v>
      </c>
      <c r="N582" t="s">
        <v>205</v>
      </c>
      <c r="O582">
        <v>6</v>
      </c>
      <c r="P582">
        <v>20002.419999999998</v>
      </c>
      <c r="Q582">
        <v>5</v>
      </c>
      <c r="R582">
        <v>6000.73</v>
      </c>
      <c r="S582" s="11">
        <v>114013.79</v>
      </c>
      <c r="T582">
        <v>37710.69</v>
      </c>
      <c r="U582">
        <f t="shared" si="9"/>
        <v>114013.79</v>
      </c>
    </row>
    <row r="583" spans="1:21" ht="15" customHeight="1" x14ac:dyDescent="0.25">
      <c r="A583" t="s">
        <v>1804</v>
      </c>
      <c r="B583" s="8">
        <v>45198</v>
      </c>
      <c r="C583" s="8">
        <v>45203</v>
      </c>
      <c r="D583" t="s">
        <v>48</v>
      </c>
      <c r="E583" t="s">
        <v>3035</v>
      </c>
      <c r="F583" t="s">
        <v>3077</v>
      </c>
      <c r="G583" t="s">
        <v>1806</v>
      </c>
      <c r="H583">
        <v>8037512001</v>
      </c>
      <c r="I583" t="s">
        <v>24</v>
      </c>
      <c r="J583" t="s">
        <v>51</v>
      </c>
      <c r="K583" t="s">
        <v>316</v>
      </c>
      <c r="L583" t="s">
        <v>108</v>
      </c>
      <c r="M583" t="s">
        <v>38</v>
      </c>
      <c r="N583" t="s">
        <v>39</v>
      </c>
      <c r="O583">
        <v>5</v>
      </c>
      <c r="P583">
        <v>36293.279999999999</v>
      </c>
      <c r="Q583">
        <v>25</v>
      </c>
      <c r="R583">
        <v>45366.6</v>
      </c>
      <c r="S583" s="11">
        <v>136099.79999999999</v>
      </c>
      <c r="T583">
        <v>33786.19</v>
      </c>
      <c r="U583">
        <f t="shared" si="9"/>
        <v>136099.79999999999</v>
      </c>
    </row>
    <row r="584" spans="1:21" ht="15" customHeight="1" x14ac:dyDescent="0.25">
      <c r="A584" t="s">
        <v>1657</v>
      </c>
      <c r="B584" s="8">
        <v>45198</v>
      </c>
      <c r="C584" s="8">
        <v>45200</v>
      </c>
      <c r="D584" t="s">
        <v>20</v>
      </c>
      <c r="E584" t="s">
        <v>3072</v>
      </c>
      <c r="F584" t="s">
        <v>3046</v>
      </c>
      <c r="H584">
        <v>7061403047</v>
      </c>
      <c r="I584" t="s">
        <v>959</v>
      </c>
      <c r="J584" t="s">
        <v>61</v>
      </c>
      <c r="K584" t="s">
        <v>62</v>
      </c>
      <c r="L584" t="s">
        <v>27</v>
      </c>
      <c r="M584" t="s">
        <v>45</v>
      </c>
      <c r="N584" t="s">
        <v>838</v>
      </c>
      <c r="O584">
        <v>16</v>
      </c>
      <c r="P584">
        <v>2203.08</v>
      </c>
      <c r="Q584">
        <v>5</v>
      </c>
      <c r="R584">
        <v>1762.46</v>
      </c>
      <c r="S584" s="11">
        <v>33486.82</v>
      </c>
      <c r="T584">
        <v>14241.33</v>
      </c>
      <c r="U584">
        <f t="shared" si="9"/>
        <v>33486.82</v>
      </c>
    </row>
    <row r="585" spans="1:21" ht="15" customHeight="1" x14ac:dyDescent="0.25">
      <c r="A585" t="s">
        <v>2816</v>
      </c>
      <c r="B585" s="8">
        <v>45199</v>
      </c>
      <c r="C585" s="8">
        <v>45201</v>
      </c>
      <c r="D585" t="s">
        <v>20</v>
      </c>
      <c r="E585" t="s">
        <v>3060</v>
      </c>
      <c r="F585" t="s">
        <v>3057</v>
      </c>
      <c r="G585" t="s">
        <v>2707</v>
      </c>
      <c r="H585">
        <v>8155991994</v>
      </c>
      <c r="I585" t="s">
        <v>35</v>
      </c>
      <c r="J585" t="s">
        <v>25</v>
      </c>
      <c r="K585" t="s">
        <v>126</v>
      </c>
      <c r="L585" t="s">
        <v>96</v>
      </c>
      <c r="M585" t="s">
        <v>189</v>
      </c>
      <c r="N585" t="s">
        <v>287</v>
      </c>
      <c r="O585">
        <v>14</v>
      </c>
      <c r="P585">
        <v>150673.10999999999</v>
      </c>
      <c r="Q585">
        <v>0</v>
      </c>
      <c r="R585">
        <v>0</v>
      </c>
      <c r="S585" s="11">
        <v>2109423.54</v>
      </c>
      <c r="T585">
        <v>516257.17</v>
      </c>
      <c r="U585">
        <f t="shared" si="9"/>
        <v>2109423.54</v>
      </c>
    </row>
    <row r="586" spans="1:21" ht="15" customHeight="1" x14ac:dyDescent="0.25">
      <c r="A586" t="s">
        <v>1672</v>
      </c>
      <c r="B586" s="8">
        <v>45199</v>
      </c>
      <c r="C586" s="8">
        <v>45201</v>
      </c>
      <c r="D586" t="s">
        <v>20</v>
      </c>
      <c r="E586" t="s">
        <v>3084</v>
      </c>
      <c r="F586" t="s">
        <v>3083</v>
      </c>
      <c r="G586" t="s">
        <v>1673</v>
      </c>
      <c r="H586">
        <v>9056752912</v>
      </c>
      <c r="I586" t="s">
        <v>24</v>
      </c>
      <c r="J586" t="s">
        <v>69</v>
      </c>
      <c r="K586" t="s">
        <v>155</v>
      </c>
      <c r="M586" t="s">
        <v>558</v>
      </c>
      <c r="N586" t="s">
        <v>1460</v>
      </c>
      <c r="O586">
        <v>5</v>
      </c>
      <c r="P586">
        <v>13183.17</v>
      </c>
      <c r="Q586">
        <v>0</v>
      </c>
      <c r="R586">
        <v>0</v>
      </c>
      <c r="S586" s="11">
        <v>65915.850000000006</v>
      </c>
      <c r="T586">
        <v>-498.82</v>
      </c>
      <c r="U586">
        <f t="shared" si="9"/>
        <v>65915.850000000006</v>
      </c>
    </row>
    <row r="587" spans="1:21" ht="15" customHeight="1" x14ac:dyDescent="0.25">
      <c r="A587" t="s">
        <v>1840</v>
      </c>
      <c r="B587" s="8">
        <v>45202</v>
      </c>
      <c r="C587" s="8">
        <v>45203</v>
      </c>
      <c r="D587" t="s">
        <v>32</v>
      </c>
      <c r="G587" t="s">
        <v>1841</v>
      </c>
      <c r="H587">
        <v>9012661097</v>
      </c>
      <c r="I587" t="s">
        <v>24</v>
      </c>
      <c r="J587" t="s">
        <v>69</v>
      </c>
      <c r="K587" t="s">
        <v>119</v>
      </c>
      <c r="L587" t="s">
        <v>96</v>
      </c>
      <c r="M587" t="s">
        <v>385</v>
      </c>
      <c r="N587" t="s">
        <v>743</v>
      </c>
      <c r="O587">
        <v>10</v>
      </c>
      <c r="P587">
        <v>96812.04</v>
      </c>
      <c r="Q587">
        <v>5</v>
      </c>
      <c r="R587">
        <v>48406.02</v>
      </c>
      <c r="S587" s="11">
        <v>919714.38</v>
      </c>
      <c r="T587">
        <v>390376.22</v>
      </c>
      <c r="U587">
        <f t="shared" si="9"/>
        <v>919714.38</v>
      </c>
    </row>
    <row r="588" spans="1:21" ht="15" customHeight="1" x14ac:dyDescent="0.25">
      <c r="A588" t="s">
        <v>2688</v>
      </c>
      <c r="B588" s="8">
        <v>45203</v>
      </c>
      <c r="C588" s="8">
        <v>45207</v>
      </c>
      <c r="D588" t="s">
        <v>73</v>
      </c>
      <c r="E588" t="s">
        <v>3059</v>
      </c>
      <c r="F588" t="s">
        <v>3057</v>
      </c>
      <c r="G588" t="s">
        <v>2690</v>
      </c>
      <c r="H588">
        <v>7036139660</v>
      </c>
      <c r="I588" t="s">
        <v>24</v>
      </c>
      <c r="J588" t="s">
        <v>51</v>
      </c>
      <c r="K588" t="s">
        <v>223</v>
      </c>
      <c r="L588" t="s">
        <v>85</v>
      </c>
      <c r="M588" t="s">
        <v>243</v>
      </c>
      <c r="N588" t="s">
        <v>244</v>
      </c>
      <c r="O588">
        <v>9</v>
      </c>
      <c r="P588">
        <v>124289.22</v>
      </c>
      <c r="Q588">
        <v>10</v>
      </c>
      <c r="R588">
        <v>111860.3</v>
      </c>
      <c r="S588" s="11">
        <v>1006742.68</v>
      </c>
      <c r="T588">
        <v>210063.21</v>
      </c>
      <c r="U588">
        <f t="shared" si="9"/>
        <v>1006742.68</v>
      </c>
    </row>
    <row r="589" spans="1:21" ht="15" customHeight="1" x14ac:dyDescent="0.25">
      <c r="A589" t="s">
        <v>2508</v>
      </c>
      <c r="B589" s="8">
        <v>45204</v>
      </c>
      <c r="C589" s="8">
        <v>45209</v>
      </c>
      <c r="D589" t="s">
        <v>73</v>
      </c>
      <c r="E589" t="s">
        <v>3087</v>
      </c>
      <c r="F589" t="s">
        <v>3077</v>
      </c>
      <c r="G589" t="s">
        <v>2510</v>
      </c>
      <c r="H589">
        <v>8036082589</v>
      </c>
      <c r="I589" t="s">
        <v>24</v>
      </c>
      <c r="J589" t="s">
        <v>51</v>
      </c>
      <c r="K589" t="s">
        <v>227</v>
      </c>
      <c r="L589" t="s">
        <v>108</v>
      </c>
      <c r="M589" t="s">
        <v>109</v>
      </c>
      <c r="N589" t="s">
        <v>157</v>
      </c>
      <c r="O589">
        <v>2</v>
      </c>
      <c r="P589">
        <v>43460.05</v>
      </c>
      <c r="Q589">
        <v>15</v>
      </c>
      <c r="R589">
        <v>13038.01</v>
      </c>
      <c r="S589" s="11">
        <v>73882.09</v>
      </c>
      <c r="T589">
        <v>21656.62</v>
      </c>
      <c r="U589">
        <f t="shared" si="9"/>
        <v>73882.09</v>
      </c>
    </row>
    <row r="590" spans="1:21" ht="15" customHeight="1" x14ac:dyDescent="0.25">
      <c r="A590" t="s">
        <v>1051</v>
      </c>
      <c r="B590" s="8">
        <v>45208</v>
      </c>
      <c r="C590" s="8">
        <v>45212</v>
      </c>
      <c r="D590" t="s">
        <v>73</v>
      </c>
      <c r="E590" t="s">
        <v>3097</v>
      </c>
      <c r="F590" t="s">
        <v>3075</v>
      </c>
      <c r="G590" t="s">
        <v>1053</v>
      </c>
      <c r="H590">
        <v>9015418274</v>
      </c>
      <c r="I590" t="s">
        <v>24</v>
      </c>
      <c r="J590" t="s">
        <v>69</v>
      </c>
      <c r="K590" t="s">
        <v>119</v>
      </c>
      <c r="L590" t="s">
        <v>85</v>
      </c>
      <c r="M590" t="s">
        <v>243</v>
      </c>
      <c r="N590" t="s">
        <v>1054</v>
      </c>
      <c r="O590">
        <v>11</v>
      </c>
      <c r="P590">
        <v>76616.070000000007</v>
      </c>
      <c r="Q590">
        <v>0</v>
      </c>
      <c r="R590">
        <v>0</v>
      </c>
      <c r="S590" s="11">
        <v>842776.77</v>
      </c>
      <c r="T590">
        <v>154001.35999999999</v>
      </c>
      <c r="U590">
        <f t="shared" si="9"/>
        <v>842776.77</v>
      </c>
    </row>
    <row r="591" spans="1:21" ht="15" customHeight="1" x14ac:dyDescent="0.25">
      <c r="A591" t="s">
        <v>1561</v>
      </c>
      <c r="B591" s="8">
        <v>45208</v>
      </c>
      <c r="C591" s="8">
        <v>45208</v>
      </c>
      <c r="D591" t="s">
        <v>32</v>
      </c>
      <c r="E591" t="s">
        <v>3091</v>
      </c>
      <c r="F591" t="s">
        <v>3040</v>
      </c>
      <c r="G591" t="s">
        <v>1563</v>
      </c>
      <c r="H591">
        <v>8142961940</v>
      </c>
      <c r="I591" t="s">
        <v>35</v>
      </c>
      <c r="J591" t="s">
        <v>25</v>
      </c>
      <c r="K591" t="s">
        <v>36</v>
      </c>
      <c r="L591" t="s">
        <v>108</v>
      </c>
      <c r="M591" t="s">
        <v>189</v>
      </c>
      <c r="N591" t="s">
        <v>325</v>
      </c>
      <c r="O591">
        <v>14</v>
      </c>
      <c r="P591">
        <v>21277.99</v>
      </c>
      <c r="Q591">
        <v>0</v>
      </c>
      <c r="R591">
        <v>0</v>
      </c>
      <c r="S591" s="11">
        <v>297891.86</v>
      </c>
      <c r="T591">
        <v>-15847.83</v>
      </c>
      <c r="U591">
        <f t="shared" si="9"/>
        <v>297891.86</v>
      </c>
    </row>
    <row r="592" spans="1:21" ht="15" customHeight="1" x14ac:dyDescent="0.25">
      <c r="A592" t="s">
        <v>2173</v>
      </c>
      <c r="B592" s="8">
        <v>45211</v>
      </c>
      <c r="C592" s="8">
        <v>45212</v>
      </c>
      <c r="D592" t="s">
        <v>32</v>
      </c>
      <c r="E592" t="s">
        <v>3050</v>
      </c>
      <c r="F592" t="s">
        <v>3042</v>
      </c>
      <c r="G592" t="s">
        <v>2174</v>
      </c>
      <c r="H592">
        <v>8136514410</v>
      </c>
      <c r="I592" t="s">
        <v>24</v>
      </c>
      <c r="J592" t="s">
        <v>69</v>
      </c>
      <c r="K592" t="s">
        <v>155</v>
      </c>
      <c r="L592" t="s">
        <v>85</v>
      </c>
      <c r="M592" t="s">
        <v>243</v>
      </c>
      <c r="N592" t="s">
        <v>613</v>
      </c>
      <c r="O592">
        <v>4</v>
      </c>
      <c r="P592" t="s">
        <v>2175</v>
      </c>
      <c r="Q592">
        <v>5</v>
      </c>
      <c r="R592">
        <v>17280.25</v>
      </c>
      <c r="S592" s="11">
        <v>328324.71000000002</v>
      </c>
      <c r="T592">
        <v>38415.47</v>
      </c>
      <c r="U592">
        <f t="shared" si="9"/>
        <v>328324.71000000002</v>
      </c>
    </row>
    <row r="593" spans="1:21" ht="15" customHeight="1" x14ac:dyDescent="0.25">
      <c r="A593" t="s">
        <v>1631</v>
      </c>
      <c r="B593" s="8">
        <v>45213</v>
      </c>
      <c r="C593" s="8">
        <v>45221</v>
      </c>
      <c r="D593" t="s">
        <v>48</v>
      </c>
      <c r="E593" t="s">
        <v>3060</v>
      </c>
      <c r="F593" t="s">
        <v>3066</v>
      </c>
      <c r="G593" t="s">
        <v>1632</v>
      </c>
      <c r="H593">
        <v>8141484969</v>
      </c>
      <c r="I593" t="s">
        <v>43</v>
      </c>
      <c r="J593" t="s">
        <v>69</v>
      </c>
      <c r="K593" t="s">
        <v>307</v>
      </c>
      <c r="L593" t="s">
        <v>108</v>
      </c>
      <c r="M593" t="s">
        <v>109</v>
      </c>
      <c r="N593" t="s">
        <v>110</v>
      </c>
      <c r="O593">
        <v>19</v>
      </c>
      <c r="P593">
        <v>13573.87</v>
      </c>
      <c r="Q593">
        <v>0</v>
      </c>
      <c r="R593">
        <v>0</v>
      </c>
      <c r="S593" s="11">
        <v>257903.53</v>
      </c>
      <c r="T593">
        <v>-570.05999999999995</v>
      </c>
      <c r="U593">
        <f t="shared" si="9"/>
        <v>257903.53</v>
      </c>
    </row>
    <row r="594" spans="1:21" ht="15" customHeight="1" x14ac:dyDescent="0.25">
      <c r="A594" t="s">
        <v>819</v>
      </c>
      <c r="B594" s="8">
        <v>45214</v>
      </c>
      <c r="C594" s="8">
        <v>45221</v>
      </c>
      <c r="D594" t="s">
        <v>48</v>
      </c>
      <c r="E594" t="s">
        <v>3072</v>
      </c>
      <c r="F594" t="s">
        <v>3050</v>
      </c>
      <c r="G594" t="s">
        <v>821</v>
      </c>
      <c r="H594">
        <v>8107299138</v>
      </c>
      <c r="I594" t="s">
        <v>43</v>
      </c>
      <c r="J594" t="s">
        <v>25</v>
      </c>
      <c r="K594" t="s">
        <v>26</v>
      </c>
      <c r="L594" t="s">
        <v>85</v>
      </c>
      <c r="M594" t="s">
        <v>86</v>
      </c>
      <c r="N594" t="s">
        <v>238</v>
      </c>
      <c r="O594">
        <v>3</v>
      </c>
      <c r="P594">
        <v>169995.47</v>
      </c>
      <c r="Q594">
        <v>10</v>
      </c>
      <c r="R594">
        <v>50998.64</v>
      </c>
      <c r="S594" s="11">
        <v>458987.77</v>
      </c>
      <c r="T594">
        <v>94743.49</v>
      </c>
      <c r="U594">
        <f t="shared" si="9"/>
        <v>458987.77</v>
      </c>
    </row>
    <row r="595" spans="1:21" ht="15" customHeight="1" x14ac:dyDescent="0.25">
      <c r="A595" t="s">
        <v>2370</v>
      </c>
      <c r="B595" s="8">
        <v>45215</v>
      </c>
      <c r="C595" s="8">
        <v>45220</v>
      </c>
      <c r="D595" t="s">
        <v>48</v>
      </c>
      <c r="E595" t="s">
        <v>3050</v>
      </c>
      <c r="F595" t="s">
        <v>3083</v>
      </c>
      <c r="G595" t="s">
        <v>2372</v>
      </c>
      <c r="H595">
        <v>8142398988</v>
      </c>
      <c r="I595" t="s">
        <v>35</v>
      </c>
      <c r="J595" t="s">
        <v>69</v>
      </c>
      <c r="K595" t="s">
        <v>70</v>
      </c>
      <c r="L595" t="s">
        <v>156</v>
      </c>
      <c r="M595" t="s">
        <v>109</v>
      </c>
      <c r="N595" t="s">
        <v>110</v>
      </c>
      <c r="O595">
        <v>7</v>
      </c>
      <c r="P595">
        <v>25321.86</v>
      </c>
      <c r="Q595">
        <v>20</v>
      </c>
      <c r="R595">
        <v>35450.6</v>
      </c>
      <c r="S595" s="11">
        <v>141802.42000000001</v>
      </c>
      <c r="T595">
        <v>4250.75</v>
      </c>
      <c r="U595">
        <f t="shared" si="9"/>
        <v>141802.42000000001</v>
      </c>
    </row>
    <row r="596" spans="1:21" ht="15" customHeight="1" x14ac:dyDescent="0.25">
      <c r="A596" t="s">
        <v>2335</v>
      </c>
      <c r="B596" s="8">
        <v>45216</v>
      </c>
      <c r="C596" s="8">
        <v>45219</v>
      </c>
      <c r="D596" t="s">
        <v>20</v>
      </c>
      <c r="E596" t="s">
        <v>3072</v>
      </c>
      <c r="F596" t="s">
        <v>3069</v>
      </c>
      <c r="G596" t="s">
        <v>2337</v>
      </c>
      <c r="H596">
        <v>8159986330</v>
      </c>
      <c r="I596" t="s">
        <v>43</v>
      </c>
      <c r="J596" t="s">
        <v>51</v>
      </c>
      <c r="K596" t="s">
        <v>131</v>
      </c>
      <c r="L596" t="s">
        <v>27</v>
      </c>
      <c r="M596" t="s">
        <v>28</v>
      </c>
      <c r="N596" t="s">
        <v>508</v>
      </c>
      <c r="O596">
        <v>16</v>
      </c>
      <c r="P596" t="s">
        <v>2338</v>
      </c>
      <c r="Q596">
        <v>20</v>
      </c>
      <c r="R596">
        <v>22127.17</v>
      </c>
      <c r="S596" s="11">
        <v>88508.67</v>
      </c>
      <c r="T596">
        <v>1926.84</v>
      </c>
      <c r="U596">
        <f t="shared" si="9"/>
        <v>88508.67</v>
      </c>
    </row>
    <row r="597" spans="1:21" ht="15" customHeight="1" x14ac:dyDescent="0.25">
      <c r="A597" t="s">
        <v>196</v>
      </c>
      <c r="B597" s="8">
        <v>45216</v>
      </c>
      <c r="C597" s="8">
        <v>45218</v>
      </c>
      <c r="D597" t="s">
        <v>20</v>
      </c>
      <c r="E597" t="s">
        <v>3033</v>
      </c>
      <c r="F597" t="s">
        <v>3054</v>
      </c>
      <c r="G597" t="s">
        <v>198</v>
      </c>
      <c r="H597">
        <v>7063563646</v>
      </c>
      <c r="I597" t="s">
        <v>43</v>
      </c>
      <c r="J597" t="s">
        <v>51</v>
      </c>
      <c r="K597" t="s">
        <v>131</v>
      </c>
      <c r="L597" t="s">
        <v>85</v>
      </c>
      <c r="M597" t="s">
        <v>86</v>
      </c>
      <c r="N597" t="s">
        <v>199</v>
      </c>
      <c r="O597">
        <v>18</v>
      </c>
      <c r="P597">
        <v>78107.09</v>
      </c>
      <c r="Q597">
        <v>20</v>
      </c>
      <c r="R597">
        <v>281185.52</v>
      </c>
      <c r="S597" s="11" t="s">
        <v>200</v>
      </c>
      <c r="T597">
        <v>111871.96</v>
      </c>
      <c r="U597">
        <f t="shared" si="9"/>
        <v>1124742.1000000001</v>
      </c>
    </row>
    <row r="598" spans="1:21" ht="15" customHeight="1" x14ac:dyDescent="0.25">
      <c r="A598" t="s">
        <v>866</v>
      </c>
      <c r="B598" s="8">
        <v>45216</v>
      </c>
      <c r="C598" s="8">
        <v>45216</v>
      </c>
      <c r="D598" t="s">
        <v>32</v>
      </c>
      <c r="E598" t="s">
        <v>3047</v>
      </c>
      <c r="F598" t="s">
        <v>3040</v>
      </c>
      <c r="G598" t="s">
        <v>868</v>
      </c>
      <c r="H598">
        <v>8165352450</v>
      </c>
      <c r="I598" t="s">
        <v>24</v>
      </c>
      <c r="J598" t="s">
        <v>61</v>
      </c>
      <c r="K598" t="s">
        <v>95</v>
      </c>
      <c r="L598" t="s">
        <v>108</v>
      </c>
      <c r="M598" t="s">
        <v>183</v>
      </c>
      <c r="N598" t="s">
        <v>869</v>
      </c>
      <c r="O598">
        <v>19</v>
      </c>
      <c r="P598">
        <v>33679.480000000003</v>
      </c>
      <c r="Q598">
        <v>5</v>
      </c>
      <c r="R598">
        <v>31995.51</v>
      </c>
      <c r="S598" s="11">
        <v>607914.61</v>
      </c>
      <c r="T598">
        <v>33982.57</v>
      </c>
      <c r="U598">
        <f t="shared" si="9"/>
        <v>607914.61</v>
      </c>
    </row>
    <row r="599" spans="1:21" ht="15" customHeight="1" x14ac:dyDescent="0.25">
      <c r="A599" t="s">
        <v>1628</v>
      </c>
      <c r="B599" s="8">
        <v>45217</v>
      </c>
      <c r="C599" s="8">
        <v>45223</v>
      </c>
      <c r="D599" t="s">
        <v>48</v>
      </c>
      <c r="E599" t="s">
        <v>3051</v>
      </c>
      <c r="F599" t="s">
        <v>3074</v>
      </c>
      <c r="G599" t="s">
        <v>1630</v>
      </c>
      <c r="H599">
        <v>7063029477</v>
      </c>
      <c r="I599" t="s">
        <v>43</v>
      </c>
      <c r="J599" t="s">
        <v>25</v>
      </c>
      <c r="K599" t="s">
        <v>44</v>
      </c>
      <c r="L599" t="s">
        <v>96</v>
      </c>
      <c r="M599" t="s">
        <v>385</v>
      </c>
      <c r="N599" t="s">
        <v>781</v>
      </c>
      <c r="O599">
        <v>19</v>
      </c>
      <c r="P599">
        <v>342178.18</v>
      </c>
      <c r="Q599">
        <v>5</v>
      </c>
      <c r="R599">
        <v>325069.27</v>
      </c>
      <c r="T599">
        <v>900430.71</v>
      </c>
      <c r="U599">
        <f t="shared" si="9"/>
        <v>0</v>
      </c>
    </row>
    <row r="600" spans="1:21" ht="15" customHeight="1" x14ac:dyDescent="0.25">
      <c r="A600" t="s">
        <v>1973</v>
      </c>
      <c r="B600" s="8">
        <v>45217</v>
      </c>
      <c r="C600" s="8">
        <v>45222</v>
      </c>
      <c r="D600" t="s">
        <v>73</v>
      </c>
      <c r="E600" t="s">
        <v>3063</v>
      </c>
      <c r="F600" t="s">
        <v>3088</v>
      </c>
      <c r="G600" t="s">
        <v>1975</v>
      </c>
      <c r="H600">
        <v>8037064842</v>
      </c>
      <c r="I600" t="s">
        <v>24</v>
      </c>
      <c r="K600" t="s">
        <v>119</v>
      </c>
      <c r="L600" t="s">
        <v>108</v>
      </c>
      <c r="M600" t="s">
        <v>183</v>
      </c>
      <c r="N600" t="s">
        <v>372</v>
      </c>
      <c r="O600">
        <v>1</v>
      </c>
      <c r="P600">
        <v>4325.33</v>
      </c>
      <c r="Q600">
        <v>15</v>
      </c>
      <c r="R600">
        <v>648.79999999999995</v>
      </c>
      <c r="S600" s="11">
        <v>3676.53</v>
      </c>
      <c r="T600">
        <v>43.78</v>
      </c>
      <c r="U600">
        <f t="shared" si="9"/>
        <v>3676.53</v>
      </c>
    </row>
    <row r="601" spans="1:21" ht="15" customHeight="1" x14ac:dyDescent="0.25">
      <c r="A601" t="s">
        <v>2503</v>
      </c>
      <c r="B601" s="8">
        <v>45218</v>
      </c>
      <c r="C601" s="8">
        <v>45226</v>
      </c>
      <c r="D601" t="s">
        <v>48</v>
      </c>
      <c r="E601" t="s">
        <v>3037</v>
      </c>
      <c r="F601" t="s">
        <v>3040</v>
      </c>
      <c r="G601" t="s">
        <v>2504</v>
      </c>
      <c r="H601">
        <v>8166374017</v>
      </c>
      <c r="I601" t="s">
        <v>35</v>
      </c>
      <c r="J601" t="s">
        <v>69</v>
      </c>
      <c r="K601" t="s">
        <v>155</v>
      </c>
      <c r="L601" t="s">
        <v>85</v>
      </c>
      <c r="M601" t="s">
        <v>486</v>
      </c>
      <c r="N601" t="s">
        <v>1193</v>
      </c>
      <c r="O601">
        <v>14</v>
      </c>
      <c r="P601">
        <v>58388.97</v>
      </c>
      <c r="Q601">
        <v>15</v>
      </c>
      <c r="R601">
        <v>122616.84</v>
      </c>
      <c r="S601" s="11">
        <v>694828.74</v>
      </c>
      <c r="T601">
        <v>77183.87</v>
      </c>
      <c r="U601">
        <f t="shared" si="9"/>
        <v>694828.74</v>
      </c>
    </row>
    <row r="602" spans="1:21" ht="15" customHeight="1" x14ac:dyDescent="0.25">
      <c r="A602" t="s">
        <v>415</v>
      </c>
      <c r="B602" s="8">
        <v>45220</v>
      </c>
      <c r="C602" s="8">
        <v>45225</v>
      </c>
      <c r="D602" t="s">
        <v>416</v>
      </c>
      <c r="E602" t="s">
        <v>3055</v>
      </c>
      <c r="F602" t="s">
        <v>3075</v>
      </c>
      <c r="G602" t="s">
        <v>418</v>
      </c>
      <c r="H602">
        <v>8038558523</v>
      </c>
      <c r="I602" t="s">
        <v>24</v>
      </c>
      <c r="J602" t="s">
        <v>25</v>
      </c>
      <c r="L602" t="s">
        <v>96</v>
      </c>
      <c r="M602" t="s">
        <v>97</v>
      </c>
      <c r="N602" t="s">
        <v>98</v>
      </c>
      <c r="O602">
        <v>6</v>
      </c>
      <c r="P602">
        <v>234478.82</v>
      </c>
      <c r="Q602">
        <v>0</v>
      </c>
      <c r="R602">
        <v>0</v>
      </c>
      <c r="S602" s="11">
        <v>1406872.92</v>
      </c>
      <c r="T602">
        <v>-1904.58</v>
      </c>
      <c r="U602">
        <f t="shared" si="9"/>
        <v>1406872.92</v>
      </c>
    </row>
    <row r="603" spans="1:21" ht="15" customHeight="1" x14ac:dyDescent="0.25">
      <c r="A603" t="s">
        <v>2712</v>
      </c>
      <c r="B603" s="8">
        <v>45221</v>
      </c>
      <c r="C603" s="8">
        <v>45223</v>
      </c>
      <c r="D603" t="s">
        <v>20</v>
      </c>
      <c r="E603" t="s">
        <v>3089</v>
      </c>
      <c r="F603" t="s">
        <v>3075</v>
      </c>
      <c r="G603" t="s">
        <v>2427</v>
      </c>
      <c r="H603">
        <v>8038418708</v>
      </c>
      <c r="I603" t="s">
        <v>24</v>
      </c>
      <c r="J603" t="s">
        <v>69</v>
      </c>
      <c r="K603" t="s">
        <v>70</v>
      </c>
      <c r="L603" t="s">
        <v>27</v>
      </c>
      <c r="M603" t="s">
        <v>354</v>
      </c>
      <c r="N603" t="s">
        <v>494</v>
      </c>
      <c r="O603">
        <v>3</v>
      </c>
      <c r="P603">
        <v>1412.77</v>
      </c>
      <c r="Q603">
        <v>15</v>
      </c>
      <c r="R603">
        <v>635.75</v>
      </c>
      <c r="S603" s="11">
        <v>3602.56</v>
      </c>
      <c r="T603">
        <v>-176.42</v>
      </c>
      <c r="U603">
        <f t="shared" si="9"/>
        <v>3602.56</v>
      </c>
    </row>
    <row r="604" spans="1:21" ht="15" customHeight="1" x14ac:dyDescent="0.25">
      <c r="A604" t="s">
        <v>956</v>
      </c>
      <c r="B604" s="8">
        <v>45222</v>
      </c>
      <c r="C604" s="8">
        <v>45227</v>
      </c>
      <c r="D604" t="s">
        <v>73</v>
      </c>
      <c r="E604" t="s">
        <v>3087</v>
      </c>
      <c r="F604" t="s">
        <v>3096</v>
      </c>
      <c r="G604" t="s">
        <v>958</v>
      </c>
      <c r="H604">
        <v>8147007679</v>
      </c>
      <c r="I604" t="s">
        <v>959</v>
      </c>
      <c r="J604" t="s">
        <v>69</v>
      </c>
      <c r="K604" t="s">
        <v>119</v>
      </c>
      <c r="L604" t="s">
        <v>96</v>
      </c>
      <c r="M604" t="s">
        <v>97</v>
      </c>
      <c r="N604" t="s">
        <v>169</v>
      </c>
      <c r="O604">
        <v>6</v>
      </c>
      <c r="P604">
        <v>110683.48</v>
      </c>
      <c r="Q604">
        <v>25</v>
      </c>
      <c r="R604">
        <v>166025.22</v>
      </c>
      <c r="S604" s="11">
        <v>498075.66</v>
      </c>
      <c r="T604">
        <v>-54337.13</v>
      </c>
      <c r="U604">
        <f t="shared" si="9"/>
        <v>498075.66</v>
      </c>
    </row>
    <row r="605" spans="1:21" ht="15" customHeight="1" x14ac:dyDescent="0.25">
      <c r="A605" t="s">
        <v>1417</v>
      </c>
      <c r="B605" s="8">
        <v>45222</v>
      </c>
      <c r="C605" s="8">
        <v>45226</v>
      </c>
      <c r="D605" t="s">
        <v>73</v>
      </c>
      <c r="E605" t="s">
        <v>3093</v>
      </c>
      <c r="F605" t="s">
        <v>3036</v>
      </c>
      <c r="G605" t="s">
        <v>609</v>
      </c>
      <c r="H605">
        <v>8069966085</v>
      </c>
      <c r="I605" t="s">
        <v>24</v>
      </c>
      <c r="J605" t="s">
        <v>61</v>
      </c>
      <c r="K605" t="s">
        <v>95</v>
      </c>
      <c r="L605" t="s">
        <v>27</v>
      </c>
      <c r="M605" t="s">
        <v>45</v>
      </c>
      <c r="N605" t="s">
        <v>523</v>
      </c>
      <c r="O605">
        <v>17</v>
      </c>
      <c r="P605">
        <v>399.31</v>
      </c>
      <c r="Q605">
        <v>10</v>
      </c>
      <c r="R605">
        <v>678.83</v>
      </c>
      <c r="S605" s="11">
        <v>6109.44</v>
      </c>
      <c r="T605">
        <v>450.93</v>
      </c>
      <c r="U605">
        <f t="shared" si="9"/>
        <v>6109.44</v>
      </c>
    </row>
    <row r="606" spans="1:21" ht="15" customHeight="1" x14ac:dyDescent="0.25">
      <c r="A606" t="s">
        <v>1211</v>
      </c>
      <c r="B606" s="8">
        <v>45223</v>
      </c>
      <c r="C606" s="8">
        <v>45226</v>
      </c>
      <c r="D606" t="s">
        <v>20</v>
      </c>
      <c r="E606" t="s">
        <v>3098</v>
      </c>
      <c r="F606" t="s">
        <v>3042</v>
      </c>
      <c r="G606" t="s">
        <v>1213</v>
      </c>
      <c r="H606">
        <v>9028169304</v>
      </c>
      <c r="I606" t="s">
        <v>35</v>
      </c>
      <c r="J606" t="s">
        <v>51</v>
      </c>
      <c r="K606" t="s">
        <v>52</v>
      </c>
      <c r="L606" t="s">
        <v>27</v>
      </c>
      <c r="M606" t="s">
        <v>79</v>
      </c>
      <c r="N606" t="s">
        <v>80</v>
      </c>
      <c r="O606">
        <v>4</v>
      </c>
      <c r="P606">
        <v>3925.29</v>
      </c>
      <c r="Q606">
        <v>10</v>
      </c>
      <c r="R606">
        <v>1570.12</v>
      </c>
      <c r="S606" s="11">
        <v>14131.04</v>
      </c>
      <c r="T606">
        <v>671.58</v>
      </c>
      <c r="U606">
        <f t="shared" si="9"/>
        <v>14131.04</v>
      </c>
    </row>
    <row r="607" spans="1:21" ht="15" customHeight="1" x14ac:dyDescent="0.25">
      <c r="A607" t="s">
        <v>81</v>
      </c>
      <c r="B607" s="8">
        <v>45225</v>
      </c>
      <c r="C607" s="8">
        <v>45233</v>
      </c>
      <c r="D607" t="s">
        <v>48</v>
      </c>
      <c r="E607" t="s">
        <v>3047</v>
      </c>
      <c r="F607" t="s">
        <v>3038</v>
      </c>
      <c r="G607" t="s">
        <v>83</v>
      </c>
      <c r="H607">
        <v>8036159230</v>
      </c>
      <c r="I607" t="s">
        <v>24</v>
      </c>
      <c r="J607" t="s">
        <v>61</v>
      </c>
      <c r="K607" t="s">
        <v>84</v>
      </c>
      <c r="L607" t="s">
        <v>85</v>
      </c>
      <c r="M607" t="s">
        <v>86</v>
      </c>
      <c r="N607" t="s">
        <v>87</v>
      </c>
      <c r="O607">
        <v>3</v>
      </c>
      <c r="P607">
        <v>159017.65</v>
      </c>
      <c r="Q607">
        <v>0</v>
      </c>
      <c r="R607">
        <v>0</v>
      </c>
      <c r="S607" s="11">
        <v>477052.95</v>
      </c>
      <c r="T607">
        <v>137937.26</v>
      </c>
      <c r="U607">
        <f t="shared" si="9"/>
        <v>477052.95</v>
      </c>
    </row>
    <row r="608" spans="1:21" ht="15" customHeight="1" x14ac:dyDescent="0.25">
      <c r="A608" t="s">
        <v>2466</v>
      </c>
      <c r="B608" s="8">
        <v>45225</v>
      </c>
      <c r="C608" s="8">
        <v>45231</v>
      </c>
      <c r="D608" t="s">
        <v>48</v>
      </c>
      <c r="E608" t="s">
        <v>3053</v>
      </c>
      <c r="F608" t="s">
        <v>3042</v>
      </c>
      <c r="G608" t="s">
        <v>2467</v>
      </c>
      <c r="H608">
        <v>8133600666</v>
      </c>
      <c r="I608" t="s">
        <v>24</v>
      </c>
      <c r="J608" t="s">
        <v>51</v>
      </c>
      <c r="K608" t="s">
        <v>227</v>
      </c>
      <c r="L608" t="s">
        <v>63</v>
      </c>
      <c r="M608" t="s">
        <v>249</v>
      </c>
      <c r="N608" t="s">
        <v>329</v>
      </c>
      <c r="O608">
        <v>8</v>
      </c>
      <c r="P608">
        <v>5999.48</v>
      </c>
      <c r="Q608">
        <v>5</v>
      </c>
      <c r="R608">
        <v>2399.79</v>
      </c>
      <c r="S608" s="11">
        <v>45596.05</v>
      </c>
      <c r="T608">
        <v>17102.240000000002</v>
      </c>
      <c r="U608">
        <f t="shared" si="9"/>
        <v>45596.05</v>
      </c>
    </row>
    <row r="609" spans="1:21" ht="15" customHeight="1" x14ac:dyDescent="0.25">
      <c r="A609" t="s">
        <v>1983</v>
      </c>
      <c r="B609" s="8">
        <v>45225</v>
      </c>
      <c r="C609" s="8">
        <v>45230</v>
      </c>
      <c r="D609" t="s">
        <v>73</v>
      </c>
      <c r="E609" t="s">
        <v>3041</v>
      </c>
      <c r="F609" t="s">
        <v>3046</v>
      </c>
      <c r="G609" t="s">
        <v>1984</v>
      </c>
      <c r="H609">
        <v>8143474414</v>
      </c>
      <c r="I609" t="s">
        <v>24</v>
      </c>
      <c r="J609" t="s">
        <v>61</v>
      </c>
      <c r="K609" t="s">
        <v>95</v>
      </c>
      <c r="L609" t="s">
        <v>108</v>
      </c>
      <c r="M609" t="s">
        <v>38</v>
      </c>
      <c r="N609" t="s">
        <v>519</v>
      </c>
      <c r="O609">
        <v>14</v>
      </c>
      <c r="P609">
        <v>36056.720000000001</v>
      </c>
      <c r="Q609">
        <v>10</v>
      </c>
      <c r="R609">
        <v>50479.41</v>
      </c>
      <c r="S609" s="11">
        <v>454314.67</v>
      </c>
      <c r="T609">
        <v>73787.53</v>
      </c>
      <c r="U609">
        <f t="shared" si="9"/>
        <v>454314.67</v>
      </c>
    </row>
    <row r="610" spans="1:21" ht="15" customHeight="1" x14ac:dyDescent="0.25">
      <c r="A610" t="s">
        <v>2379</v>
      </c>
      <c r="B610" s="8">
        <v>45225</v>
      </c>
      <c r="C610" s="8">
        <v>45228</v>
      </c>
      <c r="D610" t="s">
        <v>73</v>
      </c>
      <c r="E610" t="s">
        <v>3050</v>
      </c>
      <c r="F610" t="s">
        <v>3096</v>
      </c>
      <c r="G610" t="s">
        <v>2381</v>
      </c>
      <c r="H610">
        <v>9023881944</v>
      </c>
      <c r="I610" t="s">
        <v>35</v>
      </c>
      <c r="J610" t="s">
        <v>51</v>
      </c>
      <c r="K610" t="s">
        <v>227</v>
      </c>
      <c r="L610" t="s">
        <v>85</v>
      </c>
      <c r="M610" t="s">
        <v>266</v>
      </c>
      <c r="N610" t="s">
        <v>803</v>
      </c>
      <c r="O610">
        <v>17</v>
      </c>
      <c r="P610">
        <v>64017.18</v>
      </c>
      <c r="Q610">
        <v>20</v>
      </c>
      <c r="R610">
        <v>217658.41</v>
      </c>
      <c r="S610" s="11">
        <v>870633.65</v>
      </c>
      <c r="T610">
        <v>210775.51</v>
      </c>
      <c r="U610">
        <f t="shared" si="9"/>
        <v>870633.65</v>
      </c>
    </row>
    <row r="611" spans="1:21" ht="15" customHeight="1" x14ac:dyDescent="0.25">
      <c r="A611" t="s">
        <v>1910</v>
      </c>
      <c r="B611" s="8">
        <v>45226</v>
      </c>
      <c r="C611" s="8">
        <v>45228</v>
      </c>
      <c r="D611" t="s">
        <v>20</v>
      </c>
      <c r="E611" t="s">
        <v>3049</v>
      </c>
      <c r="F611" t="s">
        <v>3042</v>
      </c>
      <c r="G611" t="s">
        <v>1912</v>
      </c>
      <c r="H611">
        <v>8135692416</v>
      </c>
      <c r="I611" t="s">
        <v>43</v>
      </c>
      <c r="J611" t="s">
        <v>51</v>
      </c>
      <c r="K611" t="s">
        <v>131</v>
      </c>
      <c r="L611" t="s">
        <v>85</v>
      </c>
      <c r="M611" t="s">
        <v>243</v>
      </c>
      <c r="N611" t="s">
        <v>1054</v>
      </c>
      <c r="O611">
        <v>19</v>
      </c>
      <c r="P611">
        <v>100430.86</v>
      </c>
      <c r="Q611">
        <v>0</v>
      </c>
      <c r="R611">
        <v>0</v>
      </c>
      <c r="S611" s="11">
        <v>1908186.34</v>
      </c>
      <c r="T611">
        <v>541087.82999999996</v>
      </c>
      <c r="U611">
        <f t="shared" si="9"/>
        <v>1908186.34</v>
      </c>
    </row>
    <row r="612" spans="1:21" ht="15" customHeight="1" x14ac:dyDescent="0.25">
      <c r="A612" t="s">
        <v>1259</v>
      </c>
      <c r="B612" s="8">
        <v>45227</v>
      </c>
      <c r="C612" s="8">
        <v>45230</v>
      </c>
      <c r="D612" t="s">
        <v>20</v>
      </c>
      <c r="E612" t="s">
        <v>3089</v>
      </c>
      <c r="F612" t="s">
        <v>3046</v>
      </c>
      <c r="G612" t="s">
        <v>1261</v>
      </c>
      <c r="H612" t="s">
        <v>23</v>
      </c>
      <c r="I612" t="s">
        <v>24</v>
      </c>
      <c r="J612" t="s">
        <v>69</v>
      </c>
      <c r="K612" t="s">
        <v>119</v>
      </c>
      <c r="L612" t="s">
        <v>63</v>
      </c>
      <c r="M612" t="s">
        <v>64</v>
      </c>
      <c r="N612" t="s">
        <v>104</v>
      </c>
      <c r="O612">
        <v>10</v>
      </c>
      <c r="P612">
        <v>21221.27</v>
      </c>
      <c r="Q612">
        <v>10</v>
      </c>
      <c r="R612">
        <v>21221.27</v>
      </c>
      <c r="S612" s="11">
        <v>190991.43</v>
      </c>
      <c r="T612">
        <v>40617.03</v>
      </c>
      <c r="U612">
        <f t="shared" si="9"/>
        <v>190991.43</v>
      </c>
    </row>
    <row r="613" spans="1:21" ht="15" customHeight="1" x14ac:dyDescent="0.25">
      <c r="A613" t="s">
        <v>1088</v>
      </c>
      <c r="B613" s="8">
        <v>45228</v>
      </c>
      <c r="C613" s="8">
        <v>45231</v>
      </c>
      <c r="D613" t="s">
        <v>20</v>
      </c>
      <c r="E613" t="s">
        <v>3039</v>
      </c>
      <c r="F613" t="s">
        <v>3086</v>
      </c>
      <c r="G613" t="s">
        <v>1090</v>
      </c>
      <c r="H613">
        <v>8158463259</v>
      </c>
      <c r="I613" t="s">
        <v>35</v>
      </c>
      <c r="J613" t="s">
        <v>61</v>
      </c>
      <c r="K613" t="s">
        <v>95</v>
      </c>
      <c r="L613" t="s">
        <v>85</v>
      </c>
      <c r="M613" t="s">
        <v>266</v>
      </c>
      <c r="N613" t="s">
        <v>803</v>
      </c>
      <c r="O613">
        <v>15</v>
      </c>
      <c r="P613">
        <v>109622.92</v>
      </c>
      <c r="Q613">
        <v>15</v>
      </c>
      <c r="R613">
        <v>246651.57</v>
      </c>
      <c r="S613" s="11">
        <v>1397692.23</v>
      </c>
      <c r="T613">
        <v>229327.59</v>
      </c>
      <c r="U613">
        <f t="shared" si="9"/>
        <v>1397692.23</v>
      </c>
    </row>
    <row r="614" spans="1:21" ht="15" customHeight="1" x14ac:dyDescent="0.25">
      <c r="A614" t="s">
        <v>2779</v>
      </c>
      <c r="B614" s="8">
        <v>45231</v>
      </c>
      <c r="C614" s="8">
        <v>45236</v>
      </c>
      <c r="D614" t="s">
        <v>73</v>
      </c>
      <c r="E614" t="s">
        <v>3068</v>
      </c>
      <c r="F614" t="s">
        <v>3069</v>
      </c>
      <c r="G614" t="s">
        <v>2781</v>
      </c>
      <c r="H614">
        <v>9024086368</v>
      </c>
      <c r="I614" t="s">
        <v>43</v>
      </c>
      <c r="J614" t="s">
        <v>69</v>
      </c>
      <c r="K614" t="s">
        <v>144</v>
      </c>
      <c r="L614" t="s">
        <v>96</v>
      </c>
      <c r="M614" t="s">
        <v>385</v>
      </c>
      <c r="N614" t="s">
        <v>386</v>
      </c>
      <c r="O614">
        <v>16</v>
      </c>
      <c r="P614">
        <v>195873.45</v>
      </c>
      <c r="Q614">
        <v>10</v>
      </c>
      <c r="R614">
        <v>313397.52</v>
      </c>
      <c r="S614" s="11">
        <v>2820577.68</v>
      </c>
      <c r="T614">
        <v>-172335.42</v>
      </c>
      <c r="U614">
        <f t="shared" si="9"/>
        <v>2820577.68</v>
      </c>
    </row>
    <row r="615" spans="1:21" ht="15" customHeight="1" x14ac:dyDescent="0.25">
      <c r="A615" t="s">
        <v>757</v>
      </c>
      <c r="B615" s="8">
        <v>45232</v>
      </c>
      <c r="C615" s="8">
        <v>45234</v>
      </c>
      <c r="D615" t="s">
        <v>20</v>
      </c>
      <c r="E615" t="s">
        <v>3060</v>
      </c>
      <c r="F615" t="s">
        <v>3071</v>
      </c>
      <c r="G615" t="s">
        <v>759</v>
      </c>
      <c r="H615">
        <v>7034366703</v>
      </c>
      <c r="I615" t="s">
        <v>43</v>
      </c>
      <c r="J615" t="s">
        <v>25</v>
      </c>
      <c r="K615" t="s">
        <v>168</v>
      </c>
      <c r="L615" t="s">
        <v>760</v>
      </c>
      <c r="M615" t="s">
        <v>312</v>
      </c>
      <c r="N615" t="s">
        <v>761</v>
      </c>
      <c r="O615">
        <v>8</v>
      </c>
      <c r="P615">
        <v>18619.61</v>
      </c>
      <c r="Q615" t="s">
        <v>682</v>
      </c>
      <c r="R615">
        <v>29791.38</v>
      </c>
      <c r="S615" s="11">
        <v>119165.5</v>
      </c>
      <c r="T615">
        <v>8456.48</v>
      </c>
      <c r="U615">
        <f t="shared" si="9"/>
        <v>119165.5</v>
      </c>
    </row>
    <row r="616" spans="1:21" ht="15" customHeight="1" x14ac:dyDescent="0.25">
      <c r="A616" t="s">
        <v>1644</v>
      </c>
      <c r="B616" s="8">
        <v>45234</v>
      </c>
      <c r="C616" s="8">
        <v>45234</v>
      </c>
      <c r="D616" t="s">
        <v>32</v>
      </c>
      <c r="E616" t="s">
        <v>3033</v>
      </c>
      <c r="F616" t="s">
        <v>3040</v>
      </c>
      <c r="G616" t="s">
        <v>1646</v>
      </c>
      <c r="H616">
        <v>9058994829</v>
      </c>
      <c r="I616" t="s">
        <v>35</v>
      </c>
      <c r="J616" t="s">
        <v>51</v>
      </c>
      <c r="K616" t="s">
        <v>223</v>
      </c>
      <c r="L616" t="s">
        <v>96</v>
      </c>
      <c r="M616" t="s">
        <v>120</v>
      </c>
      <c r="N616" t="s">
        <v>359</v>
      </c>
      <c r="O616">
        <v>16</v>
      </c>
      <c r="P616">
        <v>194725.92</v>
      </c>
      <c r="Q616">
        <v>15</v>
      </c>
      <c r="R616">
        <v>467342.21</v>
      </c>
      <c r="S616" s="11">
        <v>2648272.5099999998</v>
      </c>
      <c r="T616">
        <v>457830.36</v>
      </c>
      <c r="U616">
        <f t="shared" si="9"/>
        <v>2648272.5099999998</v>
      </c>
    </row>
    <row r="617" spans="1:21" ht="15" customHeight="1" x14ac:dyDescent="0.25">
      <c r="A617" t="s">
        <v>1789</v>
      </c>
      <c r="B617" s="8">
        <v>45238</v>
      </c>
      <c r="C617" s="8">
        <v>45240</v>
      </c>
      <c r="D617" t="s">
        <v>20</v>
      </c>
      <c r="E617" t="s">
        <v>3049</v>
      </c>
      <c r="F617" t="s">
        <v>3071</v>
      </c>
      <c r="G617" t="s">
        <v>1791</v>
      </c>
      <c r="H617">
        <v>9013329735</v>
      </c>
      <c r="I617" t="s">
        <v>35</v>
      </c>
      <c r="J617" t="s">
        <v>69</v>
      </c>
      <c r="K617" t="s">
        <v>155</v>
      </c>
      <c r="L617" t="s">
        <v>96</v>
      </c>
      <c r="M617" t="s">
        <v>254</v>
      </c>
      <c r="N617" t="s">
        <v>756</v>
      </c>
      <c r="O617">
        <v>9</v>
      </c>
      <c r="P617">
        <v>393017.3</v>
      </c>
      <c r="Q617">
        <v>5</v>
      </c>
      <c r="R617">
        <v>176857.79</v>
      </c>
      <c r="S617" s="11">
        <v>3360297.91</v>
      </c>
      <c r="T617">
        <v>238775.84</v>
      </c>
      <c r="U617">
        <f t="shared" si="9"/>
        <v>3360297.91</v>
      </c>
    </row>
    <row r="618" spans="1:21" ht="15" customHeight="1" x14ac:dyDescent="0.25">
      <c r="A618" t="s">
        <v>2851</v>
      </c>
      <c r="B618" s="8">
        <v>45239</v>
      </c>
      <c r="C618" s="8">
        <v>45239</v>
      </c>
      <c r="D618" t="s">
        <v>32</v>
      </c>
      <c r="E618" t="s">
        <v>3081</v>
      </c>
      <c r="F618" t="s">
        <v>3075</v>
      </c>
      <c r="G618" t="s">
        <v>2853</v>
      </c>
      <c r="H618">
        <v>9055658528</v>
      </c>
      <c r="I618" t="s">
        <v>35</v>
      </c>
      <c r="J618" t="s">
        <v>25</v>
      </c>
      <c r="K618" t="s">
        <v>168</v>
      </c>
      <c r="L618" t="s">
        <v>96</v>
      </c>
      <c r="M618" t="s">
        <v>189</v>
      </c>
      <c r="N618" t="s">
        <v>325</v>
      </c>
      <c r="O618">
        <v>15</v>
      </c>
      <c r="P618">
        <v>421574.85</v>
      </c>
      <c r="Q618">
        <v>25</v>
      </c>
      <c r="R618">
        <v>1580905.69</v>
      </c>
      <c r="S618" s="11">
        <v>4742717.0599999996</v>
      </c>
      <c r="T618">
        <v>1268977.52</v>
      </c>
      <c r="U618">
        <f t="shared" si="9"/>
        <v>4742717.0599999996</v>
      </c>
    </row>
    <row r="619" spans="1:21" ht="15" customHeight="1" x14ac:dyDescent="0.25">
      <c r="A619" t="s">
        <v>1892</v>
      </c>
      <c r="B619" s="8">
        <v>45240</v>
      </c>
      <c r="C619" s="8">
        <v>45244</v>
      </c>
      <c r="D619" t="s">
        <v>73</v>
      </c>
      <c r="E619" t="s">
        <v>3073</v>
      </c>
      <c r="F619" t="s">
        <v>3034</v>
      </c>
      <c r="G619" t="s">
        <v>1894</v>
      </c>
      <c r="H619">
        <v>8135629621</v>
      </c>
      <c r="I619" t="s">
        <v>24</v>
      </c>
      <c r="J619" t="s">
        <v>25</v>
      </c>
      <c r="K619" t="s">
        <v>26</v>
      </c>
      <c r="L619" t="s">
        <v>841</v>
      </c>
      <c r="M619" t="s">
        <v>266</v>
      </c>
      <c r="N619" t="s">
        <v>952</v>
      </c>
      <c r="O619">
        <v>4</v>
      </c>
      <c r="P619">
        <v>23003.759999999998</v>
      </c>
      <c r="Q619">
        <v>0</v>
      </c>
      <c r="R619">
        <v>0</v>
      </c>
      <c r="S619" s="11">
        <v>92015.039999999994</v>
      </c>
      <c r="T619">
        <v>20955.060000000001</v>
      </c>
      <c r="U619">
        <f t="shared" si="9"/>
        <v>92015.039999999994</v>
      </c>
    </row>
    <row r="620" spans="1:21" ht="15" customHeight="1" x14ac:dyDescent="0.25">
      <c r="A620" t="s">
        <v>1209</v>
      </c>
      <c r="B620" s="8">
        <v>45240</v>
      </c>
      <c r="C620" s="8">
        <v>45242</v>
      </c>
      <c r="D620" t="s">
        <v>20</v>
      </c>
      <c r="E620" t="s">
        <v>3087</v>
      </c>
      <c r="F620" t="s">
        <v>3038</v>
      </c>
      <c r="G620" t="s">
        <v>1210</v>
      </c>
      <c r="H620">
        <v>8103706755</v>
      </c>
      <c r="I620" t="s">
        <v>35</v>
      </c>
      <c r="J620" t="s">
        <v>25</v>
      </c>
      <c r="K620" t="s">
        <v>126</v>
      </c>
      <c r="L620" t="s">
        <v>63</v>
      </c>
      <c r="M620" t="s">
        <v>312</v>
      </c>
      <c r="N620" t="s">
        <v>686</v>
      </c>
      <c r="O620">
        <v>18</v>
      </c>
      <c r="P620">
        <v>14520.92</v>
      </c>
      <c r="Q620">
        <v>0</v>
      </c>
      <c r="R620">
        <v>0</v>
      </c>
      <c r="S620" s="11">
        <v>261376.56</v>
      </c>
      <c r="T620">
        <v>112333.36</v>
      </c>
      <c r="U620">
        <f t="shared" si="9"/>
        <v>261376.56</v>
      </c>
    </row>
    <row r="621" spans="1:21" ht="15" customHeight="1" x14ac:dyDescent="0.25">
      <c r="A621" t="s">
        <v>423</v>
      </c>
      <c r="B621" s="8">
        <v>45244</v>
      </c>
      <c r="C621" s="8">
        <v>45247</v>
      </c>
      <c r="D621" t="s">
        <v>73</v>
      </c>
      <c r="E621" t="s">
        <v>3035</v>
      </c>
      <c r="F621" t="s">
        <v>3069</v>
      </c>
      <c r="G621" t="s">
        <v>425</v>
      </c>
      <c r="H621" t="s">
        <v>94</v>
      </c>
      <c r="I621" t="s">
        <v>24</v>
      </c>
      <c r="K621" t="s">
        <v>223</v>
      </c>
      <c r="L621" t="s">
        <v>108</v>
      </c>
      <c r="M621" t="s">
        <v>109</v>
      </c>
      <c r="N621" t="s">
        <v>426</v>
      </c>
      <c r="O621">
        <v>-5</v>
      </c>
      <c r="P621">
        <v>32479.86</v>
      </c>
      <c r="Q621">
        <v>10</v>
      </c>
      <c r="R621">
        <v>9743.9599999999991</v>
      </c>
      <c r="S621" s="11">
        <v>87695.62</v>
      </c>
      <c r="T621">
        <v>16254.67</v>
      </c>
      <c r="U621">
        <f t="shared" si="9"/>
        <v>87695.62</v>
      </c>
    </row>
    <row r="622" spans="1:21" ht="15" customHeight="1" x14ac:dyDescent="0.25">
      <c r="A622" t="s">
        <v>141</v>
      </c>
      <c r="B622" s="8">
        <v>45245</v>
      </c>
      <c r="C622" s="8">
        <v>45251</v>
      </c>
      <c r="D622" t="s">
        <v>48</v>
      </c>
      <c r="E622" t="s">
        <v>3061</v>
      </c>
      <c r="F622" t="s">
        <v>3062</v>
      </c>
      <c r="G622" t="s">
        <v>143</v>
      </c>
      <c r="H622">
        <v>8158175395</v>
      </c>
      <c r="I622" t="s">
        <v>35</v>
      </c>
      <c r="J622" t="s">
        <v>69</v>
      </c>
      <c r="K622" t="s">
        <v>144</v>
      </c>
      <c r="L622" t="s">
        <v>27</v>
      </c>
      <c r="M622" t="s">
        <v>79</v>
      </c>
      <c r="N622" t="s">
        <v>145</v>
      </c>
      <c r="O622">
        <v>5</v>
      </c>
      <c r="P622">
        <v>879.38</v>
      </c>
      <c r="Q622">
        <v>25</v>
      </c>
      <c r="R622">
        <v>1099.22</v>
      </c>
      <c r="S622" s="11">
        <v>3297.68</v>
      </c>
      <c r="T622">
        <v>-423.37</v>
      </c>
      <c r="U622">
        <f t="shared" si="9"/>
        <v>3297.68</v>
      </c>
    </row>
    <row r="623" spans="1:21" ht="15" customHeight="1" x14ac:dyDescent="0.25">
      <c r="A623" t="s">
        <v>1351</v>
      </c>
      <c r="B623" s="8">
        <v>45246</v>
      </c>
      <c r="C623" s="8">
        <v>45249</v>
      </c>
      <c r="D623" t="s">
        <v>20</v>
      </c>
      <c r="E623" t="s">
        <v>3063</v>
      </c>
      <c r="F623" t="s">
        <v>3038</v>
      </c>
      <c r="H623">
        <v>8153950904</v>
      </c>
      <c r="I623" t="s">
        <v>43</v>
      </c>
      <c r="J623" t="s">
        <v>51</v>
      </c>
      <c r="K623" t="s">
        <v>131</v>
      </c>
      <c r="L623" t="s">
        <v>85</v>
      </c>
      <c r="M623" t="s">
        <v>86</v>
      </c>
      <c r="N623" t="s">
        <v>199</v>
      </c>
      <c r="O623">
        <v>3</v>
      </c>
      <c r="P623">
        <v>96563.44</v>
      </c>
      <c r="Q623">
        <v>5</v>
      </c>
      <c r="R623">
        <v>14484.52</v>
      </c>
      <c r="S623" s="11">
        <v>275205.8</v>
      </c>
      <c r="T623">
        <v>77839.72</v>
      </c>
      <c r="U623">
        <f t="shared" si="9"/>
        <v>275205.8</v>
      </c>
    </row>
    <row r="624" spans="1:21" ht="15" customHeight="1" x14ac:dyDescent="0.25">
      <c r="A624" t="s">
        <v>2903</v>
      </c>
      <c r="B624" s="8">
        <v>45247</v>
      </c>
      <c r="C624" s="8">
        <v>45255</v>
      </c>
      <c r="D624" t="s">
        <v>48</v>
      </c>
      <c r="E624" t="s">
        <v>3056</v>
      </c>
      <c r="F624" t="s">
        <v>3077</v>
      </c>
      <c r="G624" t="s">
        <v>2904</v>
      </c>
      <c r="H624">
        <v>8039789075</v>
      </c>
      <c r="I624" t="s">
        <v>24</v>
      </c>
      <c r="J624" t="s">
        <v>25</v>
      </c>
      <c r="K624" t="s">
        <v>26</v>
      </c>
      <c r="L624" t="s">
        <v>96</v>
      </c>
      <c r="M624" t="s">
        <v>385</v>
      </c>
      <c r="N624" t="s">
        <v>942</v>
      </c>
      <c r="O624">
        <v>16</v>
      </c>
      <c r="P624">
        <v>160225.60000000001</v>
      </c>
      <c r="Q624">
        <v>10</v>
      </c>
      <c r="R624">
        <v>256360.95999999999</v>
      </c>
      <c r="S624" s="11">
        <v>2307248.64</v>
      </c>
      <c r="T624">
        <v>663464.79</v>
      </c>
      <c r="U624">
        <f t="shared" si="9"/>
        <v>2307248.64</v>
      </c>
    </row>
    <row r="625" spans="1:21" ht="15" customHeight="1" x14ac:dyDescent="0.25">
      <c r="A625" t="s">
        <v>1231</v>
      </c>
      <c r="B625" s="8">
        <v>45248</v>
      </c>
      <c r="C625" s="8">
        <v>45249</v>
      </c>
      <c r="D625" t="s">
        <v>32</v>
      </c>
      <c r="E625" t="s">
        <v>3051</v>
      </c>
      <c r="F625" t="s">
        <v>3034</v>
      </c>
      <c r="G625" t="s">
        <v>1233</v>
      </c>
      <c r="H625">
        <v>8039742158</v>
      </c>
      <c r="I625" t="s">
        <v>35</v>
      </c>
      <c r="J625" t="s">
        <v>1234</v>
      </c>
      <c r="K625" t="s">
        <v>204</v>
      </c>
      <c r="L625" t="s">
        <v>63</v>
      </c>
      <c r="M625" t="s">
        <v>312</v>
      </c>
      <c r="N625" t="s">
        <v>761</v>
      </c>
      <c r="O625">
        <v>1</v>
      </c>
      <c r="P625">
        <v>14101.84</v>
      </c>
      <c r="Q625">
        <v>5</v>
      </c>
      <c r="R625">
        <v>705.09</v>
      </c>
      <c r="S625" s="11">
        <v>13396.75</v>
      </c>
      <c r="T625">
        <v>2631.64</v>
      </c>
      <c r="U625">
        <f t="shared" si="9"/>
        <v>13396.75</v>
      </c>
    </row>
    <row r="626" spans="1:21" ht="15" customHeight="1" x14ac:dyDescent="0.25">
      <c r="A626" t="s">
        <v>1340</v>
      </c>
      <c r="B626" s="8">
        <v>45249</v>
      </c>
      <c r="C626" s="8">
        <v>45252</v>
      </c>
      <c r="D626" t="s">
        <v>73</v>
      </c>
      <c r="E626" t="s">
        <v>3056</v>
      </c>
      <c r="F626" t="s">
        <v>3036</v>
      </c>
      <c r="G626" t="s">
        <v>1342</v>
      </c>
      <c r="H626">
        <v>9027965133</v>
      </c>
      <c r="I626" t="s">
        <v>24</v>
      </c>
      <c r="J626" t="s">
        <v>61</v>
      </c>
      <c r="K626" t="s">
        <v>95</v>
      </c>
      <c r="L626" t="s">
        <v>85</v>
      </c>
      <c r="M626" t="s">
        <v>243</v>
      </c>
      <c r="N626" t="s">
        <v>244</v>
      </c>
      <c r="O626">
        <v>8</v>
      </c>
      <c r="P626">
        <v>36381.050000000003</v>
      </c>
      <c r="Q626">
        <v>0</v>
      </c>
      <c r="R626">
        <v>0</v>
      </c>
      <c r="S626" s="11">
        <v>291048.40000000002</v>
      </c>
      <c r="T626">
        <v>-20366.830000000002</v>
      </c>
      <c r="U626">
        <f t="shared" si="9"/>
        <v>291048.40000000002</v>
      </c>
    </row>
    <row r="627" spans="1:21" ht="15" customHeight="1" x14ac:dyDescent="0.25">
      <c r="A627" t="s">
        <v>2534</v>
      </c>
      <c r="B627" s="8">
        <v>45249</v>
      </c>
      <c r="D627" t="s">
        <v>73</v>
      </c>
      <c r="E627" t="s">
        <v>3053</v>
      </c>
      <c r="F627" t="s">
        <v>3046</v>
      </c>
      <c r="G627" t="s">
        <v>2536</v>
      </c>
      <c r="H627">
        <v>8065123439</v>
      </c>
      <c r="I627" t="s">
        <v>24</v>
      </c>
      <c r="J627" t="s">
        <v>61</v>
      </c>
      <c r="K627" t="s">
        <v>62</v>
      </c>
      <c r="L627" t="s">
        <v>27</v>
      </c>
      <c r="M627" t="s">
        <v>173</v>
      </c>
      <c r="N627" t="s">
        <v>174</v>
      </c>
      <c r="O627">
        <v>5</v>
      </c>
      <c r="P627">
        <v>4587.7700000000004</v>
      </c>
      <c r="Q627">
        <v>25</v>
      </c>
      <c r="R627">
        <v>5734.71</v>
      </c>
      <c r="S627" s="11">
        <v>17204.14</v>
      </c>
      <c r="T627">
        <v>7372.08</v>
      </c>
      <c r="U627">
        <f t="shared" si="9"/>
        <v>17204.14</v>
      </c>
    </row>
    <row r="628" spans="1:21" ht="15" customHeight="1" x14ac:dyDescent="0.25">
      <c r="A628" t="s">
        <v>206</v>
      </c>
      <c r="B628" s="8">
        <v>45250</v>
      </c>
      <c r="C628" s="8">
        <v>45251</v>
      </c>
      <c r="D628" t="s">
        <v>32</v>
      </c>
      <c r="E628" t="s">
        <v>3048</v>
      </c>
      <c r="F628" t="s">
        <v>3042</v>
      </c>
      <c r="G628" t="s">
        <v>208</v>
      </c>
      <c r="H628">
        <v>8109961107</v>
      </c>
      <c r="I628" t="s">
        <v>35</v>
      </c>
      <c r="J628" t="s">
        <v>69</v>
      </c>
      <c r="K628" t="s">
        <v>70</v>
      </c>
      <c r="L628" t="s">
        <v>96</v>
      </c>
      <c r="M628" t="s">
        <v>189</v>
      </c>
      <c r="N628" t="s">
        <v>205</v>
      </c>
      <c r="O628">
        <v>1</v>
      </c>
      <c r="P628">
        <v>260510.51</v>
      </c>
      <c r="Q628">
        <v>0</v>
      </c>
      <c r="R628">
        <v>0</v>
      </c>
      <c r="S628" s="11">
        <v>260510.51</v>
      </c>
      <c r="T628">
        <v>61389.25</v>
      </c>
      <c r="U628">
        <f t="shared" si="9"/>
        <v>260510.51</v>
      </c>
    </row>
    <row r="629" spans="1:21" ht="15" customHeight="1" x14ac:dyDescent="0.25">
      <c r="A629" t="s">
        <v>805</v>
      </c>
      <c r="B629" s="8">
        <v>45251</v>
      </c>
      <c r="C629" s="8">
        <v>45258</v>
      </c>
      <c r="D629" t="s">
        <v>48</v>
      </c>
      <c r="E629" t="s">
        <v>3041</v>
      </c>
      <c r="F629" t="s">
        <v>3054</v>
      </c>
      <c r="G629" t="s">
        <v>807</v>
      </c>
      <c r="H629">
        <v>9018329435</v>
      </c>
      <c r="I629" t="s">
        <v>24</v>
      </c>
      <c r="J629" t="s">
        <v>51</v>
      </c>
      <c r="K629" t="s">
        <v>316</v>
      </c>
      <c r="M629" t="s">
        <v>38</v>
      </c>
      <c r="N629" t="s">
        <v>303</v>
      </c>
      <c r="O629">
        <v>18</v>
      </c>
      <c r="P629">
        <v>32408.87</v>
      </c>
      <c r="Q629">
        <v>10</v>
      </c>
      <c r="R629">
        <v>58335.97</v>
      </c>
      <c r="S629" s="11" t="s">
        <v>808</v>
      </c>
      <c r="T629">
        <v>-8430.66</v>
      </c>
      <c r="U629">
        <f t="shared" si="9"/>
        <v>525023.68999999994</v>
      </c>
    </row>
    <row r="630" spans="1:21" ht="15" customHeight="1" x14ac:dyDescent="0.25">
      <c r="A630" t="s">
        <v>430</v>
      </c>
      <c r="B630" s="8">
        <v>45251</v>
      </c>
      <c r="C630" s="8">
        <v>45257</v>
      </c>
      <c r="D630" t="s">
        <v>48</v>
      </c>
      <c r="E630" t="s">
        <v>3080</v>
      </c>
      <c r="F630" t="s">
        <v>3045</v>
      </c>
      <c r="G630" t="s">
        <v>432</v>
      </c>
      <c r="H630">
        <v>8104034091</v>
      </c>
      <c r="I630" t="s">
        <v>24</v>
      </c>
      <c r="J630" t="s">
        <v>25</v>
      </c>
      <c r="K630" t="s">
        <v>36</v>
      </c>
      <c r="L630" t="s">
        <v>27</v>
      </c>
      <c r="M630" t="s">
        <v>354</v>
      </c>
      <c r="N630" t="s">
        <v>433</v>
      </c>
      <c r="O630">
        <v>-2</v>
      </c>
      <c r="P630">
        <v>636.42999999999995</v>
      </c>
      <c r="Q630">
        <v>5</v>
      </c>
      <c r="R630">
        <v>381.86</v>
      </c>
      <c r="S630" s="11">
        <v>7255.3</v>
      </c>
      <c r="T630">
        <v>3132.5</v>
      </c>
      <c r="U630">
        <f t="shared" si="9"/>
        <v>7255.3</v>
      </c>
    </row>
    <row r="631" spans="1:21" ht="15" customHeight="1" x14ac:dyDescent="0.25">
      <c r="A631" t="s">
        <v>2283</v>
      </c>
      <c r="B631" s="8">
        <v>45253</v>
      </c>
      <c r="C631" s="8">
        <v>45256</v>
      </c>
      <c r="D631" t="s">
        <v>20</v>
      </c>
      <c r="G631" t="s">
        <v>2284</v>
      </c>
      <c r="H631">
        <v>8139505390</v>
      </c>
      <c r="I631" t="s">
        <v>43</v>
      </c>
      <c r="J631" t="s">
        <v>69</v>
      </c>
      <c r="K631" t="s">
        <v>119</v>
      </c>
      <c r="L631" t="s">
        <v>96</v>
      </c>
      <c r="M631" t="s">
        <v>189</v>
      </c>
      <c r="N631" t="s">
        <v>478</v>
      </c>
      <c r="O631">
        <v>19</v>
      </c>
      <c r="P631">
        <v>351721.51</v>
      </c>
      <c r="Q631">
        <v>15</v>
      </c>
      <c r="R631">
        <v>1002406.3</v>
      </c>
      <c r="S631" s="11">
        <v>5680302.3899999997</v>
      </c>
      <c r="T631">
        <v>1169265.43</v>
      </c>
      <c r="U631">
        <f t="shared" si="9"/>
        <v>5680302.3899999997</v>
      </c>
    </row>
    <row r="632" spans="1:21" ht="15" customHeight="1" x14ac:dyDescent="0.25">
      <c r="A632" t="s">
        <v>2797</v>
      </c>
      <c r="B632" s="8">
        <v>45253</v>
      </c>
      <c r="C632" s="8">
        <v>45253</v>
      </c>
      <c r="D632" t="s">
        <v>32</v>
      </c>
      <c r="E632" t="s">
        <v>3092</v>
      </c>
      <c r="F632" t="s">
        <v>3096</v>
      </c>
      <c r="G632" t="s">
        <v>2799</v>
      </c>
      <c r="H632">
        <v>8153048456</v>
      </c>
      <c r="I632" t="s">
        <v>35</v>
      </c>
      <c r="J632" t="s">
        <v>51</v>
      </c>
      <c r="K632" t="s">
        <v>131</v>
      </c>
      <c r="L632" t="s">
        <v>108</v>
      </c>
      <c r="M632" t="s">
        <v>189</v>
      </c>
      <c r="N632" t="s">
        <v>325</v>
      </c>
      <c r="O632">
        <v>12</v>
      </c>
      <c r="P632">
        <v>35776.370000000003</v>
      </c>
      <c r="Q632">
        <v>0</v>
      </c>
      <c r="R632">
        <v>0</v>
      </c>
      <c r="S632" s="11">
        <v>429316.44</v>
      </c>
      <c r="T632">
        <v>26593.62</v>
      </c>
      <c r="U632">
        <f t="shared" si="9"/>
        <v>429316.44</v>
      </c>
    </row>
    <row r="633" spans="1:21" ht="15" customHeight="1" x14ac:dyDescent="0.25">
      <c r="A633" t="s">
        <v>912</v>
      </c>
      <c r="B633" s="8">
        <v>45254</v>
      </c>
      <c r="C633" s="8">
        <v>45259</v>
      </c>
      <c r="D633" t="s">
        <v>73</v>
      </c>
      <c r="E633" t="s">
        <v>3070</v>
      </c>
      <c r="F633" t="s">
        <v>3078</v>
      </c>
      <c r="G633" t="s">
        <v>914</v>
      </c>
      <c r="H633">
        <v>7065170429</v>
      </c>
      <c r="I633" t="s">
        <v>24</v>
      </c>
      <c r="J633" t="s">
        <v>51</v>
      </c>
      <c r="K633" t="s">
        <v>52</v>
      </c>
      <c r="L633" t="s">
        <v>108</v>
      </c>
      <c r="M633" t="s">
        <v>38</v>
      </c>
      <c r="N633" t="s">
        <v>213</v>
      </c>
      <c r="O633">
        <v>18</v>
      </c>
      <c r="P633">
        <v>8392.14</v>
      </c>
      <c r="Q633">
        <v>0</v>
      </c>
      <c r="R633">
        <v>0</v>
      </c>
      <c r="S633" s="11">
        <v>151058.51999999999</v>
      </c>
      <c r="T633">
        <v>-21603.34</v>
      </c>
      <c r="U633">
        <f t="shared" si="9"/>
        <v>151058.51999999999</v>
      </c>
    </row>
    <row r="634" spans="1:21" ht="15" customHeight="1" x14ac:dyDescent="0.25">
      <c r="A634" t="s">
        <v>1685</v>
      </c>
      <c r="B634" s="8">
        <v>45255</v>
      </c>
      <c r="C634" s="8">
        <v>45261</v>
      </c>
      <c r="D634" t="s">
        <v>48</v>
      </c>
      <c r="E634" t="s">
        <v>3093</v>
      </c>
      <c r="F634" t="s">
        <v>3071</v>
      </c>
      <c r="G634" t="s">
        <v>1687</v>
      </c>
      <c r="H634">
        <v>7037247000</v>
      </c>
      <c r="I634" t="s">
        <v>24</v>
      </c>
      <c r="J634" t="s">
        <v>61</v>
      </c>
      <c r="K634" t="s">
        <v>204</v>
      </c>
      <c r="L634" t="s">
        <v>85</v>
      </c>
      <c r="M634" t="s">
        <v>266</v>
      </c>
      <c r="N634" t="s">
        <v>1255</v>
      </c>
      <c r="O634">
        <v>3</v>
      </c>
      <c r="P634">
        <v>159646.17000000001</v>
      </c>
      <c r="Q634">
        <v>0</v>
      </c>
      <c r="R634">
        <v>0</v>
      </c>
      <c r="S634" s="11">
        <v>478938.51</v>
      </c>
      <c r="T634">
        <v>-30336.28</v>
      </c>
      <c r="U634">
        <f t="shared" si="9"/>
        <v>478938.51</v>
      </c>
    </row>
    <row r="635" spans="1:21" ht="15" customHeight="1" x14ac:dyDescent="0.25">
      <c r="A635" t="s">
        <v>2402</v>
      </c>
      <c r="B635" s="8">
        <v>45257</v>
      </c>
      <c r="C635" s="8">
        <v>45261</v>
      </c>
      <c r="D635" t="s">
        <v>73</v>
      </c>
      <c r="E635" t="s">
        <v>3070</v>
      </c>
      <c r="F635" t="s">
        <v>3096</v>
      </c>
      <c r="G635" t="s">
        <v>2403</v>
      </c>
      <c r="H635">
        <v>8037735482</v>
      </c>
      <c r="I635" t="s">
        <v>35</v>
      </c>
      <c r="J635" t="s">
        <v>61</v>
      </c>
      <c r="K635" t="s">
        <v>182</v>
      </c>
      <c r="L635" t="s">
        <v>27</v>
      </c>
      <c r="M635" t="s">
        <v>45</v>
      </c>
      <c r="N635" t="s">
        <v>308</v>
      </c>
      <c r="O635">
        <v>13</v>
      </c>
      <c r="P635">
        <v>5102.41</v>
      </c>
      <c r="Q635" t="s">
        <v>376</v>
      </c>
      <c r="R635">
        <v>0</v>
      </c>
      <c r="T635">
        <v>-9609.9</v>
      </c>
      <c r="U635">
        <f t="shared" si="9"/>
        <v>0</v>
      </c>
    </row>
    <row r="636" spans="1:21" ht="15" customHeight="1" x14ac:dyDescent="0.25">
      <c r="A636" t="s">
        <v>2046</v>
      </c>
      <c r="B636" s="8">
        <v>45259</v>
      </c>
      <c r="C636" s="8">
        <v>45265</v>
      </c>
      <c r="D636" t="s">
        <v>48</v>
      </c>
      <c r="E636" t="s">
        <v>3035</v>
      </c>
      <c r="F636" t="s">
        <v>3096</v>
      </c>
      <c r="G636" t="s">
        <v>2048</v>
      </c>
      <c r="H636">
        <v>9026231562</v>
      </c>
      <c r="I636" t="s">
        <v>43</v>
      </c>
      <c r="J636" t="s">
        <v>69</v>
      </c>
      <c r="K636" t="s">
        <v>119</v>
      </c>
      <c r="L636" t="s">
        <v>108</v>
      </c>
      <c r="M636" t="s">
        <v>109</v>
      </c>
      <c r="N636" t="s">
        <v>426</v>
      </c>
      <c r="O636">
        <v>5</v>
      </c>
      <c r="P636">
        <v>6543.4</v>
      </c>
      <c r="Q636">
        <v>5</v>
      </c>
      <c r="R636">
        <v>1635.85</v>
      </c>
      <c r="S636" s="11">
        <v>31081.15</v>
      </c>
      <c r="T636">
        <v>12433.03</v>
      </c>
      <c r="U636">
        <f t="shared" si="9"/>
        <v>31081.15</v>
      </c>
    </row>
    <row r="637" spans="1:21" ht="15" customHeight="1" x14ac:dyDescent="0.25">
      <c r="A637" t="s">
        <v>2374</v>
      </c>
      <c r="B637" s="8">
        <v>45260</v>
      </c>
      <c r="C637" s="8">
        <v>45264</v>
      </c>
      <c r="D637" t="s">
        <v>73</v>
      </c>
      <c r="E637" t="s">
        <v>3060</v>
      </c>
      <c r="F637" t="s">
        <v>3075</v>
      </c>
      <c r="G637" t="s">
        <v>2376</v>
      </c>
      <c r="H637">
        <v>9078382709</v>
      </c>
      <c r="I637" t="s">
        <v>43</v>
      </c>
      <c r="J637" t="s">
        <v>51</v>
      </c>
      <c r="K637" t="s">
        <v>223</v>
      </c>
      <c r="L637" t="s">
        <v>96</v>
      </c>
      <c r="M637" t="s">
        <v>385</v>
      </c>
      <c r="N637" t="s">
        <v>942</v>
      </c>
      <c r="O637">
        <v>17</v>
      </c>
      <c r="P637">
        <v>17835.02</v>
      </c>
      <c r="Q637">
        <v>20</v>
      </c>
      <c r="R637">
        <v>60639.07</v>
      </c>
      <c r="S637" s="11">
        <v>242556.27</v>
      </c>
      <c r="T637">
        <v>35770.44</v>
      </c>
      <c r="U637">
        <f t="shared" si="9"/>
        <v>242556.27</v>
      </c>
    </row>
    <row r="638" spans="1:21" ht="15" customHeight="1" x14ac:dyDescent="0.25">
      <c r="A638" t="s">
        <v>2828</v>
      </c>
      <c r="B638" s="8">
        <v>45261</v>
      </c>
      <c r="C638" s="8">
        <v>45267</v>
      </c>
      <c r="D638" t="s">
        <v>48</v>
      </c>
      <c r="E638" t="s">
        <v>3053</v>
      </c>
      <c r="F638" t="s">
        <v>3054</v>
      </c>
      <c r="G638" t="s">
        <v>2829</v>
      </c>
      <c r="H638">
        <v>9013067693</v>
      </c>
      <c r="I638" t="s">
        <v>60</v>
      </c>
      <c r="J638" t="s">
        <v>25</v>
      </c>
      <c r="K638" t="s">
        <v>26</v>
      </c>
      <c r="L638" t="s">
        <v>63</v>
      </c>
      <c r="M638" t="s">
        <v>558</v>
      </c>
      <c r="N638" t="s">
        <v>559</v>
      </c>
      <c r="O638">
        <v>17</v>
      </c>
      <c r="P638">
        <v>9778.75</v>
      </c>
      <c r="Q638">
        <v>10</v>
      </c>
      <c r="R638">
        <v>16623.88</v>
      </c>
      <c r="S638" s="11">
        <v>149614.87</v>
      </c>
      <c r="T638">
        <v>17362.37</v>
      </c>
      <c r="U638">
        <f t="shared" si="9"/>
        <v>149614.87</v>
      </c>
    </row>
    <row r="639" spans="1:21" ht="15" customHeight="1" x14ac:dyDescent="0.25">
      <c r="A639" t="s">
        <v>1227</v>
      </c>
      <c r="B639" s="8">
        <v>45261</v>
      </c>
      <c r="C639" s="8">
        <v>45264</v>
      </c>
      <c r="D639" t="s">
        <v>20</v>
      </c>
      <c r="E639" t="s">
        <v>3094</v>
      </c>
      <c r="F639" t="s">
        <v>3088</v>
      </c>
      <c r="G639" t="s">
        <v>1229</v>
      </c>
      <c r="H639">
        <v>8033946567</v>
      </c>
      <c r="I639" t="s">
        <v>24</v>
      </c>
      <c r="J639" t="s">
        <v>25</v>
      </c>
      <c r="K639" t="s">
        <v>26</v>
      </c>
      <c r="L639" t="s">
        <v>85</v>
      </c>
      <c r="M639" t="s">
        <v>243</v>
      </c>
      <c r="N639" t="s">
        <v>404</v>
      </c>
      <c r="O639">
        <v>16</v>
      </c>
      <c r="P639" t="s">
        <v>1230</v>
      </c>
      <c r="Q639">
        <v>20</v>
      </c>
      <c r="R639">
        <v>533222.78</v>
      </c>
      <c r="S639" s="11">
        <v>2132891.14</v>
      </c>
      <c r="T639">
        <v>700340.42</v>
      </c>
      <c r="U639">
        <f t="shared" si="9"/>
        <v>2132891.14</v>
      </c>
    </row>
    <row r="640" spans="1:21" ht="15" customHeight="1" x14ac:dyDescent="0.25">
      <c r="A640" t="s">
        <v>2389</v>
      </c>
      <c r="B640" s="8">
        <v>45263</v>
      </c>
      <c r="C640" s="8">
        <v>45270</v>
      </c>
      <c r="D640" t="s">
        <v>48</v>
      </c>
      <c r="E640" t="s">
        <v>3037</v>
      </c>
      <c r="F640" t="s">
        <v>3039</v>
      </c>
      <c r="G640" t="s">
        <v>2391</v>
      </c>
      <c r="H640">
        <v>8162862787</v>
      </c>
      <c r="I640" t="s">
        <v>35</v>
      </c>
      <c r="J640" t="s">
        <v>69</v>
      </c>
      <c r="K640" t="s">
        <v>307</v>
      </c>
      <c r="L640" t="s">
        <v>108</v>
      </c>
      <c r="M640" t="s">
        <v>109</v>
      </c>
      <c r="N640" t="s">
        <v>110</v>
      </c>
      <c r="O640">
        <v>14</v>
      </c>
      <c r="P640">
        <v>15955.46</v>
      </c>
      <c r="Q640">
        <v>0</v>
      </c>
      <c r="R640">
        <v>0</v>
      </c>
      <c r="S640" s="11">
        <v>223376.44</v>
      </c>
      <c r="T640">
        <v>83625.52</v>
      </c>
      <c r="U640">
        <f t="shared" si="9"/>
        <v>223376.44</v>
      </c>
    </row>
    <row r="641" spans="1:21" ht="15" customHeight="1" x14ac:dyDescent="0.25">
      <c r="A641" t="s">
        <v>2362</v>
      </c>
      <c r="B641" s="8">
        <v>45263</v>
      </c>
      <c r="C641" s="8">
        <v>45269</v>
      </c>
      <c r="D641" t="s">
        <v>48</v>
      </c>
      <c r="E641" t="s">
        <v>3093</v>
      </c>
      <c r="F641" t="s">
        <v>3052</v>
      </c>
      <c r="G641" t="s">
        <v>2364</v>
      </c>
      <c r="H641">
        <v>8105669360</v>
      </c>
      <c r="I641" t="s">
        <v>24</v>
      </c>
      <c r="J641" t="s">
        <v>69</v>
      </c>
      <c r="K641" t="s">
        <v>307</v>
      </c>
      <c r="L641" t="s">
        <v>27</v>
      </c>
      <c r="M641" t="s">
        <v>79</v>
      </c>
      <c r="N641" t="s">
        <v>490</v>
      </c>
      <c r="O641">
        <v>15</v>
      </c>
      <c r="P641">
        <v>3045.06</v>
      </c>
      <c r="Q641">
        <v>0</v>
      </c>
      <c r="R641">
        <v>0</v>
      </c>
      <c r="S641" s="11">
        <v>45675.9</v>
      </c>
      <c r="T641">
        <v>16168.64</v>
      </c>
      <c r="U641">
        <f t="shared" si="9"/>
        <v>45675.9</v>
      </c>
    </row>
    <row r="642" spans="1:21" ht="15" customHeight="1" x14ac:dyDescent="0.25">
      <c r="A642" t="s">
        <v>2435</v>
      </c>
      <c r="B642" s="8">
        <v>45263</v>
      </c>
      <c r="C642" s="8">
        <v>45262</v>
      </c>
      <c r="D642" t="s">
        <v>48</v>
      </c>
      <c r="E642" t="s">
        <v>3044</v>
      </c>
      <c r="F642" t="s">
        <v>3079</v>
      </c>
      <c r="G642" t="s">
        <v>2437</v>
      </c>
      <c r="H642">
        <v>7061426375</v>
      </c>
      <c r="I642" t="s">
        <v>43</v>
      </c>
      <c r="J642" t="s">
        <v>69</v>
      </c>
      <c r="K642" t="s">
        <v>155</v>
      </c>
      <c r="L642" t="s">
        <v>27</v>
      </c>
      <c r="M642" t="s">
        <v>354</v>
      </c>
      <c r="N642" t="s">
        <v>355</v>
      </c>
      <c r="O642">
        <v>15</v>
      </c>
      <c r="P642">
        <v>2048.86</v>
      </c>
      <c r="Q642">
        <v>0</v>
      </c>
      <c r="R642">
        <v>0</v>
      </c>
      <c r="S642" s="11">
        <v>30732.9</v>
      </c>
      <c r="T642">
        <v>-2392.04</v>
      </c>
      <c r="U642">
        <f t="shared" ref="U642:U705" si="10">VALUE(S642)</f>
        <v>30732.9</v>
      </c>
    </row>
    <row r="643" spans="1:21" ht="15" customHeight="1" x14ac:dyDescent="0.25">
      <c r="A643" t="s">
        <v>2612</v>
      </c>
      <c r="B643" s="8">
        <v>45265</v>
      </c>
      <c r="C643" s="8">
        <v>45265</v>
      </c>
      <c r="D643" t="s">
        <v>32</v>
      </c>
      <c r="E643" t="s">
        <v>3089</v>
      </c>
      <c r="F643" t="s">
        <v>3045</v>
      </c>
      <c r="G643" t="s">
        <v>592</v>
      </c>
      <c r="H643">
        <v>8157985242</v>
      </c>
      <c r="I643" t="s">
        <v>35</v>
      </c>
      <c r="J643" t="s">
        <v>51</v>
      </c>
      <c r="K643" t="s">
        <v>223</v>
      </c>
      <c r="L643" t="s">
        <v>108</v>
      </c>
      <c r="M643" t="s">
        <v>109</v>
      </c>
      <c r="N643" t="s">
        <v>426</v>
      </c>
      <c r="O643">
        <v>7</v>
      </c>
      <c r="P643">
        <v>37382.379999999997</v>
      </c>
      <c r="Q643">
        <v>20</v>
      </c>
      <c r="R643">
        <v>52335.33</v>
      </c>
      <c r="S643" s="11">
        <v>209341.33</v>
      </c>
      <c r="T643">
        <v>-11422.44</v>
      </c>
      <c r="U643">
        <f t="shared" si="10"/>
        <v>209341.33</v>
      </c>
    </row>
    <row r="644" spans="1:21" ht="15" customHeight="1" x14ac:dyDescent="0.25">
      <c r="A644" t="s">
        <v>2360</v>
      </c>
      <c r="B644" s="8">
        <v>45266</v>
      </c>
      <c r="C644" s="8">
        <v>45271</v>
      </c>
      <c r="D644" t="s">
        <v>416</v>
      </c>
      <c r="G644" t="s">
        <v>2361</v>
      </c>
      <c r="H644">
        <v>8157280761</v>
      </c>
      <c r="I644" t="s">
        <v>24</v>
      </c>
      <c r="J644" t="s">
        <v>69</v>
      </c>
      <c r="K644" t="s">
        <v>70</v>
      </c>
      <c r="L644" t="s">
        <v>108</v>
      </c>
      <c r="M644" t="s">
        <v>183</v>
      </c>
      <c r="N644" t="s">
        <v>372</v>
      </c>
      <c r="O644">
        <v>16</v>
      </c>
      <c r="P644">
        <v>39443.64</v>
      </c>
      <c r="Q644">
        <v>0</v>
      </c>
      <c r="R644">
        <v>0</v>
      </c>
      <c r="S644" s="11">
        <v>631098.24</v>
      </c>
      <c r="T644">
        <v>88605.6</v>
      </c>
      <c r="U644">
        <f t="shared" si="10"/>
        <v>631098.24</v>
      </c>
    </row>
    <row r="645" spans="1:21" ht="15" customHeight="1" x14ac:dyDescent="0.25">
      <c r="A645" t="s">
        <v>1872</v>
      </c>
      <c r="B645" s="8">
        <v>45266</v>
      </c>
      <c r="C645" s="8">
        <v>45271</v>
      </c>
      <c r="D645" t="s">
        <v>73</v>
      </c>
      <c r="E645" t="s">
        <v>3049</v>
      </c>
      <c r="F645" t="s">
        <v>3096</v>
      </c>
      <c r="G645" t="s">
        <v>1874</v>
      </c>
      <c r="H645">
        <v>8036740173</v>
      </c>
      <c r="I645" t="s">
        <v>35</v>
      </c>
      <c r="J645" t="s">
        <v>25</v>
      </c>
      <c r="K645" t="s">
        <v>26</v>
      </c>
      <c r="L645" t="s">
        <v>108</v>
      </c>
      <c r="M645" t="s">
        <v>189</v>
      </c>
      <c r="N645" t="s">
        <v>287</v>
      </c>
      <c r="O645">
        <v>10</v>
      </c>
      <c r="P645" t="s">
        <v>1875</v>
      </c>
      <c r="Q645">
        <v>10</v>
      </c>
      <c r="R645">
        <v>20676.13</v>
      </c>
      <c r="S645" s="11">
        <v>186085.17</v>
      </c>
      <c r="T645">
        <v>26341.759999999998</v>
      </c>
      <c r="U645">
        <f t="shared" si="10"/>
        <v>186085.17</v>
      </c>
    </row>
    <row r="646" spans="1:21" ht="15" customHeight="1" x14ac:dyDescent="0.25">
      <c r="A646" t="s">
        <v>2289</v>
      </c>
      <c r="B646" s="8">
        <v>45267</v>
      </c>
      <c r="C646" s="8">
        <v>45270</v>
      </c>
      <c r="D646" t="s">
        <v>73</v>
      </c>
      <c r="E646" t="s">
        <v>3055</v>
      </c>
      <c r="F646" t="s">
        <v>3077</v>
      </c>
      <c r="G646" t="s">
        <v>2291</v>
      </c>
      <c r="H646">
        <v>9014565022</v>
      </c>
      <c r="I646" t="s">
        <v>43</v>
      </c>
      <c r="J646" t="s">
        <v>51</v>
      </c>
      <c r="K646" t="s">
        <v>52</v>
      </c>
      <c r="L646" t="s">
        <v>108</v>
      </c>
      <c r="M646" t="s">
        <v>183</v>
      </c>
      <c r="N646" t="s">
        <v>869</v>
      </c>
      <c r="O646">
        <v>4</v>
      </c>
      <c r="P646">
        <v>32367.64</v>
      </c>
      <c r="Q646">
        <v>15</v>
      </c>
      <c r="R646">
        <v>19420.580000000002</v>
      </c>
      <c r="S646" s="11">
        <v>110049.98</v>
      </c>
      <c r="T646">
        <v>-8022.49</v>
      </c>
      <c r="U646">
        <f t="shared" si="10"/>
        <v>110049.98</v>
      </c>
    </row>
    <row r="647" spans="1:21" ht="15" customHeight="1" x14ac:dyDescent="0.25">
      <c r="A647" t="s">
        <v>2544</v>
      </c>
      <c r="B647" s="8">
        <v>45268</v>
      </c>
      <c r="C647" s="8">
        <v>45271</v>
      </c>
      <c r="D647" t="s">
        <v>1309</v>
      </c>
      <c r="E647" t="s">
        <v>3055</v>
      </c>
      <c r="F647" t="s">
        <v>3054</v>
      </c>
      <c r="G647" t="s">
        <v>571</v>
      </c>
      <c r="H647">
        <v>8157042065</v>
      </c>
      <c r="I647" t="s">
        <v>24</v>
      </c>
      <c r="J647" t="s">
        <v>61</v>
      </c>
      <c r="K647" t="s">
        <v>204</v>
      </c>
      <c r="L647" t="s">
        <v>85</v>
      </c>
      <c r="M647" t="s">
        <v>218</v>
      </c>
      <c r="N647" t="s">
        <v>1058</v>
      </c>
      <c r="O647">
        <v>6</v>
      </c>
      <c r="P647">
        <v>117580.03</v>
      </c>
      <c r="Q647">
        <v>15</v>
      </c>
      <c r="R647">
        <v>105822.03</v>
      </c>
      <c r="S647" s="11">
        <v>599658.15</v>
      </c>
      <c r="T647">
        <v>269536.92</v>
      </c>
      <c r="U647">
        <f t="shared" si="10"/>
        <v>599658.15</v>
      </c>
    </row>
    <row r="648" spans="1:21" ht="15" customHeight="1" x14ac:dyDescent="0.25">
      <c r="A648" t="s">
        <v>2880</v>
      </c>
      <c r="B648" s="8">
        <v>45269</v>
      </c>
      <c r="C648" s="8">
        <v>45270</v>
      </c>
      <c r="D648" t="s">
        <v>32</v>
      </c>
      <c r="E648" t="s">
        <v>3081</v>
      </c>
      <c r="F648" t="s">
        <v>3039</v>
      </c>
      <c r="G648" t="s">
        <v>1326</v>
      </c>
      <c r="H648">
        <v>8153515887</v>
      </c>
      <c r="I648" t="s">
        <v>35</v>
      </c>
      <c r="J648" t="s">
        <v>25</v>
      </c>
      <c r="K648" t="s">
        <v>44</v>
      </c>
      <c r="L648" t="s">
        <v>108</v>
      </c>
      <c r="M648" t="s">
        <v>183</v>
      </c>
      <c r="N648" t="s">
        <v>184</v>
      </c>
      <c r="O648" t="s">
        <v>2648</v>
      </c>
      <c r="P648">
        <v>7286.52</v>
      </c>
      <c r="Q648">
        <v>0</v>
      </c>
      <c r="R648">
        <v>0</v>
      </c>
      <c r="S648" s="11">
        <v>102011.28</v>
      </c>
      <c r="T648">
        <v>33522.949999999997</v>
      </c>
      <c r="U648">
        <f t="shared" si="10"/>
        <v>102011.28</v>
      </c>
    </row>
    <row r="649" spans="1:21" ht="15" customHeight="1" x14ac:dyDescent="0.25">
      <c r="A649" t="s">
        <v>585</v>
      </c>
      <c r="B649" s="8">
        <v>45270</v>
      </c>
      <c r="C649" s="8">
        <v>45270</v>
      </c>
      <c r="D649" t="s">
        <v>32</v>
      </c>
      <c r="E649" t="s">
        <v>3091</v>
      </c>
      <c r="F649" t="s">
        <v>3052</v>
      </c>
      <c r="G649" t="s">
        <v>587</v>
      </c>
      <c r="H649">
        <v>8038033690</v>
      </c>
      <c r="I649" t="s">
        <v>35</v>
      </c>
      <c r="J649" t="s">
        <v>588</v>
      </c>
      <c r="K649" t="s">
        <v>119</v>
      </c>
      <c r="L649" t="s">
        <v>27</v>
      </c>
      <c r="M649" t="s">
        <v>79</v>
      </c>
      <c r="N649" t="s">
        <v>490</v>
      </c>
      <c r="O649">
        <v>4</v>
      </c>
      <c r="P649">
        <v>1886.83</v>
      </c>
      <c r="Q649">
        <v>0</v>
      </c>
      <c r="R649">
        <v>0</v>
      </c>
      <c r="S649" s="11">
        <v>7547.32</v>
      </c>
      <c r="T649">
        <v>889.56</v>
      </c>
      <c r="U649">
        <f t="shared" si="10"/>
        <v>7547.32</v>
      </c>
    </row>
    <row r="650" spans="1:21" ht="15" customHeight="1" x14ac:dyDescent="0.25">
      <c r="A650" t="s">
        <v>2455</v>
      </c>
      <c r="B650" s="8">
        <v>45273</v>
      </c>
      <c r="C650" s="8">
        <v>45281</v>
      </c>
      <c r="D650" t="s">
        <v>48</v>
      </c>
      <c r="E650" t="s">
        <v>3039</v>
      </c>
      <c r="F650" t="s">
        <v>3057</v>
      </c>
      <c r="G650" t="s">
        <v>577</v>
      </c>
      <c r="H650">
        <v>7068244357</v>
      </c>
      <c r="I650" t="s">
        <v>24</v>
      </c>
      <c r="J650" t="s">
        <v>69</v>
      </c>
      <c r="K650" t="s">
        <v>70</v>
      </c>
      <c r="L650" t="s">
        <v>96</v>
      </c>
      <c r="M650" t="s">
        <v>385</v>
      </c>
      <c r="N650" t="s">
        <v>1010</v>
      </c>
      <c r="O650">
        <v>11</v>
      </c>
      <c r="P650">
        <v>93620.89</v>
      </c>
      <c r="Q650">
        <v>0</v>
      </c>
      <c r="R650">
        <v>0</v>
      </c>
      <c r="S650" s="11">
        <v>1029829.79</v>
      </c>
      <c r="T650">
        <v>26122.77</v>
      </c>
      <c r="U650">
        <f t="shared" si="10"/>
        <v>1029829.79</v>
      </c>
    </row>
    <row r="651" spans="1:21" ht="15" customHeight="1" x14ac:dyDescent="0.25">
      <c r="A651" t="s">
        <v>224</v>
      </c>
      <c r="B651" s="8">
        <v>45273</v>
      </c>
      <c r="C651" s="8">
        <v>45281</v>
      </c>
      <c r="D651" t="s">
        <v>48</v>
      </c>
      <c r="E651" t="s">
        <v>3073</v>
      </c>
      <c r="F651" t="s">
        <v>3050</v>
      </c>
      <c r="G651" t="s">
        <v>226</v>
      </c>
      <c r="H651">
        <v>8038047416</v>
      </c>
      <c r="I651" t="s">
        <v>35</v>
      </c>
      <c r="J651" t="s">
        <v>51</v>
      </c>
      <c r="K651" t="s">
        <v>227</v>
      </c>
      <c r="L651" t="s">
        <v>108</v>
      </c>
      <c r="M651" t="s">
        <v>114</v>
      </c>
      <c r="N651" t="s">
        <v>115</v>
      </c>
      <c r="O651">
        <v>15</v>
      </c>
      <c r="P651">
        <v>43313.87</v>
      </c>
      <c r="Q651">
        <v>0</v>
      </c>
      <c r="R651">
        <v>0</v>
      </c>
      <c r="S651" s="11">
        <v>649708.05000000005</v>
      </c>
      <c r="T651">
        <v>72307.490000000005</v>
      </c>
      <c r="U651">
        <f t="shared" si="10"/>
        <v>649708.05000000005</v>
      </c>
    </row>
    <row r="652" spans="1:21" ht="15" customHeight="1" x14ac:dyDescent="0.25">
      <c r="A652" t="s">
        <v>1116</v>
      </c>
      <c r="B652" s="8">
        <v>45273</v>
      </c>
      <c r="C652" s="8">
        <v>45276</v>
      </c>
      <c r="D652" t="s">
        <v>20</v>
      </c>
      <c r="E652" t="s">
        <v>3050</v>
      </c>
      <c r="F652" t="s">
        <v>3046</v>
      </c>
      <c r="G652" t="s">
        <v>422</v>
      </c>
      <c r="H652">
        <v>7033260430</v>
      </c>
      <c r="I652" t="s">
        <v>35</v>
      </c>
      <c r="J652" t="s">
        <v>1118</v>
      </c>
      <c r="K652" t="s">
        <v>204</v>
      </c>
      <c r="L652" t="s">
        <v>1119</v>
      </c>
      <c r="M652" t="s">
        <v>249</v>
      </c>
      <c r="N652" t="s">
        <v>329</v>
      </c>
      <c r="O652">
        <v>18</v>
      </c>
      <c r="P652">
        <v>17812.34</v>
      </c>
      <c r="Q652">
        <v>10</v>
      </c>
      <c r="R652">
        <v>32062.21</v>
      </c>
      <c r="S652" s="11">
        <v>288559.90999999997</v>
      </c>
      <c r="T652">
        <v>50682.79</v>
      </c>
      <c r="U652">
        <f t="shared" si="10"/>
        <v>288559.90999999997</v>
      </c>
    </row>
    <row r="653" spans="1:21" ht="15" customHeight="1" x14ac:dyDescent="0.25">
      <c r="A653" t="s">
        <v>1120</v>
      </c>
      <c r="B653" s="8">
        <v>45274</v>
      </c>
      <c r="C653" s="8">
        <v>45278</v>
      </c>
      <c r="D653" t="s">
        <v>73</v>
      </c>
      <c r="E653" t="s">
        <v>3039</v>
      </c>
      <c r="F653" t="s">
        <v>3036</v>
      </c>
      <c r="G653" t="s">
        <v>1122</v>
      </c>
      <c r="H653">
        <v>8069911007</v>
      </c>
      <c r="I653" t="s">
        <v>24</v>
      </c>
      <c r="J653" t="s">
        <v>69</v>
      </c>
      <c r="K653" t="s">
        <v>119</v>
      </c>
      <c r="L653" t="s">
        <v>85</v>
      </c>
      <c r="M653" t="s">
        <v>486</v>
      </c>
      <c r="N653" t="s">
        <v>543</v>
      </c>
      <c r="O653">
        <v>18</v>
      </c>
      <c r="P653">
        <v>148939.99</v>
      </c>
      <c r="Q653">
        <v>10</v>
      </c>
      <c r="R653">
        <v>268091.98</v>
      </c>
      <c r="S653" s="11">
        <v>2412827.84</v>
      </c>
      <c r="T653">
        <v>295444.46999999997</v>
      </c>
      <c r="U653">
        <f t="shared" si="10"/>
        <v>2412827.84</v>
      </c>
    </row>
    <row r="654" spans="1:21" ht="15" customHeight="1" x14ac:dyDescent="0.25">
      <c r="A654" t="s">
        <v>2113</v>
      </c>
      <c r="B654" s="8">
        <v>45274</v>
      </c>
      <c r="C654" s="8">
        <v>45277</v>
      </c>
      <c r="D654" t="s">
        <v>20</v>
      </c>
      <c r="E654" t="s">
        <v>3044</v>
      </c>
      <c r="F654" t="s">
        <v>3090</v>
      </c>
      <c r="G654" t="s">
        <v>2115</v>
      </c>
      <c r="H654">
        <v>8033670591</v>
      </c>
      <c r="I654" t="s">
        <v>24</v>
      </c>
      <c r="J654" t="s">
        <v>51</v>
      </c>
      <c r="K654" t="s">
        <v>131</v>
      </c>
      <c r="L654" t="s">
        <v>85</v>
      </c>
      <c r="M654" t="s">
        <v>86</v>
      </c>
      <c r="N654" t="s">
        <v>584</v>
      </c>
      <c r="O654">
        <v>16</v>
      </c>
      <c r="P654">
        <v>93902.63</v>
      </c>
      <c r="Q654">
        <v>10</v>
      </c>
      <c r="R654">
        <v>150244.21</v>
      </c>
      <c r="S654" s="11">
        <v>1352197.87</v>
      </c>
      <c r="T654">
        <v>413698.95</v>
      </c>
      <c r="U654">
        <f t="shared" si="10"/>
        <v>1352197.87</v>
      </c>
    </row>
    <row r="655" spans="1:21" ht="15" customHeight="1" x14ac:dyDescent="0.25">
      <c r="A655" t="s">
        <v>1427</v>
      </c>
      <c r="B655" s="8">
        <v>45274</v>
      </c>
      <c r="C655" s="8">
        <v>45277</v>
      </c>
      <c r="D655" t="s">
        <v>20</v>
      </c>
      <c r="E655" t="s">
        <v>3048</v>
      </c>
      <c r="F655" t="s">
        <v>3086</v>
      </c>
      <c r="G655" t="s">
        <v>1429</v>
      </c>
      <c r="H655">
        <v>8152146505</v>
      </c>
      <c r="I655" t="s">
        <v>35</v>
      </c>
      <c r="J655" t="s">
        <v>25</v>
      </c>
      <c r="K655" t="s">
        <v>26</v>
      </c>
      <c r="L655" t="s">
        <v>1430</v>
      </c>
      <c r="M655" t="s">
        <v>254</v>
      </c>
      <c r="N655" t="s">
        <v>756</v>
      </c>
      <c r="O655">
        <v>7</v>
      </c>
      <c r="P655">
        <v>245044.85</v>
      </c>
      <c r="Q655">
        <v>10</v>
      </c>
      <c r="R655">
        <v>171531.39</v>
      </c>
      <c r="S655" s="11" t="s">
        <v>1431</v>
      </c>
      <c r="T655">
        <v>-72458.86</v>
      </c>
      <c r="U655" t="e">
        <f t="shared" si="10"/>
        <v>#VALUE!</v>
      </c>
    </row>
    <row r="656" spans="1:21" ht="15" customHeight="1" x14ac:dyDescent="0.25">
      <c r="A656" t="s">
        <v>581</v>
      </c>
      <c r="B656" s="8">
        <v>45274</v>
      </c>
      <c r="C656" s="8">
        <v>45277</v>
      </c>
      <c r="D656" t="s">
        <v>73</v>
      </c>
      <c r="E656" t="s">
        <v>3065</v>
      </c>
      <c r="F656" t="s">
        <v>3077</v>
      </c>
      <c r="G656" t="s">
        <v>583</v>
      </c>
      <c r="H656">
        <v>8153136529</v>
      </c>
      <c r="I656" t="s">
        <v>35</v>
      </c>
      <c r="J656" t="s">
        <v>69</v>
      </c>
      <c r="K656" t="s">
        <v>70</v>
      </c>
      <c r="L656" t="s">
        <v>85</v>
      </c>
      <c r="M656" t="s">
        <v>86</v>
      </c>
      <c r="N656" t="s">
        <v>584</v>
      </c>
      <c r="O656">
        <v>15</v>
      </c>
      <c r="P656">
        <v>176300.4</v>
      </c>
      <c r="Q656">
        <v>25</v>
      </c>
      <c r="R656">
        <v>661126.5</v>
      </c>
      <c r="S656" s="11">
        <v>1983379.5</v>
      </c>
      <c r="T656">
        <v>207217.18</v>
      </c>
      <c r="U656">
        <f t="shared" si="10"/>
        <v>1983379.5</v>
      </c>
    </row>
    <row r="657" spans="1:21" ht="15" customHeight="1" x14ac:dyDescent="0.25">
      <c r="A657" t="s">
        <v>670</v>
      </c>
      <c r="B657" s="8">
        <v>45275</v>
      </c>
      <c r="C657" s="8">
        <v>45276</v>
      </c>
      <c r="D657" t="s">
        <v>32</v>
      </c>
      <c r="E657" t="s">
        <v>3072</v>
      </c>
      <c r="F657" t="s">
        <v>3071</v>
      </c>
      <c r="G657" t="s">
        <v>672</v>
      </c>
      <c r="H657">
        <v>7032126998</v>
      </c>
      <c r="I657" t="s">
        <v>24</v>
      </c>
      <c r="J657" t="s">
        <v>69</v>
      </c>
      <c r="K657" t="s">
        <v>119</v>
      </c>
      <c r="L657" t="s">
        <v>63</v>
      </c>
      <c r="M657" t="s">
        <v>249</v>
      </c>
      <c r="N657" t="s">
        <v>465</v>
      </c>
      <c r="O657">
        <v>11</v>
      </c>
      <c r="P657">
        <v>1053.3399999999999</v>
      </c>
      <c r="Q657">
        <v>0</v>
      </c>
      <c r="R657">
        <v>0</v>
      </c>
      <c r="S657" s="11">
        <v>11586.74</v>
      </c>
      <c r="U657">
        <f t="shared" si="10"/>
        <v>11586.74</v>
      </c>
    </row>
    <row r="658" spans="1:21" ht="15" customHeight="1" x14ac:dyDescent="0.25">
      <c r="A658" t="s">
        <v>134</v>
      </c>
      <c r="B658" s="8">
        <v>45276</v>
      </c>
      <c r="C658" s="8">
        <v>45279</v>
      </c>
      <c r="D658" t="s">
        <v>73</v>
      </c>
      <c r="E658" t="s">
        <v>3059</v>
      </c>
      <c r="F658" t="s">
        <v>3039</v>
      </c>
      <c r="G658" t="s">
        <v>136</v>
      </c>
      <c r="H658">
        <v>8108351517</v>
      </c>
      <c r="I658" t="s">
        <v>43</v>
      </c>
      <c r="J658" t="s">
        <v>61</v>
      </c>
      <c r="K658" t="s">
        <v>84</v>
      </c>
      <c r="L658" t="s">
        <v>27</v>
      </c>
      <c r="M658" t="s">
        <v>45</v>
      </c>
      <c r="N658" t="s">
        <v>46</v>
      </c>
      <c r="O658">
        <v>17</v>
      </c>
      <c r="P658">
        <v>7875.67</v>
      </c>
      <c r="Q658">
        <v>0</v>
      </c>
      <c r="R658">
        <v>0</v>
      </c>
      <c r="S658" s="11">
        <v>133886.39000000001</v>
      </c>
      <c r="T658">
        <v>33567.72</v>
      </c>
      <c r="U658">
        <f t="shared" si="10"/>
        <v>133886.39000000001</v>
      </c>
    </row>
    <row r="659" spans="1:21" ht="15" customHeight="1" x14ac:dyDescent="0.25">
      <c r="A659" t="s">
        <v>158</v>
      </c>
      <c r="B659" s="8">
        <v>45278</v>
      </c>
      <c r="C659" s="8">
        <v>45279</v>
      </c>
      <c r="D659" t="s">
        <v>32</v>
      </c>
      <c r="E659" t="s">
        <v>3067</v>
      </c>
      <c r="F659" t="s">
        <v>3043</v>
      </c>
      <c r="G659" t="s">
        <v>160</v>
      </c>
      <c r="H659">
        <v>9074240180</v>
      </c>
      <c r="I659" t="s">
        <v>35</v>
      </c>
      <c r="J659" t="s">
        <v>69</v>
      </c>
      <c r="K659" t="s">
        <v>119</v>
      </c>
      <c r="L659" t="s">
        <v>108</v>
      </c>
      <c r="M659" t="s">
        <v>38</v>
      </c>
      <c r="N659" t="s">
        <v>39</v>
      </c>
      <c r="O659">
        <v>9</v>
      </c>
      <c r="P659">
        <v>39167.18</v>
      </c>
      <c r="Q659" t="s">
        <v>161</v>
      </c>
      <c r="R659">
        <v>35250.46</v>
      </c>
      <c r="S659" s="11">
        <v>317254.15999999997</v>
      </c>
      <c r="T659">
        <v>74519.53</v>
      </c>
      <c r="U659">
        <f t="shared" si="10"/>
        <v>317254.15999999997</v>
      </c>
    </row>
    <row r="660" spans="1:21" ht="15" customHeight="1" x14ac:dyDescent="0.25">
      <c r="A660" t="s">
        <v>1598</v>
      </c>
      <c r="B660" s="8">
        <v>45279</v>
      </c>
      <c r="C660" s="8">
        <v>45283</v>
      </c>
      <c r="D660" t="s">
        <v>73</v>
      </c>
      <c r="E660" t="s">
        <v>3076</v>
      </c>
      <c r="F660" t="s">
        <v>3069</v>
      </c>
      <c r="G660" t="s">
        <v>1600</v>
      </c>
      <c r="H660">
        <v>9017336179</v>
      </c>
      <c r="I660" t="s">
        <v>24</v>
      </c>
      <c r="J660" t="s">
        <v>61</v>
      </c>
      <c r="K660" t="s">
        <v>84</v>
      </c>
      <c r="L660" t="s">
        <v>27</v>
      </c>
      <c r="M660" t="s">
        <v>354</v>
      </c>
      <c r="N660" t="s">
        <v>355</v>
      </c>
      <c r="O660">
        <v>19</v>
      </c>
      <c r="P660">
        <v>2824.42</v>
      </c>
      <c r="Q660">
        <v>5</v>
      </c>
      <c r="R660">
        <v>2683.2</v>
      </c>
      <c r="S660" s="11">
        <v>50980.78</v>
      </c>
      <c r="T660">
        <v>17522.38</v>
      </c>
      <c r="U660">
        <f t="shared" si="10"/>
        <v>50980.78</v>
      </c>
    </row>
    <row r="661" spans="1:21" ht="15" customHeight="1" x14ac:dyDescent="0.25">
      <c r="A661" t="s">
        <v>2657</v>
      </c>
      <c r="B661" s="8">
        <v>45280</v>
      </c>
      <c r="C661" s="8">
        <v>45281</v>
      </c>
      <c r="D661" t="s">
        <v>32</v>
      </c>
      <c r="E661" t="s">
        <v>3047</v>
      </c>
      <c r="F661" t="s">
        <v>3045</v>
      </c>
      <c r="H661">
        <v>8142456742</v>
      </c>
      <c r="I661" t="s">
        <v>35</v>
      </c>
      <c r="J661" t="s">
        <v>69</v>
      </c>
      <c r="K661" t="s">
        <v>155</v>
      </c>
      <c r="L661" t="s">
        <v>108</v>
      </c>
      <c r="M661" t="s">
        <v>38</v>
      </c>
      <c r="N661" t="s">
        <v>296</v>
      </c>
      <c r="O661">
        <v>8</v>
      </c>
      <c r="P661">
        <v>5958.1</v>
      </c>
      <c r="Q661">
        <v>0</v>
      </c>
      <c r="R661">
        <v>0</v>
      </c>
      <c r="S661" s="11">
        <v>47664.800000000003</v>
      </c>
      <c r="T661">
        <v>5853.8</v>
      </c>
      <c r="U661">
        <f t="shared" si="10"/>
        <v>47664.800000000003</v>
      </c>
    </row>
    <row r="662" spans="1:21" ht="15" customHeight="1" x14ac:dyDescent="0.25">
      <c r="A662" t="s">
        <v>2461</v>
      </c>
      <c r="B662" s="8">
        <v>45280</v>
      </c>
      <c r="C662" s="8">
        <v>45281</v>
      </c>
      <c r="D662" t="s">
        <v>32</v>
      </c>
      <c r="E662" t="s">
        <v>3053</v>
      </c>
      <c r="F662" t="s">
        <v>3039</v>
      </c>
      <c r="G662" t="s">
        <v>2462</v>
      </c>
      <c r="H662">
        <v>8106415010</v>
      </c>
      <c r="I662" t="s">
        <v>24</v>
      </c>
      <c r="J662" t="s">
        <v>61</v>
      </c>
      <c r="K662" t="s">
        <v>182</v>
      </c>
      <c r="L662" t="s">
        <v>96</v>
      </c>
      <c r="M662" t="s">
        <v>120</v>
      </c>
      <c r="N662" t="s">
        <v>359</v>
      </c>
      <c r="O662">
        <v>17</v>
      </c>
      <c r="P662">
        <v>268103.37</v>
      </c>
      <c r="Q662">
        <v>25</v>
      </c>
      <c r="R662">
        <v>1139439.32</v>
      </c>
      <c r="S662" s="11">
        <v>3418317.97</v>
      </c>
      <c r="T662">
        <v>94763.35</v>
      </c>
      <c r="U662">
        <f t="shared" si="10"/>
        <v>3418317.97</v>
      </c>
    </row>
    <row r="663" spans="1:21" ht="15" customHeight="1" x14ac:dyDescent="0.25">
      <c r="A663" t="s">
        <v>466</v>
      </c>
      <c r="B663" s="8">
        <v>45281</v>
      </c>
      <c r="C663" s="8">
        <v>45282</v>
      </c>
      <c r="D663" t="s">
        <v>32</v>
      </c>
      <c r="E663" t="s">
        <v>3063</v>
      </c>
      <c r="F663" t="s">
        <v>3034</v>
      </c>
      <c r="G663" t="s">
        <v>468</v>
      </c>
      <c r="H663">
        <v>9058297090</v>
      </c>
      <c r="I663" t="s">
        <v>24</v>
      </c>
      <c r="J663" t="s">
        <v>69</v>
      </c>
      <c r="K663" t="s">
        <v>119</v>
      </c>
      <c r="L663" t="s">
        <v>63</v>
      </c>
      <c r="M663" t="s">
        <v>469</v>
      </c>
      <c r="N663" t="s">
        <v>470</v>
      </c>
      <c r="O663">
        <v>13</v>
      </c>
      <c r="P663">
        <v>2338.5100000000002</v>
      </c>
      <c r="Q663">
        <v>10</v>
      </c>
      <c r="R663">
        <v>3040.06</v>
      </c>
      <c r="S663" s="11">
        <v>27360.57</v>
      </c>
      <c r="T663">
        <v>4318.91</v>
      </c>
      <c r="U663">
        <f t="shared" si="10"/>
        <v>27360.57</v>
      </c>
    </row>
    <row r="664" spans="1:21" ht="15" customHeight="1" x14ac:dyDescent="0.25">
      <c r="A664" t="s">
        <v>797</v>
      </c>
      <c r="B664" s="8">
        <v>45282</v>
      </c>
      <c r="C664" s="8">
        <v>45288</v>
      </c>
      <c r="D664" t="s">
        <v>48</v>
      </c>
      <c r="E664" t="s">
        <v>3094</v>
      </c>
      <c r="F664" t="s">
        <v>3052</v>
      </c>
      <c r="G664" t="s">
        <v>799</v>
      </c>
      <c r="H664">
        <v>8156185050</v>
      </c>
      <c r="I664" t="s">
        <v>24</v>
      </c>
      <c r="J664" t="s">
        <v>51</v>
      </c>
      <c r="K664" t="s">
        <v>223</v>
      </c>
      <c r="L664" t="s">
        <v>85</v>
      </c>
      <c r="M664" t="s">
        <v>486</v>
      </c>
      <c r="N664" t="s">
        <v>487</v>
      </c>
      <c r="O664">
        <v>8</v>
      </c>
      <c r="P664">
        <v>23524.27</v>
      </c>
      <c r="Q664">
        <v>5</v>
      </c>
      <c r="R664">
        <v>9409.7099999999991</v>
      </c>
      <c r="S664" s="11">
        <v>178784.45</v>
      </c>
      <c r="T664">
        <v>-24679.98</v>
      </c>
      <c r="U664">
        <f t="shared" si="10"/>
        <v>178784.45</v>
      </c>
    </row>
    <row r="665" spans="1:21" ht="15" customHeight="1" x14ac:dyDescent="0.25">
      <c r="A665" t="s">
        <v>2714</v>
      </c>
      <c r="B665" s="8">
        <v>45285</v>
      </c>
      <c r="C665" s="8">
        <v>45288</v>
      </c>
      <c r="D665" t="s">
        <v>20</v>
      </c>
      <c r="E665" t="s">
        <v>3091</v>
      </c>
      <c r="F665" t="s">
        <v>3043</v>
      </c>
      <c r="G665" t="s">
        <v>2715</v>
      </c>
      <c r="H665">
        <v>8137366014</v>
      </c>
      <c r="I665" t="s">
        <v>125</v>
      </c>
      <c r="J665" t="s">
        <v>69</v>
      </c>
      <c r="K665" t="s">
        <v>119</v>
      </c>
      <c r="L665" t="s">
        <v>27</v>
      </c>
      <c r="M665" t="s">
        <v>28</v>
      </c>
      <c r="N665" t="s">
        <v>29</v>
      </c>
      <c r="O665">
        <v>19</v>
      </c>
      <c r="P665">
        <v>5585.99</v>
      </c>
      <c r="Q665">
        <v>5</v>
      </c>
      <c r="R665">
        <v>5306.69</v>
      </c>
      <c r="S665" s="11">
        <v>100827.12</v>
      </c>
      <c r="T665">
        <v>23924.9</v>
      </c>
      <c r="U665">
        <f t="shared" si="10"/>
        <v>100827.12</v>
      </c>
    </row>
    <row r="666" spans="1:21" ht="15" customHeight="1" x14ac:dyDescent="0.25">
      <c r="A666" t="s">
        <v>2830</v>
      </c>
      <c r="B666" s="8">
        <v>45285</v>
      </c>
      <c r="C666" s="8">
        <v>45285</v>
      </c>
      <c r="D666" t="s">
        <v>32</v>
      </c>
      <c r="E666" t="s">
        <v>3059</v>
      </c>
      <c r="F666" t="s">
        <v>3083</v>
      </c>
      <c r="G666" t="s">
        <v>2831</v>
      </c>
      <c r="H666">
        <v>8168339206</v>
      </c>
      <c r="I666" t="s">
        <v>35</v>
      </c>
      <c r="J666" t="s">
        <v>61</v>
      </c>
      <c r="K666" t="s">
        <v>62</v>
      </c>
      <c r="L666" t="s">
        <v>96</v>
      </c>
      <c r="M666" t="s">
        <v>97</v>
      </c>
      <c r="N666" t="s">
        <v>98</v>
      </c>
      <c r="O666">
        <v>6</v>
      </c>
      <c r="P666">
        <v>203482.62</v>
      </c>
      <c r="Q666">
        <v>0</v>
      </c>
      <c r="R666">
        <v>0</v>
      </c>
      <c r="S666" s="11">
        <v>1220895.72</v>
      </c>
      <c r="T666">
        <v>389265.33</v>
      </c>
      <c r="U666">
        <f t="shared" si="10"/>
        <v>1220895.72</v>
      </c>
    </row>
    <row r="667" spans="1:21" ht="15" customHeight="1" x14ac:dyDescent="0.25">
      <c r="A667" t="s">
        <v>622</v>
      </c>
      <c r="B667" s="8">
        <v>45287</v>
      </c>
      <c r="D667" t="s">
        <v>20</v>
      </c>
      <c r="E667" t="s">
        <v>3058</v>
      </c>
      <c r="F667" t="s">
        <v>3050</v>
      </c>
      <c r="G667" t="s">
        <v>624</v>
      </c>
      <c r="H667">
        <v>7068700704</v>
      </c>
      <c r="I667" t="s">
        <v>35</v>
      </c>
      <c r="J667" t="s">
        <v>61</v>
      </c>
      <c r="K667" t="s">
        <v>62</v>
      </c>
      <c r="L667" t="s">
        <v>27</v>
      </c>
      <c r="M667" t="s">
        <v>354</v>
      </c>
      <c r="N667" t="s">
        <v>625</v>
      </c>
      <c r="O667">
        <v>3</v>
      </c>
      <c r="P667">
        <v>2609.8000000000002</v>
      </c>
      <c r="Q667">
        <v>0</v>
      </c>
      <c r="R667">
        <v>0</v>
      </c>
      <c r="S667" s="11">
        <v>7829.4</v>
      </c>
      <c r="T667">
        <v>-735.18</v>
      </c>
      <c r="U667">
        <f t="shared" si="10"/>
        <v>7829.4</v>
      </c>
    </row>
    <row r="668" spans="1:21" ht="15" customHeight="1" x14ac:dyDescent="0.25">
      <c r="A668" t="s">
        <v>1142</v>
      </c>
      <c r="B668" s="8">
        <v>45290</v>
      </c>
      <c r="C668" s="8">
        <v>45290</v>
      </c>
      <c r="D668" t="s">
        <v>32</v>
      </c>
      <c r="E668" t="s">
        <v>3033</v>
      </c>
      <c r="F668" t="s">
        <v>3036</v>
      </c>
      <c r="G668" t="s">
        <v>648</v>
      </c>
      <c r="H668">
        <v>9055191903</v>
      </c>
      <c r="I668" t="s">
        <v>35</v>
      </c>
      <c r="J668" t="s">
        <v>61</v>
      </c>
      <c r="K668" t="s">
        <v>95</v>
      </c>
      <c r="L668" t="s">
        <v>85</v>
      </c>
      <c r="M668" t="s">
        <v>243</v>
      </c>
      <c r="N668" t="s">
        <v>1143</v>
      </c>
      <c r="O668">
        <v>13</v>
      </c>
      <c r="P668">
        <v>23807.68</v>
      </c>
      <c r="Q668">
        <v>5</v>
      </c>
      <c r="R668">
        <v>15474.99</v>
      </c>
      <c r="S668" s="11">
        <v>294024.84999999998</v>
      </c>
      <c r="T668">
        <v>85431.73</v>
      </c>
      <c r="U668">
        <f t="shared" si="10"/>
        <v>294024.84999999998</v>
      </c>
    </row>
    <row r="669" spans="1:21" ht="15" customHeight="1" x14ac:dyDescent="0.25">
      <c r="A669" t="s">
        <v>2844</v>
      </c>
      <c r="B669" s="8">
        <v>45292</v>
      </c>
      <c r="C669" s="8">
        <v>45295</v>
      </c>
      <c r="D669" t="s">
        <v>20</v>
      </c>
      <c r="E669" t="s">
        <v>3059</v>
      </c>
      <c r="F669" t="s">
        <v>3077</v>
      </c>
      <c r="G669" t="s">
        <v>2846</v>
      </c>
      <c r="H669">
        <v>8144818119</v>
      </c>
      <c r="I669" t="s">
        <v>35</v>
      </c>
      <c r="K669" t="s">
        <v>182</v>
      </c>
      <c r="L669" t="s">
        <v>108</v>
      </c>
      <c r="M669" t="s">
        <v>189</v>
      </c>
      <c r="N669" t="s">
        <v>287</v>
      </c>
      <c r="O669">
        <v>4</v>
      </c>
      <c r="P669">
        <v>31658.36</v>
      </c>
      <c r="Q669">
        <v>0</v>
      </c>
      <c r="R669">
        <v>0</v>
      </c>
      <c r="S669" s="11">
        <v>126633.44</v>
      </c>
      <c r="T669">
        <v>-1420.49</v>
      </c>
      <c r="U669">
        <f t="shared" si="10"/>
        <v>126633.44</v>
      </c>
    </row>
    <row r="670" spans="1:21" ht="15" customHeight="1" x14ac:dyDescent="0.25">
      <c r="A670" t="s">
        <v>1415</v>
      </c>
      <c r="B670" s="8">
        <v>45293</v>
      </c>
      <c r="C670" s="8">
        <v>45296</v>
      </c>
      <c r="D670" t="s">
        <v>73</v>
      </c>
      <c r="G670" t="s">
        <v>370</v>
      </c>
      <c r="H670">
        <v>7066972425</v>
      </c>
      <c r="I670" t="s">
        <v>43</v>
      </c>
      <c r="J670" t="s">
        <v>61</v>
      </c>
      <c r="K670" t="s">
        <v>182</v>
      </c>
      <c r="L670" t="s">
        <v>96</v>
      </c>
      <c r="M670" t="s">
        <v>97</v>
      </c>
      <c r="N670" t="s">
        <v>1416</v>
      </c>
      <c r="O670">
        <v>3</v>
      </c>
      <c r="P670">
        <v>245381.36</v>
      </c>
      <c r="Q670">
        <v>25</v>
      </c>
      <c r="R670">
        <v>184036.02</v>
      </c>
      <c r="S670" s="11">
        <v>552108.06000000006</v>
      </c>
      <c r="T670">
        <v>-18612.169999999998</v>
      </c>
      <c r="U670">
        <f t="shared" si="10"/>
        <v>552108.06000000006</v>
      </c>
    </row>
    <row r="671" spans="1:21" ht="15" customHeight="1" x14ac:dyDescent="0.25">
      <c r="A671" t="s">
        <v>990</v>
      </c>
      <c r="B671" s="8">
        <v>45296</v>
      </c>
      <c r="C671" s="8">
        <v>45297</v>
      </c>
      <c r="D671" t="s">
        <v>32</v>
      </c>
      <c r="E671" t="s">
        <v>3089</v>
      </c>
      <c r="F671" t="s">
        <v>3077</v>
      </c>
      <c r="H671">
        <v>8102375290</v>
      </c>
      <c r="I671" t="s">
        <v>43</v>
      </c>
      <c r="J671" t="s">
        <v>51</v>
      </c>
      <c r="K671" t="s">
        <v>316</v>
      </c>
      <c r="L671" t="s">
        <v>63</v>
      </c>
      <c r="M671" t="s">
        <v>194</v>
      </c>
      <c r="N671" t="s">
        <v>336</v>
      </c>
      <c r="O671">
        <v>7</v>
      </c>
      <c r="P671">
        <v>22336.78</v>
      </c>
      <c r="Q671">
        <v>10</v>
      </c>
      <c r="R671">
        <v>15635.75</v>
      </c>
      <c r="S671" s="11">
        <v>140721.71</v>
      </c>
      <c r="T671">
        <v>40827.14</v>
      </c>
      <c r="U671">
        <f t="shared" si="10"/>
        <v>140721.71</v>
      </c>
    </row>
    <row r="672" spans="1:21" ht="15" customHeight="1" x14ac:dyDescent="0.25">
      <c r="A672" t="s">
        <v>870</v>
      </c>
      <c r="B672" s="8">
        <v>45296</v>
      </c>
      <c r="C672" s="8">
        <v>45297</v>
      </c>
      <c r="D672" t="s">
        <v>32</v>
      </c>
      <c r="E672" t="s">
        <v>3048</v>
      </c>
      <c r="F672" t="s">
        <v>3042</v>
      </c>
      <c r="G672" t="s">
        <v>871</v>
      </c>
      <c r="H672">
        <v>8162637507</v>
      </c>
      <c r="I672" t="s">
        <v>24</v>
      </c>
      <c r="J672" t="s">
        <v>61</v>
      </c>
      <c r="K672" t="s">
        <v>84</v>
      </c>
      <c r="L672" t="s">
        <v>108</v>
      </c>
      <c r="M672" t="s">
        <v>109</v>
      </c>
      <c r="N672" t="s">
        <v>157</v>
      </c>
      <c r="O672">
        <v>18</v>
      </c>
      <c r="P672">
        <v>33183.03</v>
      </c>
      <c r="Q672">
        <v>0</v>
      </c>
      <c r="R672">
        <v>0</v>
      </c>
      <c r="S672" s="11">
        <v>597294.54</v>
      </c>
      <c r="T672">
        <v>249761.12</v>
      </c>
      <c r="U672">
        <f t="shared" si="10"/>
        <v>597294.54</v>
      </c>
    </row>
    <row r="673" spans="1:21" ht="15" customHeight="1" x14ac:dyDescent="0.25">
      <c r="A673" t="s">
        <v>483</v>
      </c>
      <c r="B673" s="8">
        <v>45302</v>
      </c>
      <c r="C673" s="8">
        <v>45307</v>
      </c>
      <c r="D673" t="s">
        <v>73</v>
      </c>
      <c r="E673" t="s">
        <v>3067</v>
      </c>
      <c r="F673" t="s">
        <v>3038</v>
      </c>
      <c r="G673" t="s">
        <v>485</v>
      </c>
      <c r="H673">
        <v>9023329967</v>
      </c>
      <c r="I673" t="s">
        <v>24</v>
      </c>
      <c r="J673" t="s">
        <v>51</v>
      </c>
      <c r="K673" t="s">
        <v>131</v>
      </c>
      <c r="L673" t="s">
        <v>85</v>
      </c>
      <c r="M673" t="s">
        <v>486</v>
      </c>
      <c r="N673" t="s">
        <v>487</v>
      </c>
      <c r="O673">
        <v>19</v>
      </c>
      <c r="P673">
        <v>70074.2</v>
      </c>
      <c r="Q673">
        <v>10</v>
      </c>
      <c r="R673">
        <v>133140.98000000001</v>
      </c>
      <c r="S673" s="11">
        <v>1198268.82</v>
      </c>
      <c r="T673">
        <v>156306.38</v>
      </c>
      <c r="U673">
        <f t="shared" si="10"/>
        <v>1198268.82</v>
      </c>
    </row>
    <row r="674" spans="1:21" ht="15" customHeight="1" x14ac:dyDescent="0.25">
      <c r="A674" t="s">
        <v>2777</v>
      </c>
      <c r="B674" s="8">
        <v>45307</v>
      </c>
      <c r="C674" s="8">
        <v>45313</v>
      </c>
      <c r="D674" t="s">
        <v>48</v>
      </c>
      <c r="E674" t="s">
        <v>3058</v>
      </c>
      <c r="F674" t="s">
        <v>3052</v>
      </c>
      <c r="G674" t="s">
        <v>2778</v>
      </c>
      <c r="H674">
        <v>8061820610</v>
      </c>
      <c r="I674" t="s">
        <v>785</v>
      </c>
      <c r="J674" t="s">
        <v>51</v>
      </c>
      <c r="K674" t="s">
        <v>131</v>
      </c>
      <c r="L674" t="s">
        <v>96</v>
      </c>
      <c r="M674" t="s">
        <v>97</v>
      </c>
      <c r="N674" t="s">
        <v>230</v>
      </c>
      <c r="O674">
        <v>16</v>
      </c>
      <c r="P674">
        <v>96154.68</v>
      </c>
      <c r="Q674">
        <v>20</v>
      </c>
      <c r="R674">
        <v>307694.98</v>
      </c>
      <c r="S674" s="11">
        <v>1230779.8999999999</v>
      </c>
      <c r="T674">
        <v>301538.21000000002</v>
      </c>
      <c r="U674">
        <f t="shared" si="10"/>
        <v>1230779.8999999999</v>
      </c>
    </row>
    <row r="675" spans="1:21" ht="15" customHeight="1" x14ac:dyDescent="0.25">
      <c r="A675" t="s">
        <v>2471</v>
      </c>
      <c r="B675" s="8">
        <v>45307</v>
      </c>
      <c r="C675" s="8">
        <v>45310</v>
      </c>
      <c r="D675" t="s">
        <v>20</v>
      </c>
      <c r="E675" t="s">
        <v>3068</v>
      </c>
      <c r="F675" t="s">
        <v>3039</v>
      </c>
      <c r="G675" t="s">
        <v>1463</v>
      </c>
      <c r="H675">
        <v>8136371304</v>
      </c>
      <c r="I675" t="s">
        <v>43</v>
      </c>
      <c r="J675" t="s">
        <v>69</v>
      </c>
      <c r="K675" t="s">
        <v>155</v>
      </c>
      <c r="L675" t="s">
        <v>27</v>
      </c>
      <c r="M675" t="s">
        <v>45</v>
      </c>
      <c r="N675" t="s">
        <v>308</v>
      </c>
      <c r="O675">
        <v>5</v>
      </c>
      <c r="P675">
        <v>7677.3</v>
      </c>
      <c r="Q675">
        <v>10</v>
      </c>
      <c r="R675">
        <v>3838.65</v>
      </c>
      <c r="S675" s="11">
        <v>34547.85</v>
      </c>
      <c r="T675">
        <v>12643.37</v>
      </c>
      <c r="U675">
        <f t="shared" si="10"/>
        <v>34547.85</v>
      </c>
    </row>
    <row r="676" spans="1:21" ht="15" customHeight="1" x14ac:dyDescent="0.25">
      <c r="A676" t="s">
        <v>419</v>
      </c>
      <c r="B676" s="8">
        <v>45307</v>
      </c>
      <c r="D676" t="s">
        <v>73</v>
      </c>
      <c r="E676" t="s">
        <v>3076</v>
      </c>
      <c r="F676" t="s">
        <v>3045</v>
      </c>
      <c r="G676" t="s">
        <v>421</v>
      </c>
      <c r="H676" t="s">
        <v>422</v>
      </c>
      <c r="I676" t="s">
        <v>24</v>
      </c>
      <c r="J676" t="s">
        <v>69</v>
      </c>
      <c r="K676" t="s">
        <v>70</v>
      </c>
      <c r="L676" t="s">
        <v>27</v>
      </c>
      <c r="M676" t="s">
        <v>79</v>
      </c>
      <c r="N676" t="s">
        <v>80</v>
      </c>
      <c r="O676">
        <v>4</v>
      </c>
      <c r="P676">
        <v>807.52</v>
      </c>
      <c r="Q676">
        <v>25</v>
      </c>
      <c r="R676">
        <v>807.52</v>
      </c>
      <c r="S676" s="11">
        <v>2422.56</v>
      </c>
      <c r="T676">
        <v>622.66</v>
      </c>
      <c r="U676">
        <f t="shared" si="10"/>
        <v>2422.56</v>
      </c>
    </row>
    <row r="677" spans="1:21" ht="15" customHeight="1" x14ac:dyDescent="0.25">
      <c r="A677" t="s">
        <v>2881</v>
      </c>
      <c r="B677" s="8">
        <v>45311</v>
      </c>
      <c r="C677" s="8">
        <v>45318</v>
      </c>
      <c r="D677" t="s">
        <v>210</v>
      </c>
      <c r="E677" t="s">
        <v>3048</v>
      </c>
      <c r="F677" t="s">
        <v>3079</v>
      </c>
      <c r="G677" t="s">
        <v>2882</v>
      </c>
      <c r="H677">
        <v>9011702514</v>
      </c>
      <c r="I677" t="s">
        <v>43</v>
      </c>
      <c r="J677" t="s">
        <v>61</v>
      </c>
      <c r="K677" t="s">
        <v>182</v>
      </c>
      <c r="L677" t="s">
        <v>27</v>
      </c>
      <c r="M677" t="s">
        <v>79</v>
      </c>
      <c r="N677" t="s">
        <v>127</v>
      </c>
      <c r="O677">
        <v>7</v>
      </c>
      <c r="P677">
        <v>708.38</v>
      </c>
      <c r="Q677">
        <v>5</v>
      </c>
      <c r="R677">
        <v>247.93</v>
      </c>
      <c r="S677" s="11">
        <v>4710.7299999999996</v>
      </c>
      <c r="T677">
        <v>452.75</v>
      </c>
      <c r="U677">
        <f t="shared" si="10"/>
        <v>4710.7299999999996</v>
      </c>
    </row>
    <row r="678" spans="1:21" ht="15" customHeight="1" x14ac:dyDescent="0.25">
      <c r="A678" t="s">
        <v>1432</v>
      </c>
      <c r="B678" s="8">
        <v>45312</v>
      </c>
      <c r="C678" s="8">
        <v>45312</v>
      </c>
      <c r="D678" t="s">
        <v>32</v>
      </c>
      <c r="E678" t="s">
        <v>3053</v>
      </c>
      <c r="F678" t="s">
        <v>3069</v>
      </c>
      <c r="G678" t="s">
        <v>1433</v>
      </c>
      <c r="H678">
        <v>8106952931</v>
      </c>
      <c r="I678" t="s">
        <v>35</v>
      </c>
      <c r="J678" t="s">
        <v>25</v>
      </c>
      <c r="K678" t="s">
        <v>26</v>
      </c>
      <c r="L678" t="s">
        <v>108</v>
      </c>
      <c r="M678" t="s">
        <v>183</v>
      </c>
      <c r="N678" t="s">
        <v>372</v>
      </c>
      <c r="O678">
        <v>14</v>
      </c>
      <c r="P678">
        <v>24112.79</v>
      </c>
      <c r="Q678">
        <v>0</v>
      </c>
      <c r="R678">
        <v>0</v>
      </c>
      <c r="S678" s="11">
        <v>337579.06</v>
      </c>
      <c r="T678">
        <v>103584.67</v>
      </c>
      <c r="U678">
        <f t="shared" si="10"/>
        <v>337579.06</v>
      </c>
    </row>
    <row r="679" spans="1:21" ht="15" customHeight="1" x14ac:dyDescent="0.25">
      <c r="A679" t="s">
        <v>2144</v>
      </c>
      <c r="B679" s="8">
        <v>45313</v>
      </c>
      <c r="C679" s="8">
        <v>45316</v>
      </c>
      <c r="D679" t="s">
        <v>20</v>
      </c>
      <c r="E679" t="s">
        <v>3059</v>
      </c>
      <c r="F679" t="s">
        <v>3075</v>
      </c>
      <c r="G679" t="s">
        <v>2145</v>
      </c>
      <c r="H679">
        <v>7039446412</v>
      </c>
      <c r="I679" t="s">
        <v>785</v>
      </c>
      <c r="J679" t="s">
        <v>51</v>
      </c>
      <c r="K679" t="s">
        <v>131</v>
      </c>
      <c r="L679" t="s">
        <v>96</v>
      </c>
      <c r="M679" t="s">
        <v>120</v>
      </c>
      <c r="N679" t="s">
        <v>367</v>
      </c>
      <c r="O679">
        <v>20</v>
      </c>
      <c r="P679">
        <v>406685.04</v>
      </c>
      <c r="Q679">
        <v>20</v>
      </c>
      <c r="R679">
        <v>1626740.16</v>
      </c>
      <c r="S679" s="11">
        <v>6506960.6399999997</v>
      </c>
      <c r="T679">
        <v>116281.39</v>
      </c>
      <c r="U679">
        <f t="shared" si="10"/>
        <v>6506960.6399999997</v>
      </c>
    </row>
    <row r="680" spans="1:21" ht="15" customHeight="1" x14ac:dyDescent="0.25">
      <c r="A680" t="s">
        <v>2895</v>
      </c>
      <c r="B680" s="8">
        <v>45316</v>
      </c>
      <c r="C680" s="8">
        <v>45322</v>
      </c>
      <c r="D680" t="s">
        <v>48</v>
      </c>
      <c r="E680" t="s">
        <v>3060</v>
      </c>
      <c r="F680" t="s">
        <v>3078</v>
      </c>
      <c r="G680" t="s">
        <v>2896</v>
      </c>
      <c r="H680">
        <v>8035621002</v>
      </c>
      <c r="I680" t="s">
        <v>24</v>
      </c>
      <c r="J680" t="s">
        <v>25</v>
      </c>
      <c r="K680" t="s">
        <v>126</v>
      </c>
      <c r="L680" t="s">
        <v>63</v>
      </c>
      <c r="M680" t="s">
        <v>469</v>
      </c>
      <c r="N680" t="s">
        <v>1595</v>
      </c>
      <c r="O680">
        <v>2</v>
      </c>
      <c r="P680">
        <v>11909.23</v>
      </c>
      <c r="Q680">
        <v>10</v>
      </c>
      <c r="R680">
        <v>2381.85</v>
      </c>
      <c r="S680" s="11">
        <v>21436.61</v>
      </c>
      <c r="T680">
        <v>-2732.64</v>
      </c>
      <c r="U680">
        <f t="shared" si="10"/>
        <v>21436.61</v>
      </c>
    </row>
    <row r="681" spans="1:21" ht="15" customHeight="1" x14ac:dyDescent="0.25">
      <c r="A681" t="s">
        <v>1767</v>
      </c>
      <c r="B681" s="8">
        <v>45316</v>
      </c>
      <c r="C681" s="8">
        <v>45316</v>
      </c>
      <c r="D681" t="s">
        <v>32</v>
      </c>
      <c r="E681" t="s">
        <v>3098</v>
      </c>
      <c r="F681" t="s">
        <v>3066</v>
      </c>
      <c r="G681" t="s">
        <v>1769</v>
      </c>
      <c r="H681">
        <v>8139014904</v>
      </c>
      <c r="I681" t="s">
        <v>24</v>
      </c>
      <c r="J681" t="s">
        <v>51</v>
      </c>
      <c r="K681" t="s">
        <v>227</v>
      </c>
      <c r="L681" t="s">
        <v>96</v>
      </c>
      <c r="M681" t="s">
        <v>97</v>
      </c>
      <c r="N681" t="s">
        <v>98</v>
      </c>
      <c r="O681">
        <v>5</v>
      </c>
      <c r="P681">
        <v>318400.07</v>
      </c>
      <c r="Q681">
        <v>10</v>
      </c>
      <c r="R681">
        <v>159200.04</v>
      </c>
      <c r="S681" s="11">
        <v>1432800.31</v>
      </c>
      <c r="T681">
        <v>305560.96999999997</v>
      </c>
      <c r="U681">
        <f t="shared" si="10"/>
        <v>1432800.31</v>
      </c>
    </row>
    <row r="682" spans="1:21" ht="15" customHeight="1" x14ac:dyDescent="0.25">
      <c r="A682" t="s">
        <v>2727</v>
      </c>
      <c r="B682" s="8">
        <v>45317</v>
      </c>
      <c r="C682" s="8">
        <v>45317</v>
      </c>
      <c r="D682" t="s">
        <v>32</v>
      </c>
      <c r="E682" t="s">
        <v>3084</v>
      </c>
      <c r="F682" t="s">
        <v>3077</v>
      </c>
      <c r="G682" t="s">
        <v>2728</v>
      </c>
      <c r="H682">
        <v>8131146741</v>
      </c>
      <c r="I682" t="s">
        <v>35</v>
      </c>
      <c r="J682" t="s">
        <v>61</v>
      </c>
      <c r="K682" t="s">
        <v>84</v>
      </c>
      <c r="L682" t="s">
        <v>63</v>
      </c>
      <c r="M682" t="s">
        <v>194</v>
      </c>
      <c r="N682" t="s">
        <v>336</v>
      </c>
      <c r="O682">
        <v>17</v>
      </c>
      <c r="P682">
        <v>19275.57</v>
      </c>
      <c r="Q682">
        <v>0</v>
      </c>
      <c r="R682">
        <v>0</v>
      </c>
      <c r="S682" s="11">
        <v>327684.69</v>
      </c>
      <c r="T682">
        <v>49332.23</v>
      </c>
      <c r="U682">
        <f t="shared" si="10"/>
        <v>327684.69</v>
      </c>
    </row>
    <row r="683" spans="1:21" ht="15" customHeight="1" x14ac:dyDescent="0.25">
      <c r="A683" t="s">
        <v>997</v>
      </c>
      <c r="B683" s="8">
        <v>45318</v>
      </c>
      <c r="C683" s="8">
        <v>45320</v>
      </c>
      <c r="D683" t="s">
        <v>20</v>
      </c>
      <c r="G683" t="s">
        <v>998</v>
      </c>
      <c r="H683">
        <v>8157060792</v>
      </c>
      <c r="I683" t="s">
        <v>35</v>
      </c>
      <c r="J683" t="s">
        <v>69</v>
      </c>
      <c r="K683" t="s">
        <v>119</v>
      </c>
      <c r="L683" t="s">
        <v>108</v>
      </c>
      <c r="M683" t="s">
        <v>183</v>
      </c>
      <c r="N683" t="s">
        <v>869</v>
      </c>
      <c r="O683">
        <v>2</v>
      </c>
      <c r="P683">
        <v>39906.74</v>
      </c>
      <c r="Q683">
        <v>10</v>
      </c>
      <c r="R683">
        <v>7981.35</v>
      </c>
      <c r="S683" s="11">
        <v>71832.13</v>
      </c>
      <c r="T683">
        <v>-6325.9</v>
      </c>
      <c r="U683">
        <f t="shared" si="10"/>
        <v>71832.13</v>
      </c>
    </row>
    <row r="684" spans="1:21" ht="15" customHeight="1" x14ac:dyDescent="0.25">
      <c r="A684" t="s">
        <v>1401</v>
      </c>
      <c r="B684" s="8">
        <v>45319</v>
      </c>
      <c r="C684" s="8">
        <v>45320</v>
      </c>
      <c r="D684" t="s">
        <v>32</v>
      </c>
      <c r="E684" t="s">
        <v>3073</v>
      </c>
      <c r="F684" t="s">
        <v>3046</v>
      </c>
      <c r="G684" t="s">
        <v>1402</v>
      </c>
      <c r="H684">
        <v>7036894759</v>
      </c>
      <c r="I684" t="s">
        <v>35</v>
      </c>
      <c r="J684" t="s">
        <v>51</v>
      </c>
      <c r="K684" t="s">
        <v>316</v>
      </c>
      <c r="L684" t="s">
        <v>63</v>
      </c>
      <c r="M684" t="s">
        <v>64</v>
      </c>
      <c r="N684" t="s">
        <v>777</v>
      </c>
      <c r="O684">
        <v>15</v>
      </c>
      <c r="P684">
        <v>2646.17</v>
      </c>
      <c r="Q684">
        <v>15</v>
      </c>
      <c r="R684">
        <v>5953.88</v>
      </c>
      <c r="S684" s="11">
        <v>33738.67</v>
      </c>
      <c r="T684">
        <v>11208.37</v>
      </c>
      <c r="U684">
        <f t="shared" si="10"/>
        <v>33738.67</v>
      </c>
    </row>
    <row r="685" spans="1:21" ht="15" customHeight="1" x14ac:dyDescent="0.25">
      <c r="A685" t="s">
        <v>2641</v>
      </c>
      <c r="B685" s="8">
        <v>45322</v>
      </c>
      <c r="C685" s="8">
        <v>45324</v>
      </c>
      <c r="D685" t="s">
        <v>20</v>
      </c>
      <c r="E685" t="s">
        <v>3041</v>
      </c>
      <c r="F685" t="s">
        <v>3034</v>
      </c>
      <c r="G685" t="s">
        <v>2643</v>
      </c>
      <c r="H685">
        <v>7063918610</v>
      </c>
      <c r="I685" t="s">
        <v>35</v>
      </c>
      <c r="J685" t="s">
        <v>69</v>
      </c>
      <c r="K685" t="s">
        <v>155</v>
      </c>
      <c r="L685" t="s">
        <v>27</v>
      </c>
      <c r="M685" t="s">
        <v>28</v>
      </c>
      <c r="N685" t="s">
        <v>71</v>
      </c>
      <c r="O685">
        <v>12</v>
      </c>
      <c r="P685">
        <v>3899.63</v>
      </c>
      <c r="Q685">
        <v>10</v>
      </c>
      <c r="R685">
        <v>4679.5600000000004</v>
      </c>
      <c r="S685" s="11">
        <v>42116</v>
      </c>
      <c r="T685">
        <v>-2586.77</v>
      </c>
      <c r="U685">
        <f t="shared" si="10"/>
        <v>42116</v>
      </c>
    </row>
    <row r="686" spans="1:21" ht="15" customHeight="1" x14ac:dyDescent="0.25">
      <c r="A686" t="s">
        <v>437</v>
      </c>
      <c r="B686" s="8">
        <v>45322</v>
      </c>
      <c r="C686" s="8">
        <v>45322</v>
      </c>
      <c r="D686" t="s">
        <v>32</v>
      </c>
      <c r="G686" t="s">
        <v>438</v>
      </c>
      <c r="H686">
        <v>8162407191</v>
      </c>
      <c r="I686" t="s">
        <v>35</v>
      </c>
      <c r="J686" t="s">
        <v>61</v>
      </c>
      <c r="K686" t="s">
        <v>182</v>
      </c>
      <c r="L686" t="s">
        <v>85</v>
      </c>
      <c r="M686" t="s">
        <v>243</v>
      </c>
      <c r="N686" t="s">
        <v>439</v>
      </c>
      <c r="O686">
        <v>5</v>
      </c>
      <c r="P686">
        <v>163712.67000000001</v>
      </c>
      <c r="Q686">
        <v>15</v>
      </c>
      <c r="R686">
        <v>122784.5</v>
      </c>
      <c r="S686" s="11">
        <v>695778.85</v>
      </c>
      <c r="T686">
        <v>-66079.41</v>
      </c>
      <c r="U686">
        <f t="shared" si="10"/>
        <v>695778.85</v>
      </c>
    </row>
    <row r="687" spans="1:21" ht="15" customHeight="1" x14ac:dyDescent="0.25">
      <c r="A687" t="s">
        <v>1070</v>
      </c>
      <c r="B687" s="8">
        <v>45324</v>
      </c>
      <c r="C687" s="8">
        <v>45325</v>
      </c>
      <c r="D687" t="s">
        <v>32</v>
      </c>
      <c r="E687" t="s">
        <v>3058</v>
      </c>
      <c r="F687" t="s">
        <v>3036</v>
      </c>
      <c r="G687" t="s">
        <v>1072</v>
      </c>
      <c r="H687">
        <v>8103200150</v>
      </c>
      <c r="I687" t="s">
        <v>35</v>
      </c>
      <c r="J687" t="s">
        <v>69</v>
      </c>
      <c r="K687" t="s">
        <v>70</v>
      </c>
      <c r="L687" t="s">
        <v>27</v>
      </c>
      <c r="M687" t="s">
        <v>354</v>
      </c>
      <c r="N687" t="s">
        <v>355</v>
      </c>
      <c r="O687">
        <v>8</v>
      </c>
      <c r="P687">
        <v>5850.28</v>
      </c>
      <c r="Q687">
        <v>25</v>
      </c>
      <c r="R687">
        <v>11700.56</v>
      </c>
      <c r="S687" s="11">
        <v>35101.68</v>
      </c>
      <c r="T687">
        <v>3837.71</v>
      </c>
      <c r="U687">
        <f t="shared" si="10"/>
        <v>35101.68</v>
      </c>
    </row>
    <row r="688" spans="1:21" ht="15" customHeight="1" x14ac:dyDescent="0.25">
      <c r="A688" t="s">
        <v>453</v>
      </c>
      <c r="B688" s="8">
        <v>45326</v>
      </c>
      <c r="C688" s="8">
        <v>45327</v>
      </c>
      <c r="D688" t="s">
        <v>32</v>
      </c>
      <c r="E688" t="s">
        <v>3047</v>
      </c>
      <c r="F688" t="s">
        <v>3039</v>
      </c>
      <c r="G688" t="s">
        <v>454</v>
      </c>
      <c r="H688">
        <v>7035045421</v>
      </c>
      <c r="I688" t="s">
        <v>24</v>
      </c>
      <c r="J688" t="s">
        <v>69</v>
      </c>
      <c r="K688" t="s">
        <v>307</v>
      </c>
      <c r="L688" t="s">
        <v>96</v>
      </c>
      <c r="M688" t="s">
        <v>254</v>
      </c>
      <c r="N688" t="s">
        <v>455</v>
      </c>
      <c r="O688">
        <v>12</v>
      </c>
      <c r="P688">
        <v>73033.17</v>
      </c>
      <c r="Q688">
        <v>25</v>
      </c>
      <c r="R688">
        <v>219099.51</v>
      </c>
      <c r="S688" s="11">
        <v>657298.53</v>
      </c>
      <c r="T688">
        <v>34921.19</v>
      </c>
      <c r="U688">
        <f t="shared" si="10"/>
        <v>657298.53</v>
      </c>
    </row>
    <row r="689" spans="1:21" ht="15" customHeight="1" x14ac:dyDescent="0.25">
      <c r="A689" t="s">
        <v>2034</v>
      </c>
      <c r="B689" s="8">
        <v>45327</v>
      </c>
      <c r="C689" s="8">
        <v>45332</v>
      </c>
      <c r="D689" t="s">
        <v>48</v>
      </c>
      <c r="E689" t="s">
        <v>3047</v>
      </c>
      <c r="F689" t="s">
        <v>3043</v>
      </c>
      <c r="G689" t="s">
        <v>2036</v>
      </c>
      <c r="H689">
        <v>8031174416</v>
      </c>
      <c r="I689" t="s">
        <v>24</v>
      </c>
      <c r="J689" t="s">
        <v>69</v>
      </c>
      <c r="K689" t="s">
        <v>70</v>
      </c>
      <c r="L689" t="s">
        <v>85</v>
      </c>
      <c r="M689" t="s">
        <v>86</v>
      </c>
      <c r="N689" t="s">
        <v>178</v>
      </c>
      <c r="O689">
        <v>14</v>
      </c>
      <c r="P689">
        <v>156158.87</v>
      </c>
      <c r="Q689">
        <v>5</v>
      </c>
      <c r="R689">
        <v>109311.21</v>
      </c>
      <c r="S689" s="11">
        <v>2076912.97</v>
      </c>
      <c r="T689">
        <v>-99453.24</v>
      </c>
      <c r="U689">
        <f t="shared" si="10"/>
        <v>2076912.97</v>
      </c>
    </row>
    <row r="690" spans="1:21" ht="15" customHeight="1" x14ac:dyDescent="0.25">
      <c r="A690" t="s">
        <v>2735</v>
      </c>
      <c r="B690" s="8">
        <v>45327</v>
      </c>
      <c r="C690" s="8">
        <v>45329</v>
      </c>
      <c r="D690" t="s">
        <v>20</v>
      </c>
      <c r="E690" t="s">
        <v>3041</v>
      </c>
      <c r="F690" t="s">
        <v>3083</v>
      </c>
      <c r="G690" t="s">
        <v>2737</v>
      </c>
      <c r="H690">
        <v>9021269132</v>
      </c>
      <c r="I690" t="s">
        <v>43</v>
      </c>
      <c r="J690" t="s">
        <v>69</v>
      </c>
      <c r="K690" t="s">
        <v>70</v>
      </c>
      <c r="L690" t="s">
        <v>85</v>
      </c>
      <c r="M690" t="s">
        <v>486</v>
      </c>
      <c r="N690" t="s">
        <v>1193</v>
      </c>
      <c r="O690">
        <v>19</v>
      </c>
      <c r="P690">
        <v>85389.75</v>
      </c>
      <c r="Q690">
        <v>0</v>
      </c>
      <c r="R690">
        <v>0</v>
      </c>
      <c r="S690" s="11">
        <v>1622405.25</v>
      </c>
      <c r="T690">
        <v>388473.24</v>
      </c>
      <c r="U690">
        <f t="shared" si="10"/>
        <v>1622405.25</v>
      </c>
    </row>
    <row r="691" spans="1:21" ht="15" customHeight="1" x14ac:dyDescent="0.25">
      <c r="A691" t="s">
        <v>1964</v>
      </c>
      <c r="B691" s="8">
        <v>45327</v>
      </c>
      <c r="C691" s="8">
        <v>45329</v>
      </c>
      <c r="D691" t="s">
        <v>20</v>
      </c>
      <c r="E691" t="s">
        <v>3051</v>
      </c>
      <c r="F691" t="s">
        <v>3075</v>
      </c>
      <c r="G691" t="s">
        <v>1966</v>
      </c>
      <c r="H691">
        <v>8161715977</v>
      </c>
      <c r="I691" t="s">
        <v>43</v>
      </c>
      <c r="J691" t="s">
        <v>61</v>
      </c>
      <c r="K691" t="s">
        <v>204</v>
      </c>
      <c r="L691" t="s">
        <v>27</v>
      </c>
      <c r="M691" t="s">
        <v>79</v>
      </c>
      <c r="N691" t="s">
        <v>490</v>
      </c>
      <c r="O691">
        <v>18</v>
      </c>
      <c r="P691">
        <v>5688.04</v>
      </c>
      <c r="Q691">
        <v>0</v>
      </c>
      <c r="R691">
        <v>0</v>
      </c>
      <c r="S691" s="11">
        <v>102384.72</v>
      </c>
      <c r="U691">
        <f t="shared" si="10"/>
        <v>102384.72</v>
      </c>
    </row>
    <row r="692" spans="1:21" ht="15" customHeight="1" x14ac:dyDescent="0.25">
      <c r="A692" t="s">
        <v>1688</v>
      </c>
      <c r="B692" s="8">
        <v>45328</v>
      </c>
      <c r="C692" s="8">
        <v>45329</v>
      </c>
      <c r="D692" t="s">
        <v>32</v>
      </c>
      <c r="E692" t="s">
        <v>3080</v>
      </c>
      <c r="F692" t="s">
        <v>3066</v>
      </c>
      <c r="G692" t="s">
        <v>1690</v>
      </c>
      <c r="H692">
        <v>8034172607</v>
      </c>
      <c r="I692" t="s">
        <v>35</v>
      </c>
      <c r="J692" t="s">
        <v>61</v>
      </c>
      <c r="K692" t="s">
        <v>62</v>
      </c>
      <c r="L692" t="s">
        <v>27</v>
      </c>
      <c r="M692" t="s">
        <v>45</v>
      </c>
      <c r="N692" t="s">
        <v>523</v>
      </c>
      <c r="O692">
        <v>2</v>
      </c>
      <c r="P692">
        <v>2823.14</v>
      </c>
      <c r="Q692">
        <v>10</v>
      </c>
      <c r="R692">
        <v>564.63</v>
      </c>
      <c r="S692" s="11">
        <v>5081.6499999999996</v>
      </c>
      <c r="T692">
        <v>1899.07</v>
      </c>
      <c r="U692">
        <f t="shared" si="10"/>
        <v>5081.6499999999996</v>
      </c>
    </row>
    <row r="693" spans="1:21" ht="15" customHeight="1" x14ac:dyDescent="0.25">
      <c r="A693" t="s">
        <v>2549</v>
      </c>
      <c r="B693" s="8">
        <v>45329</v>
      </c>
      <c r="C693" s="8">
        <v>45330</v>
      </c>
      <c r="D693" t="s">
        <v>32</v>
      </c>
      <c r="E693" t="s">
        <v>3082</v>
      </c>
      <c r="F693" t="s">
        <v>3045</v>
      </c>
      <c r="G693" t="s">
        <v>2551</v>
      </c>
      <c r="H693">
        <v>8142822847</v>
      </c>
      <c r="I693" t="s">
        <v>24</v>
      </c>
      <c r="J693" t="s">
        <v>51</v>
      </c>
      <c r="K693" t="s">
        <v>316</v>
      </c>
      <c r="L693" t="s">
        <v>27</v>
      </c>
      <c r="M693" t="s">
        <v>28</v>
      </c>
      <c r="N693" t="s">
        <v>71</v>
      </c>
      <c r="O693">
        <v>20</v>
      </c>
      <c r="P693">
        <v>7266.01</v>
      </c>
      <c r="Q693">
        <v>15</v>
      </c>
      <c r="R693">
        <v>21798.03</v>
      </c>
      <c r="S693" s="11">
        <v>123522.17</v>
      </c>
      <c r="T693">
        <v>-14757.02</v>
      </c>
      <c r="U693">
        <f t="shared" si="10"/>
        <v>123522.17</v>
      </c>
    </row>
    <row r="694" spans="1:21" ht="15" customHeight="1" x14ac:dyDescent="0.25">
      <c r="A694" t="s">
        <v>2693</v>
      </c>
      <c r="B694" s="8">
        <v>45329</v>
      </c>
      <c r="C694" s="8">
        <v>45329</v>
      </c>
      <c r="D694" t="s">
        <v>32</v>
      </c>
      <c r="E694" t="s">
        <v>3058</v>
      </c>
      <c r="F694" t="s">
        <v>3083</v>
      </c>
      <c r="G694" t="s">
        <v>2694</v>
      </c>
      <c r="H694">
        <v>9058702071</v>
      </c>
      <c r="I694" t="s">
        <v>24</v>
      </c>
      <c r="J694" t="s">
        <v>51</v>
      </c>
      <c r="K694" t="s">
        <v>131</v>
      </c>
      <c r="L694" t="s">
        <v>2695</v>
      </c>
      <c r="M694" t="s">
        <v>45</v>
      </c>
      <c r="N694" t="s">
        <v>523</v>
      </c>
      <c r="O694">
        <v>3</v>
      </c>
      <c r="P694">
        <v>2261.39</v>
      </c>
      <c r="Q694">
        <v>10</v>
      </c>
      <c r="R694">
        <v>678.42</v>
      </c>
      <c r="S694" s="11">
        <v>6105.75</v>
      </c>
      <c r="T694">
        <v>-460.02</v>
      </c>
      <c r="U694">
        <f t="shared" si="10"/>
        <v>6105.75</v>
      </c>
    </row>
    <row r="695" spans="1:21" ht="15" customHeight="1" x14ac:dyDescent="0.25">
      <c r="A695" t="s">
        <v>1786</v>
      </c>
      <c r="B695" s="8">
        <v>45331</v>
      </c>
      <c r="C695" s="8">
        <v>45338</v>
      </c>
      <c r="D695" t="s">
        <v>48</v>
      </c>
      <c r="E695" t="s">
        <v>3089</v>
      </c>
      <c r="F695" t="s">
        <v>3083</v>
      </c>
      <c r="G695" t="s">
        <v>1788</v>
      </c>
      <c r="H695">
        <v>9058205036</v>
      </c>
      <c r="I695" t="s">
        <v>125</v>
      </c>
      <c r="J695" t="s">
        <v>1203</v>
      </c>
      <c r="K695" t="s">
        <v>26</v>
      </c>
      <c r="L695" t="s">
        <v>63</v>
      </c>
      <c r="M695" t="s">
        <v>558</v>
      </c>
      <c r="N695" t="s">
        <v>1380</v>
      </c>
      <c r="O695">
        <v>8</v>
      </c>
      <c r="P695">
        <v>24986.41</v>
      </c>
      <c r="Q695">
        <v>10</v>
      </c>
      <c r="R695">
        <v>19989.13</v>
      </c>
      <c r="S695" s="11">
        <v>179902.15</v>
      </c>
      <c r="T695">
        <v>44804.09</v>
      </c>
      <c r="U695">
        <f t="shared" si="10"/>
        <v>179902.15</v>
      </c>
    </row>
    <row r="696" spans="1:21" ht="15" customHeight="1" x14ac:dyDescent="0.25">
      <c r="A696" t="s">
        <v>1534</v>
      </c>
      <c r="B696" s="8">
        <v>45332</v>
      </c>
      <c r="C696" s="8">
        <v>45570</v>
      </c>
      <c r="D696" t="s">
        <v>20</v>
      </c>
      <c r="E696" t="s">
        <v>3093</v>
      </c>
      <c r="F696" t="s">
        <v>3069</v>
      </c>
      <c r="G696" t="s">
        <v>1537</v>
      </c>
      <c r="H696">
        <v>7032612483</v>
      </c>
      <c r="I696" t="s">
        <v>35</v>
      </c>
      <c r="J696" t="s">
        <v>51</v>
      </c>
      <c r="K696" t="s">
        <v>131</v>
      </c>
      <c r="L696" t="s">
        <v>63</v>
      </c>
      <c r="M696" t="s">
        <v>312</v>
      </c>
      <c r="N696" t="s">
        <v>736</v>
      </c>
      <c r="O696">
        <v>13</v>
      </c>
      <c r="P696">
        <v>12495.76</v>
      </c>
      <c r="Q696">
        <v>20</v>
      </c>
      <c r="R696">
        <v>32488.98</v>
      </c>
      <c r="S696" s="11">
        <v>129955.9</v>
      </c>
      <c r="T696">
        <v>1440.9</v>
      </c>
      <c r="U696">
        <f t="shared" si="10"/>
        <v>129955.9</v>
      </c>
    </row>
    <row r="697" spans="1:21" ht="15" customHeight="1" x14ac:dyDescent="0.25">
      <c r="A697" t="s">
        <v>999</v>
      </c>
      <c r="B697" s="8">
        <v>45333</v>
      </c>
      <c r="C697" s="8">
        <v>45338</v>
      </c>
      <c r="D697" t="s">
        <v>73</v>
      </c>
      <c r="E697" t="s">
        <v>1000</v>
      </c>
      <c r="G697" t="s">
        <v>1001</v>
      </c>
      <c r="H697">
        <v>8155220919</v>
      </c>
      <c r="I697" t="s">
        <v>24</v>
      </c>
      <c r="J697" t="s">
        <v>51</v>
      </c>
      <c r="K697" t="s">
        <v>223</v>
      </c>
      <c r="L697" t="s">
        <v>108</v>
      </c>
      <c r="M697" t="s">
        <v>109</v>
      </c>
      <c r="N697" t="s">
        <v>426</v>
      </c>
      <c r="O697">
        <v>12</v>
      </c>
      <c r="P697">
        <v>19451.21</v>
      </c>
      <c r="Q697">
        <v>20</v>
      </c>
      <c r="R697">
        <v>46682.9</v>
      </c>
      <c r="S697" s="11">
        <v>186731.62</v>
      </c>
      <c r="T697">
        <v>60798.78</v>
      </c>
      <c r="U697">
        <f t="shared" si="10"/>
        <v>186731.62</v>
      </c>
    </row>
    <row r="698" spans="1:21" ht="15" customHeight="1" x14ac:dyDescent="0.25">
      <c r="A698" t="s">
        <v>2228</v>
      </c>
      <c r="B698" s="8">
        <v>45333</v>
      </c>
      <c r="C698" s="8">
        <v>45334</v>
      </c>
      <c r="D698" t="s">
        <v>32</v>
      </c>
      <c r="E698" t="s">
        <v>3068</v>
      </c>
      <c r="F698" t="s">
        <v>3050</v>
      </c>
      <c r="G698" t="s">
        <v>2229</v>
      </c>
      <c r="H698">
        <v>7065673426</v>
      </c>
      <c r="I698" t="s">
        <v>24</v>
      </c>
      <c r="J698" t="s">
        <v>25</v>
      </c>
      <c r="K698" t="s">
        <v>44</v>
      </c>
      <c r="L698" t="s">
        <v>108</v>
      </c>
      <c r="M698" t="s">
        <v>38</v>
      </c>
      <c r="N698" t="s">
        <v>296</v>
      </c>
      <c r="O698">
        <v>13</v>
      </c>
      <c r="P698">
        <v>23783.52</v>
      </c>
      <c r="Q698">
        <v>0</v>
      </c>
      <c r="R698">
        <v>0</v>
      </c>
      <c r="S698" s="11">
        <v>309185.76</v>
      </c>
      <c r="T698">
        <v>137863.57</v>
      </c>
      <c r="U698">
        <f t="shared" si="10"/>
        <v>309185.76</v>
      </c>
    </row>
    <row r="699" spans="1:21" ht="15" customHeight="1" x14ac:dyDescent="0.25">
      <c r="A699" t="s">
        <v>2732</v>
      </c>
      <c r="B699" s="8">
        <v>45334</v>
      </c>
      <c r="C699" s="8">
        <v>45340</v>
      </c>
      <c r="D699" t="s">
        <v>48</v>
      </c>
      <c r="E699" t="s">
        <v>3049</v>
      </c>
      <c r="F699" t="s">
        <v>3064</v>
      </c>
      <c r="G699" t="s">
        <v>2734</v>
      </c>
      <c r="H699">
        <v>8159220106</v>
      </c>
      <c r="I699" t="s">
        <v>35</v>
      </c>
      <c r="J699" t="s">
        <v>61</v>
      </c>
      <c r="K699" t="s">
        <v>84</v>
      </c>
      <c r="L699" t="s">
        <v>108</v>
      </c>
      <c r="M699" t="s">
        <v>189</v>
      </c>
      <c r="N699" t="s">
        <v>205</v>
      </c>
      <c r="O699">
        <v>17</v>
      </c>
      <c r="P699">
        <v>33228.1</v>
      </c>
      <c r="Q699">
        <v>20</v>
      </c>
      <c r="R699">
        <v>112975.54</v>
      </c>
      <c r="S699" s="11">
        <v>451902.16</v>
      </c>
      <c r="T699">
        <v>193081.05</v>
      </c>
      <c r="U699">
        <f t="shared" si="10"/>
        <v>451902.16</v>
      </c>
    </row>
    <row r="700" spans="1:21" ht="15" customHeight="1" x14ac:dyDescent="0.25">
      <c r="A700" t="s">
        <v>1783</v>
      </c>
      <c r="B700" s="8">
        <v>45335</v>
      </c>
      <c r="C700" s="8">
        <v>45340</v>
      </c>
      <c r="D700" t="s">
        <v>48</v>
      </c>
      <c r="E700" t="s">
        <v>3091</v>
      </c>
      <c r="F700" t="s">
        <v>3050</v>
      </c>
      <c r="G700" t="s">
        <v>1785</v>
      </c>
      <c r="H700">
        <v>8034938956</v>
      </c>
      <c r="I700" t="s">
        <v>43</v>
      </c>
      <c r="J700" t="s">
        <v>61</v>
      </c>
      <c r="K700" t="s">
        <v>95</v>
      </c>
      <c r="L700" t="s">
        <v>37</v>
      </c>
      <c r="M700" t="s">
        <v>183</v>
      </c>
      <c r="N700" t="s">
        <v>719</v>
      </c>
      <c r="O700">
        <v>9</v>
      </c>
      <c r="P700">
        <v>2408.7800000000002</v>
      </c>
      <c r="Q700">
        <v>0</v>
      </c>
      <c r="R700">
        <v>0</v>
      </c>
      <c r="S700" s="11">
        <v>21679.02</v>
      </c>
      <c r="T700">
        <v>5402.27</v>
      </c>
      <c r="U700">
        <f t="shared" si="10"/>
        <v>21679.02</v>
      </c>
    </row>
    <row r="701" spans="1:21" ht="15" customHeight="1" x14ac:dyDescent="0.25">
      <c r="A701" t="s">
        <v>2332</v>
      </c>
      <c r="B701" s="8">
        <v>45337</v>
      </c>
      <c r="C701" s="8">
        <v>45342</v>
      </c>
      <c r="D701" t="s">
        <v>73</v>
      </c>
      <c r="E701" t="s">
        <v>3056</v>
      </c>
      <c r="F701" t="s">
        <v>3038</v>
      </c>
      <c r="G701" t="s">
        <v>2334</v>
      </c>
      <c r="H701">
        <v>8134545112</v>
      </c>
      <c r="I701" t="s">
        <v>43</v>
      </c>
      <c r="J701" t="s">
        <v>69</v>
      </c>
      <c r="K701" t="s">
        <v>119</v>
      </c>
      <c r="L701" t="s">
        <v>96</v>
      </c>
      <c r="M701" t="s">
        <v>254</v>
      </c>
      <c r="N701" t="s">
        <v>455</v>
      </c>
      <c r="O701">
        <v>6</v>
      </c>
      <c r="P701">
        <v>92700.76</v>
      </c>
      <c r="Q701">
        <v>15</v>
      </c>
      <c r="R701">
        <v>83430.679999999993</v>
      </c>
      <c r="S701" s="11">
        <v>472773.88</v>
      </c>
      <c r="T701">
        <v>85119.26</v>
      </c>
      <c r="U701">
        <f t="shared" si="10"/>
        <v>472773.88</v>
      </c>
    </row>
    <row r="702" spans="1:21" ht="15" customHeight="1" x14ac:dyDescent="0.25">
      <c r="A702" t="s">
        <v>2874</v>
      </c>
      <c r="B702" s="8">
        <v>45338</v>
      </c>
      <c r="C702" s="8">
        <v>45340</v>
      </c>
      <c r="D702" t="s">
        <v>20</v>
      </c>
      <c r="E702" t="s">
        <v>3092</v>
      </c>
      <c r="F702" t="s">
        <v>3040</v>
      </c>
      <c r="G702" t="s">
        <v>2876</v>
      </c>
      <c r="H702">
        <v>9025901261</v>
      </c>
      <c r="I702" t="s">
        <v>43</v>
      </c>
      <c r="J702" t="s">
        <v>25</v>
      </c>
      <c r="K702" t="s">
        <v>126</v>
      </c>
      <c r="L702" t="s">
        <v>63</v>
      </c>
      <c r="M702" t="s">
        <v>54</v>
      </c>
      <c r="N702" t="s">
        <v>1039</v>
      </c>
      <c r="O702">
        <v>5</v>
      </c>
      <c r="P702">
        <v>13871.49</v>
      </c>
      <c r="Q702">
        <v>25</v>
      </c>
      <c r="R702">
        <v>17339.36</v>
      </c>
      <c r="S702" s="11">
        <v>52018.09</v>
      </c>
      <c r="T702">
        <v>7077.95</v>
      </c>
      <c r="U702">
        <f t="shared" si="10"/>
        <v>52018.09</v>
      </c>
    </row>
    <row r="703" spans="1:21" ht="15" customHeight="1" x14ac:dyDescent="0.25">
      <c r="A703" t="s">
        <v>2413</v>
      </c>
      <c r="B703" s="8">
        <v>45340</v>
      </c>
      <c r="C703" s="8">
        <v>45348</v>
      </c>
      <c r="D703" t="s">
        <v>48</v>
      </c>
      <c r="E703" t="s">
        <v>3058</v>
      </c>
      <c r="F703" t="s">
        <v>3086</v>
      </c>
      <c r="G703" t="s">
        <v>834</v>
      </c>
      <c r="H703">
        <v>7037046381</v>
      </c>
      <c r="I703" t="s">
        <v>35</v>
      </c>
      <c r="J703" t="s">
        <v>25</v>
      </c>
      <c r="L703" t="s">
        <v>53</v>
      </c>
      <c r="M703" t="s">
        <v>194</v>
      </c>
      <c r="N703" t="s">
        <v>700</v>
      </c>
      <c r="O703">
        <v>10</v>
      </c>
      <c r="P703">
        <v>11136.65</v>
      </c>
      <c r="Q703">
        <v>5</v>
      </c>
      <c r="R703">
        <v>5568.32</v>
      </c>
      <c r="S703" s="11">
        <v>105798.18</v>
      </c>
      <c r="T703">
        <v>47590.55</v>
      </c>
      <c r="U703">
        <f t="shared" si="10"/>
        <v>105798.18</v>
      </c>
    </row>
    <row r="704" spans="1:21" ht="15" customHeight="1" x14ac:dyDescent="0.25">
      <c r="A704" t="s">
        <v>47</v>
      </c>
      <c r="B704" s="8">
        <v>45340</v>
      </c>
      <c r="C704" s="8">
        <v>45347</v>
      </c>
      <c r="D704" t="s">
        <v>48</v>
      </c>
      <c r="E704" t="s">
        <v>3039</v>
      </c>
      <c r="F704" t="s">
        <v>3040</v>
      </c>
      <c r="G704" t="s">
        <v>50</v>
      </c>
      <c r="H704">
        <v>8107210606</v>
      </c>
      <c r="I704" t="s">
        <v>35</v>
      </c>
      <c r="J704" t="s">
        <v>51</v>
      </c>
      <c r="K704" t="s">
        <v>52</v>
      </c>
      <c r="L704" t="s">
        <v>53</v>
      </c>
      <c r="M704" t="s">
        <v>54</v>
      </c>
      <c r="N704" t="s">
        <v>55</v>
      </c>
      <c r="O704">
        <v>3</v>
      </c>
      <c r="P704">
        <v>17694.599999999999</v>
      </c>
      <c r="Q704">
        <v>0</v>
      </c>
      <c r="R704">
        <v>0</v>
      </c>
      <c r="S704" s="11">
        <v>53083.8</v>
      </c>
      <c r="T704">
        <v>9049.93</v>
      </c>
      <c r="U704">
        <f t="shared" si="10"/>
        <v>53083.8</v>
      </c>
    </row>
    <row r="705" spans="1:21" ht="15" customHeight="1" x14ac:dyDescent="0.25">
      <c r="A705" t="s">
        <v>395</v>
      </c>
      <c r="B705" s="8">
        <v>45340</v>
      </c>
      <c r="C705" s="8">
        <v>45345</v>
      </c>
      <c r="D705" t="s">
        <v>73</v>
      </c>
      <c r="E705" t="s">
        <v>3067</v>
      </c>
      <c r="F705" t="s">
        <v>3075</v>
      </c>
      <c r="G705" t="s">
        <v>397</v>
      </c>
      <c r="H705">
        <v>8067661748</v>
      </c>
      <c r="I705" t="s">
        <v>35</v>
      </c>
      <c r="J705" t="s">
        <v>69</v>
      </c>
      <c r="K705" t="s">
        <v>70</v>
      </c>
      <c r="L705" t="s">
        <v>96</v>
      </c>
      <c r="M705" t="s">
        <v>189</v>
      </c>
      <c r="N705" t="s">
        <v>287</v>
      </c>
      <c r="O705">
        <v>3</v>
      </c>
      <c r="P705">
        <v>214993.1</v>
      </c>
      <c r="Q705">
        <v>10</v>
      </c>
      <c r="R705">
        <v>64497.93</v>
      </c>
      <c r="S705" s="11">
        <v>580481.37</v>
      </c>
      <c r="T705">
        <v>113458.27</v>
      </c>
      <c r="U705">
        <f t="shared" si="10"/>
        <v>580481.37</v>
      </c>
    </row>
    <row r="706" spans="1:21" ht="15" customHeight="1" x14ac:dyDescent="0.25">
      <c r="A706" t="s">
        <v>2207</v>
      </c>
      <c r="B706" s="8">
        <v>45340</v>
      </c>
      <c r="C706" s="8">
        <v>45342</v>
      </c>
      <c r="D706" t="s">
        <v>20</v>
      </c>
      <c r="E706" t="s">
        <v>3097</v>
      </c>
      <c r="F706" t="s">
        <v>3083</v>
      </c>
      <c r="G706" t="s">
        <v>2208</v>
      </c>
      <c r="H706">
        <v>8164890524</v>
      </c>
      <c r="I706" t="s">
        <v>24</v>
      </c>
      <c r="J706" t="s">
        <v>25</v>
      </c>
      <c r="K706" t="s">
        <v>168</v>
      </c>
      <c r="L706" t="s">
        <v>63</v>
      </c>
      <c r="M706" t="s">
        <v>469</v>
      </c>
      <c r="N706" t="s">
        <v>546</v>
      </c>
      <c r="O706">
        <v>13</v>
      </c>
      <c r="P706">
        <v>12510.44</v>
      </c>
      <c r="Q706">
        <v>10</v>
      </c>
      <c r="R706">
        <v>16263.57</v>
      </c>
      <c r="S706" s="11">
        <v>146372.15</v>
      </c>
      <c r="T706">
        <v>25768.52</v>
      </c>
      <c r="U706">
        <f t="shared" ref="U706:U769" si="11">VALUE(S706)</f>
        <v>146372.15</v>
      </c>
    </row>
    <row r="707" spans="1:21" ht="15" customHeight="1" x14ac:dyDescent="0.25">
      <c r="A707" t="s">
        <v>201</v>
      </c>
      <c r="B707" s="8">
        <v>45341</v>
      </c>
      <c r="C707" s="8">
        <v>45349</v>
      </c>
      <c r="D707" t="s">
        <v>48</v>
      </c>
      <c r="E707" t="s">
        <v>3049</v>
      </c>
      <c r="F707" t="s">
        <v>3039</v>
      </c>
      <c r="G707" t="s">
        <v>203</v>
      </c>
      <c r="H707">
        <v>9027542890</v>
      </c>
      <c r="I707" t="s">
        <v>43</v>
      </c>
      <c r="J707" t="s">
        <v>61</v>
      </c>
      <c r="K707" t="s">
        <v>204</v>
      </c>
      <c r="L707" t="s">
        <v>108</v>
      </c>
      <c r="M707" t="s">
        <v>189</v>
      </c>
      <c r="N707" t="s">
        <v>205</v>
      </c>
      <c r="O707">
        <v>8</v>
      </c>
      <c r="P707">
        <v>36394.33</v>
      </c>
      <c r="Q707">
        <v>20</v>
      </c>
      <c r="R707">
        <v>58230.93</v>
      </c>
      <c r="S707" s="11">
        <v>232923.71</v>
      </c>
      <c r="T707">
        <v>-4273.46</v>
      </c>
      <c r="U707">
        <f t="shared" si="11"/>
        <v>232923.71</v>
      </c>
    </row>
    <row r="708" spans="1:21" ht="15" customHeight="1" x14ac:dyDescent="0.25">
      <c r="A708" t="s">
        <v>646</v>
      </c>
      <c r="B708" s="8">
        <v>45341</v>
      </c>
      <c r="C708" s="8">
        <v>45344</v>
      </c>
      <c r="D708" t="s">
        <v>73</v>
      </c>
      <c r="E708" t="s">
        <v>3033</v>
      </c>
      <c r="F708" t="s">
        <v>3036</v>
      </c>
      <c r="G708" t="s">
        <v>648</v>
      </c>
      <c r="H708" t="s">
        <v>649</v>
      </c>
      <c r="I708" t="s">
        <v>24</v>
      </c>
      <c r="J708" t="s">
        <v>61</v>
      </c>
      <c r="K708" t="s">
        <v>84</v>
      </c>
      <c r="L708" t="s">
        <v>85</v>
      </c>
      <c r="M708" t="s">
        <v>86</v>
      </c>
      <c r="N708" t="s">
        <v>87</v>
      </c>
      <c r="O708">
        <v>14</v>
      </c>
      <c r="P708">
        <v>82764.320000000007</v>
      </c>
      <c r="Q708">
        <v>10</v>
      </c>
      <c r="R708">
        <v>115870.05</v>
      </c>
      <c r="S708" s="11">
        <v>1042830.43</v>
      </c>
      <c r="T708">
        <v>146558.13</v>
      </c>
      <c r="U708">
        <f t="shared" si="11"/>
        <v>1042830.43</v>
      </c>
    </row>
    <row r="709" spans="1:21" ht="15" customHeight="1" x14ac:dyDescent="0.25">
      <c r="A709" t="s">
        <v>1461</v>
      </c>
      <c r="B709" s="8">
        <v>45341</v>
      </c>
      <c r="C709" s="8">
        <v>45343</v>
      </c>
      <c r="D709" t="s">
        <v>20</v>
      </c>
      <c r="E709" t="s">
        <v>3068</v>
      </c>
      <c r="F709" t="s">
        <v>3039</v>
      </c>
      <c r="G709" t="s">
        <v>1463</v>
      </c>
      <c r="H709">
        <v>7066893320</v>
      </c>
      <c r="I709" t="s">
        <v>35</v>
      </c>
      <c r="J709" t="s">
        <v>51</v>
      </c>
      <c r="K709" t="s">
        <v>227</v>
      </c>
      <c r="L709" t="s">
        <v>96</v>
      </c>
      <c r="M709" t="s">
        <v>385</v>
      </c>
      <c r="N709" t="s">
        <v>781</v>
      </c>
      <c r="O709">
        <v>10</v>
      </c>
      <c r="P709">
        <v>117060.61</v>
      </c>
      <c r="Q709">
        <v>0</v>
      </c>
      <c r="R709">
        <v>0</v>
      </c>
      <c r="S709" s="11">
        <v>1170606.1000000001</v>
      </c>
      <c r="T709">
        <v>463833.25</v>
      </c>
      <c r="U709">
        <f t="shared" si="11"/>
        <v>1170606.1000000001</v>
      </c>
    </row>
    <row r="710" spans="1:21" ht="15" customHeight="1" x14ac:dyDescent="0.25">
      <c r="A710" t="s">
        <v>1461</v>
      </c>
      <c r="B710" s="8">
        <v>45341</v>
      </c>
      <c r="C710" s="8">
        <v>45343</v>
      </c>
      <c r="D710" t="s">
        <v>20</v>
      </c>
      <c r="E710" t="s">
        <v>3068</v>
      </c>
      <c r="F710" t="s">
        <v>3102</v>
      </c>
      <c r="G710" t="s">
        <v>1463</v>
      </c>
      <c r="H710">
        <v>7066893320</v>
      </c>
      <c r="I710" t="s">
        <v>35</v>
      </c>
      <c r="J710" t="s">
        <v>51</v>
      </c>
      <c r="K710" t="s">
        <v>227</v>
      </c>
      <c r="L710" t="s">
        <v>96</v>
      </c>
      <c r="M710" t="s">
        <v>385</v>
      </c>
      <c r="N710" t="s">
        <v>781</v>
      </c>
      <c r="O710">
        <v>10</v>
      </c>
      <c r="P710">
        <v>117060.61</v>
      </c>
      <c r="Q710">
        <v>0</v>
      </c>
      <c r="R710">
        <v>0</v>
      </c>
      <c r="S710" s="11">
        <v>1170606.1000000001</v>
      </c>
      <c r="T710">
        <v>463833.25</v>
      </c>
      <c r="U710">
        <f t="shared" si="11"/>
        <v>1170606.1000000001</v>
      </c>
    </row>
    <row r="711" spans="1:21" ht="15" customHeight="1" x14ac:dyDescent="0.25">
      <c r="A711" t="s">
        <v>304</v>
      </c>
      <c r="B711" s="8">
        <v>45342</v>
      </c>
      <c r="C711" s="8">
        <v>45343</v>
      </c>
      <c r="D711" t="s">
        <v>32</v>
      </c>
      <c r="E711" t="s">
        <v>3084</v>
      </c>
      <c r="F711" t="s">
        <v>3083</v>
      </c>
      <c r="G711" t="s">
        <v>306</v>
      </c>
      <c r="H711">
        <v>8109427047</v>
      </c>
      <c r="I711" t="s">
        <v>43</v>
      </c>
      <c r="J711" t="s">
        <v>69</v>
      </c>
      <c r="K711" t="s">
        <v>307</v>
      </c>
      <c r="M711" t="s">
        <v>45</v>
      </c>
      <c r="N711" t="s">
        <v>308</v>
      </c>
      <c r="O711">
        <v>15</v>
      </c>
      <c r="P711">
        <v>7031.27</v>
      </c>
      <c r="Q711">
        <v>0</v>
      </c>
      <c r="R711">
        <v>0</v>
      </c>
      <c r="S711" s="11">
        <v>105469.05</v>
      </c>
      <c r="T711">
        <v>17462.580000000002</v>
      </c>
      <c r="U711">
        <f t="shared" si="11"/>
        <v>105469.05</v>
      </c>
    </row>
    <row r="712" spans="1:21" ht="15" customHeight="1" x14ac:dyDescent="0.25">
      <c r="A712" t="s">
        <v>1709</v>
      </c>
      <c r="B712" s="8">
        <v>45342</v>
      </c>
      <c r="C712" s="8">
        <v>45342</v>
      </c>
      <c r="D712" t="s">
        <v>32</v>
      </c>
      <c r="E712" t="s">
        <v>3058</v>
      </c>
      <c r="F712" t="s">
        <v>3050</v>
      </c>
      <c r="G712" t="s">
        <v>1107</v>
      </c>
      <c r="H712">
        <v>8138965447</v>
      </c>
      <c r="I712" t="s">
        <v>24</v>
      </c>
      <c r="J712" t="s">
        <v>61</v>
      </c>
      <c r="K712" t="s">
        <v>182</v>
      </c>
      <c r="L712" t="s">
        <v>96</v>
      </c>
      <c r="M712" t="s">
        <v>97</v>
      </c>
      <c r="N712" t="s">
        <v>169</v>
      </c>
      <c r="O712">
        <v>10</v>
      </c>
      <c r="P712">
        <v>433443.09</v>
      </c>
      <c r="Q712">
        <v>0</v>
      </c>
      <c r="R712">
        <v>0</v>
      </c>
      <c r="S712" s="11">
        <v>4334430.9000000004</v>
      </c>
      <c r="T712">
        <v>-204350.23</v>
      </c>
      <c r="U712">
        <f t="shared" si="11"/>
        <v>4334430.9000000004</v>
      </c>
    </row>
    <row r="713" spans="1:21" ht="15" customHeight="1" x14ac:dyDescent="0.25">
      <c r="A713" t="s">
        <v>876</v>
      </c>
      <c r="B713" s="8">
        <v>45343</v>
      </c>
      <c r="C713" s="8">
        <v>45350</v>
      </c>
      <c r="D713" t="s">
        <v>48</v>
      </c>
      <c r="E713" t="s">
        <v>3051</v>
      </c>
      <c r="F713" t="s">
        <v>3090</v>
      </c>
      <c r="G713" t="s">
        <v>878</v>
      </c>
      <c r="H713">
        <v>8104360419</v>
      </c>
      <c r="I713" t="s">
        <v>35</v>
      </c>
      <c r="J713" t="s">
        <v>25</v>
      </c>
      <c r="K713" t="s">
        <v>168</v>
      </c>
      <c r="L713" t="s">
        <v>63</v>
      </c>
      <c r="M713" t="s">
        <v>64</v>
      </c>
      <c r="N713" t="s">
        <v>777</v>
      </c>
      <c r="O713">
        <v>15</v>
      </c>
      <c r="P713">
        <v>22374.71</v>
      </c>
      <c r="Q713">
        <v>0</v>
      </c>
      <c r="R713">
        <v>0</v>
      </c>
      <c r="S713" s="11" t="s">
        <v>879</v>
      </c>
      <c r="T713">
        <v>13367.8</v>
      </c>
      <c r="U713" t="e">
        <f t="shared" si="11"/>
        <v>#VALUE!</v>
      </c>
    </row>
    <row r="714" spans="1:21" ht="15" customHeight="1" x14ac:dyDescent="0.25">
      <c r="A714" t="s">
        <v>1954</v>
      </c>
      <c r="B714" s="8">
        <v>45344</v>
      </c>
      <c r="C714" s="8">
        <v>45352</v>
      </c>
      <c r="D714" t="s">
        <v>48</v>
      </c>
      <c r="E714" t="s">
        <v>3035</v>
      </c>
      <c r="F714" t="s">
        <v>3086</v>
      </c>
      <c r="G714" t="s">
        <v>1821</v>
      </c>
      <c r="H714">
        <v>8163704873</v>
      </c>
      <c r="I714" t="s">
        <v>35</v>
      </c>
      <c r="J714" t="s">
        <v>25</v>
      </c>
      <c r="K714" t="s">
        <v>36</v>
      </c>
      <c r="L714" t="s">
        <v>85</v>
      </c>
      <c r="M714" t="s">
        <v>486</v>
      </c>
      <c r="N714" t="s">
        <v>487</v>
      </c>
      <c r="O714">
        <v>3</v>
      </c>
      <c r="P714">
        <v>160255.07</v>
      </c>
      <c r="Q714">
        <v>5</v>
      </c>
      <c r="R714">
        <v>24038.26</v>
      </c>
      <c r="S714" s="11">
        <v>456726.95</v>
      </c>
      <c r="T714">
        <v>173849.11</v>
      </c>
      <c r="U714">
        <f t="shared" si="11"/>
        <v>456726.95</v>
      </c>
    </row>
    <row r="715" spans="1:21" ht="15" customHeight="1" x14ac:dyDescent="0.25">
      <c r="A715" t="s">
        <v>2313</v>
      </c>
      <c r="B715" s="8">
        <v>45344</v>
      </c>
      <c r="C715" s="8">
        <v>45349</v>
      </c>
      <c r="D715" t="s">
        <v>210</v>
      </c>
      <c r="E715" t="s">
        <v>3095</v>
      </c>
      <c r="F715" t="s">
        <v>3040</v>
      </c>
      <c r="G715" t="s">
        <v>2315</v>
      </c>
      <c r="H715" t="s">
        <v>1930</v>
      </c>
      <c r="I715" t="s">
        <v>24</v>
      </c>
      <c r="J715" t="s">
        <v>25</v>
      </c>
      <c r="K715" t="s">
        <v>126</v>
      </c>
      <c r="L715" t="s">
        <v>96</v>
      </c>
      <c r="M715" t="s">
        <v>385</v>
      </c>
      <c r="N715" t="s">
        <v>386</v>
      </c>
      <c r="O715">
        <v>3</v>
      </c>
      <c r="P715">
        <v>328893.37</v>
      </c>
      <c r="Q715">
        <v>15</v>
      </c>
      <c r="R715">
        <v>148002.01999999999</v>
      </c>
      <c r="S715" s="11">
        <v>838678.09</v>
      </c>
      <c r="T715">
        <v>359873.44</v>
      </c>
      <c r="U715">
        <f t="shared" si="11"/>
        <v>838678.09</v>
      </c>
    </row>
    <row r="716" spans="1:21" ht="15" customHeight="1" x14ac:dyDescent="0.25">
      <c r="A716" t="s">
        <v>782</v>
      </c>
      <c r="B716" s="8">
        <v>45345</v>
      </c>
      <c r="C716" s="8">
        <v>45353</v>
      </c>
      <c r="D716" t="s">
        <v>48</v>
      </c>
      <c r="E716" t="s">
        <v>3065</v>
      </c>
      <c r="F716" t="s">
        <v>3039</v>
      </c>
      <c r="G716" t="s">
        <v>784</v>
      </c>
      <c r="H716">
        <v>8105613428</v>
      </c>
      <c r="I716" t="s">
        <v>785</v>
      </c>
      <c r="J716" t="s">
        <v>69</v>
      </c>
      <c r="K716" t="s">
        <v>70</v>
      </c>
      <c r="L716" t="s">
        <v>63</v>
      </c>
      <c r="M716" t="s">
        <v>64</v>
      </c>
      <c r="N716" t="s">
        <v>501</v>
      </c>
      <c r="O716">
        <v>20</v>
      </c>
      <c r="P716">
        <v>1348.91</v>
      </c>
      <c r="Q716">
        <v>5</v>
      </c>
      <c r="R716">
        <v>1348.91</v>
      </c>
      <c r="S716" s="11">
        <v>25629.29</v>
      </c>
      <c r="T716">
        <v>6109.18</v>
      </c>
      <c r="U716">
        <f t="shared" si="11"/>
        <v>25629.29</v>
      </c>
    </row>
    <row r="717" spans="1:21" ht="15" customHeight="1" x14ac:dyDescent="0.25">
      <c r="A717" t="s">
        <v>1698</v>
      </c>
      <c r="B717" s="8">
        <v>45345</v>
      </c>
      <c r="C717" s="8">
        <v>45347</v>
      </c>
      <c r="D717" t="s">
        <v>20</v>
      </c>
      <c r="E717" t="s">
        <v>3065</v>
      </c>
      <c r="F717" t="s">
        <v>3071</v>
      </c>
      <c r="G717" t="s">
        <v>1196</v>
      </c>
      <c r="H717">
        <v>8162273196</v>
      </c>
      <c r="I717" t="s">
        <v>43</v>
      </c>
      <c r="J717" t="s">
        <v>51</v>
      </c>
      <c r="K717" t="s">
        <v>316</v>
      </c>
      <c r="L717" t="s">
        <v>63</v>
      </c>
      <c r="M717" t="s">
        <v>249</v>
      </c>
      <c r="N717" t="s">
        <v>1141</v>
      </c>
      <c r="O717">
        <v>17</v>
      </c>
      <c r="P717">
        <v>21143.78</v>
      </c>
      <c r="Q717">
        <v>25</v>
      </c>
      <c r="R717">
        <v>89861.07</v>
      </c>
      <c r="S717" s="11">
        <v>269583.19</v>
      </c>
      <c r="T717">
        <v>63673.57</v>
      </c>
      <c r="U717">
        <f t="shared" si="11"/>
        <v>269583.19</v>
      </c>
    </row>
    <row r="718" spans="1:21" ht="15" customHeight="1" x14ac:dyDescent="0.25">
      <c r="A718" t="s">
        <v>886</v>
      </c>
      <c r="B718" s="8">
        <v>45347</v>
      </c>
      <c r="C718" s="8">
        <v>45354</v>
      </c>
      <c r="D718" t="s">
        <v>48</v>
      </c>
      <c r="E718" t="s">
        <v>3048</v>
      </c>
      <c r="F718" t="s">
        <v>3050</v>
      </c>
      <c r="G718" t="s">
        <v>403</v>
      </c>
      <c r="H718">
        <v>8165879280</v>
      </c>
      <c r="I718" t="s">
        <v>35</v>
      </c>
      <c r="J718" t="s">
        <v>51</v>
      </c>
      <c r="K718" t="s">
        <v>223</v>
      </c>
      <c r="L718" t="s">
        <v>108</v>
      </c>
      <c r="M718" t="s">
        <v>189</v>
      </c>
      <c r="N718" t="s">
        <v>205</v>
      </c>
      <c r="O718">
        <v>14</v>
      </c>
      <c r="P718">
        <v>24537.06</v>
      </c>
      <c r="Q718">
        <v>0</v>
      </c>
      <c r="R718">
        <v>0</v>
      </c>
      <c r="S718" s="11">
        <v>343518.84</v>
      </c>
      <c r="T718">
        <v>19113.29</v>
      </c>
      <c r="U718">
        <f t="shared" si="11"/>
        <v>343518.84</v>
      </c>
    </row>
    <row r="719" spans="1:21" ht="15" customHeight="1" x14ac:dyDescent="0.25">
      <c r="A719" t="s">
        <v>297</v>
      </c>
      <c r="B719" s="8">
        <v>45347</v>
      </c>
      <c r="C719" s="8">
        <v>45350</v>
      </c>
      <c r="D719" t="s">
        <v>73</v>
      </c>
      <c r="E719" t="s">
        <v>3080</v>
      </c>
      <c r="F719" t="s">
        <v>3075</v>
      </c>
      <c r="G719" t="s">
        <v>299</v>
      </c>
      <c r="H719">
        <v>8032171218</v>
      </c>
      <c r="I719" t="s">
        <v>24</v>
      </c>
      <c r="J719" t="s">
        <v>61</v>
      </c>
      <c r="K719" t="s">
        <v>204</v>
      </c>
      <c r="L719" t="s">
        <v>63</v>
      </c>
      <c r="M719" t="s">
        <v>194</v>
      </c>
      <c r="N719" t="s">
        <v>257</v>
      </c>
      <c r="O719">
        <v>17</v>
      </c>
      <c r="P719">
        <v>8826.94</v>
      </c>
      <c r="Q719">
        <v>10</v>
      </c>
      <c r="R719">
        <v>15005.8</v>
      </c>
      <c r="S719" s="11">
        <v>135052.18</v>
      </c>
      <c r="T719">
        <v>46232.37</v>
      </c>
      <c r="U719">
        <f t="shared" si="11"/>
        <v>135052.18</v>
      </c>
    </row>
    <row r="720" spans="1:21" ht="15" customHeight="1" x14ac:dyDescent="0.25">
      <c r="A720" t="s">
        <v>883</v>
      </c>
      <c r="B720" s="8">
        <v>45347</v>
      </c>
      <c r="C720" s="8">
        <v>45347</v>
      </c>
      <c r="D720" t="s">
        <v>32</v>
      </c>
      <c r="E720" t="s">
        <v>3063</v>
      </c>
      <c r="F720" t="s">
        <v>3077</v>
      </c>
      <c r="G720" t="s">
        <v>885</v>
      </c>
      <c r="H720">
        <v>9017259602</v>
      </c>
      <c r="I720" t="s">
        <v>43</v>
      </c>
      <c r="J720" t="s">
        <v>69</v>
      </c>
      <c r="K720" t="s">
        <v>70</v>
      </c>
      <c r="L720" t="s">
        <v>96</v>
      </c>
      <c r="M720" t="s">
        <v>97</v>
      </c>
      <c r="N720" t="s">
        <v>169</v>
      </c>
      <c r="O720">
        <v>1</v>
      </c>
      <c r="P720">
        <v>97900.87</v>
      </c>
      <c r="Q720">
        <v>5</v>
      </c>
      <c r="R720">
        <v>4895.04</v>
      </c>
      <c r="S720" s="11">
        <v>93005.83</v>
      </c>
      <c r="T720">
        <v>-1324.46</v>
      </c>
      <c r="U720">
        <f t="shared" si="11"/>
        <v>93005.83</v>
      </c>
    </row>
    <row r="721" spans="1:21" ht="15" customHeight="1" x14ac:dyDescent="0.25">
      <c r="A721" t="s">
        <v>1764</v>
      </c>
      <c r="B721" s="8">
        <v>45348</v>
      </c>
      <c r="C721" s="8">
        <v>45351</v>
      </c>
      <c r="D721" t="s">
        <v>20</v>
      </c>
      <c r="E721" t="s">
        <v>3093</v>
      </c>
      <c r="F721" t="s">
        <v>3040</v>
      </c>
      <c r="G721" t="s">
        <v>1766</v>
      </c>
      <c r="H721">
        <v>7061651407</v>
      </c>
      <c r="I721" t="s">
        <v>24</v>
      </c>
      <c r="J721" t="s">
        <v>69</v>
      </c>
      <c r="K721" t="s">
        <v>70</v>
      </c>
      <c r="L721" t="s">
        <v>96</v>
      </c>
      <c r="M721" t="s">
        <v>189</v>
      </c>
      <c r="N721" t="s">
        <v>205</v>
      </c>
      <c r="O721">
        <v>14</v>
      </c>
      <c r="P721">
        <v>85627.64</v>
      </c>
      <c r="Q721">
        <v>10</v>
      </c>
      <c r="R721">
        <v>119878.7</v>
      </c>
      <c r="S721" s="11">
        <v>1078908.26</v>
      </c>
      <c r="T721">
        <v>337441.75</v>
      </c>
      <c r="U721">
        <f t="shared" si="11"/>
        <v>1078908.26</v>
      </c>
    </row>
    <row r="722" spans="1:21" ht="15" customHeight="1" x14ac:dyDescent="0.25">
      <c r="A722" t="s">
        <v>2552</v>
      </c>
      <c r="B722" s="8">
        <v>45349</v>
      </c>
      <c r="C722" s="8">
        <v>45345</v>
      </c>
      <c r="D722" t="s">
        <v>73</v>
      </c>
      <c r="E722" t="s">
        <v>3068</v>
      </c>
      <c r="F722" t="s">
        <v>3062</v>
      </c>
      <c r="G722" t="s">
        <v>2554</v>
      </c>
      <c r="H722">
        <v>8034463711</v>
      </c>
      <c r="I722" t="s">
        <v>24</v>
      </c>
      <c r="J722" t="s">
        <v>61</v>
      </c>
      <c r="K722" t="s">
        <v>182</v>
      </c>
      <c r="L722" t="s">
        <v>108</v>
      </c>
      <c r="M722" t="s">
        <v>189</v>
      </c>
      <c r="N722" t="s">
        <v>190</v>
      </c>
      <c r="O722">
        <v>19</v>
      </c>
      <c r="P722">
        <v>13752.76</v>
      </c>
      <c r="Q722">
        <v>0</v>
      </c>
      <c r="R722">
        <v>0</v>
      </c>
      <c r="S722" s="11">
        <v>261302.44</v>
      </c>
      <c r="T722">
        <v>61338.89</v>
      </c>
      <c r="U722">
        <f t="shared" si="11"/>
        <v>261302.44</v>
      </c>
    </row>
    <row r="723" spans="1:21" ht="15" customHeight="1" x14ac:dyDescent="0.25">
      <c r="A723" t="s">
        <v>2430</v>
      </c>
      <c r="B723" s="8">
        <v>45350</v>
      </c>
      <c r="C723" s="8">
        <v>45355</v>
      </c>
      <c r="D723" t="s">
        <v>48</v>
      </c>
      <c r="E723" t="s">
        <v>3050</v>
      </c>
      <c r="F723" t="s">
        <v>3062</v>
      </c>
      <c r="G723" t="s">
        <v>2432</v>
      </c>
      <c r="H723">
        <v>8101572338</v>
      </c>
      <c r="I723" t="s">
        <v>24</v>
      </c>
      <c r="J723" t="s">
        <v>51</v>
      </c>
      <c r="K723" t="s">
        <v>131</v>
      </c>
      <c r="L723" t="s">
        <v>85</v>
      </c>
      <c r="M723" t="s">
        <v>218</v>
      </c>
      <c r="N723" t="s">
        <v>219</v>
      </c>
      <c r="O723">
        <v>19</v>
      </c>
      <c r="P723">
        <v>63475.57</v>
      </c>
      <c r="Q723">
        <v>20</v>
      </c>
      <c r="R723">
        <v>241207.17</v>
      </c>
      <c r="S723" s="11">
        <v>964828.66</v>
      </c>
      <c r="T723">
        <v>135372.13</v>
      </c>
      <c r="U723">
        <f t="shared" si="11"/>
        <v>964828.66</v>
      </c>
    </row>
    <row r="724" spans="1:21" ht="15" customHeight="1" x14ac:dyDescent="0.25">
      <c r="A724" t="s">
        <v>2686</v>
      </c>
      <c r="B724" s="8">
        <v>45352</v>
      </c>
      <c r="C724" s="8">
        <v>45352</v>
      </c>
      <c r="D724" t="s">
        <v>32</v>
      </c>
      <c r="E724" t="s">
        <v>3055</v>
      </c>
      <c r="F724" t="s">
        <v>3074</v>
      </c>
      <c r="G724" t="s">
        <v>2687</v>
      </c>
      <c r="H724">
        <v>9019215392</v>
      </c>
      <c r="I724" t="s">
        <v>43</v>
      </c>
      <c r="J724" t="s">
        <v>51</v>
      </c>
      <c r="K724" t="s">
        <v>223</v>
      </c>
      <c r="L724" t="s">
        <v>63</v>
      </c>
      <c r="M724" t="s">
        <v>312</v>
      </c>
      <c r="N724" t="s">
        <v>686</v>
      </c>
      <c r="O724">
        <v>3</v>
      </c>
      <c r="P724">
        <v>15600.98</v>
      </c>
      <c r="Q724">
        <v>10</v>
      </c>
      <c r="R724">
        <v>4680.29</v>
      </c>
      <c r="S724" s="11">
        <v>42122.65</v>
      </c>
      <c r="T724">
        <v>9581.76</v>
      </c>
      <c r="U724">
        <f t="shared" si="11"/>
        <v>42122.65</v>
      </c>
    </row>
    <row r="725" spans="1:21" ht="15" customHeight="1" x14ac:dyDescent="0.25">
      <c r="A725" t="s">
        <v>2527</v>
      </c>
      <c r="B725" s="8">
        <v>45356</v>
      </c>
      <c r="C725" s="8">
        <v>45362</v>
      </c>
      <c r="D725" t="s">
        <v>48</v>
      </c>
      <c r="E725" t="s">
        <v>3081</v>
      </c>
      <c r="F725" t="s">
        <v>3096</v>
      </c>
      <c r="G725" t="s">
        <v>2529</v>
      </c>
      <c r="H725">
        <v>8138314004</v>
      </c>
      <c r="I725" t="s">
        <v>35</v>
      </c>
      <c r="J725" t="s">
        <v>699</v>
      </c>
      <c r="K725" t="s">
        <v>26</v>
      </c>
      <c r="L725" t="s">
        <v>27</v>
      </c>
      <c r="M725" t="s">
        <v>45</v>
      </c>
      <c r="N725" t="s">
        <v>875</v>
      </c>
      <c r="O725">
        <v>15</v>
      </c>
      <c r="P725">
        <v>5985.27</v>
      </c>
      <c r="Q725">
        <v>0</v>
      </c>
      <c r="R725">
        <v>0</v>
      </c>
      <c r="S725" s="11">
        <v>89779.05</v>
      </c>
      <c r="T725">
        <v>22240.61</v>
      </c>
      <c r="U725">
        <f t="shared" si="11"/>
        <v>89779.05</v>
      </c>
    </row>
    <row r="726" spans="1:21" ht="15" customHeight="1" x14ac:dyDescent="0.25">
      <c r="A726" t="s">
        <v>791</v>
      </c>
      <c r="B726" s="8">
        <v>45357</v>
      </c>
      <c r="C726" s="8">
        <v>45360</v>
      </c>
      <c r="D726" t="s">
        <v>20</v>
      </c>
      <c r="E726" t="s">
        <v>3065</v>
      </c>
      <c r="F726" t="s">
        <v>3046</v>
      </c>
      <c r="G726" t="s">
        <v>793</v>
      </c>
      <c r="H726">
        <v>9054674549</v>
      </c>
      <c r="I726" t="s">
        <v>24</v>
      </c>
      <c r="J726" t="s">
        <v>69</v>
      </c>
      <c r="K726" t="s">
        <v>144</v>
      </c>
      <c r="L726" t="s">
        <v>96</v>
      </c>
      <c r="M726" t="s">
        <v>97</v>
      </c>
      <c r="N726" t="s">
        <v>98</v>
      </c>
      <c r="O726">
        <v>16</v>
      </c>
      <c r="P726">
        <v>366764.44</v>
      </c>
      <c r="Q726">
        <v>25</v>
      </c>
      <c r="R726">
        <v>1467057.76</v>
      </c>
      <c r="S726" s="11">
        <v>4401173.28</v>
      </c>
      <c r="T726">
        <v>283698.46999999997</v>
      </c>
      <c r="U726">
        <f t="shared" si="11"/>
        <v>4401173.28</v>
      </c>
    </row>
    <row r="727" spans="1:21" ht="15" customHeight="1" x14ac:dyDescent="0.25">
      <c r="A727" t="s">
        <v>600</v>
      </c>
      <c r="B727" s="8">
        <v>45357</v>
      </c>
      <c r="C727" s="8">
        <v>45360</v>
      </c>
      <c r="D727" t="s">
        <v>73</v>
      </c>
      <c r="E727" t="s">
        <v>3061</v>
      </c>
      <c r="F727" t="s">
        <v>3052</v>
      </c>
      <c r="G727" t="s">
        <v>602</v>
      </c>
      <c r="H727">
        <v>9072326581</v>
      </c>
      <c r="I727" t="s">
        <v>24</v>
      </c>
      <c r="J727" t="s">
        <v>69</v>
      </c>
      <c r="K727" t="s">
        <v>155</v>
      </c>
      <c r="L727" t="s">
        <v>108</v>
      </c>
      <c r="M727" t="s">
        <v>38</v>
      </c>
      <c r="N727" t="s">
        <v>519</v>
      </c>
      <c r="O727">
        <v>7</v>
      </c>
      <c r="P727">
        <v>25032.33</v>
      </c>
      <c r="Q727">
        <v>0</v>
      </c>
      <c r="R727">
        <v>0</v>
      </c>
      <c r="S727" s="11">
        <v>175226.31</v>
      </c>
      <c r="T727">
        <v>1940.97</v>
      </c>
      <c r="U727">
        <f t="shared" si="11"/>
        <v>175226.31</v>
      </c>
    </row>
    <row r="728" spans="1:21" ht="15" customHeight="1" x14ac:dyDescent="0.25">
      <c r="A728" t="s">
        <v>1316</v>
      </c>
      <c r="B728" s="8">
        <v>45357</v>
      </c>
      <c r="C728" s="8">
        <v>45358</v>
      </c>
      <c r="D728" t="s">
        <v>32</v>
      </c>
      <c r="E728" t="s">
        <v>3087</v>
      </c>
      <c r="F728" t="s">
        <v>3036</v>
      </c>
      <c r="G728" t="s">
        <v>1318</v>
      </c>
      <c r="H728">
        <v>8108391619</v>
      </c>
      <c r="I728" t="s">
        <v>35</v>
      </c>
      <c r="J728" t="s">
        <v>25</v>
      </c>
      <c r="K728" t="s">
        <v>44</v>
      </c>
      <c r="L728" t="s">
        <v>96</v>
      </c>
      <c r="M728" t="s">
        <v>189</v>
      </c>
      <c r="N728" t="s">
        <v>190</v>
      </c>
      <c r="O728">
        <v>6</v>
      </c>
      <c r="P728">
        <v>280481.32</v>
      </c>
      <c r="Q728">
        <v>20</v>
      </c>
      <c r="R728">
        <v>336577.58</v>
      </c>
      <c r="S728" s="11">
        <v>1346310.34</v>
      </c>
      <c r="T728">
        <v>-114357.91</v>
      </c>
      <c r="U728">
        <f t="shared" si="11"/>
        <v>1346310.34</v>
      </c>
    </row>
    <row r="729" spans="1:21" ht="15" customHeight="1" x14ac:dyDescent="0.25">
      <c r="A729" t="s">
        <v>2716</v>
      </c>
      <c r="B729" s="8">
        <v>45358</v>
      </c>
      <c r="C729" s="8">
        <v>45365</v>
      </c>
      <c r="D729" t="s">
        <v>48</v>
      </c>
      <c r="E729" t="s">
        <v>3073</v>
      </c>
      <c r="F729" t="s">
        <v>3045</v>
      </c>
      <c r="G729" t="s">
        <v>2718</v>
      </c>
      <c r="H729">
        <v>8148319762</v>
      </c>
      <c r="I729" t="s">
        <v>24</v>
      </c>
      <c r="J729" t="s">
        <v>25</v>
      </c>
      <c r="K729" t="s">
        <v>168</v>
      </c>
      <c r="L729" t="s">
        <v>108</v>
      </c>
      <c r="M729" t="s">
        <v>183</v>
      </c>
      <c r="N729" t="s">
        <v>719</v>
      </c>
      <c r="O729">
        <v>12</v>
      </c>
      <c r="P729">
        <v>20806.580000000002</v>
      </c>
      <c r="Q729" t="s">
        <v>30</v>
      </c>
      <c r="R729">
        <v>12483.95</v>
      </c>
      <c r="S729" s="11">
        <v>237195.01</v>
      </c>
      <c r="T729">
        <v>2721.33</v>
      </c>
      <c r="U729">
        <f t="shared" si="11"/>
        <v>237195.01</v>
      </c>
    </row>
    <row r="730" spans="1:21" ht="15" customHeight="1" x14ac:dyDescent="0.25">
      <c r="A730" t="s">
        <v>2326</v>
      </c>
      <c r="B730" s="8">
        <v>45360</v>
      </c>
      <c r="C730" s="8">
        <v>45364</v>
      </c>
      <c r="D730" t="s">
        <v>73</v>
      </c>
      <c r="E730" t="s">
        <v>3058</v>
      </c>
      <c r="F730" t="s">
        <v>3090</v>
      </c>
      <c r="G730" t="s">
        <v>2328</v>
      </c>
      <c r="H730">
        <v>9079162761</v>
      </c>
      <c r="I730" t="s">
        <v>24</v>
      </c>
      <c r="J730" t="s">
        <v>69</v>
      </c>
      <c r="K730" t="s">
        <v>119</v>
      </c>
      <c r="L730" t="s">
        <v>27</v>
      </c>
      <c r="M730" t="s">
        <v>45</v>
      </c>
      <c r="N730" t="s">
        <v>308</v>
      </c>
      <c r="O730">
        <v>17</v>
      </c>
      <c r="P730">
        <v>1898.14</v>
      </c>
      <c r="Q730">
        <v>10</v>
      </c>
      <c r="R730">
        <v>3226.84</v>
      </c>
      <c r="S730" s="11">
        <v>29041.54</v>
      </c>
      <c r="T730">
        <v>941.52</v>
      </c>
      <c r="U730">
        <f t="shared" si="11"/>
        <v>29041.54</v>
      </c>
    </row>
    <row r="731" spans="1:21" ht="15" customHeight="1" x14ac:dyDescent="0.25">
      <c r="A731" t="s">
        <v>1271</v>
      </c>
      <c r="B731" s="8">
        <v>45360</v>
      </c>
      <c r="C731" s="8">
        <v>45363</v>
      </c>
      <c r="D731" t="s">
        <v>20</v>
      </c>
      <c r="E731" t="s">
        <v>3050</v>
      </c>
      <c r="F731" t="s">
        <v>3052</v>
      </c>
      <c r="G731" t="s">
        <v>1249</v>
      </c>
      <c r="H731">
        <v>8166109503</v>
      </c>
      <c r="I731" t="s">
        <v>24</v>
      </c>
      <c r="J731" t="s">
        <v>61</v>
      </c>
      <c r="K731" t="s">
        <v>204</v>
      </c>
      <c r="L731" t="s">
        <v>108</v>
      </c>
      <c r="M731" t="s">
        <v>38</v>
      </c>
      <c r="N731" t="s">
        <v>519</v>
      </c>
      <c r="O731">
        <v>20</v>
      </c>
      <c r="P731">
        <v>27057.26</v>
      </c>
      <c r="Q731">
        <v>25</v>
      </c>
      <c r="R731">
        <v>135286.29999999999</v>
      </c>
      <c r="S731" s="11">
        <v>405858.9</v>
      </c>
      <c r="T731">
        <v>37549.440000000002</v>
      </c>
      <c r="U731">
        <f t="shared" si="11"/>
        <v>405858.9</v>
      </c>
    </row>
    <row r="732" spans="1:21" ht="15" customHeight="1" x14ac:dyDescent="0.25">
      <c r="A732" t="s">
        <v>2915</v>
      </c>
      <c r="B732" s="8">
        <v>45361</v>
      </c>
      <c r="C732" s="8">
        <v>45364</v>
      </c>
      <c r="D732" t="s">
        <v>20</v>
      </c>
      <c r="E732" t="s">
        <v>3080</v>
      </c>
      <c r="F732" t="s">
        <v>3050</v>
      </c>
      <c r="G732" t="s">
        <v>2916</v>
      </c>
      <c r="H732">
        <v>7063583553</v>
      </c>
      <c r="I732" t="s">
        <v>35</v>
      </c>
      <c r="J732" t="s">
        <v>25</v>
      </c>
      <c r="K732" t="s">
        <v>36</v>
      </c>
      <c r="L732" t="s">
        <v>108</v>
      </c>
      <c r="M732" t="s">
        <v>114</v>
      </c>
      <c r="N732" t="s">
        <v>482</v>
      </c>
      <c r="O732">
        <v>7</v>
      </c>
      <c r="P732">
        <v>42433.3</v>
      </c>
      <c r="Q732">
        <v>0</v>
      </c>
      <c r="R732">
        <v>0</v>
      </c>
      <c r="S732" s="11">
        <v>297033.09999999998</v>
      </c>
      <c r="T732">
        <v>125250.55</v>
      </c>
      <c r="U732">
        <f t="shared" si="11"/>
        <v>297033.09999999998</v>
      </c>
    </row>
    <row r="733" spans="1:21" ht="15" customHeight="1" x14ac:dyDescent="0.25">
      <c r="A733" t="s">
        <v>740</v>
      </c>
      <c r="B733" s="8">
        <v>45362</v>
      </c>
      <c r="C733" s="8">
        <v>45364</v>
      </c>
      <c r="D733" t="s">
        <v>20</v>
      </c>
      <c r="E733" t="s">
        <v>3093</v>
      </c>
      <c r="F733" t="s">
        <v>3078</v>
      </c>
      <c r="G733" t="s">
        <v>742</v>
      </c>
      <c r="H733">
        <v>9015003671</v>
      </c>
      <c r="I733" t="s">
        <v>24</v>
      </c>
      <c r="J733" t="s">
        <v>61</v>
      </c>
      <c r="K733" t="s">
        <v>62</v>
      </c>
      <c r="M733" t="s">
        <v>385</v>
      </c>
      <c r="N733" t="s">
        <v>743</v>
      </c>
      <c r="O733">
        <v>4</v>
      </c>
      <c r="P733">
        <v>417213.07</v>
      </c>
      <c r="Q733">
        <v>20</v>
      </c>
      <c r="R733">
        <v>333770.46000000002</v>
      </c>
      <c r="S733" s="11">
        <v>1335081.82</v>
      </c>
      <c r="T733">
        <v>290217.52</v>
      </c>
      <c r="U733">
        <f t="shared" si="11"/>
        <v>1335081.82</v>
      </c>
    </row>
    <row r="734" spans="1:21" ht="15" customHeight="1" x14ac:dyDescent="0.25">
      <c r="A734" t="s">
        <v>2103</v>
      </c>
      <c r="B734" s="8">
        <v>45362</v>
      </c>
      <c r="C734" s="8">
        <v>45362</v>
      </c>
      <c r="D734" t="s">
        <v>32</v>
      </c>
      <c r="E734" t="s">
        <v>3056</v>
      </c>
      <c r="F734" t="s">
        <v>3064</v>
      </c>
      <c r="G734" t="s">
        <v>2104</v>
      </c>
      <c r="H734">
        <v>8144087744</v>
      </c>
      <c r="I734" t="s">
        <v>35</v>
      </c>
      <c r="J734" t="s">
        <v>25</v>
      </c>
      <c r="K734" t="s">
        <v>168</v>
      </c>
      <c r="L734" t="s">
        <v>85</v>
      </c>
      <c r="M734" t="s">
        <v>266</v>
      </c>
      <c r="N734" t="s">
        <v>593</v>
      </c>
      <c r="O734">
        <v>15</v>
      </c>
      <c r="P734">
        <v>149330.07</v>
      </c>
      <c r="Q734">
        <v>0</v>
      </c>
      <c r="R734">
        <v>0</v>
      </c>
      <c r="S734" s="11">
        <v>2239951.0499999998</v>
      </c>
      <c r="T734">
        <v>245078.02</v>
      </c>
      <c r="U734">
        <f t="shared" si="11"/>
        <v>2239951.0499999998</v>
      </c>
    </row>
    <row r="735" spans="1:21" ht="15" customHeight="1" x14ac:dyDescent="0.25">
      <c r="A735" t="s">
        <v>1457</v>
      </c>
      <c r="B735" s="8">
        <v>45363</v>
      </c>
      <c r="C735" s="8">
        <v>45370</v>
      </c>
      <c r="D735" t="s">
        <v>48</v>
      </c>
      <c r="E735" t="s">
        <v>3089</v>
      </c>
      <c r="F735" t="s">
        <v>3057</v>
      </c>
      <c r="G735" t="s">
        <v>1459</v>
      </c>
      <c r="H735">
        <v>9056918393</v>
      </c>
      <c r="I735" t="s">
        <v>35</v>
      </c>
      <c r="K735" t="s">
        <v>155</v>
      </c>
      <c r="L735" t="s">
        <v>63</v>
      </c>
      <c r="M735" t="s">
        <v>558</v>
      </c>
      <c r="N735" t="s">
        <v>1460</v>
      </c>
      <c r="O735">
        <v>2</v>
      </c>
      <c r="P735">
        <v>1189.5999999999999</v>
      </c>
      <c r="Q735">
        <v>0</v>
      </c>
      <c r="R735">
        <v>0</v>
      </c>
      <c r="S735" s="11">
        <v>2379.1999999999998</v>
      </c>
      <c r="T735">
        <v>837.86</v>
      </c>
      <c r="U735">
        <f t="shared" si="11"/>
        <v>2379.1999999999998</v>
      </c>
    </row>
    <row r="736" spans="1:21" ht="15" customHeight="1" x14ac:dyDescent="0.25">
      <c r="A736" t="s">
        <v>1322</v>
      </c>
      <c r="B736" s="8">
        <v>45363</v>
      </c>
      <c r="C736" s="8">
        <v>45365</v>
      </c>
      <c r="D736" t="s">
        <v>20</v>
      </c>
      <c r="E736" t="s">
        <v>3092</v>
      </c>
      <c r="F736" t="s">
        <v>3078</v>
      </c>
      <c r="G736" t="s">
        <v>1324</v>
      </c>
      <c r="H736">
        <v>8148315833</v>
      </c>
      <c r="I736" t="s">
        <v>24</v>
      </c>
      <c r="J736" t="s">
        <v>51</v>
      </c>
      <c r="K736" t="s">
        <v>131</v>
      </c>
      <c r="L736" t="s">
        <v>108</v>
      </c>
      <c r="M736" t="s">
        <v>114</v>
      </c>
      <c r="N736" t="s">
        <v>891</v>
      </c>
      <c r="O736">
        <v>13</v>
      </c>
      <c r="P736">
        <v>11711.41</v>
      </c>
      <c r="Q736">
        <v>20</v>
      </c>
      <c r="R736">
        <v>30449.67</v>
      </c>
      <c r="S736" s="11">
        <v>121798.66</v>
      </c>
      <c r="T736">
        <v>-9412.33</v>
      </c>
      <c r="U736">
        <f t="shared" si="11"/>
        <v>121798.66</v>
      </c>
    </row>
    <row r="737" spans="1:21" ht="15" customHeight="1" x14ac:dyDescent="0.25">
      <c r="A737" t="s">
        <v>2905</v>
      </c>
      <c r="B737" s="8">
        <v>45364</v>
      </c>
      <c r="C737" s="8">
        <v>45368</v>
      </c>
      <c r="D737" t="s">
        <v>73</v>
      </c>
      <c r="E737" t="s">
        <v>3085</v>
      </c>
      <c r="F737" t="s">
        <v>3079</v>
      </c>
      <c r="G737" t="s">
        <v>2907</v>
      </c>
      <c r="H737">
        <v>8101972156</v>
      </c>
      <c r="I737" t="s">
        <v>35</v>
      </c>
      <c r="J737" t="s">
        <v>25</v>
      </c>
      <c r="K737" t="s">
        <v>168</v>
      </c>
      <c r="L737" t="s">
        <v>96</v>
      </c>
      <c r="M737" t="s">
        <v>97</v>
      </c>
      <c r="N737" t="s">
        <v>169</v>
      </c>
      <c r="O737">
        <v>4</v>
      </c>
      <c r="P737">
        <v>45847.02</v>
      </c>
      <c r="Q737">
        <v>25</v>
      </c>
      <c r="R737">
        <v>45847.02</v>
      </c>
      <c r="S737" s="11">
        <v>137541.06</v>
      </c>
      <c r="T737">
        <v>32125.89</v>
      </c>
      <c r="U737">
        <f t="shared" si="11"/>
        <v>137541.06</v>
      </c>
    </row>
    <row r="738" spans="1:21" ht="15" customHeight="1" x14ac:dyDescent="0.25">
      <c r="A738" t="s">
        <v>1150</v>
      </c>
      <c r="B738" s="8">
        <v>45369</v>
      </c>
      <c r="C738" s="8">
        <v>45371</v>
      </c>
      <c r="D738" t="s">
        <v>20</v>
      </c>
      <c r="E738" t="s">
        <v>3033</v>
      </c>
      <c r="F738" t="s">
        <v>3074</v>
      </c>
      <c r="G738" t="s">
        <v>1152</v>
      </c>
      <c r="H738">
        <v>8141827302</v>
      </c>
      <c r="I738" t="s">
        <v>43</v>
      </c>
      <c r="J738" t="s">
        <v>25</v>
      </c>
      <c r="K738" t="s">
        <v>126</v>
      </c>
      <c r="L738" t="s">
        <v>27</v>
      </c>
      <c r="M738" t="s">
        <v>28</v>
      </c>
      <c r="N738" t="s">
        <v>71</v>
      </c>
      <c r="O738">
        <v>17</v>
      </c>
      <c r="P738">
        <v>955.11</v>
      </c>
      <c r="Q738">
        <v>15</v>
      </c>
      <c r="R738">
        <v>2435.5300000000002</v>
      </c>
      <c r="S738" s="11">
        <v>13801.34</v>
      </c>
      <c r="T738">
        <v>4337.6899999999996</v>
      </c>
      <c r="U738">
        <f t="shared" si="11"/>
        <v>13801.34</v>
      </c>
    </row>
    <row r="739" spans="1:21" ht="15" customHeight="1" x14ac:dyDescent="0.25">
      <c r="A739" t="s">
        <v>2788</v>
      </c>
      <c r="B739" s="8">
        <v>45370</v>
      </c>
      <c r="C739" s="8">
        <v>45373</v>
      </c>
      <c r="D739" t="s">
        <v>20</v>
      </c>
      <c r="E739" t="s">
        <v>3049</v>
      </c>
      <c r="F739" t="s">
        <v>3075</v>
      </c>
      <c r="G739" t="s">
        <v>2789</v>
      </c>
      <c r="H739">
        <v>8034721202</v>
      </c>
      <c r="I739" t="s">
        <v>35</v>
      </c>
      <c r="J739" t="s">
        <v>51</v>
      </c>
      <c r="K739" t="s">
        <v>52</v>
      </c>
      <c r="L739" t="s">
        <v>108</v>
      </c>
      <c r="M739" t="s">
        <v>109</v>
      </c>
      <c r="N739" t="s">
        <v>690</v>
      </c>
      <c r="O739">
        <v>2</v>
      </c>
      <c r="P739">
        <v>2096.77</v>
      </c>
      <c r="Q739">
        <v>0</v>
      </c>
      <c r="R739">
        <v>0</v>
      </c>
      <c r="S739" s="11">
        <v>4193.54</v>
      </c>
      <c r="T739">
        <v>1389.88</v>
      </c>
      <c r="U739">
        <f t="shared" si="11"/>
        <v>4193.54</v>
      </c>
    </row>
    <row r="740" spans="1:21" ht="15" customHeight="1" x14ac:dyDescent="0.25">
      <c r="A740" t="s">
        <v>2156</v>
      </c>
      <c r="B740" s="8">
        <v>45370</v>
      </c>
      <c r="C740" s="8">
        <v>45372</v>
      </c>
      <c r="D740" t="s">
        <v>20</v>
      </c>
      <c r="E740" t="s">
        <v>3085</v>
      </c>
      <c r="F740" t="s">
        <v>3036</v>
      </c>
      <c r="G740" t="s">
        <v>2157</v>
      </c>
      <c r="H740">
        <v>8165202915</v>
      </c>
      <c r="I740" t="s">
        <v>43</v>
      </c>
      <c r="J740" t="s">
        <v>61</v>
      </c>
      <c r="K740" t="s">
        <v>84</v>
      </c>
      <c r="M740" t="s">
        <v>79</v>
      </c>
      <c r="N740" t="s">
        <v>145</v>
      </c>
      <c r="O740">
        <v>11</v>
      </c>
      <c r="P740">
        <v>2663.09</v>
      </c>
      <c r="Q740">
        <v>10</v>
      </c>
      <c r="R740">
        <v>2929.4</v>
      </c>
      <c r="S740" s="11">
        <v>26364.59</v>
      </c>
      <c r="T740">
        <v>9453.17</v>
      </c>
      <c r="U740">
        <f t="shared" si="11"/>
        <v>26364.59</v>
      </c>
    </row>
    <row r="741" spans="1:21" ht="15" customHeight="1" x14ac:dyDescent="0.25">
      <c r="A741" t="s">
        <v>1085</v>
      </c>
      <c r="B741" s="8">
        <v>45375</v>
      </c>
      <c r="C741" s="8">
        <v>45380</v>
      </c>
      <c r="D741" t="s">
        <v>48</v>
      </c>
      <c r="E741" t="s">
        <v>3072</v>
      </c>
      <c r="F741" t="s">
        <v>3036</v>
      </c>
      <c r="G741" t="s">
        <v>1087</v>
      </c>
      <c r="H741">
        <v>8067540534</v>
      </c>
      <c r="I741" t="s">
        <v>35</v>
      </c>
      <c r="J741" t="s">
        <v>69</v>
      </c>
      <c r="K741" t="s">
        <v>155</v>
      </c>
      <c r="L741" t="s">
        <v>63</v>
      </c>
      <c r="M741" t="s">
        <v>54</v>
      </c>
      <c r="N741" t="s">
        <v>150</v>
      </c>
      <c r="O741">
        <v>15</v>
      </c>
      <c r="P741">
        <v>18571.03</v>
      </c>
      <c r="Q741">
        <v>0</v>
      </c>
      <c r="R741">
        <v>0</v>
      </c>
      <c r="S741" s="11">
        <v>278565.45</v>
      </c>
      <c r="T741">
        <v>-19843.259999999998</v>
      </c>
      <c r="U741">
        <f t="shared" si="11"/>
        <v>278565.45</v>
      </c>
    </row>
    <row r="742" spans="1:21" ht="15" customHeight="1" x14ac:dyDescent="0.25">
      <c r="A742" t="s">
        <v>2619</v>
      </c>
      <c r="B742" s="8">
        <v>45375</v>
      </c>
      <c r="C742" s="8">
        <v>45378</v>
      </c>
      <c r="D742" t="s">
        <v>73</v>
      </c>
      <c r="E742" t="s">
        <v>3084</v>
      </c>
      <c r="F742" t="s">
        <v>3077</v>
      </c>
      <c r="G742" t="s">
        <v>2621</v>
      </c>
      <c r="H742">
        <v>9075721396</v>
      </c>
      <c r="I742" t="s">
        <v>43</v>
      </c>
      <c r="J742" t="s">
        <v>25</v>
      </c>
      <c r="K742" t="s">
        <v>36</v>
      </c>
      <c r="L742" t="s">
        <v>63</v>
      </c>
      <c r="M742" t="s">
        <v>312</v>
      </c>
      <c r="N742" t="s">
        <v>761</v>
      </c>
      <c r="O742">
        <v>6</v>
      </c>
      <c r="P742">
        <v>13016.55</v>
      </c>
      <c r="Q742">
        <v>5</v>
      </c>
      <c r="R742">
        <v>3904.96</v>
      </c>
      <c r="S742" s="11">
        <v>74194.34</v>
      </c>
      <c r="T742">
        <v>22444</v>
      </c>
      <c r="U742">
        <f t="shared" si="11"/>
        <v>74194.34</v>
      </c>
    </row>
    <row r="743" spans="1:21" ht="15" customHeight="1" x14ac:dyDescent="0.25">
      <c r="A743" t="s">
        <v>829</v>
      </c>
      <c r="B743" s="8">
        <v>45376</v>
      </c>
      <c r="C743" s="8">
        <v>45379</v>
      </c>
      <c r="D743" t="s">
        <v>20</v>
      </c>
      <c r="E743" t="s">
        <v>3089</v>
      </c>
      <c r="F743" t="s">
        <v>3069</v>
      </c>
      <c r="G743" t="s">
        <v>831</v>
      </c>
      <c r="H743">
        <v>8067501626</v>
      </c>
      <c r="I743" t="s">
        <v>35</v>
      </c>
      <c r="J743" t="s">
        <v>25</v>
      </c>
      <c r="K743" t="s">
        <v>168</v>
      </c>
      <c r="L743" t="s">
        <v>85</v>
      </c>
      <c r="M743" t="s">
        <v>243</v>
      </c>
      <c r="N743" t="s">
        <v>439</v>
      </c>
      <c r="O743">
        <v>15</v>
      </c>
      <c r="P743">
        <v>71537.09</v>
      </c>
      <c r="Q743">
        <v>0</v>
      </c>
      <c r="R743">
        <v>0</v>
      </c>
      <c r="S743" s="11">
        <v>1073056.3500000001</v>
      </c>
      <c r="T743">
        <v>8560.39</v>
      </c>
      <c r="U743">
        <f t="shared" si="11"/>
        <v>1073056.3500000001</v>
      </c>
    </row>
    <row r="744" spans="1:21" ht="15" customHeight="1" x14ac:dyDescent="0.25">
      <c r="A744" t="s">
        <v>475</v>
      </c>
      <c r="B744" s="8">
        <v>45377</v>
      </c>
      <c r="C744" s="8">
        <v>45380</v>
      </c>
      <c r="D744" t="s">
        <v>20</v>
      </c>
      <c r="E744" t="s">
        <v>3091</v>
      </c>
      <c r="F744" t="s">
        <v>3043</v>
      </c>
      <c r="G744" t="s">
        <v>477</v>
      </c>
      <c r="H744">
        <v>8034121368</v>
      </c>
      <c r="I744" t="s">
        <v>35</v>
      </c>
      <c r="J744" t="s">
        <v>25</v>
      </c>
      <c r="K744" t="s">
        <v>36</v>
      </c>
      <c r="L744" t="s">
        <v>108</v>
      </c>
      <c r="M744" t="s">
        <v>189</v>
      </c>
      <c r="N744" t="s">
        <v>478</v>
      </c>
      <c r="O744">
        <v>4</v>
      </c>
      <c r="P744">
        <v>41282.33</v>
      </c>
      <c r="Q744">
        <v>10</v>
      </c>
      <c r="R744">
        <v>16512.93</v>
      </c>
      <c r="S744" s="11">
        <v>148616.39000000001</v>
      </c>
      <c r="U744">
        <f t="shared" si="11"/>
        <v>148616.39000000001</v>
      </c>
    </row>
    <row r="745" spans="1:21" ht="15" customHeight="1" x14ac:dyDescent="0.25">
      <c r="A745" t="s">
        <v>2933</v>
      </c>
      <c r="B745" s="8">
        <v>45377</v>
      </c>
      <c r="D745" t="s">
        <v>73</v>
      </c>
      <c r="E745" t="s">
        <v>3056</v>
      </c>
      <c r="F745" t="s">
        <v>3071</v>
      </c>
      <c r="G745" t="s">
        <v>2934</v>
      </c>
      <c r="H745">
        <v>8038415350</v>
      </c>
      <c r="I745" t="s">
        <v>43</v>
      </c>
      <c r="J745" t="s">
        <v>25</v>
      </c>
      <c r="K745" t="s">
        <v>36</v>
      </c>
      <c r="L745" t="s">
        <v>85</v>
      </c>
      <c r="M745" t="s">
        <v>218</v>
      </c>
      <c r="N745" t="s">
        <v>1058</v>
      </c>
      <c r="O745">
        <v>8</v>
      </c>
      <c r="P745">
        <v>104605.46</v>
      </c>
      <c r="Q745">
        <v>25</v>
      </c>
      <c r="R745">
        <v>209210.92</v>
      </c>
      <c r="S745" s="11">
        <v>627632.76</v>
      </c>
      <c r="T745">
        <v>134337.67000000001</v>
      </c>
      <c r="U745">
        <f t="shared" si="11"/>
        <v>627632.76</v>
      </c>
    </row>
    <row r="746" spans="1:21" ht="15" customHeight="1" x14ac:dyDescent="0.25">
      <c r="A746" t="s">
        <v>2365</v>
      </c>
      <c r="B746" s="8">
        <v>45378</v>
      </c>
      <c r="C746" s="8">
        <v>45383</v>
      </c>
      <c r="D746" t="s">
        <v>48</v>
      </c>
      <c r="E746" t="s">
        <v>3095</v>
      </c>
      <c r="F746" t="s">
        <v>3075</v>
      </c>
      <c r="G746" t="s">
        <v>2367</v>
      </c>
      <c r="H746">
        <v>8169971681</v>
      </c>
      <c r="I746" t="s">
        <v>43</v>
      </c>
      <c r="J746" t="s">
        <v>61</v>
      </c>
      <c r="K746" t="s">
        <v>62</v>
      </c>
      <c r="L746" t="s">
        <v>27</v>
      </c>
      <c r="M746" t="s">
        <v>79</v>
      </c>
      <c r="N746" t="s">
        <v>145</v>
      </c>
      <c r="O746">
        <v>17</v>
      </c>
      <c r="P746">
        <v>3739.07</v>
      </c>
      <c r="Q746">
        <v>5</v>
      </c>
      <c r="R746">
        <v>3178.21</v>
      </c>
      <c r="S746" s="11">
        <v>60385.98</v>
      </c>
      <c r="T746">
        <v>-192.31</v>
      </c>
      <c r="U746">
        <f t="shared" si="11"/>
        <v>60385.98</v>
      </c>
    </row>
    <row r="747" spans="1:21" ht="15" customHeight="1" x14ac:dyDescent="0.25">
      <c r="A747" t="s">
        <v>1299</v>
      </c>
      <c r="B747" s="8">
        <v>45378</v>
      </c>
      <c r="C747" s="8">
        <v>45379</v>
      </c>
      <c r="D747" t="s">
        <v>32</v>
      </c>
      <c r="E747" t="s">
        <v>3093</v>
      </c>
      <c r="F747" t="s">
        <v>3083</v>
      </c>
      <c r="G747" t="s">
        <v>1301</v>
      </c>
      <c r="H747">
        <v>7067544296</v>
      </c>
      <c r="I747" t="s">
        <v>35</v>
      </c>
      <c r="J747" t="s">
        <v>25</v>
      </c>
      <c r="K747" t="s">
        <v>26</v>
      </c>
      <c r="L747" t="s">
        <v>108</v>
      </c>
      <c r="M747" t="s">
        <v>38</v>
      </c>
      <c r="N747" t="s">
        <v>303</v>
      </c>
      <c r="O747">
        <v>14</v>
      </c>
      <c r="P747">
        <v>24809.01</v>
      </c>
      <c r="Q747">
        <v>0</v>
      </c>
      <c r="R747">
        <v>0</v>
      </c>
      <c r="S747" s="11">
        <v>347326.14</v>
      </c>
      <c r="T747">
        <v>8084.13</v>
      </c>
      <c r="U747">
        <f t="shared" si="11"/>
        <v>347326.14</v>
      </c>
    </row>
    <row r="748" spans="1:21" ht="15" customHeight="1" x14ac:dyDescent="0.25">
      <c r="A748" t="s">
        <v>1967</v>
      </c>
      <c r="B748" s="8">
        <v>45379</v>
      </c>
      <c r="C748" s="8">
        <v>45382</v>
      </c>
      <c r="D748" t="s">
        <v>73</v>
      </c>
      <c r="E748" t="s">
        <v>3067</v>
      </c>
      <c r="F748" t="s">
        <v>3045</v>
      </c>
      <c r="G748" t="s">
        <v>1969</v>
      </c>
      <c r="H748">
        <v>9072568722</v>
      </c>
      <c r="I748" t="s">
        <v>43</v>
      </c>
      <c r="J748" t="s">
        <v>25</v>
      </c>
      <c r="K748" t="s">
        <v>44</v>
      </c>
      <c r="L748" t="s">
        <v>63</v>
      </c>
      <c r="M748" t="s">
        <v>64</v>
      </c>
      <c r="N748" t="s">
        <v>104</v>
      </c>
      <c r="O748">
        <v>15</v>
      </c>
      <c r="P748">
        <v>16240.87</v>
      </c>
      <c r="Q748">
        <v>0</v>
      </c>
      <c r="R748">
        <v>0</v>
      </c>
      <c r="S748" s="11">
        <v>243613.05</v>
      </c>
      <c r="T748">
        <v>-23997.46</v>
      </c>
      <c r="U748">
        <f t="shared" si="11"/>
        <v>243613.05</v>
      </c>
    </row>
    <row r="749" spans="1:21" ht="15" customHeight="1" x14ac:dyDescent="0.25">
      <c r="A749" t="s">
        <v>2049</v>
      </c>
      <c r="B749" s="8">
        <v>45381</v>
      </c>
      <c r="C749" s="8">
        <v>45384</v>
      </c>
      <c r="D749" t="s">
        <v>73</v>
      </c>
      <c r="E749" t="s">
        <v>3044</v>
      </c>
      <c r="F749" t="s">
        <v>3036</v>
      </c>
      <c r="G749" t="s">
        <v>2051</v>
      </c>
      <c r="H749">
        <v>8106153067</v>
      </c>
      <c r="I749" t="s">
        <v>24</v>
      </c>
      <c r="J749" t="s">
        <v>69</v>
      </c>
      <c r="K749" t="s">
        <v>70</v>
      </c>
      <c r="L749" t="s">
        <v>2052</v>
      </c>
      <c r="M749" t="s">
        <v>79</v>
      </c>
      <c r="N749" t="s">
        <v>490</v>
      </c>
      <c r="O749">
        <v>4</v>
      </c>
      <c r="P749">
        <v>3849.35</v>
      </c>
      <c r="Q749">
        <v>0</v>
      </c>
      <c r="R749">
        <v>0</v>
      </c>
      <c r="S749" s="11">
        <v>15397.4</v>
      </c>
      <c r="T749">
        <v>-87.19</v>
      </c>
      <c r="U749">
        <f t="shared" si="11"/>
        <v>15397.4</v>
      </c>
    </row>
    <row r="750" spans="1:21" ht="15" customHeight="1" x14ac:dyDescent="0.25">
      <c r="A750" t="s">
        <v>906</v>
      </c>
      <c r="B750" s="8">
        <v>45381</v>
      </c>
      <c r="C750" s="8">
        <v>45382</v>
      </c>
      <c r="D750" t="s">
        <v>32</v>
      </c>
      <c r="E750" t="s">
        <v>3091</v>
      </c>
      <c r="F750" t="s">
        <v>3042</v>
      </c>
      <c r="G750" t="s">
        <v>908</v>
      </c>
      <c r="H750">
        <v>9019023619</v>
      </c>
      <c r="I750" t="s">
        <v>35</v>
      </c>
      <c r="J750" t="s">
        <v>51</v>
      </c>
      <c r="K750" t="s">
        <v>131</v>
      </c>
      <c r="L750" t="s">
        <v>108</v>
      </c>
      <c r="M750" t="s">
        <v>109</v>
      </c>
      <c r="N750" t="s">
        <v>110</v>
      </c>
      <c r="O750">
        <v>2</v>
      </c>
      <c r="P750">
        <v>7698</v>
      </c>
      <c r="Q750">
        <v>0</v>
      </c>
      <c r="R750">
        <v>0</v>
      </c>
      <c r="S750" s="11">
        <v>15396</v>
      </c>
      <c r="T750">
        <v>-1351.34</v>
      </c>
      <c r="U750">
        <f t="shared" si="11"/>
        <v>15396</v>
      </c>
    </row>
    <row r="751" spans="1:21" ht="15" customHeight="1" x14ac:dyDescent="0.25">
      <c r="A751" t="s">
        <v>2443</v>
      </c>
      <c r="B751" s="8">
        <v>45382</v>
      </c>
      <c r="C751" s="8">
        <v>45389</v>
      </c>
      <c r="D751" t="s">
        <v>48</v>
      </c>
      <c r="E751" t="s">
        <v>3098</v>
      </c>
      <c r="F751" t="s">
        <v>3075</v>
      </c>
      <c r="G751" t="s">
        <v>2445</v>
      </c>
      <c r="H751">
        <v>8148851806</v>
      </c>
      <c r="I751" t="s">
        <v>43</v>
      </c>
      <c r="J751" t="s">
        <v>69</v>
      </c>
      <c r="K751" t="s">
        <v>119</v>
      </c>
      <c r="L751" t="s">
        <v>63</v>
      </c>
      <c r="M751" t="s">
        <v>54</v>
      </c>
      <c r="N751" t="s">
        <v>55</v>
      </c>
      <c r="O751">
        <v>9</v>
      </c>
      <c r="P751">
        <v>508.66</v>
      </c>
      <c r="Q751">
        <v>25</v>
      </c>
      <c r="R751">
        <v>1144.49</v>
      </c>
      <c r="S751" s="11">
        <v>3433.45</v>
      </c>
      <c r="T751">
        <v>861.36</v>
      </c>
      <c r="U751">
        <f t="shared" si="11"/>
        <v>3433.45</v>
      </c>
    </row>
    <row r="752" spans="1:21" ht="15" customHeight="1" x14ac:dyDescent="0.25">
      <c r="A752" t="s">
        <v>1325</v>
      </c>
      <c r="B752" s="8">
        <v>45382</v>
      </c>
      <c r="C752" s="8">
        <v>45384</v>
      </c>
      <c r="D752" t="s">
        <v>20</v>
      </c>
      <c r="E752" t="s">
        <v>3081</v>
      </c>
      <c r="F752" t="s">
        <v>3039</v>
      </c>
      <c r="G752" t="s">
        <v>1326</v>
      </c>
      <c r="H752">
        <v>8068711468</v>
      </c>
      <c r="I752" t="s">
        <v>24</v>
      </c>
      <c r="J752" t="s">
        <v>51</v>
      </c>
      <c r="K752" t="s">
        <v>223</v>
      </c>
      <c r="L752" t="s">
        <v>63</v>
      </c>
      <c r="M752" t="s">
        <v>469</v>
      </c>
      <c r="N752" t="s">
        <v>1327</v>
      </c>
      <c r="O752" t="s">
        <v>1328</v>
      </c>
      <c r="P752">
        <v>4827.1499999999996</v>
      </c>
      <c r="Q752">
        <v>15</v>
      </c>
      <c r="R752">
        <v>1448.14</v>
      </c>
      <c r="S752" s="11">
        <v>8206.16</v>
      </c>
      <c r="T752">
        <v>2022.33</v>
      </c>
      <c r="U752">
        <f t="shared" si="11"/>
        <v>8206.16</v>
      </c>
    </row>
    <row r="753" spans="1:21" ht="15" customHeight="1" x14ac:dyDescent="0.25">
      <c r="A753" t="s">
        <v>1442</v>
      </c>
      <c r="B753" s="8">
        <v>45382</v>
      </c>
      <c r="C753" s="8">
        <v>45382</v>
      </c>
      <c r="D753" t="s">
        <v>32</v>
      </c>
      <c r="E753" t="s">
        <v>3048</v>
      </c>
      <c r="F753" t="s">
        <v>3050</v>
      </c>
      <c r="G753" t="s">
        <v>1443</v>
      </c>
      <c r="H753">
        <v>8136681296</v>
      </c>
      <c r="I753" t="s">
        <v>35</v>
      </c>
      <c r="J753" t="s">
        <v>25</v>
      </c>
      <c r="K753" t="s">
        <v>26</v>
      </c>
      <c r="L753" t="s">
        <v>85</v>
      </c>
      <c r="M753" t="s">
        <v>266</v>
      </c>
      <c r="N753" t="s">
        <v>1444</v>
      </c>
      <c r="O753">
        <v>14</v>
      </c>
      <c r="P753">
        <v>29115.09</v>
      </c>
      <c r="Q753">
        <v>20</v>
      </c>
      <c r="R753">
        <v>81522.25</v>
      </c>
      <c r="S753" s="11">
        <v>326089.01</v>
      </c>
      <c r="T753">
        <v>5579.71</v>
      </c>
      <c r="U753">
        <f t="shared" si="11"/>
        <v>326089.01</v>
      </c>
    </row>
    <row r="754" spans="1:21" ht="15" customHeight="1" x14ac:dyDescent="0.25">
      <c r="A754" t="s">
        <v>2771</v>
      </c>
      <c r="B754" s="8">
        <v>45383</v>
      </c>
      <c r="C754" s="8">
        <v>45386</v>
      </c>
      <c r="D754" t="s">
        <v>20</v>
      </c>
      <c r="E754" t="s">
        <v>3059</v>
      </c>
      <c r="F754" t="s">
        <v>3079</v>
      </c>
      <c r="G754" t="s">
        <v>2772</v>
      </c>
      <c r="H754">
        <v>9076479600</v>
      </c>
      <c r="I754" t="s">
        <v>43</v>
      </c>
      <c r="J754" t="s">
        <v>51</v>
      </c>
      <c r="K754" t="s">
        <v>227</v>
      </c>
      <c r="L754" t="s">
        <v>2773</v>
      </c>
      <c r="M754" t="s">
        <v>218</v>
      </c>
      <c r="N754" t="s">
        <v>219</v>
      </c>
      <c r="O754">
        <v>5</v>
      </c>
      <c r="P754">
        <v>33580</v>
      </c>
      <c r="Q754">
        <v>0</v>
      </c>
      <c r="R754">
        <v>0</v>
      </c>
      <c r="S754" s="11">
        <v>167900</v>
      </c>
      <c r="T754">
        <v>-17180.89</v>
      </c>
      <c r="U754">
        <f t="shared" si="11"/>
        <v>167900</v>
      </c>
    </row>
    <row r="755" spans="1:21" ht="15" customHeight="1" x14ac:dyDescent="0.25">
      <c r="A755" t="s">
        <v>1692</v>
      </c>
      <c r="B755" s="8">
        <v>45383</v>
      </c>
      <c r="C755" s="8">
        <v>45385</v>
      </c>
      <c r="D755" t="s">
        <v>20</v>
      </c>
      <c r="E755" t="s">
        <v>3082</v>
      </c>
      <c r="F755" t="s">
        <v>3043</v>
      </c>
      <c r="G755" t="s">
        <v>1694</v>
      </c>
      <c r="H755">
        <v>8144932320</v>
      </c>
      <c r="I755" t="s">
        <v>43</v>
      </c>
      <c r="J755" t="s">
        <v>69</v>
      </c>
      <c r="K755" t="s">
        <v>70</v>
      </c>
      <c r="L755" t="s">
        <v>108</v>
      </c>
      <c r="M755" t="s">
        <v>109</v>
      </c>
      <c r="N755" t="s">
        <v>157</v>
      </c>
      <c r="O755">
        <v>13</v>
      </c>
      <c r="P755">
        <v>20275.98</v>
      </c>
      <c r="Q755">
        <v>0</v>
      </c>
      <c r="R755">
        <v>0</v>
      </c>
      <c r="S755" s="11">
        <v>263587.74</v>
      </c>
      <c r="T755">
        <v>108413.46</v>
      </c>
      <c r="U755">
        <f t="shared" si="11"/>
        <v>263587.74</v>
      </c>
    </row>
    <row r="756" spans="1:21" ht="15" customHeight="1" x14ac:dyDescent="0.25">
      <c r="A756" t="s">
        <v>1970</v>
      </c>
      <c r="B756" s="8">
        <v>45384</v>
      </c>
      <c r="C756" s="8">
        <v>45388</v>
      </c>
      <c r="D756" t="s">
        <v>73</v>
      </c>
      <c r="E756" t="s">
        <v>3044</v>
      </c>
      <c r="F756" t="s">
        <v>3074</v>
      </c>
      <c r="G756" t="s">
        <v>1972</v>
      </c>
      <c r="H756">
        <v>9059158676</v>
      </c>
      <c r="I756" t="s">
        <v>43</v>
      </c>
      <c r="J756" t="s">
        <v>25</v>
      </c>
      <c r="K756" t="s">
        <v>168</v>
      </c>
      <c r="L756" t="s">
        <v>85</v>
      </c>
      <c r="M756" t="s">
        <v>486</v>
      </c>
      <c r="N756" t="s">
        <v>487</v>
      </c>
      <c r="O756">
        <v>2</v>
      </c>
      <c r="P756">
        <v>55880.51</v>
      </c>
      <c r="Q756">
        <v>25</v>
      </c>
      <c r="R756">
        <v>27940.26</v>
      </c>
      <c r="S756" s="11">
        <v>83820.759999999995</v>
      </c>
      <c r="T756">
        <v>-4740.51</v>
      </c>
      <c r="U756">
        <f t="shared" si="11"/>
        <v>83820.759999999995</v>
      </c>
    </row>
    <row r="757" spans="1:21" ht="15" customHeight="1" x14ac:dyDescent="0.25">
      <c r="A757" t="s">
        <v>1622</v>
      </c>
      <c r="B757" s="8">
        <v>45384</v>
      </c>
      <c r="C757" s="8">
        <v>45386</v>
      </c>
      <c r="D757" t="s">
        <v>20</v>
      </c>
      <c r="E757" t="s">
        <v>3089</v>
      </c>
      <c r="F757" t="s">
        <v>3086</v>
      </c>
      <c r="G757" t="s">
        <v>1624</v>
      </c>
      <c r="H757">
        <v>7038331935</v>
      </c>
      <c r="I757" t="s">
        <v>24</v>
      </c>
      <c r="J757" t="s">
        <v>69</v>
      </c>
      <c r="K757" t="s">
        <v>307</v>
      </c>
      <c r="L757" t="s">
        <v>85</v>
      </c>
      <c r="M757" t="s">
        <v>486</v>
      </c>
      <c r="N757" t="s">
        <v>487</v>
      </c>
      <c r="O757">
        <v>11</v>
      </c>
      <c r="P757">
        <v>155859.53</v>
      </c>
      <c r="Q757">
        <v>15</v>
      </c>
      <c r="R757">
        <v>257168.22</v>
      </c>
      <c r="S757" s="11">
        <v>1457286.61</v>
      </c>
      <c r="T757">
        <v>6276.06</v>
      </c>
      <c r="U757">
        <f t="shared" si="11"/>
        <v>1457286.61</v>
      </c>
    </row>
    <row r="758" spans="1:21" ht="15" customHeight="1" x14ac:dyDescent="0.25">
      <c r="A758" t="s">
        <v>589</v>
      </c>
      <c r="B758" s="8">
        <v>45385</v>
      </c>
      <c r="C758" s="8">
        <v>45393</v>
      </c>
      <c r="D758" t="s">
        <v>48</v>
      </c>
      <c r="E758" t="s">
        <v>3067</v>
      </c>
      <c r="F758" t="s">
        <v>3077</v>
      </c>
      <c r="G758" t="s">
        <v>592</v>
      </c>
      <c r="H758">
        <v>9021946973</v>
      </c>
      <c r="I758" t="s">
        <v>24</v>
      </c>
      <c r="J758" t="s">
        <v>25</v>
      </c>
      <c r="K758" t="s">
        <v>126</v>
      </c>
      <c r="L758" t="s">
        <v>85</v>
      </c>
      <c r="M758" t="s">
        <v>266</v>
      </c>
      <c r="N758" t="s">
        <v>593</v>
      </c>
      <c r="O758">
        <v>19</v>
      </c>
      <c r="P758">
        <v>48275.78</v>
      </c>
      <c r="Q758">
        <v>10</v>
      </c>
      <c r="R758">
        <v>91723.98</v>
      </c>
      <c r="S758" s="11">
        <v>825515.84</v>
      </c>
      <c r="T758">
        <v>162201.39000000001</v>
      </c>
      <c r="U758">
        <f t="shared" si="11"/>
        <v>825515.84</v>
      </c>
    </row>
    <row r="759" spans="1:21" ht="15" customHeight="1" x14ac:dyDescent="0.25">
      <c r="A759" t="s">
        <v>887</v>
      </c>
      <c r="B759" s="8">
        <v>45388</v>
      </c>
      <c r="C759" s="8">
        <v>45391</v>
      </c>
      <c r="D759" t="s">
        <v>73</v>
      </c>
      <c r="E759" t="s">
        <v>3067</v>
      </c>
      <c r="F759" t="s">
        <v>3043</v>
      </c>
      <c r="G759" t="s">
        <v>888</v>
      </c>
      <c r="H759">
        <v>8131367643</v>
      </c>
      <c r="I759" t="s">
        <v>35</v>
      </c>
      <c r="J759" t="s">
        <v>69</v>
      </c>
      <c r="K759" t="s">
        <v>144</v>
      </c>
      <c r="L759" t="s">
        <v>27</v>
      </c>
      <c r="M759" t="s">
        <v>173</v>
      </c>
      <c r="N759" t="s">
        <v>380</v>
      </c>
      <c r="O759">
        <v>2</v>
      </c>
      <c r="P759">
        <v>1248.3499999999999</v>
      </c>
      <c r="Q759">
        <v>15</v>
      </c>
      <c r="R759">
        <v>374.5</v>
      </c>
      <c r="S759" s="11">
        <v>2122.1999999999998</v>
      </c>
      <c r="T759">
        <v>797.79</v>
      </c>
      <c r="U759">
        <f t="shared" si="11"/>
        <v>2122.1999999999998</v>
      </c>
    </row>
    <row r="760" spans="1:21" ht="15" customHeight="1" x14ac:dyDescent="0.25">
      <c r="A760" t="s">
        <v>1445</v>
      </c>
      <c r="B760" s="8">
        <v>45390</v>
      </c>
      <c r="C760" s="8">
        <v>45391</v>
      </c>
      <c r="D760" t="s">
        <v>32</v>
      </c>
      <c r="E760" t="s">
        <v>3092</v>
      </c>
      <c r="F760" t="s">
        <v>3036</v>
      </c>
      <c r="G760" t="s">
        <v>1447</v>
      </c>
      <c r="H760">
        <v>9028627505</v>
      </c>
      <c r="I760" t="s">
        <v>43</v>
      </c>
      <c r="J760" t="s">
        <v>51</v>
      </c>
      <c r="K760" t="s">
        <v>316</v>
      </c>
      <c r="L760" t="s">
        <v>96</v>
      </c>
      <c r="M760" t="s">
        <v>120</v>
      </c>
      <c r="N760" t="s">
        <v>367</v>
      </c>
      <c r="O760">
        <v>8</v>
      </c>
      <c r="P760">
        <v>227863.5</v>
      </c>
      <c r="Q760">
        <v>0</v>
      </c>
      <c r="R760">
        <v>0</v>
      </c>
      <c r="S760" s="11">
        <v>1822908</v>
      </c>
      <c r="T760">
        <v>-240926.26</v>
      </c>
      <c r="U760">
        <f t="shared" si="11"/>
        <v>1822908</v>
      </c>
    </row>
    <row r="761" spans="1:21" ht="15" customHeight="1" x14ac:dyDescent="0.25">
      <c r="A761" t="s">
        <v>992</v>
      </c>
      <c r="B761" s="8">
        <v>45391</v>
      </c>
      <c r="C761" s="8">
        <v>45397</v>
      </c>
      <c r="D761" t="s">
        <v>48</v>
      </c>
      <c r="E761" t="s">
        <v>3063</v>
      </c>
      <c r="F761" t="s">
        <v>3077</v>
      </c>
      <c r="G761" t="s">
        <v>993</v>
      </c>
      <c r="H761">
        <v>8158920589</v>
      </c>
      <c r="I761" t="s">
        <v>35</v>
      </c>
      <c r="J761" t="s">
        <v>25</v>
      </c>
      <c r="K761" t="s">
        <v>26</v>
      </c>
      <c r="L761" t="s">
        <v>85</v>
      </c>
      <c r="M761" t="s">
        <v>243</v>
      </c>
      <c r="N761" t="s">
        <v>439</v>
      </c>
      <c r="O761">
        <v>19</v>
      </c>
      <c r="P761">
        <v>46408.74</v>
      </c>
      <c r="Q761">
        <v>10</v>
      </c>
      <c r="R761">
        <v>88176.61</v>
      </c>
      <c r="S761" s="11">
        <v>793589.45</v>
      </c>
      <c r="T761">
        <v>-55290.36</v>
      </c>
      <c r="U761">
        <f t="shared" si="11"/>
        <v>793589.45</v>
      </c>
    </row>
    <row r="762" spans="1:21" ht="15" customHeight="1" x14ac:dyDescent="0.25">
      <c r="A762" t="s">
        <v>398</v>
      </c>
      <c r="B762" s="8">
        <v>45391</v>
      </c>
      <c r="C762" s="8">
        <v>45396</v>
      </c>
      <c r="D762" t="s">
        <v>48</v>
      </c>
      <c r="E762" t="s">
        <v>3041</v>
      </c>
      <c r="F762" t="s">
        <v>3062</v>
      </c>
      <c r="G762" t="s">
        <v>400</v>
      </c>
      <c r="H762">
        <v>8037070880</v>
      </c>
      <c r="I762" t="s">
        <v>43</v>
      </c>
      <c r="J762" t="s">
        <v>69</v>
      </c>
      <c r="K762" t="s">
        <v>70</v>
      </c>
      <c r="L762" t="s">
        <v>96</v>
      </c>
      <c r="M762" t="s">
        <v>189</v>
      </c>
      <c r="N762" t="s">
        <v>287</v>
      </c>
      <c r="O762">
        <v>19</v>
      </c>
      <c r="P762">
        <v>120842.67</v>
      </c>
      <c r="Q762">
        <v>15</v>
      </c>
      <c r="R762">
        <v>344401.61</v>
      </c>
      <c r="S762" s="11">
        <v>1951609.12</v>
      </c>
      <c r="T762">
        <v>320800.68</v>
      </c>
      <c r="U762">
        <f t="shared" si="11"/>
        <v>1951609.12</v>
      </c>
    </row>
    <row r="763" spans="1:21" ht="15" customHeight="1" x14ac:dyDescent="0.25">
      <c r="A763" t="s">
        <v>1949</v>
      </c>
      <c r="B763" s="8">
        <v>45391</v>
      </c>
      <c r="C763" s="8">
        <v>45394</v>
      </c>
      <c r="D763" t="s">
        <v>20</v>
      </c>
      <c r="E763" t="s">
        <v>3048</v>
      </c>
      <c r="F763" t="s">
        <v>3090</v>
      </c>
      <c r="G763" t="s">
        <v>1950</v>
      </c>
      <c r="H763">
        <v>9078117262</v>
      </c>
      <c r="I763" t="s">
        <v>43</v>
      </c>
      <c r="J763" t="s">
        <v>25</v>
      </c>
      <c r="K763" t="s">
        <v>168</v>
      </c>
      <c r="L763" t="s">
        <v>85</v>
      </c>
      <c r="M763" t="s">
        <v>243</v>
      </c>
      <c r="N763" t="s">
        <v>1054</v>
      </c>
      <c r="O763">
        <v>12</v>
      </c>
      <c r="P763">
        <v>25956.81</v>
      </c>
      <c r="Q763">
        <v>10</v>
      </c>
      <c r="R763">
        <v>31148.17</v>
      </c>
      <c r="S763" s="11">
        <v>280333.55</v>
      </c>
      <c r="T763">
        <v>-37332.21</v>
      </c>
      <c r="U763">
        <f t="shared" si="11"/>
        <v>280333.55</v>
      </c>
    </row>
    <row r="764" spans="1:21" ht="15" customHeight="1" x14ac:dyDescent="0.25">
      <c r="A764" t="s">
        <v>2938</v>
      </c>
      <c r="B764" s="8">
        <v>45393</v>
      </c>
      <c r="C764" s="8">
        <v>45398</v>
      </c>
      <c r="D764" t="s">
        <v>73</v>
      </c>
      <c r="E764" t="s">
        <v>3097</v>
      </c>
      <c r="F764" t="s">
        <v>3077</v>
      </c>
      <c r="G764" t="s">
        <v>2939</v>
      </c>
      <c r="H764">
        <v>7065463386</v>
      </c>
      <c r="I764" t="s">
        <v>35</v>
      </c>
      <c r="J764" t="s">
        <v>69</v>
      </c>
      <c r="K764" t="s">
        <v>144</v>
      </c>
      <c r="L764" t="s">
        <v>96</v>
      </c>
      <c r="M764" t="s">
        <v>254</v>
      </c>
      <c r="N764" t="s">
        <v>530</v>
      </c>
      <c r="O764">
        <v>12</v>
      </c>
      <c r="P764">
        <v>264217.28000000003</v>
      </c>
      <c r="Q764">
        <v>15</v>
      </c>
      <c r="R764">
        <v>475591.1</v>
      </c>
      <c r="S764" s="11">
        <v>2695016.26</v>
      </c>
      <c r="T764">
        <v>615034.24</v>
      </c>
      <c r="U764">
        <f t="shared" si="11"/>
        <v>2695016.26</v>
      </c>
    </row>
    <row r="765" spans="1:21" ht="15" customHeight="1" x14ac:dyDescent="0.25">
      <c r="A765" t="s">
        <v>1268</v>
      </c>
      <c r="B765" s="8">
        <v>45393</v>
      </c>
      <c r="C765" s="8">
        <v>45395</v>
      </c>
      <c r="D765" t="s">
        <v>20</v>
      </c>
      <c r="E765" t="s">
        <v>3080</v>
      </c>
      <c r="F765" t="s">
        <v>3038</v>
      </c>
      <c r="G765" t="s">
        <v>1270</v>
      </c>
      <c r="H765">
        <v>7039292896</v>
      </c>
      <c r="I765" t="s">
        <v>35</v>
      </c>
      <c r="J765" t="s">
        <v>25</v>
      </c>
      <c r="K765" t="s">
        <v>168</v>
      </c>
      <c r="L765" t="s">
        <v>96</v>
      </c>
      <c r="M765" t="s">
        <v>120</v>
      </c>
      <c r="N765" t="s">
        <v>359</v>
      </c>
      <c r="O765">
        <v>19</v>
      </c>
      <c r="P765">
        <v>370409.61</v>
      </c>
      <c r="Q765">
        <v>0</v>
      </c>
      <c r="R765">
        <v>0</v>
      </c>
      <c r="S765" s="11">
        <v>7037782.5899999999</v>
      </c>
      <c r="T765">
        <v>2141221.64</v>
      </c>
      <c r="U765">
        <f t="shared" si="11"/>
        <v>7037782.5899999999</v>
      </c>
    </row>
    <row r="766" spans="1:21" ht="15" customHeight="1" x14ac:dyDescent="0.25">
      <c r="A766" t="s">
        <v>2758</v>
      </c>
      <c r="B766" s="8">
        <v>45393</v>
      </c>
      <c r="C766" s="8">
        <v>45394</v>
      </c>
      <c r="D766" t="s">
        <v>32</v>
      </c>
      <c r="E766" t="s">
        <v>3084</v>
      </c>
      <c r="F766" t="s">
        <v>3066</v>
      </c>
      <c r="G766" t="s">
        <v>2760</v>
      </c>
      <c r="H766">
        <v>8036599997</v>
      </c>
      <c r="I766" t="s">
        <v>35</v>
      </c>
      <c r="J766" t="s">
        <v>25</v>
      </c>
      <c r="K766" t="s">
        <v>44</v>
      </c>
      <c r="L766" t="s">
        <v>63</v>
      </c>
      <c r="M766" t="s">
        <v>249</v>
      </c>
      <c r="N766" t="s">
        <v>1141</v>
      </c>
      <c r="O766">
        <v>16</v>
      </c>
      <c r="P766">
        <v>6274.22</v>
      </c>
      <c r="Q766">
        <v>15</v>
      </c>
      <c r="R766">
        <v>15058.13</v>
      </c>
      <c r="S766" s="11">
        <v>85329.39</v>
      </c>
      <c r="T766">
        <v>17326.47</v>
      </c>
      <c r="U766">
        <f t="shared" si="11"/>
        <v>85329.39</v>
      </c>
    </row>
    <row r="767" spans="1:21" ht="15" customHeight="1" x14ac:dyDescent="0.25">
      <c r="A767" t="s">
        <v>2348</v>
      </c>
      <c r="B767" s="8">
        <v>45394</v>
      </c>
      <c r="C767" s="8">
        <v>45402</v>
      </c>
      <c r="D767" t="s">
        <v>48</v>
      </c>
      <c r="E767" t="s">
        <v>3098</v>
      </c>
      <c r="F767" t="s">
        <v>3050</v>
      </c>
      <c r="G767" t="s">
        <v>2350</v>
      </c>
      <c r="H767">
        <v>8163029740</v>
      </c>
      <c r="I767" t="s">
        <v>24</v>
      </c>
      <c r="J767" t="s">
        <v>25</v>
      </c>
      <c r="K767" t="s">
        <v>26</v>
      </c>
      <c r="L767" t="s">
        <v>1751</v>
      </c>
      <c r="M767" t="s">
        <v>173</v>
      </c>
      <c r="N767" t="s">
        <v>279</v>
      </c>
      <c r="O767">
        <v>2</v>
      </c>
      <c r="P767">
        <v>3676.61</v>
      </c>
      <c r="Q767">
        <v>10</v>
      </c>
      <c r="R767">
        <v>735.32</v>
      </c>
      <c r="S767" s="11">
        <v>6617.9</v>
      </c>
      <c r="T767">
        <v>2230.2199999999998</v>
      </c>
      <c r="U767">
        <f t="shared" si="11"/>
        <v>6617.9</v>
      </c>
    </row>
    <row r="768" spans="1:21" ht="15" customHeight="1" x14ac:dyDescent="0.25">
      <c r="A768" t="s">
        <v>111</v>
      </c>
      <c r="B768" s="8">
        <v>45394</v>
      </c>
      <c r="C768" s="8">
        <v>45398</v>
      </c>
      <c r="D768" t="s">
        <v>73</v>
      </c>
      <c r="E768" t="s">
        <v>3055</v>
      </c>
      <c r="F768" t="s">
        <v>3052</v>
      </c>
      <c r="G768" t="s">
        <v>113</v>
      </c>
      <c r="H768">
        <v>8033762152</v>
      </c>
      <c r="I768" t="s">
        <v>35</v>
      </c>
      <c r="J768" t="s">
        <v>25</v>
      </c>
      <c r="K768" t="s">
        <v>26</v>
      </c>
      <c r="L768" t="s">
        <v>108</v>
      </c>
      <c r="M768" t="s">
        <v>114</v>
      </c>
      <c r="N768" t="s">
        <v>115</v>
      </c>
      <c r="O768">
        <v>15</v>
      </c>
      <c r="P768">
        <v>13403.73</v>
      </c>
      <c r="Q768">
        <v>10</v>
      </c>
      <c r="R768">
        <v>20105.59</v>
      </c>
      <c r="S768" s="11">
        <v>180950.36</v>
      </c>
      <c r="T768">
        <v>18783.46</v>
      </c>
      <c r="U768">
        <f t="shared" si="11"/>
        <v>180950.36</v>
      </c>
    </row>
    <row r="769" spans="1:21" ht="15" customHeight="1" x14ac:dyDescent="0.25">
      <c r="A769" t="s">
        <v>1513</v>
      </c>
      <c r="B769" s="8">
        <v>45398</v>
      </c>
      <c r="C769" s="8">
        <v>45401</v>
      </c>
      <c r="D769" t="s">
        <v>73</v>
      </c>
      <c r="E769" t="s">
        <v>3047</v>
      </c>
      <c r="F769" t="s">
        <v>3064</v>
      </c>
      <c r="G769" t="s">
        <v>1515</v>
      </c>
      <c r="I769" t="s">
        <v>43</v>
      </c>
      <c r="J769" t="s">
        <v>51</v>
      </c>
      <c r="K769" t="s">
        <v>131</v>
      </c>
      <c r="L769" t="s">
        <v>85</v>
      </c>
      <c r="M769" t="s">
        <v>243</v>
      </c>
      <c r="N769" t="s">
        <v>244</v>
      </c>
      <c r="O769">
        <v>15</v>
      </c>
      <c r="P769">
        <v>125693.94</v>
      </c>
      <c r="Q769">
        <v>0</v>
      </c>
      <c r="R769">
        <v>0</v>
      </c>
      <c r="S769" s="11">
        <v>1885409.1</v>
      </c>
      <c r="T769">
        <v>-271136.64000000001</v>
      </c>
      <c r="U769">
        <f t="shared" si="11"/>
        <v>1885409.1</v>
      </c>
    </row>
    <row r="770" spans="1:21" ht="15" customHeight="1" x14ac:dyDescent="0.25">
      <c r="A770" t="s">
        <v>2968</v>
      </c>
      <c r="B770" s="8">
        <v>45398</v>
      </c>
      <c r="C770" s="8">
        <v>45400</v>
      </c>
      <c r="D770" t="s">
        <v>20</v>
      </c>
      <c r="E770" t="s">
        <v>3095</v>
      </c>
      <c r="F770" t="s">
        <v>3043</v>
      </c>
      <c r="G770" t="s">
        <v>1708</v>
      </c>
      <c r="H770">
        <v>9011384511</v>
      </c>
      <c r="I770" t="s">
        <v>35</v>
      </c>
      <c r="J770" t="s">
        <v>25</v>
      </c>
      <c r="K770" t="s">
        <v>36</v>
      </c>
      <c r="L770" t="s">
        <v>108</v>
      </c>
      <c r="M770" t="s">
        <v>189</v>
      </c>
      <c r="N770" t="s">
        <v>205</v>
      </c>
      <c r="O770">
        <v>14</v>
      </c>
      <c r="P770">
        <v>32924.870000000003</v>
      </c>
      <c r="Q770">
        <v>15</v>
      </c>
      <c r="R770">
        <v>69142.23</v>
      </c>
      <c r="S770" s="11">
        <v>391805.95</v>
      </c>
      <c r="T770">
        <v>101261.15</v>
      </c>
      <c r="U770">
        <f t="shared" ref="U770:U833" si="12">VALUE(S770)</f>
        <v>391805.95</v>
      </c>
    </row>
    <row r="771" spans="1:21" ht="15" customHeight="1" x14ac:dyDescent="0.25">
      <c r="A771" t="s">
        <v>2537</v>
      </c>
      <c r="B771" s="8">
        <v>45401</v>
      </c>
      <c r="C771" s="8">
        <v>45406</v>
      </c>
      <c r="D771" t="s">
        <v>48</v>
      </c>
      <c r="E771" t="s">
        <v>3085</v>
      </c>
      <c r="F771" t="s">
        <v>3034</v>
      </c>
      <c r="G771" t="s">
        <v>2539</v>
      </c>
      <c r="H771">
        <v>9016396496</v>
      </c>
      <c r="I771" t="s">
        <v>24</v>
      </c>
      <c r="J771" t="s">
        <v>25</v>
      </c>
      <c r="K771" t="s">
        <v>26</v>
      </c>
      <c r="L771" t="s">
        <v>63</v>
      </c>
      <c r="M771" t="s">
        <v>249</v>
      </c>
      <c r="N771" t="s">
        <v>2013</v>
      </c>
      <c r="O771">
        <v>8</v>
      </c>
      <c r="P771">
        <v>22587.23</v>
      </c>
      <c r="Q771">
        <v>0</v>
      </c>
      <c r="R771">
        <v>0</v>
      </c>
      <c r="S771" s="11">
        <v>180697.84</v>
      </c>
      <c r="T771">
        <v>14225.99</v>
      </c>
      <c r="U771">
        <f t="shared" si="12"/>
        <v>180697.84</v>
      </c>
    </row>
    <row r="772" spans="1:21" ht="15" customHeight="1" x14ac:dyDescent="0.25">
      <c r="A772" t="s">
        <v>309</v>
      </c>
      <c r="B772" s="8">
        <v>45401</v>
      </c>
      <c r="C772" s="8">
        <v>45406</v>
      </c>
      <c r="D772" t="s">
        <v>73</v>
      </c>
      <c r="E772" t="s">
        <v>3084</v>
      </c>
      <c r="F772" t="s">
        <v>3050</v>
      </c>
      <c r="G772" t="s">
        <v>311</v>
      </c>
      <c r="H772">
        <v>9025446344</v>
      </c>
      <c r="I772" t="s">
        <v>24</v>
      </c>
      <c r="J772" t="s">
        <v>69</v>
      </c>
      <c r="K772" t="s">
        <v>307</v>
      </c>
      <c r="L772" t="s">
        <v>63</v>
      </c>
      <c r="M772" t="s">
        <v>312</v>
      </c>
      <c r="N772" t="s">
        <v>313</v>
      </c>
      <c r="O772">
        <v>11</v>
      </c>
      <c r="P772">
        <v>16421</v>
      </c>
      <c r="Q772">
        <v>25</v>
      </c>
      <c r="R772">
        <v>45157.75</v>
      </c>
      <c r="S772" s="11">
        <v>135473.25</v>
      </c>
      <c r="T772">
        <v>10567.68</v>
      </c>
      <c r="U772">
        <f t="shared" si="12"/>
        <v>135473.25</v>
      </c>
    </row>
    <row r="773" spans="1:21" ht="15" customHeight="1" x14ac:dyDescent="0.25">
      <c r="A773" t="s">
        <v>1722</v>
      </c>
      <c r="B773" s="8">
        <v>45401</v>
      </c>
      <c r="C773" s="8">
        <v>45404</v>
      </c>
      <c r="D773" t="s">
        <v>20</v>
      </c>
      <c r="E773" t="s">
        <v>3048</v>
      </c>
      <c r="F773" t="s">
        <v>3036</v>
      </c>
      <c r="G773" t="s">
        <v>1723</v>
      </c>
      <c r="H773">
        <v>8151748853</v>
      </c>
      <c r="I773" t="s">
        <v>24</v>
      </c>
      <c r="J773" t="s">
        <v>25</v>
      </c>
      <c r="K773" t="s">
        <v>26</v>
      </c>
      <c r="L773" t="s">
        <v>156</v>
      </c>
      <c r="M773" t="s">
        <v>114</v>
      </c>
      <c r="N773" t="s">
        <v>291</v>
      </c>
      <c r="O773">
        <v>15</v>
      </c>
      <c r="P773">
        <v>29471.26</v>
      </c>
      <c r="Q773">
        <v>15</v>
      </c>
      <c r="R773">
        <v>66310.33</v>
      </c>
      <c r="S773" s="11">
        <v>375758.57</v>
      </c>
      <c r="T773">
        <v>21115.61</v>
      </c>
      <c r="U773">
        <f t="shared" si="12"/>
        <v>375758.57</v>
      </c>
    </row>
    <row r="774" spans="1:21" ht="15" customHeight="1" x14ac:dyDescent="0.25">
      <c r="A774" t="s">
        <v>843</v>
      </c>
      <c r="B774" s="8">
        <v>45403</v>
      </c>
      <c r="C774" s="8">
        <v>45406</v>
      </c>
      <c r="D774" t="s">
        <v>20</v>
      </c>
      <c r="G774" t="s">
        <v>844</v>
      </c>
      <c r="H774">
        <v>9058936405</v>
      </c>
      <c r="I774" t="s">
        <v>24</v>
      </c>
      <c r="J774" t="s">
        <v>25</v>
      </c>
      <c r="K774" t="s">
        <v>44</v>
      </c>
      <c r="L774" t="s">
        <v>96</v>
      </c>
      <c r="M774" t="s">
        <v>385</v>
      </c>
      <c r="N774" t="s">
        <v>386</v>
      </c>
      <c r="O774">
        <v>20</v>
      </c>
      <c r="P774">
        <v>190293.67</v>
      </c>
      <c r="Q774">
        <v>15</v>
      </c>
      <c r="R774">
        <v>570881.01</v>
      </c>
      <c r="S774" s="11">
        <v>3234992.39</v>
      </c>
      <c r="T774">
        <v>-409972.14</v>
      </c>
      <c r="U774">
        <f t="shared" si="12"/>
        <v>3234992.39</v>
      </c>
    </row>
    <row r="775" spans="1:21" ht="15" customHeight="1" x14ac:dyDescent="0.25">
      <c r="A775" t="s">
        <v>1993</v>
      </c>
      <c r="B775" s="8">
        <v>45404</v>
      </c>
      <c r="C775" s="8">
        <v>45409</v>
      </c>
      <c r="D775" t="s">
        <v>48</v>
      </c>
      <c r="G775" t="s">
        <v>370</v>
      </c>
      <c r="H775">
        <v>9078450817</v>
      </c>
      <c r="I775" t="s">
        <v>24</v>
      </c>
      <c r="J775" t="s">
        <v>25</v>
      </c>
      <c r="K775" t="s">
        <v>26</v>
      </c>
      <c r="L775" t="s">
        <v>27</v>
      </c>
      <c r="M775" t="s">
        <v>173</v>
      </c>
      <c r="N775" t="s">
        <v>279</v>
      </c>
      <c r="O775">
        <v>14</v>
      </c>
      <c r="P775">
        <v>5441.37</v>
      </c>
      <c r="Q775">
        <v>5</v>
      </c>
      <c r="R775">
        <v>3808.96</v>
      </c>
      <c r="S775" s="11">
        <v>72370.22</v>
      </c>
      <c r="T775">
        <v>-1177.6400000000001</v>
      </c>
      <c r="U775">
        <f t="shared" si="12"/>
        <v>72370.22</v>
      </c>
    </row>
    <row r="776" spans="1:21" ht="15" customHeight="1" x14ac:dyDescent="0.25">
      <c r="A776" t="s">
        <v>2953</v>
      </c>
      <c r="B776" s="8">
        <v>45405</v>
      </c>
      <c r="C776" s="8">
        <v>45405</v>
      </c>
      <c r="D776" t="s">
        <v>32</v>
      </c>
      <c r="E776" t="s">
        <v>3080</v>
      </c>
      <c r="F776" t="s">
        <v>3054</v>
      </c>
      <c r="G776" t="s">
        <v>2955</v>
      </c>
      <c r="H776">
        <v>8032544670</v>
      </c>
      <c r="I776" t="s">
        <v>24</v>
      </c>
      <c r="J776" t="s">
        <v>69</v>
      </c>
      <c r="K776" t="s">
        <v>119</v>
      </c>
      <c r="L776" t="s">
        <v>108</v>
      </c>
      <c r="M776" t="s">
        <v>183</v>
      </c>
      <c r="N776" t="s">
        <v>869</v>
      </c>
      <c r="O776">
        <v>6</v>
      </c>
      <c r="P776">
        <v>41692.870000000003</v>
      </c>
      <c r="Q776">
        <v>0</v>
      </c>
      <c r="R776">
        <v>0</v>
      </c>
      <c r="S776" s="11">
        <v>250157.22</v>
      </c>
      <c r="T776">
        <v>77915.94</v>
      </c>
      <c r="U776">
        <f t="shared" si="12"/>
        <v>250157.22</v>
      </c>
    </row>
    <row r="777" spans="1:21" ht="15" customHeight="1" x14ac:dyDescent="0.25">
      <c r="A777" t="s">
        <v>1137</v>
      </c>
      <c r="B777" s="8">
        <v>45406</v>
      </c>
      <c r="C777" s="8">
        <v>45409</v>
      </c>
      <c r="D777" t="s">
        <v>20</v>
      </c>
      <c r="E777" t="s">
        <v>3041</v>
      </c>
      <c r="F777" t="s">
        <v>3088</v>
      </c>
      <c r="G777" t="s">
        <v>655</v>
      </c>
      <c r="H777">
        <v>9054589118</v>
      </c>
      <c r="I777" t="s">
        <v>43</v>
      </c>
      <c r="J777" t="s">
        <v>51</v>
      </c>
      <c r="K777" t="s">
        <v>227</v>
      </c>
      <c r="L777" t="s">
        <v>108</v>
      </c>
      <c r="M777" t="s">
        <v>189</v>
      </c>
      <c r="N777" t="s">
        <v>325</v>
      </c>
      <c r="P777">
        <v>17480.37</v>
      </c>
      <c r="Q777">
        <v>20</v>
      </c>
      <c r="R777">
        <v>52441.11</v>
      </c>
      <c r="S777" s="11">
        <v>209764.44</v>
      </c>
      <c r="T777">
        <v>89337.55</v>
      </c>
      <c r="U777">
        <f t="shared" si="12"/>
        <v>209764.44</v>
      </c>
    </row>
    <row r="778" spans="1:21" ht="15" customHeight="1" x14ac:dyDescent="0.25">
      <c r="A778" t="s">
        <v>1083</v>
      </c>
      <c r="B778" s="8">
        <v>45409</v>
      </c>
      <c r="C778" s="8">
        <v>45409</v>
      </c>
      <c r="D778" t="s">
        <v>32</v>
      </c>
      <c r="E778" t="s">
        <v>3065</v>
      </c>
      <c r="F778" t="s">
        <v>3086</v>
      </c>
      <c r="G778" t="s">
        <v>1084</v>
      </c>
      <c r="H778">
        <v>8104936391</v>
      </c>
      <c r="I778" t="s">
        <v>24</v>
      </c>
      <c r="J778" t="s">
        <v>51</v>
      </c>
      <c r="K778" t="s">
        <v>227</v>
      </c>
      <c r="L778" t="s">
        <v>63</v>
      </c>
      <c r="M778" t="s">
        <v>469</v>
      </c>
      <c r="N778" t="s">
        <v>470</v>
      </c>
      <c r="O778">
        <v>13</v>
      </c>
      <c r="P778">
        <v>5659</v>
      </c>
      <c r="Q778">
        <v>0</v>
      </c>
      <c r="R778">
        <v>0</v>
      </c>
      <c r="S778" s="11">
        <v>73567</v>
      </c>
      <c r="T778">
        <v>-6817.29</v>
      </c>
      <c r="U778">
        <f t="shared" si="12"/>
        <v>73567</v>
      </c>
    </row>
    <row r="779" spans="1:21" ht="15" customHeight="1" x14ac:dyDescent="0.25">
      <c r="A779" t="s">
        <v>709</v>
      </c>
      <c r="B779" s="8">
        <v>45410</v>
      </c>
      <c r="C779" s="8">
        <v>45413</v>
      </c>
      <c r="D779" t="s">
        <v>20</v>
      </c>
      <c r="E779" t="s">
        <v>3053</v>
      </c>
      <c r="F779" t="s">
        <v>3050</v>
      </c>
      <c r="G779" t="s">
        <v>711</v>
      </c>
      <c r="H779">
        <v>7069650558</v>
      </c>
      <c r="I779" t="s">
        <v>35</v>
      </c>
      <c r="J779" t="s">
        <v>69</v>
      </c>
      <c r="K779" t="s">
        <v>70</v>
      </c>
      <c r="L779" t="s">
        <v>63</v>
      </c>
      <c r="M779" t="s">
        <v>469</v>
      </c>
      <c r="N779" t="s">
        <v>712</v>
      </c>
      <c r="O779">
        <v>16</v>
      </c>
      <c r="P779">
        <v>11640.04</v>
      </c>
      <c r="Q779">
        <v>10</v>
      </c>
      <c r="R779">
        <v>18624.060000000001</v>
      </c>
      <c r="S779" s="11">
        <v>167616.57999999999</v>
      </c>
      <c r="T779">
        <v>33384.75</v>
      </c>
      <c r="U779">
        <f t="shared" si="12"/>
        <v>167616.57999999999</v>
      </c>
    </row>
    <row r="780" spans="1:21" ht="15" customHeight="1" x14ac:dyDescent="0.25">
      <c r="A780" t="s">
        <v>1403</v>
      </c>
      <c r="B780" s="8">
        <v>45410</v>
      </c>
      <c r="C780" s="8">
        <v>45410</v>
      </c>
      <c r="D780" t="s">
        <v>32</v>
      </c>
      <c r="E780" t="s">
        <v>3035</v>
      </c>
      <c r="F780" t="s">
        <v>3088</v>
      </c>
      <c r="G780" t="s">
        <v>1405</v>
      </c>
      <c r="H780">
        <v>8104486033</v>
      </c>
      <c r="I780" t="s">
        <v>24</v>
      </c>
      <c r="J780" t="s">
        <v>51</v>
      </c>
      <c r="K780" t="s">
        <v>131</v>
      </c>
      <c r="M780" t="s">
        <v>64</v>
      </c>
      <c r="N780" t="s">
        <v>777</v>
      </c>
      <c r="O780">
        <v>3</v>
      </c>
      <c r="P780">
        <v>24672.639999999999</v>
      </c>
      <c r="Q780">
        <v>15</v>
      </c>
      <c r="R780">
        <v>11102.69</v>
      </c>
      <c r="S780" s="11">
        <v>62915.23</v>
      </c>
      <c r="T780">
        <v>-6098.44</v>
      </c>
      <c r="U780">
        <f t="shared" si="12"/>
        <v>62915.23</v>
      </c>
    </row>
    <row r="781" spans="1:21" ht="15" customHeight="1" x14ac:dyDescent="0.25">
      <c r="A781" t="s">
        <v>440</v>
      </c>
      <c r="B781" s="8">
        <v>45411</v>
      </c>
      <c r="C781" s="8">
        <v>45416</v>
      </c>
      <c r="D781" t="s">
        <v>48</v>
      </c>
      <c r="E781" t="s">
        <v>3058</v>
      </c>
      <c r="F781" t="s">
        <v>3075</v>
      </c>
      <c r="G781" t="s">
        <v>442</v>
      </c>
      <c r="H781" t="s">
        <v>23</v>
      </c>
      <c r="I781" t="s">
        <v>43</v>
      </c>
      <c r="J781" t="s">
        <v>61</v>
      </c>
      <c r="K781" t="s">
        <v>204</v>
      </c>
      <c r="L781" t="s">
        <v>96</v>
      </c>
      <c r="M781" t="s">
        <v>97</v>
      </c>
      <c r="N781" t="s">
        <v>443</v>
      </c>
      <c r="O781">
        <v>4</v>
      </c>
      <c r="P781">
        <v>27261.58</v>
      </c>
      <c r="Q781">
        <v>10</v>
      </c>
      <c r="R781">
        <v>10904.63</v>
      </c>
      <c r="T781">
        <v>31879.21</v>
      </c>
      <c r="U781">
        <f t="shared" si="12"/>
        <v>0</v>
      </c>
    </row>
    <row r="782" spans="1:21" ht="15" customHeight="1" x14ac:dyDescent="0.25">
      <c r="A782" t="s">
        <v>2031</v>
      </c>
      <c r="B782" s="8">
        <v>45412</v>
      </c>
      <c r="C782" s="8">
        <v>45419</v>
      </c>
      <c r="D782" t="s">
        <v>48</v>
      </c>
      <c r="E782" t="s">
        <v>3091</v>
      </c>
      <c r="F782" t="s">
        <v>3074</v>
      </c>
      <c r="G782" t="s">
        <v>2033</v>
      </c>
      <c r="H782">
        <v>7062338271</v>
      </c>
      <c r="I782" t="s">
        <v>43</v>
      </c>
      <c r="J782" t="s">
        <v>25</v>
      </c>
      <c r="K782" t="s">
        <v>26</v>
      </c>
      <c r="L782" t="s">
        <v>27</v>
      </c>
      <c r="M782" t="s">
        <v>45</v>
      </c>
      <c r="N782" t="s">
        <v>875</v>
      </c>
      <c r="O782">
        <v>13</v>
      </c>
      <c r="P782">
        <v>5014.87</v>
      </c>
      <c r="Q782">
        <v>10</v>
      </c>
      <c r="R782">
        <v>6519.33</v>
      </c>
      <c r="S782" s="11">
        <v>58673.98</v>
      </c>
      <c r="T782">
        <v>15717.24</v>
      </c>
      <c r="U782">
        <f t="shared" si="12"/>
        <v>58673.98</v>
      </c>
    </row>
    <row r="783" spans="1:21" ht="15" customHeight="1" x14ac:dyDescent="0.25">
      <c r="A783" t="s">
        <v>753</v>
      </c>
      <c r="B783" s="8">
        <v>45414</v>
      </c>
      <c r="C783" s="8">
        <v>45419</v>
      </c>
      <c r="D783" t="s">
        <v>73</v>
      </c>
      <c r="E783" t="s">
        <v>3041</v>
      </c>
      <c r="F783" t="s">
        <v>3036</v>
      </c>
      <c r="G783" t="s">
        <v>755</v>
      </c>
      <c r="H783">
        <v>9057254683</v>
      </c>
      <c r="I783" t="s">
        <v>43</v>
      </c>
      <c r="J783" t="s">
        <v>69</v>
      </c>
      <c r="K783" t="s">
        <v>119</v>
      </c>
      <c r="L783" t="s">
        <v>96</v>
      </c>
      <c r="M783" t="s">
        <v>254</v>
      </c>
      <c r="N783" t="s">
        <v>756</v>
      </c>
      <c r="O783">
        <v>17</v>
      </c>
      <c r="P783">
        <v>93014.79</v>
      </c>
      <c r="Q783">
        <v>0</v>
      </c>
      <c r="R783">
        <v>0</v>
      </c>
      <c r="S783" s="11">
        <v>1581251.43</v>
      </c>
      <c r="T783">
        <v>667995.93999999994</v>
      </c>
      <c r="U783">
        <f t="shared" si="12"/>
        <v>1581251.43</v>
      </c>
    </row>
    <row r="784" spans="1:21" ht="15" customHeight="1" x14ac:dyDescent="0.25">
      <c r="A784" t="s">
        <v>1529</v>
      </c>
      <c r="B784" s="8">
        <v>45414</v>
      </c>
      <c r="C784" s="8">
        <v>45417</v>
      </c>
      <c r="D784" t="s">
        <v>73</v>
      </c>
      <c r="E784" t="s">
        <v>3059</v>
      </c>
      <c r="F784" t="s">
        <v>3096</v>
      </c>
      <c r="G784" t="s">
        <v>1531</v>
      </c>
      <c r="H784">
        <v>9072582179</v>
      </c>
      <c r="I784" t="s">
        <v>35</v>
      </c>
      <c r="J784" t="s">
        <v>61</v>
      </c>
      <c r="L784" t="s">
        <v>63</v>
      </c>
      <c r="M784" t="s">
        <v>249</v>
      </c>
      <c r="N784" t="s">
        <v>1141</v>
      </c>
      <c r="O784">
        <v>4</v>
      </c>
      <c r="P784">
        <v>17192.150000000001</v>
      </c>
      <c r="Q784">
        <v>15</v>
      </c>
      <c r="R784">
        <v>10315.290000000001</v>
      </c>
      <c r="S784" s="11">
        <v>58453.31</v>
      </c>
      <c r="T784">
        <v>4333.4399999999996</v>
      </c>
      <c r="U784">
        <f t="shared" si="12"/>
        <v>58453.31</v>
      </c>
    </row>
    <row r="785" spans="1:21" ht="15" customHeight="1" x14ac:dyDescent="0.25">
      <c r="A785" t="s">
        <v>949</v>
      </c>
      <c r="B785" s="8">
        <v>45415</v>
      </c>
      <c r="C785" s="8">
        <v>45416</v>
      </c>
      <c r="D785" t="s">
        <v>32</v>
      </c>
      <c r="E785" t="s">
        <v>3060</v>
      </c>
      <c r="F785" t="s">
        <v>3090</v>
      </c>
      <c r="G785" t="s">
        <v>951</v>
      </c>
      <c r="H785">
        <v>9015216804</v>
      </c>
      <c r="I785" t="s">
        <v>43</v>
      </c>
      <c r="J785" t="s">
        <v>51</v>
      </c>
      <c r="K785" t="s">
        <v>52</v>
      </c>
      <c r="L785" t="s">
        <v>85</v>
      </c>
      <c r="M785" t="s">
        <v>266</v>
      </c>
      <c r="N785" t="s">
        <v>952</v>
      </c>
      <c r="O785">
        <v>12</v>
      </c>
      <c r="P785">
        <v>150757.16</v>
      </c>
      <c r="Q785">
        <v>25</v>
      </c>
      <c r="R785">
        <v>452271.48</v>
      </c>
      <c r="S785" s="11">
        <v>1356814.44</v>
      </c>
      <c r="T785">
        <v>397641.63</v>
      </c>
      <c r="U785">
        <f t="shared" si="12"/>
        <v>1356814.44</v>
      </c>
    </row>
    <row r="786" spans="1:21" ht="15" customHeight="1" x14ac:dyDescent="0.25">
      <c r="A786" t="s">
        <v>1170</v>
      </c>
      <c r="B786" s="8">
        <v>45416</v>
      </c>
      <c r="C786" s="8">
        <v>45413</v>
      </c>
      <c r="D786" t="s">
        <v>73</v>
      </c>
      <c r="E786" t="s">
        <v>3094</v>
      </c>
      <c r="F786" t="s">
        <v>3054</v>
      </c>
      <c r="G786" t="s">
        <v>1172</v>
      </c>
      <c r="H786">
        <v>8166524481</v>
      </c>
      <c r="I786" t="s">
        <v>24</v>
      </c>
      <c r="J786" t="s">
        <v>69</v>
      </c>
      <c r="K786" t="s">
        <v>155</v>
      </c>
      <c r="L786" t="s">
        <v>37</v>
      </c>
      <c r="M786" t="s">
        <v>189</v>
      </c>
      <c r="N786" t="s">
        <v>190</v>
      </c>
      <c r="O786">
        <v>5</v>
      </c>
      <c r="P786">
        <v>10890.56</v>
      </c>
      <c r="Q786">
        <v>25</v>
      </c>
      <c r="R786">
        <v>13613.2</v>
      </c>
      <c r="S786" s="11">
        <v>40839.599999999999</v>
      </c>
      <c r="T786">
        <v>10635.82</v>
      </c>
      <c r="U786">
        <f t="shared" si="12"/>
        <v>40839.599999999999</v>
      </c>
    </row>
    <row r="787" spans="1:21" ht="15" customHeight="1" x14ac:dyDescent="0.25">
      <c r="A787" t="s">
        <v>2451</v>
      </c>
      <c r="B787" s="8">
        <v>45421</v>
      </c>
      <c r="C787" s="8">
        <v>45424</v>
      </c>
      <c r="D787" t="s">
        <v>20</v>
      </c>
      <c r="E787" t="s">
        <v>3097</v>
      </c>
      <c r="F787" t="s">
        <v>3050</v>
      </c>
      <c r="G787" t="s">
        <v>2452</v>
      </c>
      <c r="H787" t="s">
        <v>1508</v>
      </c>
      <c r="I787" t="s">
        <v>24</v>
      </c>
      <c r="J787" t="s">
        <v>51</v>
      </c>
      <c r="K787" t="s">
        <v>223</v>
      </c>
      <c r="L787" t="s">
        <v>85</v>
      </c>
      <c r="M787" t="s">
        <v>266</v>
      </c>
      <c r="N787" t="s">
        <v>952</v>
      </c>
      <c r="O787">
        <v>14</v>
      </c>
      <c r="P787">
        <v>46078.76</v>
      </c>
      <c r="Q787">
        <v>10</v>
      </c>
      <c r="R787">
        <v>64510.26</v>
      </c>
      <c r="S787" s="11">
        <v>580592.38</v>
      </c>
      <c r="T787">
        <v>-50871.93</v>
      </c>
      <c r="U787">
        <f t="shared" si="12"/>
        <v>580592.38</v>
      </c>
    </row>
    <row r="788" spans="1:21" ht="15" customHeight="1" x14ac:dyDescent="0.25">
      <c r="A788" t="s">
        <v>2823</v>
      </c>
      <c r="B788" s="8">
        <v>45422</v>
      </c>
      <c r="C788" s="8">
        <v>45429</v>
      </c>
      <c r="D788" t="s">
        <v>48</v>
      </c>
      <c r="E788" t="s">
        <v>3080</v>
      </c>
      <c r="F788" t="s">
        <v>3083</v>
      </c>
      <c r="G788" t="s">
        <v>2825</v>
      </c>
      <c r="H788">
        <v>8067803915</v>
      </c>
      <c r="I788" t="s">
        <v>35</v>
      </c>
      <c r="J788" t="s">
        <v>51</v>
      </c>
      <c r="K788" t="s">
        <v>223</v>
      </c>
      <c r="L788" t="s">
        <v>27</v>
      </c>
      <c r="M788" t="s">
        <v>354</v>
      </c>
      <c r="N788" t="s">
        <v>494</v>
      </c>
      <c r="O788">
        <v>19</v>
      </c>
      <c r="P788">
        <v>5623.01</v>
      </c>
      <c r="Q788">
        <v>0</v>
      </c>
      <c r="R788">
        <v>0</v>
      </c>
      <c r="S788" s="11">
        <v>106837.19</v>
      </c>
      <c r="T788">
        <v>36182.31</v>
      </c>
      <c r="U788">
        <f t="shared" si="12"/>
        <v>106837.19</v>
      </c>
    </row>
    <row r="789" spans="1:21" ht="15" customHeight="1" x14ac:dyDescent="0.25">
      <c r="A789" t="s">
        <v>1655</v>
      </c>
      <c r="B789" s="8">
        <v>45422</v>
      </c>
      <c r="C789" s="8">
        <v>45425</v>
      </c>
      <c r="D789" t="s">
        <v>20</v>
      </c>
      <c r="E789" t="s">
        <v>3041</v>
      </c>
      <c r="F789" t="s">
        <v>3046</v>
      </c>
      <c r="H789">
        <v>8136615431</v>
      </c>
      <c r="I789" t="s">
        <v>35</v>
      </c>
      <c r="J789" t="s">
        <v>25</v>
      </c>
      <c r="K789" t="s">
        <v>126</v>
      </c>
      <c r="L789" t="s">
        <v>96</v>
      </c>
      <c r="M789" t="s">
        <v>254</v>
      </c>
      <c r="N789" t="s">
        <v>756</v>
      </c>
      <c r="O789">
        <v>8</v>
      </c>
      <c r="P789">
        <v>445765.12</v>
      </c>
      <c r="Q789">
        <v>15</v>
      </c>
      <c r="R789">
        <v>534918.14</v>
      </c>
      <c r="S789" s="11">
        <v>3031202.82</v>
      </c>
      <c r="T789">
        <v>1287246.99</v>
      </c>
      <c r="U789">
        <f t="shared" si="12"/>
        <v>3031202.82</v>
      </c>
    </row>
    <row r="790" spans="1:21" ht="15" customHeight="1" x14ac:dyDescent="0.25">
      <c r="A790" t="s">
        <v>2116</v>
      </c>
      <c r="B790" s="8">
        <v>45422</v>
      </c>
      <c r="C790" s="8">
        <v>45422</v>
      </c>
      <c r="D790" t="s">
        <v>32</v>
      </c>
      <c r="E790" t="s">
        <v>3087</v>
      </c>
      <c r="F790" t="s">
        <v>3088</v>
      </c>
      <c r="G790" t="s">
        <v>2118</v>
      </c>
      <c r="H790">
        <v>8061627774</v>
      </c>
      <c r="I790" t="s">
        <v>35</v>
      </c>
      <c r="J790" t="s">
        <v>61</v>
      </c>
      <c r="K790" t="s">
        <v>95</v>
      </c>
      <c r="L790" t="s">
        <v>96</v>
      </c>
      <c r="M790" t="s">
        <v>189</v>
      </c>
      <c r="N790" t="s">
        <v>325</v>
      </c>
      <c r="O790">
        <v>1</v>
      </c>
      <c r="P790">
        <v>278841.99</v>
      </c>
      <c r="Q790">
        <v>0</v>
      </c>
      <c r="R790">
        <v>0</v>
      </c>
      <c r="S790" s="11">
        <v>278841.99</v>
      </c>
      <c r="T790">
        <v>11905.31</v>
      </c>
      <c r="U790">
        <f t="shared" si="12"/>
        <v>278841.99</v>
      </c>
    </row>
    <row r="791" spans="1:21" ht="15" customHeight="1" x14ac:dyDescent="0.25">
      <c r="A791" t="s">
        <v>1732</v>
      </c>
      <c r="B791" s="8">
        <v>45425</v>
      </c>
      <c r="C791" s="8">
        <v>45430</v>
      </c>
      <c r="D791" t="s">
        <v>48</v>
      </c>
      <c r="E791" t="s">
        <v>3049</v>
      </c>
      <c r="F791" t="s">
        <v>3074</v>
      </c>
      <c r="G791" t="s">
        <v>1734</v>
      </c>
      <c r="H791">
        <v>9072059841</v>
      </c>
      <c r="I791" t="s">
        <v>35</v>
      </c>
      <c r="J791" t="s">
        <v>61</v>
      </c>
      <c r="K791" t="s">
        <v>62</v>
      </c>
      <c r="M791" t="s">
        <v>86</v>
      </c>
      <c r="N791" t="s">
        <v>87</v>
      </c>
      <c r="O791">
        <v>2</v>
      </c>
      <c r="P791">
        <v>132529.98000000001</v>
      </c>
      <c r="Q791">
        <v>15</v>
      </c>
      <c r="R791">
        <v>39758.99</v>
      </c>
      <c r="S791" s="11">
        <v>225300.97</v>
      </c>
      <c r="T791">
        <v>35484.92</v>
      </c>
      <c r="U791">
        <f t="shared" si="12"/>
        <v>225300.97</v>
      </c>
    </row>
    <row r="792" spans="1:21" ht="15" customHeight="1" x14ac:dyDescent="0.25">
      <c r="A792" t="s">
        <v>72</v>
      </c>
      <c r="B792" s="8">
        <v>45426</v>
      </c>
      <c r="C792" s="8">
        <v>45431</v>
      </c>
      <c r="D792" t="s">
        <v>73</v>
      </c>
      <c r="E792" t="s">
        <v>3044</v>
      </c>
      <c r="F792" t="s">
        <v>3045</v>
      </c>
      <c r="G792" t="s">
        <v>75</v>
      </c>
      <c r="H792">
        <v>9058852574</v>
      </c>
      <c r="I792" t="s">
        <v>35</v>
      </c>
      <c r="J792" t="s">
        <v>25</v>
      </c>
      <c r="K792" t="s">
        <v>26</v>
      </c>
      <c r="L792" t="s">
        <v>27</v>
      </c>
      <c r="M792" t="s">
        <v>45</v>
      </c>
      <c r="N792" t="s">
        <v>46</v>
      </c>
      <c r="O792">
        <v>1</v>
      </c>
      <c r="P792">
        <v>6928</v>
      </c>
      <c r="Q792">
        <v>0</v>
      </c>
      <c r="R792">
        <v>0</v>
      </c>
      <c r="S792" s="11">
        <v>6928</v>
      </c>
      <c r="T792">
        <v>1794.53</v>
      </c>
      <c r="U792">
        <f t="shared" si="12"/>
        <v>6928</v>
      </c>
    </row>
    <row r="793" spans="1:21" ht="15" customHeight="1" x14ac:dyDescent="0.25">
      <c r="A793" t="s">
        <v>659</v>
      </c>
      <c r="B793" s="8">
        <v>45428</v>
      </c>
      <c r="C793" s="8">
        <v>45432</v>
      </c>
      <c r="D793" t="s">
        <v>73</v>
      </c>
      <c r="E793" t="s">
        <v>3044</v>
      </c>
      <c r="F793" t="s">
        <v>3071</v>
      </c>
      <c r="G793" t="s">
        <v>661</v>
      </c>
      <c r="H793">
        <v>9057724393</v>
      </c>
      <c r="I793" t="s">
        <v>43</v>
      </c>
      <c r="J793" t="s">
        <v>51</v>
      </c>
      <c r="K793" t="s">
        <v>131</v>
      </c>
      <c r="L793" t="s">
        <v>27</v>
      </c>
      <c r="M793" t="s">
        <v>173</v>
      </c>
      <c r="N793" t="s">
        <v>662</v>
      </c>
      <c r="O793">
        <v>12</v>
      </c>
      <c r="P793">
        <v>4486.07</v>
      </c>
      <c r="Q793">
        <v>25</v>
      </c>
      <c r="R793">
        <v>13458.21</v>
      </c>
      <c r="S793" s="11">
        <v>40374.629999999997</v>
      </c>
      <c r="T793">
        <v>8328.9599999999991</v>
      </c>
      <c r="U793">
        <f t="shared" si="12"/>
        <v>40374.629999999997</v>
      </c>
    </row>
    <row r="794" spans="1:21" ht="15" customHeight="1" x14ac:dyDescent="0.25">
      <c r="A794" t="s">
        <v>377</v>
      </c>
      <c r="B794" s="8">
        <v>45428</v>
      </c>
      <c r="C794" s="8">
        <v>45430</v>
      </c>
      <c r="D794" t="s">
        <v>20</v>
      </c>
      <c r="E794" t="s">
        <v>3076</v>
      </c>
      <c r="F794" t="s">
        <v>3088</v>
      </c>
      <c r="G794" t="s">
        <v>379</v>
      </c>
      <c r="H794">
        <v>7032738129</v>
      </c>
      <c r="I794" t="s">
        <v>60</v>
      </c>
      <c r="J794" t="s">
        <v>51</v>
      </c>
      <c r="K794" t="s">
        <v>52</v>
      </c>
      <c r="L794" t="s">
        <v>27</v>
      </c>
      <c r="M794" t="s">
        <v>173</v>
      </c>
      <c r="N794" t="s">
        <v>380</v>
      </c>
      <c r="O794">
        <v>16</v>
      </c>
      <c r="P794">
        <v>1491.42</v>
      </c>
      <c r="Q794">
        <v>5</v>
      </c>
      <c r="R794">
        <v>1193.1400000000001</v>
      </c>
      <c r="S794" s="11">
        <v>22669.58</v>
      </c>
      <c r="T794">
        <v>8123.98</v>
      </c>
      <c r="U794">
        <f t="shared" si="12"/>
        <v>22669.58</v>
      </c>
    </row>
    <row r="795" spans="1:21" ht="15" customHeight="1" x14ac:dyDescent="0.25">
      <c r="A795" t="s">
        <v>427</v>
      </c>
      <c r="B795" s="8">
        <v>45429</v>
      </c>
      <c r="C795" s="8">
        <v>45436</v>
      </c>
      <c r="D795" t="s">
        <v>48</v>
      </c>
      <c r="E795" t="s">
        <v>3047</v>
      </c>
      <c r="F795" t="s">
        <v>3039</v>
      </c>
      <c r="G795" t="s">
        <v>429</v>
      </c>
      <c r="H795">
        <v>8104593556</v>
      </c>
      <c r="I795" t="s">
        <v>24</v>
      </c>
      <c r="J795" t="s">
        <v>51</v>
      </c>
      <c r="K795" t="s">
        <v>131</v>
      </c>
      <c r="L795" t="s">
        <v>63</v>
      </c>
      <c r="M795" t="s">
        <v>194</v>
      </c>
      <c r="N795" t="s">
        <v>257</v>
      </c>
      <c r="O795">
        <v>5</v>
      </c>
      <c r="P795">
        <v>5204.13</v>
      </c>
      <c r="Q795">
        <v>0</v>
      </c>
      <c r="R795">
        <v>0</v>
      </c>
      <c r="S795" s="11">
        <v>26020.65</v>
      </c>
      <c r="T795">
        <v>-2698.37</v>
      </c>
      <c r="U795">
        <f t="shared" si="12"/>
        <v>26020.65</v>
      </c>
    </row>
    <row r="796" spans="1:21" ht="15" customHeight="1" x14ac:dyDescent="0.25">
      <c r="A796" t="s">
        <v>2019</v>
      </c>
      <c r="B796" s="8">
        <v>45429</v>
      </c>
      <c r="C796" s="8">
        <v>45430</v>
      </c>
      <c r="D796" t="s">
        <v>32</v>
      </c>
      <c r="G796" t="s">
        <v>2020</v>
      </c>
      <c r="H796">
        <v>9057426442</v>
      </c>
      <c r="I796" t="s">
        <v>43</v>
      </c>
      <c r="J796" t="s">
        <v>61</v>
      </c>
      <c r="K796" t="s">
        <v>204</v>
      </c>
      <c r="L796" t="s">
        <v>108</v>
      </c>
      <c r="M796" t="s">
        <v>109</v>
      </c>
      <c r="N796" t="s">
        <v>426</v>
      </c>
      <c r="O796">
        <v>3</v>
      </c>
      <c r="P796">
        <v>17175.37</v>
      </c>
      <c r="Q796">
        <v>20</v>
      </c>
      <c r="R796">
        <v>10305.219999999999</v>
      </c>
      <c r="S796" s="11">
        <v>41220.89</v>
      </c>
      <c r="T796">
        <v>-2046.64</v>
      </c>
      <c r="U796">
        <f t="shared" si="12"/>
        <v>41220.89</v>
      </c>
    </row>
    <row r="797" spans="1:21" ht="15" customHeight="1" x14ac:dyDescent="0.25">
      <c r="A797" t="s">
        <v>1604</v>
      </c>
      <c r="B797" s="8">
        <v>45429</v>
      </c>
      <c r="C797" s="8">
        <v>45430</v>
      </c>
      <c r="D797" t="s">
        <v>32</v>
      </c>
      <c r="E797" t="s">
        <v>3089</v>
      </c>
      <c r="F797" t="s">
        <v>3034</v>
      </c>
      <c r="G797" t="s">
        <v>1606</v>
      </c>
      <c r="H797" t="s">
        <v>422</v>
      </c>
      <c r="I797" t="s">
        <v>24</v>
      </c>
      <c r="J797" t="s">
        <v>69</v>
      </c>
      <c r="K797" t="s">
        <v>144</v>
      </c>
      <c r="L797" t="s">
        <v>85</v>
      </c>
      <c r="M797" t="s">
        <v>266</v>
      </c>
      <c r="N797" t="s">
        <v>803</v>
      </c>
      <c r="O797">
        <v>15</v>
      </c>
      <c r="P797">
        <v>91379.48</v>
      </c>
      <c r="Q797">
        <v>0</v>
      </c>
      <c r="R797">
        <v>0</v>
      </c>
      <c r="S797" s="11">
        <v>1370692.2</v>
      </c>
      <c r="U797">
        <f t="shared" si="12"/>
        <v>1370692.2</v>
      </c>
    </row>
    <row r="798" spans="1:21" ht="15" customHeight="1" x14ac:dyDescent="0.25">
      <c r="A798" t="s">
        <v>2292</v>
      </c>
      <c r="B798" s="8">
        <v>45431</v>
      </c>
      <c r="C798" s="8">
        <v>45434</v>
      </c>
      <c r="D798" t="s">
        <v>1309</v>
      </c>
      <c r="E798" t="s">
        <v>3037</v>
      </c>
      <c r="F798" t="s">
        <v>3050</v>
      </c>
      <c r="G798" t="s">
        <v>2294</v>
      </c>
      <c r="H798">
        <v>8141451244</v>
      </c>
      <c r="I798" t="s">
        <v>43</v>
      </c>
      <c r="J798" t="s">
        <v>61</v>
      </c>
      <c r="K798" t="s">
        <v>204</v>
      </c>
      <c r="L798" t="s">
        <v>85</v>
      </c>
      <c r="M798" t="s">
        <v>266</v>
      </c>
      <c r="N798" t="s">
        <v>803</v>
      </c>
      <c r="O798">
        <v>12</v>
      </c>
      <c r="P798">
        <v>140069.16</v>
      </c>
      <c r="Q798">
        <v>10</v>
      </c>
      <c r="R798">
        <v>168082.99</v>
      </c>
      <c r="S798" s="11">
        <v>1512746.93</v>
      </c>
      <c r="T798">
        <v>81553.05</v>
      </c>
      <c r="U798">
        <f t="shared" si="12"/>
        <v>1512746.93</v>
      </c>
    </row>
    <row r="799" spans="1:21" ht="15" customHeight="1" x14ac:dyDescent="0.25">
      <c r="A799" t="s">
        <v>2840</v>
      </c>
      <c r="B799" s="8">
        <v>45432</v>
      </c>
      <c r="C799" s="8">
        <v>45435</v>
      </c>
      <c r="D799" t="s">
        <v>20</v>
      </c>
      <c r="E799" t="s">
        <v>3091</v>
      </c>
      <c r="F799" t="s">
        <v>3057</v>
      </c>
      <c r="G799" t="s">
        <v>2842</v>
      </c>
      <c r="H799">
        <v>9077743663</v>
      </c>
      <c r="I799" t="s">
        <v>24</v>
      </c>
      <c r="J799" t="s">
        <v>61</v>
      </c>
      <c r="K799" t="s">
        <v>95</v>
      </c>
      <c r="L799" t="s">
        <v>27</v>
      </c>
      <c r="M799" t="s">
        <v>173</v>
      </c>
      <c r="N799" t="s">
        <v>2843</v>
      </c>
      <c r="O799" t="s">
        <v>185</v>
      </c>
      <c r="P799">
        <v>3048.03</v>
      </c>
      <c r="Q799">
        <v>20</v>
      </c>
      <c r="R799">
        <v>7924.88</v>
      </c>
      <c r="S799" s="11">
        <v>31699.51</v>
      </c>
      <c r="T799">
        <v>7125.15</v>
      </c>
      <c r="U799">
        <f t="shared" si="12"/>
        <v>31699.51</v>
      </c>
    </row>
    <row r="800" spans="1:21" ht="15" customHeight="1" x14ac:dyDescent="0.25">
      <c r="A800" t="s">
        <v>1601</v>
      </c>
      <c r="B800" s="8">
        <v>45433</v>
      </c>
      <c r="C800" s="8">
        <v>45437</v>
      </c>
      <c r="D800" t="s">
        <v>73</v>
      </c>
      <c r="E800" t="s">
        <v>3081</v>
      </c>
      <c r="F800" t="s">
        <v>3050</v>
      </c>
      <c r="G800" t="s">
        <v>1603</v>
      </c>
      <c r="H800">
        <v>7063182100</v>
      </c>
      <c r="I800" t="s">
        <v>35</v>
      </c>
      <c r="J800" t="s">
        <v>51</v>
      </c>
      <c r="K800" t="s">
        <v>316</v>
      </c>
      <c r="L800" t="s">
        <v>108</v>
      </c>
      <c r="M800" t="s">
        <v>109</v>
      </c>
      <c r="N800" t="s">
        <v>690</v>
      </c>
      <c r="O800">
        <v>17</v>
      </c>
      <c r="P800">
        <v>5357.13</v>
      </c>
      <c r="Q800">
        <v>15</v>
      </c>
      <c r="R800">
        <v>13660.68</v>
      </c>
      <c r="S800" s="11">
        <v>77410.53</v>
      </c>
      <c r="T800">
        <v>15709.98</v>
      </c>
      <c r="U800">
        <f t="shared" si="12"/>
        <v>77410.53</v>
      </c>
    </row>
    <row r="801" spans="1:21" ht="15" customHeight="1" x14ac:dyDescent="0.25">
      <c r="A801" t="s">
        <v>2255</v>
      </c>
      <c r="B801" s="8">
        <v>45433</v>
      </c>
      <c r="C801" s="8">
        <v>45434</v>
      </c>
      <c r="D801" t="s">
        <v>32</v>
      </c>
      <c r="E801" t="s">
        <v>3041</v>
      </c>
      <c r="F801" t="s">
        <v>3064</v>
      </c>
      <c r="G801" t="s">
        <v>2257</v>
      </c>
      <c r="H801">
        <v>8137597584</v>
      </c>
      <c r="I801" t="s">
        <v>24</v>
      </c>
      <c r="J801" t="s">
        <v>25</v>
      </c>
      <c r="K801" t="s">
        <v>126</v>
      </c>
      <c r="L801" t="s">
        <v>108</v>
      </c>
      <c r="M801" t="s">
        <v>183</v>
      </c>
      <c r="N801" t="s">
        <v>869</v>
      </c>
      <c r="O801">
        <v>17</v>
      </c>
      <c r="P801">
        <v>17264.64</v>
      </c>
      <c r="Q801">
        <v>10</v>
      </c>
      <c r="R801">
        <v>29349.89</v>
      </c>
      <c r="S801" s="11">
        <v>264148.99</v>
      </c>
      <c r="T801">
        <v>44485.68</v>
      </c>
      <c r="U801">
        <f t="shared" si="12"/>
        <v>264148.99</v>
      </c>
    </row>
    <row r="802" spans="1:21" ht="15" customHeight="1" x14ac:dyDescent="0.25">
      <c r="A802" t="s">
        <v>2940</v>
      </c>
      <c r="B802" s="8">
        <v>45434</v>
      </c>
      <c r="C802" s="8">
        <v>45434</v>
      </c>
      <c r="D802" t="s">
        <v>32</v>
      </c>
      <c r="E802" t="s">
        <v>3084</v>
      </c>
      <c r="F802" t="s">
        <v>3096</v>
      </c>
      <c r="G802" t="s">
        <v>2749</v>
      </c>
      <c r="H802">
        <v>9029866836</v>
      </c>
      <c r="I802" t="s">
        <v>24</v>
      </c>
      <c r="J802" t="s">
        <v>61</v>
      </c>
      <c r="K802" t="s">
        <v>95</v>
      </c>
      <c r="L802" t="s">
        <v>63</v>
      </c>
      <c r="M802" t="s">
        <v>312</v>
      </c>
      <c r="N802" t="s">
        <v>761</v>
      </c>
      <c r="O802">
        <v>4</v>
      </c>
      <c r="P802">
        <v>24521.62</v>
      </c>
      <c r="Q802">
        <v>10</v>
      </c>
      <c r="R802">
        <v>9808.65</v>
      </c>
      <c r="S802" s="11">
        <v>88277.83</v>
      </c>
      <c r="T802">
        <v>31425.56</v>
      </c>
      <c r="U802">
        <f t="shared" si="12"/>
        <v>88277.83</v>
      </c>
    </row>
    <row r="803" spans="1:21" ht="15" customHeight="1" x14ac:dyDescent="0.25">
      <c r="A803" t="s">
        <v>1919</v>
      </c>
      <c r="B803" s="8">
        <v>45435</v>
      </c>
      <c r="C803" s="8">
        <v>45441</v>
      </c>
      <c r="D803" t="s">
        <v>48</v>
      </c>
      <c r="E803" t="s">
        <v>3039</v>
      </c>
      <c r="F803" t="s">
        <v>3040</v>
      </c>
      <c r="G803" t="s">
        <v>1920</v>
      </c>
      <c r="H803">
        <v>8069837877</v>
      </c>
      <c r="I803" t="s">
        <v>35</v>
      </c>
      <c r="J803" t="s">
        <v>61</v>
      </c>
      <c r="K803" t="s">
        <v>95</v>
      </c>
      <c r="L803" t="s">
        <v>85</v>
      </c>
      <c r="M803" t="s">
        <v>86</v>
      </c>
      <c r="N803" t="s">
        <v>238</v>
      </c>
      <c r="O803">
        <v>13</v>
      </c>
      <c r="P803">
        <v>25153.55</v>
      </c>
      <c r="Q803">
        <v>0</v>
      </c>
      <c r="R803">
        <v>0</v>
      </c>
      <c r="S803" s="11">
        <v>326996.15000000002</v>
      </c>
      <c r="T803">
        <v>-27460.71</v>
      </c>
      <c r="U803">
        <f t="shared" si="12"/>
        <v>326996.15000000002</v>
      </c>
    </row>
    <row r="804" spans="1:21" ht="15" customHeight="1" x14ac:dyDescent="0.25">
      <c r="A804" t="s">
        <v>701</v>
      </c>
      <c r="B804" s="8">
        <v>45438</v>
      </c>
      <c r="C804" s="8">
        <v>45440</v>
      </c>
      <c r="D804" t="s">
        <v>20</v>
      </c>
      <c r="E804" t="s">
        <v>3085</v>
      </c>
      <c r="F804" t="s">
        <v>3054</v>
      </c>
      <c r="G804" t="s">
        <v>703</v>
      </c>
      <c r="H804">
        <v>8034471922</v>
      </c>
      <c r="I804" t="s">
        <v>35</v>
      </c>
      <c r="J804" t="s">
        <v>25</v>
      </c>
      <c r="K804" t="s">
        <v>126</v>
      </c>
      <c r="L804" t="s">
        <v>96</v>
      </c>
      <c r="M804" t="s">
        <v>254</v>
      </c>
      <c r="N804" t="s">
        <v>455</v>
      </c>
      <c r="O804">
        <v>20</v>
      </c>
      <c r="P804">
        <v>246542.15</v>
      </c>
      <c r="Q804">
        <v>25</v>
      </c>
      <c r="R804">
        <v>1232710.75</v>
      </c>
      <c r="S804" s="11" t="s">
        <v>704</v>
      </c>
      <c r="U804">
        <f t="shared" si="12"/>
        <v>3698132.25</v>
      </c>
    </row>
    <row r="805" spans="1:21" ht="15" customHeight="1" x14ac:dyDescent="0.25">
      <c r="A805" t="s">
        <v>2351</v>
      </c>
      <c r="B805" s="8">
        <v>45439</v>
      </c>
      <c r="C805" s="8">
        <v>45439</v>
      </c>
      <c r="D805" t="s">
        <v>32</v>
      </c>
      <c r="E805" t="s">
        <v>3072</v>
      </c>
      <c r="F805" t="s">
        <v>3054</v>
      </c>
      <c r="G805" t="s">
        <v>2352</v>
      </c>
      <c r="H805">
        <v>9022875419</v>
      </c>
      <c r="I805" t="s">
        <v>43</v>
      </c>
      <c r="J805" t="s">
        <v>25</v>
      </c>
      <c r="K805" t="s">
        <v>44</v>
      </c>
      <c r="L805" t="s">
        <v>85</v>
      </c>
      <c r="M805" t="s">
        <v>243</v>
      </c>
      <c r="N805" t="s">
        <v>439</v>
      </c>
      <c r="O805">
        <v>5</v>
      </c>
      <c r="P805">
        <v>120924.36</v>
      </c>
      <c r="Q805">
        <v>5</v>
      </c>
      <c r="R805">
        <v>30231.09</v>
      </c>
      <c r="S805" s="11">
        <v>574390.71</v>
      </c>
      <c r="T805">
        <v>188016.38</v>
      </c>
      <c r="U805">
        <f t="shared" si="12"/>
        <v>574390.71</v>
      </c>
    </row>
    <row r="806" spans="1:21" ht="15" customHeight="1" x14ac:dyDescent="0.25">
      <c r="A806" t="s">
        <v>747</v>
      </c>
      <c r="B806" s="8">
        <v>45441</v>
      </c>
      <c r="C806" s="8">
        <v>45444</v>
      </c>
      <c r="D806" t="s">
        <v>20</v>
      </c>
      <c r="E806" t="s">
        <v>3070</v>
      </c>
      <c r="F806" t="s">
        <v>3050</v>
      </c>
      <c r="G806" t="s">
        <v>749</v>
      </c>
      <c r="H806">
        <v>9012293020</v>
      </c>
      <c r="I806" t="s">
        <v>750</v>
      </c>
      <c r="J806" t="s">
        <v>51</v>
      </c>
      <c r="K806" t="s">
        <v>52</v>
      </c>
      <c r="L806" t="s">
        <v>108</v>
      </c>
      <c r="M806" t="s">
        <v>183</v>
      </c>
      <c r="N806" t="s">
        <v>184</v>
      </c>
      <c r="O806">
        <v>16</v>
      </c>
      <c r="P806">
        <v>17485.330000000002</v>
      </c>
      <c r="Q806">
        <v>0</v>
      </c>
      <c r="R806">
        <v>0</v>
      </c>
      <c r="S806" s="11">
        <v>279765.28000000003</v>
      </c>
      <c r="T806">
        <v>19754.97</v>
      </c>
      <c r="U806">
        <f t="shared" si="12"/>
        <v>279765.28000000003</v>
      </c>
    </row>
    <row r="807" spans="1:21" ht="15" customHeight="1" x14ac:dyDescent="0.25">
      <c r="A807" t="s">
        <v>2582</v>
      </c>
      <c r="B807" s="8">
        <v>45442</v>
      </c>
      <c r="C807" s="8">
        <v>45447</v>
      </c>
      <c r="D807" t="s">
        <v>48</v>
      </c>
      <c r="E807" t="s">
        <v>3053</v>
      </c>
      <c r="F807" t="s">
        <v>3046</v>
      </c>
      <c r="G807" t="s">
        <v>2583</v>
      </c>
      <c r="H807">
        <v>7037064624</v>
      </c>
      <c r="I807" t="s">
        <v>24</v>
      </c>
      <c r="J807" t="s">
        <v>69</v>
      </c>
      <c r="K807" t="s">
        <v>144</v>
      </c>
      <c r="L807" t="s">
        <v>27</v>
      </c>
      <c r="M807" t="s">
        <v>79</v>
      </c>
      <c r="N807" t="s">
        <v>234</v>
      </c>
      <c r="O807">
        <v>11</v>
      </c>
      <c r="P807">
        <v>2320.77</v>
      </c>
      <c r="Q807">
        <v>20</v>
      </c>
      <c r="R807">
        <v>5105.6899999999996</v>
      </c>
      <c r="S807" s="11">
        <v>20422.78</v>
      </c>
      <c r="T807">
        <v>1324.78</v>
      </c>
      <c r="U807">
        <f t="shared" si="12"/>
        <v>20422.78</v>
      </c>
    </row>
    <row r="808" spans="1:21" ht="15" customHeight="1" x14ac:dyDescent="0.25">
      <c r="A808" t="s">
        <v>2136</v>
      </c>
      <c r="B808" s="8">
        <v>45442</v>
      </c>
      <c r="C808" s="8">
        <v>45447</v>
      </c>
      <c r="D808" t="s">
        <v>73</v>
      </c>
      <c r="E808" t="s">
        <v>3068</v>
      </c>
      <c r="F808" t="s">
        <v>3077</v>
      </c>
      <c r="G808" t="s">
        <v>2138</v>
      </c>
      <c r="H808">
        <v>8068347629</v>
      </c>
      <c r="I808" t="s">
        <v>24</v>
      </c>
      <c r="J808" t="s">
        <v>69</v>
      </c>
      <c r="K808" t="s">
        <v>70</v>
      </c>
      <c r="L808" t="s">
        <v>96</v>
      </c>
      <c r="M808" t="s">
        <v>254</v>
      </c>
      <c r="N808" t="s">
        <v>455</v>
      </c>
      <c r="O808">
        <v>11</v>
      </c>
      <c r="P808">
        <v>168028.26</v>
      </c>
      <c r="Q808">
        <v>15</v>
      </c>
      <c r="R808">
        <v>277246.63</v>
      </c>
      <c r="S808" s="11">
        <v>1571064.23</v>
      </c>
      <c r="T808">
        <v>629747.19999999995</v>
      </c>
      <c r="U808">
        <f t="shared" si="12"/>
        <v>1571064.23</v>
      </c>
    </row>
    <row r="809" spans="1:21" ht="15" customHeight="1" x14ac:dyDescent="0.25">
      <c r="A809" t="s">
        <v>1173</v>
      </c>
      <c r="B809" s="8">
        <v>45442</v>
      </c>
      <c r="C809" s="8">
        <v>45445</v>
      </c>
      <c r="D809" t="s">
        <v>73</v>
      </c>
      <c r="E809" t="s">
        <v>3094</v>
      </c>
      <c r="F809" t="s">
        <v>3062</v>
      </c>
      <c r="G809" t="s">
        <v>1175</v>
      </c>
      <c r="H809">
        <v>8069941610</v>
      </c>
      <c r="I809" t="s">
        <v>43</v>
      </c>
      <c r="J809" t="s">
        <v>61</v>
      </c>
      <c r="K809" t="s">
        <v>62</v>
      </c>
      <c r="L809" t="s">
        <v>96</v>
      </c>
      <c r="M809" t="s">
        <v>385</v>
      </c>
      <c r="N809" t="s">
        <v>386</v>
      </c>
      <c r="O809">
        <v>5</v>
      </c>
      <c r="P809">
        <v>380192.29</v>
      </c>
      <c r="Q809">
        <v>0</v>
      </c>
      <c r="R809">
        <v>0</v>
      </c>
      <c r="S809" s="11">
        <v>1900961.45</v>
      </c>
      <c r="T809">
        <v>587893.25</v>
      </c>
      <c r="U809">
        <f t="shared" si="12"/>
        <v>1900961.45</v>
      </c>
    </row>
    <row r="810" spans="1:21" ht="15" customHeight="1" x14ac:dyDescent="0.25">
      <c r="A810" t="s">
        <v>146</v>
      </c>
      <c r="B810" s="8">
        <v>45442</v>
      </c>
      <c r="C810" s="8">
        <v>45445</v>
      </c>
      <c r="D810" t="s">
        <v>73</v>
      </c>
      <c r="E810" t="s">
        <v>3063</v>
      </c>
      <c r="F810" t="s">
        <v>3064</v>
      </c>
      <c r="G810" t="s">
        <v>148</v>
      </c>
      <c r="H810">
        <v>9021669324</v>
      </c>
      <c r="I810" t="s">
        <v>24</v>
      </c>
      <c r="J810" t="s">
        <v>51</v>
      </c>
      <c r="K810" t="s">
        <v>149</v>
      </c>
      <c r="L810" t="s">
        <v>63</v>
      </c>
      <c r="M810" t="s">
        <v>54</v>
      </c>
      <c r="N810" t="s">
        <v>150</v>
      </c>
      <c r="O810">
        <v>-1</v>
      </c>
      <c r="P810">
        <v>16839.87</v>
      </c>
      <c r="Q810">
        <v>25</v>
      </c>
      <c r="R810">
        <v>50519.61</v>
      </c>
      <c r="S810" s="11">
        <v>151558.82999999999</v>
      </c>
      <c r="T810">
        <v>57665.23</v>
      </c>
      <c r="U810">
        <f t="shared" si="12"/>
        <v>151558.82999999999</v>
      </c>
    </row>
    <row r="811" spans="1:21" ht="15" customHeight="1" x14ac:dyDescent="0.25">
      <c r="A811" t="s">
        <v>318</v>
      </c>
      <c r="B811" s="8">
        <v>45444</v>
      </c>
      <c r="C811" s="8">
        <v>45446</v>
      </c>
      <c r="D811" t="s">
        <v>20</v>
      </c>
      <c r="E811" t="s">
        <v>3059</v>
      </c>
      <c r="F811" t="s">
        <v>3075</v>
      </c>
      <c r="G811" t="s">
        <v>320</v>
      </c>
      <c r="H811">
        <v>9054020853</v>
      </c>
      <c r="I811" t="s">
        <v>43</v>
      </c>
      <c r="J811" t="s">
        <v>25</v>
      </c>
      <c r="K811" t="s">
        <v>44</v>
      </c>
      <c r="L811" t="s">
        <v>85</v>
      </c>
      <c r="M811" t="s">
        <v>218</v>
      </c>
      <c r="N811" t="s">
        <v>321</v>
      </c>
      <c r="O811">
        <v>13</v>
      </c>
      <c r="P811">
        <v>112832.59</v>
      </c>
      <c r="Q811">
        <v>5</v>
      </c>
      <c r="R811">
        <v>73341.179999999993</v>
      </c>
      <c r="S811" s="11">
        <v>1393482.49</v>
      </c>
      <c r="T811">
        <v>207071.99</v>
      </c>
      <c r="U811">
        <f t="shared" si="12"/>
        <v>1393482.49</v>
      </c>
    </row>
    <row r="812" spans="1:21" ht="15" customHeight="1" x14ac:dyDescent="0.25">
      <c r="A812" t="s">
        <v>2545</v>
      </c>
      <c r="B812" s="8">
        <v>45446</v>
      </c>
      <c r="C812" s="8">
        <v>45453</v>
      </c>
      <c r="D812" t="s">
        <v>48</v>
      </c>
      <c r="E812" t="s">
        <v>3084</v>
      </c>
      <c r="F812" t="s">
        <v>3090</v>
      </c>
      <c r="G812" t="s">
        <v>2546</v>
      </c>
      <c r="H812">
        <v>7064808186</v>
      </c>
      <c r="I812" t="s">
        <v>24</v>
      </c>
      <c r="J812" t="s">
        <v>61</v>
      </c>
      <c r="K812" t="s">
        <v>182</v>
      </c>
      <c r="M812" t="s">
        <v>109</v>
      </c>
      <c r="N812" t="s">
        <v>157</v>
      </c>
      <c r="O812">
        <v>13</v>
      </c>
      <c r="P812">
        <v>10948.34</v>
      </c>
      <c r="Q812">
        <v>15</v>
      </c>
      <c r="R812">
        <v>21349.26</v>
      </c>
      <c r="S812" s="11">
        <v>120979.16</v>
      </c>
      <c r="T812">
        <v>45993.02</v>
      </c>
      <c r="U812">
        <f t="shared" si="12"/>
        <v>120979.16</v>
      </c>
    </row>
    <row r="813" spans="1:21" ht="15" customHeight="1" x14ac:dyDescent="0.25">
      <c r="A813" t="s">
        <v>276</v>
      </c>
      <c r="B813" s="8">
        <v>45446</v>
      </c>
      <c r="C813" s="8">
        <v>45453</v>
      </c>
      <c r="D813" t="s">
        <v>48</v>
      </c>
      <c r="E813" t="s">
        <v>3080</v>
      </c>
      <c r="F813" t="s">
        <v>3036</v>
      </c>
      <c r="G813" t="s">
        <v>278</v>
      </c>
      <c r="H813">
        <v>8064840714</v>
      </c>
      <c r="I813" t="s">
        <v>35</v>
      </c>
      <c r="J813" t="s">
        <v>69</v>
      </c>
      <c r="K813" t="s">
        <v>70</v>
      </c>
      <c r="L813" t="s">
        <v>27</v>
      </c>
      <c r="M813" t="s">
        <v>173</v>
      </c>
      <c r="N813" t="s">
        <v>279</v>
      </c>
      <c r="O813">
        <v>-1</v>
      </c>
      <c r="P813">
        <v>7996.71</v>
      </c>
      <c r="Q813">
        <v>0</v>
      </c>
      <c r="R813">
        <v>0</v>
      </c>
      <c r="S813" s="11">
        <v>71970.39</v>
      </c>
      <c r="T813">
        <v>22157.19</v>
      </c>
      <c r="U813">
        <f t="shared" si="12"/>
        <v>71970.39</v>
      </c>
    </row>
    <row r="814" spans="1:21" ht="15" customHeight="1" x14ac:dyDescent="0.25">
      <c r="A814" t="s">
        <v>2644</v>
      </c>
      <c r="B814" s="8">
        <v>45446</v>
      </c>
      <c r="C814" s="8">
        <v>45448</v>
      </c>
      <c r="D814" t="s">
        <v>20</v>
      </c>
      <c r="E814" t="s">
        <v>3080</v>
      </c>
      <c r="F814" t="s">
        <v>3036</v>
      </c>
      <c r="G814" t="s">
        <v>2645</v>
      </c>
      <c r="H814">
        <v>7037017462</v>
      </c>
      <c r="I814" t="s">
        <v>43</v>
      </c>
      <c r="J814" t="s">
        <v>69</v>
      </c>
      <c r="K814" t="s">
        <v>155</v>
      </c>
      <c r="L814" t="s">
        <v>108</v>
      </c>
      <c r="M814" t="s">
        <v>183</v>
      </c>
      <c r="N814" t="s">
        <v>184</v>
      </c>
      <c r="O814">
        <v>6</v>
      </c>
      <c r="P814">
        <v>39057.4</v>
      </c>
      <c r="Q814">
        <v>0</v>
      </c>
      <c r="R814">
        <v>0</v>
      </c>
      <c r="S814" s="11">
        <v>234344.4</v>
      </c>
      <c r="T814">
        <v>13140.22</v>
      </c>
      <c r="U814">
        <f t="shared" si="12"/>
        <v>234344.4</v>
      </c>
    </row>
    <row r="815" spans="1:21" ht="15" customHeight="1" x14ac:dyDescent="0.25">
      <c r="A815" t="s">
        <v>2637</v>
      </c>
      <c r="B815" s="8">
        <v>45447</v>
      </c>
      <c r="C815" s="8">
        <v>45448</v>
      </c>
      <c r="D815" t="s">
        <v>32</v>
      </c>
      <c r="E815" t="s">
        <v>3051</v>
      </c>
      <c r="F815" t="s">
        <v>3062</v>
      </c>
      <c r="G815" t="s">
        <v>2638</v>
      </c>
      <c r="H815">
        <v>9051738763</v>
      </c>
      <c r="I815" t="s">
        <v>35</v>
      </c>
      <c r="J815" t="s">
        <v>69</v>
      </c>
      <c r="K815" t="s">
        <v>307</v>
      </c>
      <c r="L815" t="s">
        <v>96</v>
      </c>
      <c r="M815" t="s">
        <v>97</v>
      </c>
      <c r="N815" t="s">
        <v>1416</v>
      </c>
      <c r="O815">
        <v>7</v>
      </c>
      <c r="P815">
        <v>327708.81</v>
      </c>
      <c r="Q815">
        <v>10</v>
      </c>
      <c r="R815">
        <v>229396.17</v>
      </c>
      <c r="S815" s="11">
        <v>2064565.5</v>
      </c>
      <c r="T815">
        <v>-279443.64</v>
      </c>
      <c r="U815">
        <f t="shared" si="12"/>
        <v>2064565.5</v>
      </c>
    </row>
    <row r="816" spans="1:21" ht="15" customHeight="1" x14ac:dyDescent="0.25">
      <c r="A816" t="s">
        <v>1826</v>
      </c>
      <c r="B816" s="8">
        <v>45450</v>
      </c>
      <c r="C816" s="8">
        <v>45452</v>
      </c>
      <c r="D816" t="s">
        <v>20</v>
      </c>
      <c r="E816" t="s">
        <v>3058</v>
      </c>
      <c r="F816" t="s">
        <v>3043</v>
      </c>
      <c r="G816" t="s">
        <v>1828</v>
      </c>
      <c r="H816">
        <v>8065040883</v>
      </c>
      <c r="I816" t="s">
        <v>24</v>
      </c>
      <c r="J816" t="s">
        <v>25</v>
      </c>
      <c r="K816" t="s">
        <v>36</v>
      </c>
      <c r="L816" t="s">
        <v>108</v>
      </c>
      <c r="M816" t="s">
        <v>183</v>
      </c>
      <c r="N816" t="s">
        <v>1829</v>
      </c>
      <c r="O816">
        <v>6</v>
      </c>
      <c r="P816">
        <v>31583.32</v>
      </c>
      <c r="Q816">
        <v>15</v>
      </c>
      <c r="R816">
        <v>28424.99</v>
      </c>
      <c r="S816" s="11">
        <v>161074.93</v>
      </c>
      <c r="T816">
        <v>50820.73</v>
      </c>
      <c r="U816">
        <f t="shared" si="12"/>
        <v>161074.93</v>
      </c>
    </row>
    <row r="817" spans="1:21" ht="15" customHeight="1" x14ac:dyDescent="0.25">
      <c r="A817" t="s">
        <v>822</v>
      </c>
      <c r="B817" s="8">
        <v>45451</v>
      </c>
      <c r="C817" s="8">
        <v>45454</v>
      </c>
      <c r="D817" t="s">
        <v>73</v>
      </c>
      <c r="E817" t="s">
        <v>3087</v>
      </c>
      <c r="F817" t="s">
        <v>3038</v>
      </c>
      <c r="G817" t="s">
        <v>824</v>
      </c>
      <c r="H817" t="s">
        <v>23</v>
      </c>
      <c r="I817" t="s">
        <v>43</v>
      </c>
      <c r="J817" t="s">
        <v>69</v>
      </c>
      <c r="K817" t="s">
        <v>307</v>
      </c>
      <c r="L817" t="s">
        <v>108</v>
      </c>
      <c r="M817" t="s">
        <v>189</v>
      </c>
      <c r="N817" t="s">
        <v>205</v>
      </c>
      <c r="O817">
        <v>10</v>
      </c>
      <c r="P817">
        <v>13406.39</v>
      </c>
      <c r="Q817">
        <v>10</v>
      </c>
      <c r="R817">
        <v>13406.39</v>
      </c>
      <c r="S817" s="11">
        <v>120657.51</v>
      </c>
      <c r="T817">
        <v>-901.44</v>
      </c>
      <c r="U817">
        <f t="shared" si="12"/>
        <v>120657.51</v>
      </c>
    </row>
    <row r="818" spans="1:21" ht="15" customHeight="1" x14ac:dyDescent="0.25">
      <c r="A818" t="s">
        <v>769</v>
      </c>
      <c r="B818" s="8">
        <v>45452</v>
      </c>
      <c r="C818" s="8">
        <v>45458</v>
      </c>
      <c r="D818" t="s">
        <v>48</v>
      </c>
      <c r="E818" t="s">
        <v>3059</v>
      </c>
      <c r="F818" t="s">
        <v>3064</v>
      </c>
      <c r="G818" t="s">
        <v>771</v>
      </c>
      <c r="H818">
        <v>8036284972</v>
      </c>
      <c r="I818" t="s">
        <v>24</v>
      </c>
      <c r="J818" t="s">
        <v>69</v>
      </c>
      <c r="K818" t="s">
        <v>307</v>
      </c>
      <c r="L818" t="s">
        <v>108</v>
      </c>
      <c r="M818" t="s">
        <v>38</v>
      </c>
      <c r="N818" t="s">
        <v>39</v>
      </c>
      <c r="O818">
        <v>8</v>
      </c>
      <c r="P818">
        <v>21468.59</v>
      </c>
      <c r="Q818">
        <v>0</v>
      </c>
      <c r="R818">
        <v>0</v>
      </c>
      <c r="S818" s="11">
        <v>171748.72</v>
      </c>
      <c r="T818">
        <v>71470.28</v>
      </c>
      <c r="U818">
        <f t="shared" si="12"/>
        <v>171748.72</v>
      </c>
    </row>
    <row r="819" spans="1:21" ht="15" customHeight="1" x14ac:dyDescent="0.25">
      <c r="A819" t="s">
        <v>76</v>
      </c>
      <c r="B819" s="8">
        <v>45452</v>
      </c>
      <c r="C819" s="8">
        <v>45454</v>
      </c>
      <c r="D819" t="s">
        <v>20</v>
      </c>
      <c r="E819" t="s">
        <v>3039</v>
      </c>
      <c r="F819" t="s">
        <v>3046</v>
      </c>
      <c r="G819" t="s">
        <v>78</v>
      </c>
      <c r="H819">
        <v>8153997281</v>
      </c>
      <c r="I819" t="s">
        <v>35</v>
      </c>
      <c r="J819" t="s">
        <v>51</v>
      </c>
      <c r="L819" t="s">
        <v>27</v>
      </c>
      <c r="M819" t="s">
        <v>79</v>
      </c>
      <c r="N819" t="s">
        <v>80</v>
      </c>
      <c r="O819">
        <v>17</v>
      </c>
      <c r="P819">
        <v>6780.85</v>
      </c>
      <c r="Q819">
        <v>5</v>
      </c>
      <c r="R819">
        <v>5763.72</v>
      </c>
      <c r="S819" s="11">
        <v>109510.73</v>
      </c>
      <c r="T819">
        <v>-6384.09</v>
      </c>
      <c r="U819">
        <f t="shared" si="12"/>
        <v>109510.73</v>
      </c>
    </row>
    <row r="820" spans="1:21" ht="15" customHeight="1" x14ac:dyDescent="0.25">
      <c r="A820" t="s">
        <v>2027</v>
      </c>
      <c r="B820" s="8">
        <v>45453</v>
      </c>
      <c r="C820" s="8">
        <v>45454</v>
      </c>
      <c r="D820" t="s">
        <v>32</v>
      </c>
      <c r="E820" t="s">
        <v>3041</v>
      </c>
      <c r="F820" t="s">
        <v>3052</v>
      </c>
      <c r="G820" t="s">
        <v>2028</v>
      </c>
      <c r="H820">
        <v>8039286841</v>
      </c>
      <c r="I820" t="s">
        <v>24</v>
      </c>
      <c r="J820" t="s">
        <v>25</v>
      </c>
      <c r="K820" t="s">
        <v>36</v>
      </c>
      <c r="L820" t="s">
        <v>108</v>
      </c>
      <c r="M820" t="s">
        <v>114</v>
      </c>
      <c r="N820" t="s">
        <v>482</v>
      </c>
      <c r="O820">
        <v>4</v>
      </c>
      <c r="P820">
        <v>20113.2</v>
      </c>
      <c r="Q820">
        <v>20</v>
      </c>
      <c r="R820">
        <v>16090.56</v>
      </c>
      <c r="S820" s="11">
        <v>64362.239999999998</v>
      </c>
      <c r="T820">
        <v>-3045.37</v>
      </c>
      <c r="U820">
        <f t="shared" si="12"/>
        <v>64362.239999999998</v>
      </c>
    </row>
    <row r="821" spans="1:21" ht="15" customHeight="1" x14ac:dyDescent="0.25">
      <c r="A821" t="s">
        <v>2015</v>
      </c>
      <c r="B821" s="8">
        <v>45455</v>
      </c>
      <c r="C821" s="8">
        <v>45456</v>
      </c>
      <c r="D821" t="s">
        <v>32</v>
      </c>
      <c r="E821" t="s">
        <v>3050</v>
      </c>
      <c r="F821" t="s">
        <v>3036</v>
      </c>
      <c r="G821" t="s">
        <v>2017</v>
      </c>
      <c r="H821">
        <v>8135715786</v>
      </c>
      <c r="I821" t="s">
        <v>24</v>
      </c>
      <c r="J821" t="s">
        <v>51</v>
      </c>
      <c r="K821" t="s">
        <v>316</v>
      </c>
      <c r="L821" t="s">
        <v>108</v>
      </c>
      <c r="M821" t="s">
        <v>114</v>
      </c>
      <c r="N821" t="s">
        <v>891</v>
      </c>
      <c r="O821" t="s">
        <v>2018</v>
      </c>
      <c r="P821">
        <v>36105.589999999997</v>
      </c>
      <c r="Q821">
        <v>10</v>
      </c>
      <c r="R821">
        <v>68600.62</v>
      </c>
      <c r="S821" s="11">
        <v>617405.59</v>
      </c>
      <c r="T821">
        <v>-31245.74</v>
      </c>
      <c r="U821">
        <f t="shared" si="12"/>
        <v>617405.59</v>
      </c>
    </row>
    <row r="822" spans="1:21" ht="15" customHeight="1" x14ac:dyDescent="0.25">
      <c r="A822" t="s">
        <v>1277</v>
      </c>
      <c r="B822" s="8">
        <v>45456</v>
      </c>
      <c r="C822" s="8">
        <v>45456</v>
      </c>
      <c r="D822" t="s">
        <v>32</v>
      </c>
      <c r="E822" t="s">
        <v>3081</v>
      </c>
      <c r="F822" t="s">
        <v>3054</v>
      </c>
      <c r="G822" t="s">
        <v>1278</v>
      </c>
      <c r="H822">
        <v>8038650891</v>
      </c>
      <c r="I822" t="s">
        <v>24</v>
      </c>
      <c r="J822" t="s">
        <v>25</v>
      </c>
      <c r="K822" t="s">
        <v>126</v>
      </c>
      <c r="L822" t="s">
        <v>27</v>
      </c>
      <c r="M822" t="s">
        <v>28</v>
      </c>
      <c r="N822" t="s">
        <v>347</v>
      </c>
      <c r="O822" t="s">
        <v>1279</v>
      </c>
      <c r="P822">
        <v>1684.44</v>
      </c>
      <c r="Q822">
        <v>15</v>
      </c>
      <c r="R822">
        <v>4295.32</v>
      </c>
      <c r="S822" s="11">
        <v>24340.16</v>
      </c>
      <c r="T822">
        <v>4411.17</v>
      </c>
      <c r="U822">
        <f t="shared" si="12"/>
        <v>24340.16</v>
      </c>
    </row>
    <row r="823" spans="1:21" ht="15" customHeight="1" x14ac:dyDescent="0.25">
      <c r="A823" t="s">
        <v>1277</v>
      </c>
      <c r="B823" s="8">
        <v>45456</v>
      </c>
      <c r="C823" s="8">
        <v>45456</v>
      </c>
      <c r="D823" t="s">
        <v>32</v>
      </c>
      <c r="E823" t="s">
        <v>3081</v>
      </c>
      <c r="F823" t="s">
        <v>3054</v>
      </c>
      <c r="G823" t="s">
        <v>1278</v>
      </c>
      <c r="H823">
        <v>8038650891</v>
      </c>
      <c r="I823" t="s">
        <v>24</v>
      </c>
      <c r="J823" t="s">
        <v>25</v>
      </c>
      <c r="K823" t="s">
        <v>126</v>
      </c>
      <c r="L823" t="s">
        <v>27</v>
      </c>
      <c r="M823" t="s">
        <v>28</v>
      </c>
      <c r="N823" t="s">
        <v>347</v>
      </c>
      <c r="O823">
        <v>17</v>
      </c>
      <c r="P823">
        <v>1684.44</v>
      </c>
      <c r="Q823">
        <v>15</v>
      </c>
      <c r="R823">
        <v>4295.32</v>
      </c>
      <c r="S823" s="11">
        <v>24340.16</v>
      </c>
      <c r="T823">
        <v>4411.17</v>
      </c>
      <c r="U823">
        <f t="shared" si="12"/>
        <v>24340.16</v>
      </c>
    </row>
    <row r="824" spans="1:21" ht="15" customHeight="1" x14ac:dyDescent="0.25">
      <c r="A824" t="s">
        <v>2699</v>
      </c>
      <c r="B824" s="8">
        <v>45457</v>
      </c>
      <c r="C824" s="8">
        <v>45458</v>
      </c>
      <c r="D824" t="s">
        <v>32</v>
      </c>
      <c r="E824" t="s">
        <v>3041</v>
      </c>
      <c r="F824" t="s">
        <v>3038</v>
      </c>
      <c r="G824" t="s">
        <v>2700</v>
      </c>
      <c r="H824">
        <v>8103062198</v>
      </c>
      <c r="I824" t="s">
        <v>35</v>
      </c>
      <c r="J824" t="s">
        <v>69</v>
      </c>
      <c r="K824" t="s">
        <v>155</v>
      </c>
      <c r="L824" t="s">
        <v>63</v>
      </c>
      <c r="M824" t="s">
        <v>194</v>
      </c>
      <c r="N824" t="s">
        <v>700</v>
      </c>
      <c r="O824">
        <v>3</v>
      </c>
      <c r="P824">
        <v>1505.35</v>
      </c>
      <c r="Q824">
        <v>10</v>
      </c>
      <c r="R824">
        <v>451.6</v>
      </c>
      <c r="S824" s="11">
        <v>4064.45</v>
      </c>
      <c r="T824">
        <v>-347.6</v>
      </c>
      <c r="U824">
        <f t="shared" si="12"/>
        <v>4064.45</v>
      </c>
    </row>
    <row r="825" spans="1:21" ht="15" customHeight="1" x14ac:dyDescent="0.25">
      <c r="A825" t="s">
        <v>2392</v>
      </c>
      <c r="B825" s="8">
        <v>45459</v>
      </c>
      <c r="C825" s="8">
        <v>45465</v>
      </c>
      <c r="D825" t="s">
        <v>48</v>
      </c>
      <c r="E825" t="s">
        <v>3041</v>
      </c>
      <c r="F825" t="s">
        <v>3057</v>
      </c>
      <c r="G825" t="s">
        <v>2394</v>
      </c>
      <c r="H825">
        <v>8159909162</v>
      </c>
      <c r="I825" t="s">
        <v>35</v>
      </c>
      <c r="J825" t="s">
        <v>51</v>
      </c>
      <c r="K825" t="s">
        <v>227</v>
      </c>
      <c r="L825" t="s">
        <v>63</v>
      </c>
      <c r="M825" t="s">
        <v>469</v>
      </c>
      <c r="N825" t="s">
        <v>470</v>
      </c>
      <c r="O825">
        <v>3</v>
      </c>
      <c r="P825">
        <v>3941.46</v>
      </c>
      <c r="Q825">
        <v>10</v>
      </c>
      <c r="R825">
        <v>1182.44</v>
      </c>
      <c r="S825" s="11">
        <v>10641.94</v>
      </c>
      <c r="T825">
        <v>4515.59</v>
      </c>
      <c r="U825">
        <f t="shared" si="12"/>
        <v>10641.94</v>
      </c>
    </row>
    <row r="826" spans="1:21" ht="15" customHeight="1" x14ac:dyDescent="0.25">
      <c r="A826" t="s">
        <v>2449</v>
      </c>
      <c r="B826" s="8">
        <v>45459</v>
      </c>
      <c r="C826" s="8">
        <v>45463</v>
      </c>
      <c r="D826" t="s">
        <v>73</v>
      </c>
      <c r="E826" t="s">
        <v>3056</v>
      </c>
      <c r="F826" t="s">
        <v>3077</v>
      </c>
      <c r="G826" t="s">
        <v>261</v>
      </c>
      <c r="H826">
        <v>8102181161</v>
      </c>
      <c r="I826" t="s">
        <v>43</v>
      </c>
      <c r="J826" t="s">
        <v>25</v>
      </c>
      <c r="K826" t="s">
        <v>36</v>
      </c>
      <c r="L826" t="s">
        <v>63</v>
      </c>
      <c r="M826" t="s">
        <v>558</v>
      </c>
      <c r="N826" t="s">
        <v>1460</v>
      </c>
      <c r="O826">
        <v>9</v>
      </c>
      <c r="P826">
        <v>9846.7900000000009</v>
      </c>
      <c r="Q826" t="s">
        <v>376</v>
      </c>
      <c r="R826">
        <v>0</v>
      </c>
      <c r="S826" s="11">
        <v>88621.11</v>
      </c>
      <c r="T826">
        <v>20040.689999999999</v>
      </c>
      <c r="U826">
        <f t="shared" si="12"/>
        <v>88621.11</v>
      </c>
    </row>
    <row r="827" spans="1:21" ht="15" customHeight="1" x14ac:dyDescent="0.25">
      <c r="A827" t="s">
        <v>816</v>
      </c>
      <c r="B827" s="8">
        <v>45459</v>
      </c>
      <c r="C827" s="8">
        <v>45460</v>
      </c>
      <c r="D827" t="s">
        <v>32</v>
      </c>
      <c r="E827" t="s">
        <v>3048</v>
      </c>
      <c r="F827" t="s">
        <v>3066</v>
      </c>
      <c r="G827" t="s">
        <v>818</v>
      </c>
      <c r="H827">
        <v>7066892681</v>
      </c>
      <c r="I827" t="s">
        <v>35</v>
      </c>
      <c r="J827" t="s">
        <v>25</v>
      </c>
      <c r="K827" t="s">
        <v>26</v>
      </c>
      <c r="L827" t="s">
        <v>27</v>
      </c>
      <c r="M827" t="s">
        <v>28</v>
      </c>
      <c r="N827" t="s">
        <v>29</v>
      </c>
      <c r="O827">
        <v>19</v>
      </c>
      <c r="P827">
        <v>6681.81</v>
      </c>
      <c r="Q827">
        <v>5</v>
      </c>
      <c r="R827">
        <v>6347.72</v>
      </c>
      <c r="T827">
        <v>-6320.52</v>
      </c>
      <c r="U827">
        <f t="shared" si="12"/>
        <v>0</v>
      </c>
    </row>
    <row r="828" spans="1:21" ht="15" customHeight="1" x14ac:dyDescent="0.25">
      <c r="A828" t="s">
        <v>1496</v>
      </c>
      <c r="B828" s="8">
        <v>45460</v>
      </c>
      <c r="C828" s="8">
        <v>45465</v>
      </c>
      <c r="D828" t="s">
        <v>73</v>
      </c>
      <c r="E828" t="s">
        <v>3041</v>
      </c>
      <c r="F828" t="s">
        <v>3079</v>
      </c>
      <c r="G828" t="s">
        <v>1498</v>
      </c>
      <c r="H828">
        <v>9021568440</v>
      </c>
      <c r="I828" t="s">
        <v>35</v>
      </c>
      <c r="J828" t="s">
        <v>61</v>
      </c>
      <c r="K828" t="s">
        <v>182</v>
      </c>
      <c r="L828" t="s">
        <v>63</v>
      </c>
      <c r="M828" t="s">
        <v>194</v>
      </c>
      <c r="N828" t="s">
        <v>700</v>
      </c>
      <c r="O828">
        <v>16</v>
      </c>
      <c r="P828">
        <v>20668.349999999999</v>
      </c>
      <c r="Q828">
        <v>20</v>
      </c>
      <c r="R828">
        <v>66138.720000000001</v>
      </c>
      <c r="S828" s="11">
        <v>264554.88</v>
      </c>
      <c r="T828">
        <v>77293.72</v>
      </c>
      <c r="U828">
        <f t="shared" si="12"/>
        <v>264554.88</v>
      </c>
    </row>
    <row r="829" spans="1:21" ht="15" customHeight="1" x14ac:dyDescent="0.25">
      <c r="A829" t="s">
        <v>2408</v>
      </c>
      <c r="B829" s="8">
        <v>45462</v>
      </c>
      <c r="C829" s="8">
        <v>45465</v>
      </c>
      <c r="D829" t="s">
        <v>73</v>
      </c>
      <c r="E829" t="s">
        <v>3098</v>
      </c>
      <c r="F829" t="s">
        <v>3046</v>
      </c>
      <c r="G829" t="s">
        <v>2410</v>
      </c>
      <c r="H829">
        <v>8034499464</v>
      </c>
      <c r="I829" t="s">
        <v>35</v>
      </c>
      <c r="J829" t="s">
        <v>61</v>
      </c>
      <c r="K829" t="s">
        <v>182</v>
      </c>
      <c r="L829" t="s">
        <v>108</v>
      </c>
      <c r="M829" t="s">
        <v>114</v>
      </c>
      <c r="N829" t="s">
        <v>115</v>
      </c>
      <c r="O829">
        <v>7</v>
      </c>
      <c r="P829">
        <v>20857.509999999998</v>
      </c>
      <c r="Q829">
        <v>5</v>
      </c>
      <c r="R829">
        <v>7300.13</v>
      </c>
      <c r="S829" s="11">
        <v>138702.44</v>
      </c>
      <c r="T829">
        <v>43357.03</v>
      </c>
      <c r="U829">
        <f t="shared" si="12"/>
        <v>138702.44</v>
      </c>
    </row>
    <row r="830" spans="1:21" ht="15" customHeight="1" x14ac:dyDescent="0.25">
      <c r="A830" t="s">
        <v>1319</v>
      </c>
      <c r="B830" s="8">
        <v>45466</v>
      </c>
      <c r="C830" s="8">
        <v>45473</v>
      </c>
      <c r="D830" t="s">
        <v>48</v>
      </c>
      <c r="E830" t="s">
        <v>3072</v>
      </c>
      <c r="F830" t="s">
        <v>3090</v>
      </c>
      <c r="G830" t="s">
        <v>1321</v>
      </c>
      <c r="H830">
        <v>8065204309</v>
      </c>
      <c r="I830" t="s">
        <v>24</v>
      </c>
      <c r="J830" t="s">
        <v>69</v>
      </c>
      <c r="K830" t="s">
        <v>119</v>
      </c>
      <c r="L830" t="s">
        <v>108</v>
      </c>
      <c r="M830" t="s">
        <v>114</v>
      </c>
      <c r="N830" t="s">
        <v>115</v>
      </c>
      <c r="O830">
        <v>1</v>
      </c>
      <c r="P830">
        <v>8400.73</v>
      </c>
      <c r="Q830">
        <v>0</v>
      </c>
      <c r="R830">
        <v>0</v>
      </c>
      <c r="S830" s="11">
        <v>8400.73</v>
      </c>
      <c r="T830">
        <v>2089.8000000000002</v>
      </c>
      <c r="U830">
        <f t="shared" si="12"/>
        <v>8400.73</v>
      </c>
    </row>
    <row r="831" spans="1:21" ht="15" customHeight="1" x14ac:dyDescent="0.25">
      <c r="A831" t="s">
        <v>1398</v>
      </c>
      <c r="B831" s="8">
        <v>45467</v>
      </c>
      <c r="C831" s="8">
        <v>45471</v>
      </c>
      <c r="D831" t="s">
        <v>73</v>
      </c>
      <c r="E831" t="s">
        <v>3056</v>
      </c>
      <c r="F831" t="s">
        <v>3034</v>
      </c>
      <c r="G831" t="s">
        <v>1399</v>
      </c>
      <c r="H831">
        <v>8033339134</v>
      </c>
      <c r="I831" t="s">
        <v>43</v>
      </c>
      <c r="J831" t="s">
        <v>51</v>
      </c>
      <c r="L831" t="s">
        <v>27</v>
      </c>
      <c r="M831" t="s">
        <v>79</v>
      </c>
      <c r="N831" t="s">
        <v>80</v>
      </c>
      <c r="O831">
        <v>20</v>
      </c>
      <c r="P831">
        <v>490.93</v>
      </c>
      <c r="Q831">
        <v>5</v>
      </c>
      <c r="R831">
        <v>490.93</v>
      </c>
      <c r="S831" s="11">
        <v>9327.67</v>
      </c>
      <c r="T831">
        <v>1096.78</v>
      </c>
      <c r="U831">
        <f t="shared" si="12"/>
        <v>9327.67</v>
      </c>
    </row>
    <row r="832" spans="1:21" ht="15" customHeight="1" x14ac:dyDescent="0.25">
      <c r="A832" t="s">
        <v>1913</v>
      </c>
      <c r="B832" s="8">
        <v>45467</v>
      </c>
      <c r="C832" s="8">
        <v>45470</v>
      </c>
      <c r="D832" t="s">
        <v>73</v>
      </c>
      <c r="E832" t="s">
        <v>3041</v>
      </c>
      <c r="F832" t="s">
        <v>3036</v>
      </c>
      <c r="G832" t="s">
        <v>1914</v>
      </c>
      <c r="H832">
        <v>9057634775</v>
      </c>
      <c r="I832" t="s">
        <v>24</v>
      </c>
      <c r="J832" t="s">
        <v>69</v>
      </c>
      <c r="K832" t="s">
        <v>144</v>
      </c>
      <c r="L832" t="s">
        <v>85</v>
      </c>
      <c r="M832" t="s">
        <v>486</v>
      </c>
      <c r="N832" t="s">
        <v>1193</v>
      </c>
      <c r="O832">
        <v>14</v>
      </c>
      <c r="P832" t="s">
        <v>1915</v>
      </c>
      <c r="Q832">
        <v>10</v>
      </c>
      <c r="R832">
        <v>186938.71</v>
      </c>
      <c r="S832" s="11">
        <v>1682448.39</v>
      </c>
      <c r="T832">
        <v>-102628.49</v>
      </c>
      <c r="U832">
        <f t="shared" si="12"/>
        <v>1682448.39</v>
      </c>
    </row>
    <row r="833" spans="1:21" ht="15" customHeight="1" x14ac:dyDescent="0.25">
      <c r="A833" t="s">
        <v>288</v>
      </c>
      <c r="B833" s="8">
        <v>45467</v>
      </c>
      <c r="C833" s="8">
        <v>45467</v>
      </c>
      <c r="D833" t="s">
        <v>32</v>
      </c>
      <c r="E833" t="s">
        <v>3082</v>
      </c>
      <c r="F833" t="s">
        <v>3036</v>
      </c>
      <c r="G833" t="s">
        <v>290</v>
      </c>
      <c r="H833">
        <v>8168350368</v>
      </c>
      <c r="I833" t="s">
        <v>43</v>
      </c>
      <c r="J833" t="s">
        <v>61</v>
      </c>
      <c r="K833" t="s">
        <v>84</v>
      </c>
      <c r="L833" t="s">
        <v>108</v>
      </c>
      <c r="M833" t="s">
        <v>114</v>
      </c>
      <c r="N833" t="s">
        <v>291</v>
      </c>
      <c r="O833">
        <v>20</v>
      </c>
      <c r="P833">
        <v>43845.31</v>
      </c>
      <c r="Q833">
        <v>5</v>
      </c>
      <c r="R833">
        <v>43845.31</v>
      </c>
      <c r="S833" s="11" t="s">
        <v>292</v>
      </c>
      <c r="T833">
        <v>229816.25</v>
      </c>
      <c r="U833">
        <f t="shared" si="12"/>
        <v>833060.89</v>
      </c>
    </row>
    <row r="834" spans="1:21" ht="15" customHeight="1" x14ac:dyDescent="0.25">
      <c r="A834" t="s">
        <v>2373</v>
      </c>
      <c r="B834" s="8">
        <v>45468</v>
      </c>
      <c r="C834" s="8">
        <v>45474</v>
      </c>
      <c r="D834" t="s">
        <v>48</v>
      </c>
      <c r="E834" t="s">
        <v>3035</v>
      </c>
      <c r="F834" t="s">
        <v>3079</v>
      </c>
      <c r="G834" t="s">
        <v>422</v>
      </c>
      <c r="H834">
        <v>8035223626</v>
      </c>
      <c r="I834" t="s">
        <v>43</v>
      </c>
      <c r="J834" t="s">
        <v>25</v>
      </c>
      <c r="K834" t="s">
        <v>36</v>
      </c>
      <c r="L834" t="s">
        <v>37</v>
      </c>
      <c r="M834" t="s">
        <v>189</v>
      </c>
      <c r="N834" t="s">
        <v>325</v>
      </c>
      <c r="O834">
        <v>6</v>
      </c>
      <c r="P834">
        <v>23182.02</v>
      </c>
      <c r="Q834">
        <v>10</v>
      </c>
      <c r="R834">
        <v>13909.21</v>
      </c>
      <c r="S834" s="11">
        <v>125182.91</v>
      </c>
      <c r="T834">
        <v>19325.21</v>
      </c>
      <c r="U834">
        <f t="shared" ref="U834:U897" si="13">VALUE(S834)</f>
        <v>125182.91</v>
      </c>
    </row>
    <row r="835" spans="1:21" ht="15" customHeight="1" x14ac:dyDescent="0.25">
      <c r="A835" t="s">
        <v>1047</v>
      </c>
      <c r="B835" s="8">
        <v>45468</v>
      </c>
      <c r="C835" s="8">
        <v>45471</v>
      </c>
      <c r="D835" t="s">
        <v>20</v>
      </c>
      <c r="E835" t="s">
        <v>3094</v>
      </c>
      <c r="F835" t="s">
        <v>3083</v>
      </c>
      <c r="G835" t="s">
        <v>1049</v>
      </c>
      <c r="H835">
        <v>9026698561</v>
      </c>
      <c r="I835" t="s">
        <v>43</v>
      </c>
      <c r="J835" t="s">
        <v>25</v>
      </c>
      <c r="K835" t="s">
        <v>36</v>
      </c>
      <c r="L835" t="s">
        <v>108</v>
      </c>
      <c r="M835" t="s">
        <v>183</v>
      </c>
      <c r="N835" t="s">
        <v>184</v>
      </c>
      <c r="O835">
        <v>16</v>
      </c>
      <c r="P835">
        <v>39067</v>
      </c>
      <c r="Q835">
        <v>0</v>
      </c>
      <c r="R835">
        <v>0</v>
      </c>
      <c r="S835" s="11" t="s">
        <v>1050</v>
      </c>
      <c r="T835">
        <v>2932.75</v>
      </c>
      <c r="U835">
        <f t="shared" si="13"/>
        <v>625072</v>
      </c>
    </row>
    <row r="836" spans="1:21" ht="15" customHeight="1" x14ac:dyDescent="0.25">
      <c r="A836" t="s">
        <v>1200</v>
      </c>
      <c r="B836" s="8">
        <v>45475</v>
      </c>
      <c r="C836" s="8">
        <v>45478</v>
      </c>
      <c r="D836" t="s">
        <v>20</v>
      </c>
      <c r="E836" t="s">
        <v>3065</v>
      </c>
      <c r="F836" t="s">
        <v>3038</v>
      </c>
      <c r="G836" t="s">
        <v>1202</v>
      </c>
      <c r="H836">
        <v>8131059272</v>
      </c>
      <c r="I836" t="s">
        <v>43</v>
      </c>
      <c r="J836" t="s">
        <v>1203</v>
      </c>
      <c r="K836" t="s">
        <v>168</v>
      </c>
      <c r="L836" t="s">
        <v>27</v>
      </c>
      <c r="M836" t="s">
        <v>45</v>
      </c>
      <c r="N836" t="s">
        <v>308</v>
      </c>
      <c r="O836">
        <v>16</v>
      </c>
      <c r="P836">
        <v>3831.55</v>
      </c>
      <c r="Q836">
        <v>25</v>
      </c>
      <c r="R836">
        <v>15326.2</v>
      </c>
      <c r="S836" s="11">
        <v>45978.6</v>
      </c>
      <c r="T836">
        <v>15378.59</v>
      </c>
      <c r="U836">
        <f t="shared" si="13"/>
        <v>45978.6</v>
      </c>
    </row>
    <row r="837" spans="1:21" ht="15" customHeight="1" x14ac:dyDescent="0.25">
      <c r="A837" t="s">
        <v>1633</v>
      </c>
      <c r="B837" s="8">
        <v>45475</v>
      </c>
      <c r="C837" s="8">
        <v>45475</v>
      </c>
      <c r="D837" t="s">
        <v>32</v>
      </c>
      <c r="E837" t="s">
        <v>3092</v>
      </c>
      <c r="F837" t="s">
        <v>3052</v>
      </c>
      <c r="G837" t="s">
        <v>1635</v>
      </c>
      <c r="H837">
        <v>7033821731</v>
      </c>
      <c r="I837" t="s">
        <v>24</v>
      </c>
      <c r="J837" t="s">
        <v>61</v>
      </c>
      <c r="K837" t="s">
        <v>182</v>
      </c>
      <c r="L837" t="s">
        <v>85</v>
      </c>
      <c r="M837" t="s">
        <v>266</v>
      </c>
      <c r="N837" t="s">
        <v>952</v>
      </c>
      <c r="O837">
        <v>18</v>
      </c>
      <c r="P837">
        <v>173352.56</v>
      </c>
      <c r="Q837">
        <v>20</v>
      </c>
      <c r="R837">
        <v>624069.22</v>
      </c>
      <c r="S837" s="11" t="s">
        <v>1636</v>
      </c>
      <c r="T837">
        <v>-311846.77</v>
      </c>
      <c r="U837" t="e">
        <f t="shared" si="13"/>
        <v>#VALUE!</v>
      </c>
    </row>
    <row r="838" spans="1:21" ht="15" customHeight="1" x14ac:dyDescent="0.25">
      <c r="A838" t="s">
        <v>191</v>
      </c>
      <c r="B838" s="8">
        <v>45475</v>
      </c>
      <c r="C838" s="8">
        <v>45475</v>
      </c>
      <c r="D838" t="s">
        <v>32</v>
      </c>
      <c r="E838" t="s">
        <v>3055</v>
      </c>
      <c r="F838" t="s">
        <v>3071</v>
      </c>
      <c r="G838" t="s">
        <v>193</v>
      </c>
      <c r="H838">
        <v>9025147994</v>
      </c>
      <c r="I838" t="s">
        <v>24</v>
      </c>
      <c r="J838" t="s">
        <v>69</v>
      </c>
      <c r="K838" t="s">
        <v>155</v>
      </c>
      <c r="L838" t="s">
        <v>63</v>
      </c>
      <c r="M838" t="s">
        <v>194</v>
      </c>
      <c r="N838" t="s">
        <v>195</v>
      </c>
      <c r="O838">
        <v>8</v>
      </c>
      <c r="P838">
        <v>12372.63</v>
      </c>
      <c r="Q838" t="s">
        <v>161</v>
      </c>
      <c r="R838">
        <v>9898.1</v>
      </c>
      <c r="S838" s="11">
        <v>89082.94</v>
      </c>
      <c r="T838">
        <v>10148.65</v>
      </c>
      <c r="U838">
        <f t="shared" si="13"/>
        <v>89082.94</v>
      </c>
    </row>
    <row r="839" spans="1:21" ht="15" customHeight="1" x14ac:dyDescent="0.25">
      <c r="A839" t="s">
        <v>1955</v>
      </c>
      <c r="B839" s="8">
        <v>45478</v>
      </c>
      <c r="C839" s="8">
        <v>45480</v>
      </c>
      <c r="D839" t="s">
        <v>20</v>
      </c>
      <c r="E839" t="s">
        <v>3095</v>
      </c>
      <c r="F839" t="s">
        <v>3064</v>
      </c>
      <c r="G839" t="s">
        <v>1956</v>
      </c>
      <c r="H839">
        <v>9058229326</v>
      </c>
      <c r="I839" t="s">
        <v>24</v>
      </c>
      <c r="J839" t="s">
        <v>61</v>
      </c>
      <c r="K839" t="s">
        <v>62</v>
      </c>
      <c r="L839" t="s">
        <v>96</v>
      </c>
      <c r="M839" t="s">
        <v>189</v>
      </c>
      <c r="N839" t="s">
        <v>190</v>
      </c>
      <c r="O839">
        <v>20</v>
      </c>
      <c r="P839">
        <v>105836.98</v>
      </c>
      <c r="Q839">
        <v>0</v>
      </c>
      <c r="R839">
        <v>0</v>
      </c>
      <c r="S839" s="11">
        <v>2116739.6</v>
      </c>
      <c r="T839">
        <v>899210.86</v>
      </c>
      <c r="U839">
        <f t="shared" si="13"/>
        <v>2116739.6</v>
      </c>
    </row>
    <row r="840" spans="1:21" ht="15" customHeight="1" x14ac:dyDescent="0.25">
      <c r="A840" t="s">
        <v>2499</v>
      </c>
      <c r="B840" s="8">
        <v>45479</v>
      </c>
      <c r="C840" s="8">
        <v>45479</v>
      </c>
      <c r="D840" t="s">
        <v>32</v>
      </c>
      <c r="E840" t="s">
        <v>3060</v>
      </c>
      <c r="F840" t="s">
        <v>3050</v>
      </c>
      <c r="G840" t="s">
        <v>2501</v>
      </c>
      <c r="H840">
        <v>8137135319</v>
      </c>
      <c r="I840" t="s">
        <v>24</v>
      </c>
      <c r="J840" t="s">
        <v>51</v>
      </c>
      <c r="K840" t="s">
        <v>2502</v>
      </c>
      <c r="L840" t="s">
        <v>85</v>
      </c>
      <c r="M840" t="s">
        <v>218</v>
      </c>
      <c r="N840" t="s">
        <v>219</v>
      </c>
      <c r="O840">
        <v>13</v>
      </c>
      <c r="P840">
        <v>40394.51</v>
      </c>
      <c r="Q840">
        <v>0</v>
      </c>
      <c r="R840">
        <v>0</v>
      </c>
      <c r="S840" s="11">
        <v>525128.63</v>
      </c>
      <c r="T840">
        <v>34129.599999999999</v>
      </c>
      <c r="U840">
        <f t="shared" si="13"/>
        <v>525128.63</v>
      </c>
    </row>
    <row r="841" spans="1:21" ht="15" customHeight="1" x14ac:dyDescent="0.25">
      <c r="A841" t="s">
        <v>2863</v>
      </c>
      <c r="B841" s="8">
        <v>45481</v>
      </c>
      <c r="C841" s="8">
        <v>45485</v>
      </c>
      <c r="D841" t="s">
        <v>73</v>
      </c>
      <c r="E841" t="s">
        <v>3065</v>
      </c>
      <c r="F841" t="s">
        <v>3088</v>
      </c>
      <c r="G841" t="s">
        <v>2865</v>
      </c>
      <c r="H841">
        <v>8166297073</v>
      </c>
      <c r="I841" t="s">
        <v>35</v>
      </c>
      <c r="J841" t="s">
        <v>51</v>
      </c>
      <c r="K841" t="s">
        <v>316</v>
      </c>
      <c r="L841" t="s">
        <v>63</v>
      </c>
      <c r="M841" t="s">
        <v>312</v>
      </c>
      <c r="N841" t="s">
        <v>736</v>
      </c>
      <c r="O841">
        <v>1</v>
      </c>
      <c r="P841">
        <v>23192.22</v>
      </c>
      <c r="Q841">
        <v>5</v>
      </c>
      <c r="R841">
        <v>1159.6099999999999</v>
      </c>
      <c r="S841" s="11">
        <v>22032.61</v>
      </c>
      <c r="T841">
        <v>2059.8200000000002</v>
      </c>
      <c r="U841">
        <f t="shared" si="13"/>
        <v>22032.61</v>
      </c>
    </row>
    <row r="842" spans="1:21" ht="15" customHeight="1" x14ac:dyDescent="0.25">
      <c r="A842" t="s">
        <v>2834</v>
      </c>
      <c r="B842" s="8">
        <v>45482</v>
      </c>
      <c r="C842" s="8">
        <v>45485</v>
      </c>
      <c r="D842" t="s">
        <v>73</v>
      </c>
      <c r="E842" t="s">
        <v>3091</v>
      </c>
      <c r="F842" t="s">
        <v>3042</v>
      </c>
      <c r="G842" t="s">
        <v>908</v>
      </c>
      <c r="H842">
        <v>7065523800</v>
      </c>
      <c r="I842" t="s">
        <v>24</v>
      </c>
      <c r="J842" t="s">
        <v>51</v>
      </c>
      <c r="K842" t="s">
        <v>223</v>
      </c>
      <c r="L842" t="s">
        <v>85</v>
      </c>
      <c r="M842" t="s">
        <v>486</v>
      </c>
      <c r="N842" t="s">
        <v>1193</v>
      </c>
      <c r="O842">
        <v>5</v>
      </c>
      <c r="P842">
        <v>83358.240000000005</v>
      </c>
      <c r="Q842">
        <v>0</v>
      </c>
      <c r="R842">
        <v>0</v>
      </c>
      <c r="S842" s="11">
        <v>416791.2</v>
      </c>
      <c r="T842">
        <v>132791.63</v>
      </c>
      <c r="U842">
        <f t="shared" si="13"/>
        <v>416791.2</v>
      </c>
    </row>
    <row r="843" spans="1:21" ht="15" customHeight="1" x14ac:dyDescent="0.25">
      <c r="A843" t="s">
        <v>505</v>
      </c>
      <c r="B843" s="8">
        <v>45482</v>
      </c>
      <c r="C843" s="8">
        <v>45484</v>
      </c>
      <c r="D843" t="s">
        <v>20</v>
      </c>
      <c r="E843" t="s">
        <v>3084</v>
      </c>
      <c r="F843" t="s">
        <v>3038</v>
      </c>
      <c r="G843" t="s">
        <v>507</v>
      </c>
      <c r="H843">
        <v>8167444964</v>
      </c>
      <c r="I843" t="s">
        <v>35</v>
      </c>
      <c r="J843" t="s">
        <v>61</v>
      </c>
      <c r="K843" t="s">
        <v>204</v>
      </c>
      <c r="L843" t="s">
        <v>27</v>
      </c>
      <c r="M843" t="s">
        <v>28</v>
      </c>
      <c r="N843" t="s">
        <v>508</v>
      </c>
      <c r="O843">
        <v>6</v>
      </c>
      <c r="P843">
        <v>7712.68</v>
      </c>
      <c r="Q843">
        <v>10</v>
      </c>
      <c r="R843">
        <v>4627.6099999999997</v>
      </c>
      <c r="S843" s="11">
        <v>41648.47</v>
      </c>
      <c r="T843">
        <v>17086.32</v>
      </c>
      <c r="U843">
        <f t="shared" si="13"/>
        <v>41648.47</v>
      </c>
    </row>
    <row r="844" spans="1:21" ht="15" customHeight="1" x14ac:dyDescent="0.25">
      <c r="A844" t="s">
        <v>637</v>
      </c>
      <c r="B844" s="8">
        <v>45484</v>
      </c>
      <c r="C844" s="8">
        <v>45487</v>
      </c>
      <c r="D844" t="s">
        <v>20</v>
      </c>
      <c r="E844" t="s">
        <v>3067</v>
      </c>
      <c r="F844" t="s">
        <v>3039</v>
      </c>
      <c r="G844" t="s">
        <v>639</v>
      </c>
      <c r="H844">
        <v>7064116163</v>
      </c>
      <c r="I844" t="s">
        <v>24</v>
      </c>
      <c r="J844" t="s">
        <v>51</v>
      </c>
      <c r="K844" t="s">
        <v>52</v>
      </c>
      <c r="L844" t="s">
        <v>27</v>
      </c>
      <c r="M844" t="s">
        <v>28</v>
      </c>
      <c r="N844" t="s">
        <v>29</v>
      </c>
      <c r="O844" t="s">
        <v>640</v>
      </c>
      <c r="P844">
        <v>6245.69</v>
      </c>
      <c r="Q844">
        <v>5</v>
      </c>
      <c r="R844">
        <v>3122.84</v>
      </c>
      <c r="S844" s="11">
        <v>59334.06</v>
      </c>
      <c r="T844">
        <v>16486.87</v>
      </c>
      <c r="U844">
        <f t="shared" si="13"/>
        <v>59334.06</v>
      </c>
    </row>
    <row r="845" spans="1:21" ht="15" customHeight="1" x14ac:dyDescent="0.25">
      <c r="A845" t="s">
        <v>1194</v>
      </c>
      <c r="B845" s="8">
        <v>45485</v>
      </c>
      <c r="C845" s="8">
        <v>45487</v>
      </c>
      <c r="D845" t="s">
        <v>20</v>
      </c>
      <c r="E845" t="s">
        <v>3065</v>
      </c>
      <c r="F845" t="s">
        <v>3071</v>
      </c>
      <c r="G845" t="s">
        <v>1196</v>
      </c>
      <c r="H845">
        <v>8142512963</v>
      </c>
      <c r="I845" t="s">
        <v>43</v>
      </c>
      <c r="J845" t="s">
        <v>61</v>
      </c>
      <c r="K845" t="s">
        <v>204</v>
      </c>
      <c r="L845" t="s">
        <v>63</v>
      </c>
      <c r="M845" t="s">
        <v>558</v>
      </c>
      <c r="N845" t="s">
        <v>680</v>
      </c>
      <c r="O845" t="s">
        <v>1158</v>
      </c>
      <c r="P845">
        <v>18100.18</v>
      </c>
      <c r="Q845">
        <v>0</v>
      </c>
      <c r="R845">
        <v>0</v>
      </c>
      <c r="S845" s="11">
        <v>72400.72</v>
      </c>
      <c r="T845">
        <v>-5900.73</v>
      </c>
      <c r="U845">
        <f t="shared" si="13"/>
        <v>72400.72</v>
      </c>
    </row>
    <row r="846" spans="1:21" ht="15" customHeight="1" x14ac:dyDescent="0.25">
      <c r="A846" t="s">
        <v>691</v>
      </c>
      <c r="B846" s="8">
        <v>45485</v>
      </c>
      <c r="C846" s="8">
        <v>45487</v>
      </c>
      <c r="D846" t="s">
        <v>20</v>
      </c>
      <c r="E846" t="s">
        <v>3097</v>
      </c>
      <c r="F846" t="s">
        <v>3046</v>
      </c>
      <c r="G846" t="s">
        <v>692</v>
      </c>
      <c r="H846">
        <v>8104273712</v>
      </c>
      <c r="I846" t="s">
        <v>35</v>
      </c>
      <c r="K846" t="s">
        <v>131</v>
      </c>
      <c r="L846" t="s">
        <v>108</v>
      </c>
      <c r="M846" t="s">
        <v>189</v>
      </c>
      <c r="N846" t="s">
        <v>205</v>
      </c>
      <c r="O846">
        <v>14</v>
      </c>
      <c r="P846">
        <v>30082</v>
      </c>
      <c r="Q846">
        <v>20</v>
      </c>
      <c r="R846">
        <v>84229.6</v>
      </c>
      <c r="S846" s="11">
        <v>336918.4</v>
      </c>
      <c r="T846">
        <v>33482.36</v>
      </c>
      <c r="U846">
        <f t="shared" si="13"/>
        <v>336918.4</v>
      </c>
    </row>
    <row r="847" spans="1:21" ht="15" customHeight="1" x14ac:dyDescent="0.25">
      <c r="A847" t="s">
        <v>974</v>
      </c>
      <c r="B847" s="8">
        <v>45485</v>
      </c>
      <c r="C847" s="8">
        <v>45486</v>
      </c>
      <c r="D847" t="s">
        <v>32</v>
      </c>
      <c r="E847" t="s">
        <v>3068</v>
      </c>
      <c r="F847" t="s">
        <v>3074</v>
      </c>
      <c r="G847" t="s">
        <v>976</v>
      </c>
      <c r="H847">
        <v>7062984841</v>
      </c>
      <c r="I847" t="s">
        <v>43</v>
      </c>
      <c r="J847" t="s">
        <v>61</v>
      </c>
      <c r="K847" t="s">
        <v>182</v>
      </c>
      <c r="L847" t="s">
        <v>27</v>
      </c>
      <c r="M847" t="s">
        <v>79</v>
      </c>
      <c r="N847" t="s">
        <v>234</v>
      </c>
      <c r="O847">
        <v>19</v>
      </c>
      <c r="P847">
        <v>786.93</v>
      </c>
      <c r="Q847" t="s">
        <v>376</v>
      </c>
      <c r="R847">
        <v>0</v>
      </c>
      <c r="S847" s="11">
        <v>14951.67</v>
      </c>
      <c r="T847">
        <v>4044.86</v>
      </c>
      <c r="U847">
        <f t="shared" si="13"/>
        <v>14951.67</v>
      </c>
    </row>
    <row r="848" spans="1:21" ht="15" customHeight="1" x14ac:dyDescent="0.25">
      <c r="A848" t="s">
        <v>2433</v>
      </c>
      <c r="B848" s="8">
        <v>45487</v>
      </c>
      <c r="C848" s="8">
        <v>45487</v>
      </c>
      <c r="D848" t="s">
        <v>32</v>
      </c>
      <c r="E848" t="s">
        <v>3039</v>
      </c>
      <c r="F848" t="s">
        <v>3088</v>
      </c>
      <c r="G848" t="s">
        <v>2434</v>
      </c>
      <c r="H848">
        <v>8158379676</v>
      </c>
      <c r="I848" t="s">
        <v>24</v>
      </c>
      <c r="J848" t="s">
        <v>51</v>
      </c>
      <c r="K848" t="s">
        <v>131</v>
      </c>
      <c r="L848" t="s">
        <v>96</v>
      </c>
      <c r="M848" t="s">
        <v>97</v>
      </c>
      <c r="N848" t="s">
        <v>169</v>
      </c>
      <c r="O848">
        <v>11</v>
      </c>
      <c r="P848">
        <v>416890.25</v>
      </c>
      <c r="Q848">
        <v>0</v>
      </c>
      <c r="R848">
        <v>0</v>
      </c>
      <c r="S848" s="11">
        <v>4585792.75</v>
      </c>
      <c r="T848">
        <v>14539.96</v>
      </c>
      <c r="U848">
        <f t="shared" si="13"/>
        <v>4585792.75</v>
      </c>
    </row>
    <row r="849" spans="1:21" ht="15" customHeight="1" x14ac:dyDescent="0.25">
      <c r="A849" t="s">
        <v>2230</v>
      </c>
      <c r="B849" s="8">
        <v>45488</v>
      </c>
      <c r="C849" s="8">
        <v>45494</v>
      </c>
      <c r="D849" t="s">
        <v>48</v>
      </c>
      <c r="E849" t="s">
        <v>3094</v>
      </c>
      <c r="F849" t="s">
        <v>3046</v>
      </c>
      <c r="G849" t="s">
        <v>2232</v>
      </c>
      <c r="H849">
        <v>9024894252</v>
      </c>
      <c r="I849" t="s">
        <v>24</v>
      </c>
      <c r="J849" t="s">
        <v>69</v>
      </c>
      <c r="K849" t="s">
        <v>144</v>
      </c>
      <c r="L849" t="s">
        <v>108</v>
      </c>
      <c r="M849" t="s">
        <v>38</v>
      </c>
      <c r="N849" t="s">
        <v>213</v>
      </c>
      <c r="O849">
        <v>10</v>
      </c>
      <c r="P849">
        <v>26215.59</v>
      </c>
      <c r="Q849">
        <v>10</v>
      </c>
      <c r="R849">
        <v>26215.59</v>
      </c>
      <c r="S849" s="11">
        <v>235940.31</v>
      </c>
      <c r="T849">
        <v>-15038.19</v>
      </c>
      <c r="U849">
        <f t="shared" si="13"/>
        <v>235940.31</v>
      </c>
    </row>
    <row r="850" spans="1:21" ht="15" customHeight="1" x14ac:dyDescent="0.25">
      <c r="A850" t="s">
        <v>2438</v>
      </c>
      <c r="B850" s="8">
        <v>45488</v>
      </c>
      <c r="C850" s="8">
        <v>45491</v>
      </c>
      <c r="D850" t="s">
        <v>20</v>
      </c>
      <c r="G850" t="s">
        <v>2439</v>
      </c>
      <c r="H850">
        <v>7069571557</v>
      </c>
      <c r="I850" t="s">
        <v>43</v>
      </c>
      <c r="J850" t="s">
        <v>51</v>
      </c>
      <c r="K850" t="s">
        <v>131</v>
      </c>
      <c r="L850" t="s">
        <v>85</v>
      </c>
      <c r="M850" t="s">
        <v>218</v>
      </c>
      <c r="N850" t="s">
        <v>708</v>
      </c>
      <c r="O850">
        <v>7</v>
      </c>
      <c r="P850">
        <v>141456.75</v>
      </c>
      <c r="Q850">
        <v>10</v>
      </c>
      <c r="R850">
        <v>99019.73</v>
      </c>
      <c r="S850" s="11">
        <v>891177.52</v>
      </c>
      <c r="T850">
        <v>147351.57999999999</v>
      </c>
      <c r="U850">
        <f t="shared" si="13"/>
        <v>891177.52</v>
      </c>
    </row>
    <row r="851" spans="1:21" ht="15" customHeight="1" x14ac:dyDescent="0.25">
      <c r="A851" t="s">
        <v>2071</v>
      </c>
      <c r="B851" s="8">
        <v>45488</v>
      </c>
      <c r="C851" s="8">
        <v>45491</v>
      </c>
      <c r="D851" t="s">
        <v>20</v>
      </c>
      <c r="E851" t="s">
        <v>3097</v>
      </c>
      <c r="F851" t="s">
        <v>3077</v>
      </c>
      <c r="G851" t="s">
        <v>2073</v>
      </c>
      <c r="H851">
        <v>9079162003</v>
      </c>
      <c r="I851" t="s">
        <v>24</v>
      </c>
      <c r="J851" t="s">
        <v>25</v>
      </c>
      <c r="K851" t="s">
        <v>44</v>
      </c>
      <c r="L851" t="s">
        <v>53</v>
      </c>
      <c r="M851" t="s">
        <v>558</v>
      </c>
      <c r="N851" t="s">
        <v>559</v>
      </c>
      <c r="P851">
        <v>832.25</v>
      </c>
      <c r="Q851">
        <v>10</v>
      </c>
      <c r="R851">
        <v>998.7</v>
      </c>
      <c r="S851" s="11">
        <v>8988.2999999999993</v>
      </c>
      <c r="T851">
        <v>2481.62</v>
      </c>
      <c r="U851">
        <f t="shared" si="13"/>
        <v>8988.2999999999993</v>
      </c>
    </row>
    <row r="852" spans="1:21" ht="15" customHeight="1" x14ac:dyDescent="0.25">
      <c r="A852" t="s">
        <v>2722</v>
      </c>
      <c r="B852" s="8">
        <v>45489</v>
      </c>
      <c r="C852" s="8">
        <v>45491</v>
      </c>
      <c r="D852" t="s">
        <v>20</v>
      </c>
      <c r="E852" t="s">
        <v>3076</v>
      </c>
      <c r="F852" t="s">
        <v>3054</v>
      </c>
      <c r="G852" t="s">
        <v>2724</v>
      </c>
      <c r="H852">
        <v>8164120898</v>
      </c>
      <c r="I852" t="s">
        <v>35</v>
      </c>
      <c r="J852" t="s">
        <v>25</v>
      </c>
      <c r="K852" t="s">
        <v>44</v>
      </c>
      <c r="L852" t="s">
        <v>85</v>
      </c>
      <c r="M852" t="s">
        <v>486</v>
      </c>
      <c r="N852" t="s">
        <v>543</v>
      </c>
      <c r="O852">
        <v>3</v>
      </c>
      <c r="P852">
        <v>36660.15</v>
      </c>
      <c r="Q852">
        <v>5</v>
      </c>
      <c r="R852">
        <v>5499.02</v>
      </c>
      <c r="S852" s="11">
        <v>104481.43</v>
      </c>
      <c r="T852">
        <v>38980.57</v>
      </c>
      <c r="U852">
        <f t="shared" si="13"/>
        <v>104481.43</v>
      </c>
    </row>
    <row r="853" spans="1:21" ht="15" customHeight="1" x14ac:dyDescent="0.25">
      <c r="A853" t="s">
        <v>1666</v>
      </c>
      <c r="B853" s="8">
        <v>45490</v>
      </c>
      <c r="C853" s="8">
        <v>45498</v>
      </c>
      <c r="D853" t="s">
        <v>48</v>
      </c>
      <c r="E853" t="s">
        <v>1667</v>
      </c>
      <c r="G853" t="s">
        <v>1668</v>
      </c>
      <c r="H853">
        <v>9052699161</v>
      </c>
      <c r="I853" t="s">
        <v>1669</v>
      </c>
      <c r="J853" t="s">
        <v>69</v>
      </c>
      <c r="K853" t="s">
        <v>119</v>
      </c>
      <c r="L853" t="s">
        <v>63</v>
      </c>
      <c r="M853" t="s">
        <v>469</v>
      </c>
      <c r="N853" t="s">
        <v>470</v>
      </c>
      <c r="O853">
        <v>11</v>
      </c>
      <c r="P853">
        <v>11624.88</v>
      </c>
      <c r="Q853">
        <v>5</v>
      </c>
      <c r="R853">
        <v>6393.68</v>
      </c>
      <c r="S853" s="11">
        <v>121480</v>
      </c>
      <c r="T853">
        <v>-10349.620000000001</v>
      </c>
      <c r="U853">
        <f t="shared" si="13"/>
        <v>121480</v>
      </c>
    </row>
    <row r="854" spans="1:21" ht="15" customHeight="1" x14ac:dyDescent="0.25">
      <c r="A854" t="s">
        <v>368</v>
      </c>
      <c r="B854" s="8">
        <v>45491</v>
      </c>
      <c r="C854" s="8">
        <v>45494</v>
      </c>
      <c r="D854" t="s">
        <v>20</v>
      </c>
      <c r="E854" t="s">
        <v>3072</v>
      </c>
      <c r="F854" t="s">
        <v>3079</v>
      </c>
      <c r="G854" t="s">
        <v>370</v>
      </c>
      <c r="H854">
        <v>8034607488</v>
      </c>
      <c r="I854" t="s">
        <v>24</v>
      </c>
      <c r="J854" t="s">
        <v>371</v>
      </c>
      <c r="K854" t="s">
        <v>316</v>
      </c>
      <c r="L854" t="s">
        <v>108</v>
      </c>
      <c r="M854" t="s">
        <v>183</v>
      </c>
      <c r="N854" t="s">
        <v>372</v>
      </c>
      <c r="O854">
        <v>15</v>
      </c>
      <c r="P854">
        <v>19793.98</v>
      </c>
      <c r="Q854">
        <v>15</v>
      </c>
      <c r="R854">
        <v>44536.46</v>
      </c>
      <c r="S854" s="11">
        <v>252373.24</v>
      </c>
      <c r="T854">
        <v>25134.81</v>
      </c>
      <c r="U854">
        <f t="shared" si="13"/>
        <v>252373.24</v>
      </c>
    </row>
    <row r="855" spans="1:21" ht="15" customHeight="1" x14ac:dyDescent="0.25">
      <c r="A855" t="s">
        <v>1510</v>
      </c>
      <c r="B855" s="8">
        <v>45491</v>
      </c>
      <c r="C855" s="8">
        <v>45492</v>
      </c>
      <c r="D855" t="s">
        <v>32</v>
      </c>
      <c r="E855" t="s">
        <v>3056</v>
      </c>
      <c r="F855" t="s">
        <v>3043</v>
      </c>
      <c r="G855" t="s">
        <v>1512</v>
      </c>
      <c r="H855">
        <v>8135466142</v>
      </c>
      <c r="I855" t="s">
        <v>24</v>
      </c>
      <c r="J855" t="s">
        <v>25</v>
      </c>
      <c r="K855" t="s">
        <v>26</v>
      </c>
      <c r="L855" t="s">
        <v>1163</v>
      </c>
      <c r="M855" t="s">
        <v>469</v>
      </c>
      <c r="N855" t="s">
        <v>546</v>
      </c>
      <c r="O855">
        <v>14</v>
      </c>
      <c r="P855">
        <v>9860.7999999999993</v>
      </c>
      <c r="Q855">
        <v>5</v>
      </c>
      <c r="R855">
        <v>6902.56</v>
      </c>
      <c r="S855" s="11">
        <v>131148.64000000001</v>
      </c>
      <c r="T855">
        <v>27547.73</v>
      </c>
      <c r="U855">
        <f t="shared" si="13"/>
        <v>131148.64000000001</v>
      </c>
    </row>
    <row r="856" spans="1:21" ht="15" customHeight="1" x14ac:dyDescent="0.25">
      <c r="A856" t="s">
        <v>1207</v>
      </c>
      <c r="B856" s="8">
        <v>45491</v>
      </c>
      <c r="C856" s="8">
        <v>45492</v>
      </c>
      <c r="D856" t="s">
        <v>32</v>
      </c>
      <c r="E856" t="s">
        <v>3053</v>
      </c>
      <c r="F856" t="s">
        <v>3050</v>
      </c>
      <c r="G856" t="s">
        <v>711</v>
      </c>
      <c r="H856">
        <v>8135665960</v>
      </c>
      <c r="I856" t="s">
        <v>35</v>
      </c>
      <c r="J856" t="s">
        <v>69</v>
      </c>
      <c r="K856" t="s">
        <v>119</v>
      </c>
      <c r="L856" t="s">
        <v>27</v>
      </c>
      <c r="M856" t="s">
        <v>173</v>
      </c>
      <c r="N856" t="s">
        <v>1208</v>
      </c>
      <c r="O856">
        <v>5</v>
      </c>
      <c r="P856">
        <v>676.67</v>
      </c>
      <c r="Q856">
        <v>0</v>
      </c>
      <c r="R856">
        <v>0</v>
      </c>
      <c r="S856" s="11">
        <v>3383.35</v>
      </c>
      <c r="T856">
        <v>818.66</v>
      </c>
      <c r="U856">
        <f t="shared" si="13"/>
        <v>3383.35</v>
      </c>
    </row>
    <row r="857" spans="1:21" ht="15" customHeight="1" x14ac:dyDescent="0.25">
      <c r="A857" t="s">
        <v>1677</v>
      </c>
      <c r="B857" s="8">
        <v>45492</v>
      </c>
      <c r="C857" s="8">
        <v>45497</v>
      </c>
      <c r="D857" t="s">
        <v>48</v>
      </c>
      <c r="E857" t="s">
        <v>3089</v>
      </c>
      <c r="F857" t="s">
        <v>3043</v>
      </c>
      <c r="G857" t="s">
        <v>1679</v>
      </c>
      <c r="H857">
        <v>9074741740</v>
      </c>
      <c r="I857" t="s">
        <v>35</v>
      </c>
      <c r="K857" t="s">
        <v>144</v>
      </c>
      <c r="L857" t="s">
        <v>85</v>
      </c>
      <c r="M857" t="s">
        <v>486</v>
      </c>
      <c r="N857" t="s">
        <v>527</v>
      </c>
      <c r="O857">
        <v>16</v>
      </c>
      <c r="P857">
        <v>44659.82</v>
      </c>
      <c r="Q857">
        <v>10</v>
      </c>
      <c r="R857">
        <v>71455.710000000006</v>
      </c>
      <c r="S857" s="11">
        <v>643101.41</v>
      </c>
      <c r="T857">
        <v>215029.18</v>
      </c>
      <c r="U857">
        <f t="shared" si="13"/>
        <v>643101.41</v>
      </c>
    </row>
    <row r="858" spans="1:21" ht="15" customHeight="1" x14ac:dyDescent="0.25">
      <c r="A858" t="s">
        <v>2081</v>
      </c>
      <c r="B858" s="8">
        <v>45493</v>
      </c>
      <c r="C858" s="8">
        <v>45494</v>
      </c>
      <c r="D858" t="s">
        <v>32</v>
      </c>
      <c r="E858" t="s">
        <v>3076</v>
      </c>
      <c r="F858" t="s">
        <v>3038</v>
      </c>
      <c r="G858" t="s">
        <v>2082</v>
      </c>
      <c r="H858">
        <v>8143468450</v>
      </c>
      <c r="I858" t="s">
        <v>35</v>
      </c>
      <c r="J858" t="s">
        <v>51</v>
      </c>
      <c r="K858" t="s">
        <v>227</v>
      </c>
      <c r="L858" t="s">
        <v>108</v>
      </c>
      <c r="M858" t="s">
        <v>109</v>
      </c>
      <c r="N858" t="s">
        <v>426</v>
      </c>
      <c r="O858">
        <v>20</v>
      </c>
      <c r="P858">
        <v>43566.87</v>
      </c>
      <c r="Q858">
        <v>25</v>
      </c>
      <c r="R858">
        <v>217834.35</v>
      </c>
      <c r="S858" s="11">
        <v>653503.05000000005</v>
      </c>
      <c r="T858">
        <v>162455.76</v>
      </c>
      <c r="U858">
        <f t="shared" si="13"/>
        <v>653503.05000000005</v>
      </c>
    </row>
    <row r="859" spans="1:21" ht="15" customHeight="1" x14ac:dyDescent="0.25">
      <c r="A859" t="s">
        <v>1100</v>
      </c>
      <c r="B859" s="8">
        <v>45494</v>
      </c>
      <c r="C859" s="8">
        <v>45502</v>
      </c>
      <c r="D859" t="s">
        <v>48</v>
      </c>
      <c r="E859" t="s">
        <v>3091</v>
      </c>
      <c r="F859" t="s">
        <v>3078</v>
      </c>
      <c r="G859" t="s">
        <v>1102</v>
      </c>
      <c r="H859">
        <v>8136379509</v>
      </c>
      <c r="I859" t="s">
        <v>43</v>
      </c>
      <c r="J859" t="s">
        <v>61</v>
      </c>
      <c r="K859" t="s">
        <v>62</v>
      </c>
      <c r="L859" t="s">
        <v>96</v>
      </c>
      <c r="M859" t="s">
        <v>385</v>
      </c>
      <c r="N859" t="s">
        <v>743</v>
      </c>
      <c r="O859">
        <v>1</v>
      </c>
      <c r="P859">
        <v>436826.55</v>
      </c>
      <c r="Q859">
        <v>0</v>
      </c>
      <c r="R859">
        <v>0</v>
      </c>
      <c r="S859" s="11">
        <v>436826.55</v>
      </c>
      <c r="T859">
        <v>189320.44</v>
      </c>
      <c r="U859">
        <f t="shared" si="13"/>
        <v>436826.55</v>
      </c>
    </row>
    <row r="860" spans="1:21" ht="15" customHeight="1" x14ac:dyDescent="0.25">
      <c r="A860" t="s">
        <v>921</v>
      </c>
      <c r="B860" s="8">
        <v>45496</v>
      </c>
      <c r="C860" s="8">
        <v>45500</v>
      </c>
      <c r="D860" t="s">
        <v>73</v>
      </c>
      <c r="E860" t="s">
        <v>3073</v>
      </c>
      <c r="F860" t="s">
        <v>3042</v>
      </c>
      <c r="G860" t="s">
        <v>923</v>
      </c>
      <c r="H860">
        <v>8034739945</v>
      </c>
      <c r="I860" t="s">
        <v>24</v>
      </c>
      <c r="J860" t="s">
        <v>51</v>
      </c>
      <c r="K860" t="s">
        <v>227</v>
      </c>
      <c r="L860" t="s">
        <v>108</v>
      </c>
      <c r="M860" t="s">
        <v>38</v>
      </c>
      <c r="N860" t="s">
        <v>296</v>
      </c>
      <c r="O860">
        <v>20</v>
      </c>
      <c r="P860">
        <v>34998.910000000003</v>
      </c>
      <c r="Q860">
        <v>20</v>
      </c>
      <c r="R860">
        <v>139995.64000000001</v>
      </c>
      <c r="S860" s="11">
        <v>559982.56000000006</v>
      </c>
      <c r="T860">
        <v>156792.23000000001</v>
      </c>
      <c r="U860">
        <f t="shared" si="13"/>
        <v>559982.56000000006</v>
      </c>
    </row>
    <row r="861" spans="1:21" ht="15" customHeight="1" x14ac:dyDescent="0.25">
      <c r="A861" t="s">
        <v>2569</v>
      </c>
      <c r="B861" s="8">
        <v>45500</v>
      </c>
      <c r="C861" s="8">
        <v>45502</v>
      </c>
      <c r="D861" t="s">
        <v>20</v>
      </c>
      <c r="E861" t="s">
        <v>3095</v>
      </c>
      <c r="F861" t="s">
        <v>3077</v>
      </c>
      <c r="G861" t="s">
        <v>2571</v>
      </c>
      <c r="H861">
        <v>8101179145</v>
      </c>
      <c r="I861" t="s">
        <v>35</v>
      </c>
      <c r="J861" t="s">
        <v>69</v>
      </c>
      <c r="L861" t="s">
        <v>27</v>
      </c>
      <c r="M861" t="s">
        <v>79</v>
      </c>
      <c r="N861" t="s">
        <v>80</v>
      </c>
      <c r="O861">
        <v>16</v>
      </c>
      <c r="P861">
        <v>3231.17</v>
      </c>
      <c r="Q861">
        <v>15</v>
      </c>
      <c r="R861">
        <v>7754.81</v>
      </c>
      <c r="S861" s="11">
        <v>43943.91</v>
      </c>
      <c r="T861">
        <v>3649.03</v>
      </c>
      <c r="U861">
        <f t="shared" si="13"/>
        <v>43943.91</v>
      </c>
    </row>
    <row r="862" spans="1:21" ht="15" customHeight="1" x14ac:dyDescent="0.25">
      <c r="A862" t="s">
        <v>1136</v>
      </c>
      <c r="B862" s="8">
        <v>45501</v>
      </c>
      <c r="C862" s="8">
        <v>45504</v>
      </c>
      <c r="D862" t="s">
        <v>20</v>
      </c>
      <c r="E862" t="s">
        <v>3072</v>
      </c>
      <c r="F862" t="s">
        <v>3062</v>
      </c>
      <c r="G862" t="s">
        <v>565</v>
      </c>
      <c r="H862">
        <v>8157737011</v>
      </c>
      <c r="I862" t="s">
        <v>24</v>
      </c>
      <c r="J862" t="s">
        <v>69</v>
      </c>
      <c r="K862" t="s">
        <v>307</v>
      </c>
      <c r="L862" t="s">
        <v>27</v>
      </c>
      <c r="M862" t="s">
        <v>45</v>
      </c>
      <c r="N862" t="s">
        <v>523</v>
      </c>
      <c r="O862">
        <v>20</v>
      </c>
      <c r="P862">
        <v>4411.03</v>
      </c>
      <c r="Q862">
        <v>20</v>
      </c>
      <c r="R862">
        <v>17644.12</v>
      </c>
      <c r="S862" s="11">
        <v>70576.479999999996</v>
      </c>
      <c r="T862">
        <v>28944.26</v>
      </c>
      <c r="U862">
        <f t="shared" si="13"/>
        <v>70576.479999999996</v>
      </c>
    </row>
    <row r="863" spans="1:21" ht="15" customHeight="1" x14ac:dyDescent="0.25">
      <c r="A863" t="s">
        <v>1244</v>
      </c>
      <c r="B863" s="8">
        <v>45502</v>
      </c>
      <c r="C863" s="8">
        <v>45510</v>
      </c>
      <c r="D863" t="s">
        <v>48</v>
      </c>
      <c r="E863" t="s">
        <v>3070</v>
      </c>
      <c r="F863" t="s">
        <v>3038</v>
      </c>
      <c r="G863" t="s">
        <v>1246</v>
      </c>
      <c r="H863">
        <v>8161738700</v>
      </c>
      <c r="I863" t="s">
        <v>24</v>
      </c>
      <c r="J863" t="s">
        <v>61</v>
      </c>
      <c r="K863" t="s">
        <v>62</v>
      </c>
      <c r="L863" t="s">
        <v>27</v>
      </c>
      <c r="M863" t="s">
        <v>79</v>
      </c>
      <c r="N863" t="s">
        <v>80</v>
      </c>
      <c r="O863">
        <v>2</v>
      </c>
      <c r="P863">
        <v>3894.94</v>
      </c>
      <c r="Q863">
        <v>0</v>
      </c>
      <c r="R863">
        <v>0</v>
      </c>
      <c r="S863" s="11">
        <v>7789.88</v>
      </c>
      <c r="T863">
        <v>1264.6600000000001</v>
      </c>
      <c r="U863">
        <f t="shared" si="13"/>
        <v>7789.88</v>
      </c>
    </row>
    <row r="864" spans="1:21" ht="15" customHeight="1" x14ac:dyDescent="0.25">
      <c r="A864" t="s">
        <v>1916</v>
      </c>
      <c r="B864" s="8">
        <v>45502</v>
      </c>
      <c r="C864" s="8">
        <v>45505</v>
      </c>
      <c r="D864" t="s">
        <v>73</v>
      </c>
      <c r="E864" t="s">
        <v>3065</v>
      </c>
      <c r="F864" t="s">
        <v>3052</v>
      </c>
      <c r="G864" t="s">
        <v>1918</v>
      </c>
      <c r="H864">
        <v>9014026721</v>
      </c>
      <c r="I864" t="s">
        <v>43</v>
      </c>
      <c r="J864" t="s">
        <v>69</v>
      </c>
      <c r="L864" t="s">
        <v>63</v>
      </c>
      <c r="M864" t="s">
        <v>249</v>
      </c>
      <c r="N864" t="s">
        <v>1141</v>
      </c>
      <c r="O864">
        <v>6</v>
      </c>
      <c r="P864">
        <v>4491.51</v>
      </c>
      <c r="Q864">
        <v>15</v>
      </c>
      <c r="R864">
        <v>4042.36</v>
      </c>
      <c r="S864" s="11">
        <v>22906.7</v>
      </c>
      <c r="T864">
        <v>6011.18</v>
      </c>
      <c r="U864">
        <f t="shared" si="13"/>
        <v>22906.7</v>
      </c>
    </row>
    <row r="865" spans="1:21" ht="15" customHeight="1" x14ac:dyDescent="0.25">
      <c r="A865" t="s">
        <v>2753</v>
      </c>
      <c r="B865" s="8">
        <v>45503</v>
      </c>
      <c r="C865" s="8">
        <v>45510</v>
      </c>
      <c r="D865" t="s">
        <v>48</v>
      </c>
      <c r="E865" t="s">
        <v>3085</v>
      </c>
      <c r="F865" t="s">
        <v>3034</v>
      </c>
      <c r="G865" t="s">
        <v>2754</v>
      </c>
      <c r="H865">
        <v>8038867277</v>
      </c>
      <c r="I865" t="s">
        <v>35</v>
      </c>
      <c r="J865" t="s">
        <v>61</v>
      </c>
      <c r="K865" t="s">
        <v>204</v>
      </c>
      <c r="L865" t="s">
        <v>63</v>
      </c>
      <c r="M865" t="s">
        <v>312</v>
      </c>
      <c r="N865" t="s">
        <v>686</v>
      </c>
      <c r="O865">
        <v>11</v>
      </c>
      <c r="P865">
        <v>13924.17</v>
      </c>
      <c r="Q865">
        <v>10</v>
      </c>
      <c r="R865">
        <v>15316.59</v>
      </c>
      <c r="S865" s="11">
        <v>137849.28</v>
      </c>
      <c r="T865">
        <v>22886.49</v>
      </c>
      <c r="U865">
        <f t="shared" si="13"/>
        <v>137849.28</v>
      </c>
    </row>
    <row r="866" spans="1:21" ht="15" customHeight="1" x14ac:dyDescent="0.25">
      <c r="A866" t="s">
        <v>322</v>
      </c>
      <c r="B866" s="8">
        <v>45503</v>
      </c>
      <c r="C866" s="8">
        <v>45506</v>
      </c>
      <c r="D866" t="s">
        <v>20</v>
      </c>
      <c r="E866" t="s">
        <v>3049</v>
      </c>
      <c r="F866" t="s">
        <v>3079</v>
      </c>
      <c r="G866" t="s">
        <v>324</v>
      </c>
      <c r="H866">
        <v>8163650391</v>
      </c>
      <c r="I866" t="s">
        <v>43</v>
      </c>
      <c r="J866" t="s">
        <v>61</v>
      </c>
      <c r="K866" t="s">
        <v>62</v>
      </c>
      <c r="L866" t="s">
        <v>96</v>
      </c>
      <c r="M866" t="s">
        <v>189</v>
      </c>
      <c r="N866" t="s">
        <v>325</v>
      </c>
      <c r="O866">
        <v>10</v>
      </c>
      <c r="P866">
        <v>444628.49</v>
      </c>
      <c r="Q866">
        <v>15</v>
      </c>
      <c r="R866">
        <v>666942.74</v>
      </c>
      <c r="S866" s="11">
        <v>3779342.16</v>
      </c>
      <c r="T866">
        <v>998457.25</v>
      </c>
      <c r="U866">
        <f t="shared" si="13"/>
        <v>3779342.16</v>
      </c>
    </row>
    <row r="867" spans="1:21" ht="15" customHeight="1" x14ac:dyDescent="0.25">
      <c r="A867" t="s">
        <v>2110</v>
      </c>
      <c r="B867" s="8">
        <v>45503</v>
      </c>
      <c r="C867" s="8">
        <v>45505</v>
      </c>
      <c r="D867" t="s">
        <v>20</v>
      </c>
      <c r="E867" t="s">
        <v>3091</v>
      </c>
      <c r="F867" t="s">
        <v>3079</v>
      </c>
      <c r="G867" t="s">
        <v>2112</v>
      </c>
      <c r="H867">
        <v>7062144375</v>
      </c>
      <c r="I867" t="s">
        <v>43</v>
      </c>
      <c r="J867" t="s">
        <v>61</v>
      </c>
      <c r="K867" t="s">
        <v>62</v>
      </c>
      <c r="L867" t="s">
        <v>108</v>
      </c>
      <c r="M867" t="s">
        <v>183</v>
      </c>
      <c r="N867" t="s">
        <v>869</v>
      </c>
      <c r="O867">
        <v>6</v>
      </c>
      <c r="P867">
        <v>28051.200000000001</v>
      </c>
      <c r="Q867">
        <v>25</v>
      </c>
      <c r="R867">
        <v>42076.800000000003</v>
      </c>
      <c r="S867" s="11">
        <v>126230.39999999999</v>
      </c>
      <c r="T867">
        <v>39792.720000000001</v>
      </c>
      <c r="U867">
        <f t="shared" si="13"/>
        <v>126230.39999999999</v>
      </c>
    </row>
    <row r="868" spans="1:21" ht="15" customHeight="1" x14ac:dyDescent="0.25">
      <c r="A868" t="s">
        <v>2323</v>
      </c>
      <c r="B868" s="8">
        <v>45505</v>
      </c>
      <c r="C868" s="8">
        <v>45508</v>
      </c>
      <c r="D868" t="s">
        <v>20</v>
      </c>
      <c r="E868" t="s">
        <v>3080</v>
      </c>
      <c r="F868" t="s">
        <v>3074</v>
      </c>
      <c r="G868" t="s">
        <v>2325</v>
      </c>
      <c r="H868">
        <v>8141210843</v>
      </c>
      <c r="I868" t="s">
        <v>24</v>
      </c>
      <c r="J868" t="s">
        <v>676</v>
      </c>
      <c r="K868" t="s">
        <v>95</v>
      </c>
      <c r="L868" t="s">
        <v>63</v>
      </c>
      <c r="M868" t="s">
        <v>558</v>
      </c>
      <c r="N868" t="s">
        <v>1380</v>
      </c>
      <c r="O868">
        <v>15</v>
      </c>
      <c r="P868">
        <v>8985.9699999999993</v>
      </c>
      <c r="Q868">
        <v>0</v>
      </c>
      <c r="R868">
        <v>0</v>
      </c>
      <c r="S868" s="11">
        <v>134789.54999999999</v>
      </c>
      <c r="T868">
        <v>17140.990000000002</v>
      </c>
      <c r="U868">
        <f t="shared" si="13"/>
        <v>134789.54999999999</v>
      </c>
    </row>
    <row r="869" spans="1:21" ht="15" customHeight="1" x14ac:dyDescent="0.25">
      <c r="A869" t="s">
        <v>614</v>
      </c>
      <c r="B869" s="8">
        <v>45505</v>
      </c>
      <c r="C869" s="8">
        <v>45501</v>
      </c>
      <c r="D869" t="s">
        <v>32</v>
      </c>
      <c r="G869" t="s">
        <v>615</v>
      </c>
      <c r="H869">
        <v>9019192588</v>
      </c>
      <c r="I869" t="s">
        <v>43</v>
      </c>
      <c r="J869" t="s">
        <v>51</v>
      </c>
      <c r="K869" t="s">
        <v>223</v>
      </c>
      <c r="L869" t="s">
        <v>85</v>
      </c>
      <c r="M869" t="s">
        <v>266</v>
      </c>
      <c r="N869" t="s">
        <v>267</v>
      </c>
      <c r="O869">
        <v>3</v>
      </c>
      <c r="P869">
        <v>98118.44</v>
      </c>
      <c r="Q869">
        <v>0</v>
      </c>
      <c r="R869">
        <v>0</v>
      </c>
      <c r="S869" s="11">
        <v>294355.32</v>
      </c>
      <c r="T869">
        <v>90839.02</v>
      </c>
      <c r="U869">
        <f t="shared" si="13"/>
        <v>294355.32</v>
      </c>
    </row>
    <row r="870" spans="1:21" ht="15" customHeight="1" x14ac:dyDescent="0.25">
      <c r="A870" t="s">
        <v>1187</v>
      </c>
      <c r="B870" s="8">
        <v>45506</v>
      </c>
      <c r="C870" s="8">
        <v>45508</v>
      </c>
      <c r="D870" t="s">
        <v>20</v>
      </c>
      <c r="E870" t="s">
        <v>3068</v>
      </c>
      <c r="F870" t="s">
        <v>3064</v>
      </c>
      <c r="G870" t="s">
        <v>1189</v>
      </c>
      <c r="H870">
        <v>9019673311</v>
      </c>
      <c r="I870" t="s">
        <v>43</v>
      </c>
      <c r="J870" t="s">
        <v>69</v>
      </c>
      <c r="K870" t="s">
        <v>70</v>
      </c>
      <c r="L870" t="s">
        <v>85</v>
      </c>
      <c r="M870" t="s">
        <v>486</v>
      </c>
      <c r="N870" t="s">
        <v>1018</v>
      </c>
      <c r="O870">
        <v>17</v>
      </c>
      <c r="P870">
        <v>23555.82</v>
      </c>
      <c r="Q870">
        <v>0</v>
      </c>
      <c r="R870">
        <v>0</v>
      </c>
      <c r="S870" s="11">
        <v>400448.94</v>
      </c>
      <c r="T870">
        <v>-16873.78</v>
      </c>
      <c r="U870">
        <f t="shared" si="13"/>
        <v>400448.94</v>
      </c>
    </row>
    <row r="871" spans="1:21" ht="15" customHeight="1" x14ac:dyDescent="0.25">
      <c r="A871" t="s">
        <v>1704</v>
      </c>
      <c r="B871" s="8">
        <v>45506</v>
      </c>
      <c r="C871" s="8">
        <v>45507</v>
      </c>
      <c r="D871" t="s">
        <v>32</v>
      </c>
      <c r="E871" t="s">
        <v>3081</v>
      </c>
      <c r="F871" t="s">
        <v>3074</v>
      </c>
      <c r="G871" t="s">
        <v>1705</v>
      </c>
      <c r="H871">
        <v>7068007639</v>
      </c>
      <c r="I871" t="s">
        <v>959</v>
      </c>
      <c r="J871" t="s">
        <v>61</v>
      </c>
      <c r="K871" t="s">
        <v>204</v>
      </c>
      <c r="L871" t="s">
        <v>85</v>
      </c>
      <c r="M871" t="s">
        <v>486</v>
      </c>
      <c r="N871" t="s">
        <v>1018</v>
      </c>
      <c r="O871">
        <v>1</v>
      </c>
      <c r="P871">
        <v>154706.39000000001</v>
      </c>
      <c r="Q871">
        <v>10</v>
      </c>
      <c r="R871">
        <v>15470.64</v>
      </c>
      <c r="S871" s="11">
        <v>139235.75</v>
      </c>
      <c r="T871">
        <v>-9277.26</v>
      </c>
      <c r="U871">
        <f t="shared" si="13"/>
        <v>139235.75</v>
      </c>
    </row>
    <row r="872" spans="1:21" ht="15" customHeight="1" x14ac:dyDescent="0.25">
      <c r="A872" t="s">
        <v>1406</v>
      </c>
      <c r="B872" s="8">
        <v>45508</v>
      </c>
      <c r="C872" s="8">
        <v>45513</v>
      </c>
      <c r="D872" t="s">
        <v>73</v>
      </c>
      <c r="G872" t="s">
        <v>1407</v>
      </c>
      <c r="H872">
        <v>8134120669</v>
      </c>
      <c r="I872" t="s">
        <v>43</v>
      </c>
      <c r="J872" t="s">
        <v>69</v>
      </c>
      <c r="K872" t="s">
        <v>144</v>
      </c>
      <c r="L872" t="s">
        <v>108</v>
      </c>
      <c r="M872" t="s">
        <v>38</v>
      </c>
      <c r="N872" t="s">
        <v>296</v>
      </c>
      <c r="O872">
        <v>10</v>
      </c>
      <c r="P872">
        <v>23095.18</v>
      </c>
      <c r="Q872">
        <v>10</v>
      </c>
      <c r="R872">
        <v>23095.18</v>
      </c>
      <c r="S872" s="11">
        <v>207856.62</v>
      </c>
      <c r="T872">
        <v>30442.74</v>
      </c>
      <c r="U872">
        <f t="shared" si="13"/>
        <v>207856.62</v>
      </c>
    </row>
    <row r="873" spans="1:21" ht="15" customHeight="1" x14ac:dyDescent="0.25">
      <c r="A873" t="s">
        <v>667</v>
      </c>
      <c r="B873" s="8">
        <v>45510</v>
      </c>
      <c r="C873" s="8">
        <v>45510</v>
      </c>
      <c r="D873" t="s">
        <v>32</v>
      </c>
      <c r="E873" t="s">
        <v>3097</v>
      </c>
      <c r="F873" t="s">
        <v>3046</v>
      </c>
      <c r="H873">
        <v>8065956530</v>
      </c>
      <c r="I873" t="s">
        <v>43</v>
      </c>
      <c r="J873" t="s">
        <v>61</v>
      </c>
      <c r="K873" t="s">
        <v>204</v>
      </c>
      <c r="L873" t="s">
        <v>669</v>
      </c>
      <c r="M873" t="s">
        <v>114</v>
      </c>
      <c r="N873" t="s">
        <v>291</v>
      </c>
      <c r="O873">
        <v>5</v>
      </c>
      <c r="P873">
        <v>37746.660000000003</v>
      </c>
      <c r="Q873">
        <v>10</v>
      </c>
      <c r="R873">
        <v>18873.330000000002</v>
      </c>
      <c r="S873" s="11">
        <v>169859.97</v>
      </c>
      <c r="T873">
        <v>6307.62</v>
      </c>
      <c r="U873">
        <f t="shared" si="13"/>
        <v>169859.97</v>
      </c>
    </row>
    <row r="874" spans="1:21" ht="15" customHeight="1" x14ac:dyDescent="0.25">
      <c r="A874" t="s">
        <v>2547</v>
      </c>
      <c r="B874" s="8">
        <v>45511</v>
      </c>
      <c r="C874" s="8">
        <v>45512</v>
      </c>
      <c r="D874" t="s">
        <v>32</v>
      </c>
      <c r="E874" t="s">
        <v>3095</v>
      </c>
      <c r="F874" t="s">
        <v>3074</v>
      </c>
      <c r="G874" t="s">
        <v>2548</v>
      </c>
      <c r="H874">
        <v>8109890863</v>
      </c>
      <c r="I874" t="s">
        <v>43</v>
      </c>
      <c r="J874" t="s">
        <v>69</v>
      </c>
      <c r="K874" t="s">
        <v>70</v>
      </c>
      <c r="L874" t="s">
        <v>85</v>
      </c>
      <c r="M874" t="s">
        <v>218</v>
      </c>
      <c r="N874" t="s">
        <v>708</v>
      </c>
      <c r="O874">
        <v>19</v>
      </c>
      <c r="P874">
        <v>130565.46</v>
      </c>
      <c r="Q874">
        <v>5</v>
      </c>
      <c r="R874">
        <v>124037.19</v>
      </c>
      <c r="S874" s="11">
        <v>2356706.5499999998</v>
      </c>
      <c r="T874">
        <v>986995.78</v>
      </c>
      <c r="U874">
        <f t="shared" si="13"/>
        <v>2356706.5499999998</v>
      </c>
    </row>
    <row r="875" spans="1:21" ht="15" customHeight="1" x14ac:dyDescent="0.25">
      <c r="A875" t="s">
        <v>2106</v>
      </c>
      <c r="B875" s="8">
        <v>45512</v>
      </c>
      <c r="C875" s="8">
        <v>45520</v>
      </c>
      <c r="D875" t="s">
        <v>48</v>
      </c>
      <c r="E875" t="s">
        <v>3068</v>
      </c>
      <c r="F875" t="s">
        <v>3054</v>
      </c>
      <c r="G875" t="s">
        <v>2107</v>
      </c>
      <c r="H875">
        <v>8168668568</v>
      </c>
      <c r="I875" t="s">
        <v>24</v>
      </c>
      <c r="J875" t="s">
        <v>69</v>
      </c>
      <c r="K875" t="s">
        <v>70</v>
      </c>
      <c r="L875" t="s">
        <v>96</v>
      </c>
      <c r="M875" t="s">
        <v>254</v>
      </c>
      <c r="N875" t="s">
        <v>530</v>
      </c>
      <c r="O875">
        <v>10</v>
      </c>
      <c r="P875">
        <v>19793.55</v>
      </c>
      <c r="Q875">
        <v>200</v>
      </c>
      <c r="R875">
        <v>0</v>
      </c>
      <c r="S875" s="11">
        <v>197935.5</v>
      </c>
      <c r="T875">
        <v>46923.66</v>
      </c>
      <c r="U875">
        <f t="shared" si="13"/>
        <v>197935.5</v>
      </c>
    </row>
    <row r="876" spans="1:21" ht="15" customHeight="1" x14ac:dyDescent="0.25">
      <c r="A876" t="s">
        <v>2958</v>
      </c>
      <c r="B876" s="8">
        <v>45512</v>
      </c>
      <c r="C876" s="8">
        <v>45517</v>
      </c>
      <c r="D876" t="s">
        <v>48</v>
      </c>
      <c r="E876" t="s">
        <v>3082</v>
      </c>
      <c r="F876" t="s">
        <v>3086</v>
      </c>
      <c r="G876" t="s">
        <v>2960</v>
      </c>
      <c r="H876">
        <v>9072705514</v>
      </c>
      <c r="I876" t="s">
        <v>43</v>
      </c>
      <c r="J876" t="s">
        <v>69</v>
      </c>
      <c r="K876" t="s">
        <v>307</v>
      </c>
      <c r="L876" t="s">
        <v>2186</v>
      </c>
      <c r="M876" t="s">
        <v>254</v>
      </c>
      <c r="N876" t="s">
        <v>255</v>
      </c>
      <c r="O876">
        <v>4</v>
      </c>
      <c r="P876">
        <v>15202.03</v>
      </c>
      <c r="Q876">
        <v>5</v>
      </c>
      <c r="R876">
        <v>3040.41</v>
      </c>
      <c r="S876" s="11">
        <v>57767.71</v>
      </c>
      <c r="T876">
        <v>17342.02</v>
      </c>
      <c r="U876">
        <f t="shared" si="13"/>
        <v>57767.71</v>
      </c>
    </row>
    <row r="877" spans="1:21" ht="15" customHeight="1" x14ac:dyDescent="0.25">
      <c r="A877" t="s">
        <v>175</v>
      </c>
      <c r="B877" s="8">
        <v>45514</v>
      </c>
      <c r="C877" s="8">
        <v>45517</v>
      </c>
      <c r="D877" t="s">
        <v>20</v>
      </c>
      <c r="E877" t="s">
        <v>3053</v>
      </c>
      <c r="F877" t="s">
        <v>3069</v>
      </c>
      <c r="G877" t="s">
        <v>177</v>
      </c>
      <c r="H877">
        <v>8158938746</v>
      </c>
      <c r="I877" t="s">
        <v>24</v>
      </c>
      <c r="J877" t="s">
        <v>69</v>
      </c>
      <c r="K877" t="s">
        <v>155</v>
      </c>
      <c r="L877" t="s">
        <v>85</v>
      </c>
      <c r="M877" t="s">
        <v>86</v>
      </c>
      <c r="N877" t="s">
        <v>178</v>
      </c>
      <c r="O877">
        <v>20</v>
      </c>
      <c r="P877">
        <v>96657.75</v>
      </c>
      <c r="Q877">
        <v>10</v>
      </c>
      <c r="R877">
        <v>193315.5</v>
      </c>
      <c r="S877" s="11">
        <v>1739839.5</v>
      </c>
      <c r="T877">
        <v>-163488.68</v>
      </c>
      <c r="U877">
        <f t="shared" si="13"/>
        <v>1739839.5</v>
      </c>
    </row>
    <row r="878" spans="1:21" ht="15" customHeight="1" x14ac:dyDescent="0.25">
      <c r="A878" t="s">
        <v>228</v>
      </c>
      <c r="B878" s="8">
        <v>45514</v>
      </c>
      <c r="C878" s="8">
        <v>45515</v>
      </c>
      <c r="D878" t="s">
        <v>32</v>
      </c>
      <c r="E878" t="s">
        <v>3035</v>
      </c>
      <c r="F878" t="s">
        <v>3036</v>
      </c>
      <c r="G878" t="s">
        <v>229</v>
      </c>
      <c r="H878">
        <v>8035118725</v>
      </c>
      <c r="I878" t="s">
        <v>24</v>
      </c>
      <c r="J878" t="s">
        <v>51</v>
      </c>
      <c r="K878" t="s">
        <v>227</v>
      </c>
      <c r="L878" t="s">
        <v>96</v>
      </c>
      <c r="M878" t="s">
        <v>97</v>
      </c>
      <c r="N878" t="s">
        <v>230</v>
      </c>
      <c r="O878">
        <v>15</v>
      </c>
      <c r="P878">
        <v>121080.6</v>
      </c>
      <c r="Q878">
        <v>15</v>
      </c>
      <c r="R878">
        <v>272431.34999999998</v>
      </c>
      <c r="S878" s="11">
        <v>1543777.65</v>
      </c>
      <c r="T878">
        <v>80026.3</v>
      </c>
      <c r="U878">
        <f t="shared" si="13"/>
        <v>1543777.65</v>
      </c>
    </row>
    <row r="879" spans="1:21" ht="15" customHeight="1" x14ac:dyDescent="0.25">
      <c r="A879" t="s">
        <v>2094</v>
      </c>
      <c r="B879" s="8">
        <v>45517</v>
      </c>
      <c r="C879" s="8">
        <v>45518</v>
      </c>
      <c r="D879" t="s">
        <v>32</v>
      </c>
      <c r="E879" t="s">
        <v>3051</v>
      </c>
      <c r="F879" t="s">
        <v>3071</v>
      </c>
      <c r="G879" t="s">
        <v>2096</v>
      </c>
      <c r="H879">
        <v>8151443289</v>
      </c>
      <c r="I879" t="s">
        <v>43</v>
      </c>
      <c r="J879" t="s">
        <v>51</v>
      </c>
      <c r="K879" t="s">
        <v>316</v>
      </c>
      <c r="L879" t="s">
        <v>108</v>
      </c>
      <c r="M879" t="s">
        <v>114</v>
      </c>
      <c r="N879" t="s">
        <v>848</v>
      </c>
      <c r="O879">
        <v>10</v>
      </c>
      <c r="P879">
        <v>28453.97</v>
      </c>
      <c r="Q879">
        <v>5</v>
      </c>
      <c r="R879">
        <v>14226.99</v>
      </c>
      <c r="S879" s="11">
        <v>270312.71000000002</v>
      </c>
      <c r="T879">
        <v>53574.21</v>
      </c>
      <c r="U879">
        <f t="shared" si="13"/>
        <v>270312.71000000002</v>
      </c>
    </row>
    <row r="880" spans="1:21" ht="15" customHeight="1" x14ac:dyDescent="0.25">
      <c r="A880" t="s">
        <v>2108</v>
      </c>
      <c r="B880" s="8">
        <v>45520</v>
      </c>
      <c r="C880" s="8">
        <v>45525</v>
      </c>
      <c r="D880" t="s">
        <v>73</v>
      </c>
      <c r="E880" t="s">
        <v>3039</v>
      </c>
      <c r="F880" t="s">
        <v>3036</v>
      </c>
      <c r="G880" t="s">
        <v>2109</v>
      </c>
      <c r="H880">
        <v>8107002009</v>
      </c>
      <c r="I880" t="s">
        <v>43</v>
      </c>
      <c r="J880" t="s">
        <v>69</v>
      </c>
      <c r="K880" t="s">
        <v>307</v>
      </c>
      <c r="L880" t="s">
        <v>27</v>
      </c>
      <c r="M880" t="s">
        <v>173</v>
      </c>
      <c r="N880" t="s">
        <v>380</v>
      </c>
      <c r="O880">
        <v>17</v>
      </c>
      <c r="P880">
        <v>2986.02</v>
      </c>
      <c r="Q880">
        <v>15</v>
      </c>
      <c r="R880">
        <v>7614.35</v>
      </c>
      <c r="S880" s="11">
        <v>43147.99</v>
      </c>
      <c r="T880">
        <v>6809.92</v>
      </c>
      <c r="U880">
        <f t="shared" si="13"/>
        <v>43147.99</v>
      </c>
    </row>
    <row r="881" spans="1:21" ht="15" customHeight="1" x14ac:dyDescent="0.25">
      <c r="A881" t="s">
        <v>2555</v>
      </c>
      <c r="B881" s="8">
        <v>45521</v>
      </c>
      <c r="C881" s="8">
        <v>45523</v>
      </c>
      <c r="D881" t="s">
        <v>20</v>
      </c>
      <c r="E881" t="s">
        <v>3033</v>
      </c>
      <c r="F881" t="s">
        <v>3096</v>
      </c>
      <c r="G881" t="s">
        <v>707</v>
      </c>
      <c r="H881">
        <v>7039901791</v>
      </c>
      <c r="I881" t="s">
        <v>43</v>
      </c>
      <c r="J881" t="s">
        <v>61</v>
      </c>
      <c r="K881" t="s">
        <v>62</v>
      </c>
      <c r="L881" t="s">
        <v>96</v>
      </c>
      <c r="M881" t="s">
        <v>120</v>
      </c>
      <c r="N881" t="s">
        <v>1307</v>
      </c>
      <c r="O881">
        <v>1</v>
      </c>
      <c r="P881">
        <v>52301.279999999999</v>
      </c>
      <c r="Q881">
        <v>0</v>
      </c>
      <c r="R881">
        <v>0</v>
      </c>
      <c r="S881" s="11">
        <v>52301.279999999999</v>
      </c>
      <c r="T881">
        <v>2557.8000000000002</v>
      </c>
      <c r="U881">
        <f t="shared" si="13"/>
        <v>52301.279999999999</v>
      </c>
    </row>
    <row r="882" spans="1:21" ht="15" customHeight="1" x14ac:dyDescent="0.25">
      <c r="A882" t="s">
        <v>1424</v>
      </c>
      <c r="B882" s="8">
        <v>45522</v>
      </c>
      <c r="C882" s="8">
        <v>45527</v>
      </c>
      <c r="D882" t="s">
        <v>48</v>
      </c>
      <c r="E882" t="s">
        <v>3061</v>
      </c>
      <c r="F882" t="s">
        <v>3090</v>
      </c>
      <c r="G882" t="s">
        <v>1426</v>
      </c>
      <c r="H882">
        <v>8161172342</v>
      </c>
      <c r="I882" t="s">
        <v>24</v>
      </c>
      <c r="J882" t="s">
        <v>25</v>
      </c>
      <c r="K882" t="s">
        <v>36</v>
      </c>
      <c r="L882" t="s">
        <v>96</v>
      </c>
      <c r="M882" t="s">
        <v>120</v>
      </c>
      <c r="N882" t="s">
        <v>121</v>
      </c>
      <c r="O882">
        <v>7</v>
      </c>
      <c r="P882">
        <v>104349.52</v>
      </c>
      <c r="Q882">
        <v>0</v>
      </c>
      <c r="R882">
        <v>0</v>
      </c>
      <c r="S882" s="11">
        <v>730446.64</v>
      </c>
      <c r="T882">
        <v>184335.8</v>
      </c>
      <c r="U882">
        <f t="shared" si="13"/>
        <v>730446.64</v>
      </c>
    </row>
    <row r="883" spans="1:21" ht="15" customHeight="1" x14ac:dyDescent="0.25">
      <c r="A883" t="s">
        <v>1691</v>
      </c>
      <c r="B883" s="8">
        <v>45525</v>
      </c>
      <c r="C883" s="8">
        <v>45530</v>
      </c>
      <c r="D883" t="s">
        <v>48</v>
      </c>
      <c r="E883" t="s">
        <v>3048</v>
      </c>
      <c r="F883" t="s">
        <v>3075</v>
      </c>
      <c r="G883" t="s">
        <v>237</v>
      </c>
      <c r="H883">
        <v>9029542262</v>
      </c>
      <c r="I883" t="s">
        <v>24</v>
      </c>
      <c r="J883" t="s">
        <v>69</v>
      </c>
      <c r="K883" t="s">
        <v>119</v>
      </c>
      <c r="L883" t="s">
        <v>63</v>
      </c>
      <c r="M883" t="s">
        <v>64</v>
      </c>
      <c r="N883" t="s">
        <v>777</v>
      </c>
      <c r="O883">
        <v>11</v>
      </c>
      <c r="P883">
        <v>11874.55</v>
      </c>
      <c r="Q883">
        <v>10</v>
      </c>
      <c r="R883">
        <v>13062</v>
      </c>
      <c r="S883" s="11">
        <v>117558.05</v>
      </c>
      <c r="T883">
        <v>19430.63</v>
      </c>
      <c r="U883">
        <f t="shared" si="13"/>
        <v>117558.05</v>
      </c>
    </row>
    <row r="884" spans="1:21" ht="15" customHeight="1" x14ac:dyDescent="0.25">
      <c r="A884" t="s">
        <v>1366</v>
      </c>
      <c r="B884" s="8">
        <v>45525</v>
      </c>
      <c r="C884" s="8">
        <v>45530</v>
      </c>
      <c r="D884" t="s">
        <v>48</v>
      </c>
      <c r="E884" t="s">
        <v>3068</v>
      </c>
      <c r="F884" t="s">
        <v>3075</v>
      </c>
      <c r="G884" t="s">
        <v>1368</v>
      </c>
      <c r="H884">
        <v>8142644153</v>
      </c>
      <c r="I884" t="s">
        <v>35</v>
      </c>
      <c r="J884" t="s">
        <v>25</v>
      </c>
      <c r="K884" t="s">
        <v>168</v>
      </c>
      <c r="L884" t="s">
        <v>108</v>
      </c>
      <c r="M884" t="s">
        <v>183</v>
      </c>
      <c r="N884" t="s">
        <v>372</v>
      </c>
      <c r="O884">
        <v>1</v>
      </c>
      <c r="P884">
        <v>5572.94</v>
      </c>
      <c r="Q884">
        <v>15</v>
      </c>
      <c r="R884">
        <v>835.94</v>
      </c>
      <c r="S884" s="11">
        <v>4737</v>
      </c>
      <c r="T884">
        <v>1989.35</v>
      </c>
      <c r="U884">
        <f t="shared" si="13"/>
        <v>4737</v>
      </c>
    </row>
    <row r="885" spans="1:21" ht="15" customHeight="1" x14ac:dyDescent="0.25">
      <c r="A885" t="s">
        <v>341</v>
      </c>
      <c r="B885" s="8">
        <v>45527</v>
      </c>
      <c r="C885" s="8">
        <v>45530</v>
      </c>
      <c r="D885" t="s">
        <v>73</v>
      </c>
      <c r="E885" t="s">
        <v>3085</v>
      </c>
      <c r="F885" t="s">
        <v>3077</v>
      </c>
      <c r="G885" t="s">
        <v>343</v>
      </c>
      <c r="H885">
        <v>9054713925</v>
      </c>
      <c r="I885" t="s">
        <v>24</v>
      </c>
      <c r="J885" t="s">
        <v>51</v>
      </c>
      <c r="K885" t="s">
        <v>52</v>
      </c>
      <c r="L885" t="s">
        <v>96</v>
      </c>
      <c r="M885" t="s">
        <v>189</v>
      </c>
      <c r="N885" t="s">
        <v>325</v>
      </c>
      <c r="O885">
        <v>4</v>
      </c>
      <c r="P885">
        <v>297419.15999999997</v>
      </c>
      <c r="Q885">
        <v>0</v>
      </c>
      <c r="R885">
        <v>0</v>
      </c>
      <c r="S885" s="11">
        <v>1189676.6399999999</v>
      </c>
      <c r="T885">
        <v>-146082.67000000001</v>
      </c>
      <c r="U885">
        <f t="shared" si="13"/>
        <v>1189676.6399999999</v>
      </c>
    </row>
    <row r="886" spans="1:21" ht="15" customHeight="1" x14ac:dyDescent="0.25">
      <c r="A886" t="s">
        <v>2382</v>
      </c>
      <c r="B886" s="8">
        <v>45528</v>
      </c>
      <c r="C886" s="8">
        <v>45531</v>
      </c>
      <c r="D886" t="s">
        <v>20</v>
      </c>
      <c r="E886" t="s">
        <v>3073</v>
      </c>
      <c r="F886" t="s">
        <v>3054</v>
      </c>
      <c r="G886" t="s">
        <v>2383</v>
      </c>
      <c r="H886">
        <v>7036938019</v>
      </c>
      <c r="I886" t="s">
        <v>35</v>
      </c>
      <c r="J886" t="s">
        <v>69</v>
      </c>
      <c r="K886" t="s">
        <v>144</v>
      </c>
      <c r="L886" t="s">
        <v>63</v>
      </c>
      <c r="M886" t="s">
        <v>64</v>
      </c>
      <c r="N886" t="s">
        <v>65</v>
      </c>
      <c r="O886">
        <v>13</v>
      </c>
      <c r="P886">
        <v>10919.8</v>
      </c>
      <c r="Q886">
        <v>15</v>
      </c>
      <c r="R886">
        <v>21293.61</v>
      </c>
      <c r="S886" s="11">
        <v>120663.79</v>
      </c>
      <c r="T886">
        <v>-17688.89</v>
      </c>
      <c r="U886">
        <f t="shared" si="13"/>
        <v>120663.79</v>
      </c>
    </row>
    <row r="887" spans="1:21" ht="15" customHeight="1" x14ac:dyDescent="0.25">
      <c r="A887" t="s">
        <v>1073</v>
      </c>
      <c r="B887" s="8">
        <v>45530</v>
      </c>
      <c r="C887" s="8">
        <v>45533</v>
      </c>
      <c r="D887" t="s">
        <v>73</v>
      </c>
      <c r="E887" t="s">
        <v>3065</v>
      </c>
      <c r="F887" t="s">
        <v>3066</v>
      </c>
      <c r="G887" t="s">
        <v>1074</v>
      </c>
      <c r="H887">
        <v>8109673937</v>
      </c>
      <c r="I887" t="s">
        <v>35</v>
      </c>
      <c r="J887" t="s">
        <v>69</v>
      </c>
      <c r="K887" t="s">
        <v>119</v>
      </c>
      <c r="L887" t="s">
        <v>27</v>
      </c>
      <c r="M887" t="s">
        <v>45</v>
      </c>
      <c r="N887" t="s">
        <v>875</v>
      </c>
      <c r="O887">
        <v>18</v>
      </c>
      <c r="P887">
        <v>2610.2600000000002</v>
      </c>
      <c r="Q887">
        <v>0</v>
      </c>
      <c r="R887">
        <v>0</v>
      </c>
      <c r="S887" s="11">
        <v>46984.68</v>
      </c>
      <c r="T887">
        <v>4183.57</v>
      </c>
      <c r="U887">
        <f t="shared" si="13"/>
        <v>46984.68</v>
      </c>
    </row>
    <row r="888" spans="1:21" ht="15" customHeight="1" x14ac:dyDescent="0.25">
      <c r="A888" t="s">
        <v>524</v>
      </c>
      <c r="B888" s="8">
        <v>45532</v>
      </c>
      <c r="C888" s="8">
        <v>45535</v>
      </c>
      <c r="D888" t="s">
        <v>20</v>
      </c>
      <c r="E888" t="s">
        <v>3084</v>
      </c>
      <c r="F888" t="s">
        <v>3088</v>
      </c>
      <c r="G888" t="s">
        <v>526</v>
      </c>
      <c r="H888">
        <v>7036344047</v>
      </c>
      <c r="I888" t="s">
        <v>35</v>
      </c>
      <c r="J888" t="s">
        <v>25</v>
      </c>
      <c r="K888" t="s">
        <v>26</v>
      </c>
      <c r="L888" t="s">
        <v>85</v>
      </c>
      <c r="M888" t="s">
        <v>486</v>
      </c>
      <c r="N888" t="s">
        <v>527</v>
      </c>
      <c r="O888">
        <v>10</v>
      </c>
      <c r="P888">
        <v>135162.93</v>
      </c>
      <c r="Q888">
        <v>10</v>
      </c>
      <c r="R888">
        <v>135162.93</v>
      </c>
      <c r="S888" s="11">
        <v>1216466.3700000001</v>
      </c>
      <c r="T888">
        <v>187809.02</v>
      </c>
      <c r="U888">
        <f t="shared" si="13"/>
        <v>1216466.3700000001</v>
      </c>
    </row>
    <row r="889" spans="1:21" ht="15" customHeight="1" x14ac:dyDescent="0.25">
      <c r="A889" t="s">
        <v>1936</v>
      </c>
      <c r="B889" s="8">
        <v>45532</v>
      </c>
      <c r="C889" s="8">
        <v>45534</v>
      </c>
      <c r="D889" t="s">
        <v>20</v>
      </c>
      <c r="E889" t="s">
        <v>3056</v>
      </c>
      <c r="F889" t="s">
        <v>3090</v>
      </c>
      <c r="G889" t="s">
        <v>1394</v>
      </c>
      <c r="H889">
        <v>7033337892</v>
      </c>
      <c r="I889" t="s">
        <v>35</v>
      </c>
      <c r="J889" t="s">
        <v>25</v>
      </c>
      <c r="K889" t="s">
        <v>126</v>
      </c>
      <c r="L889" t="s">
        <v>63</v>
      </c>
      <c r="M889" t="s">
        <v>64</v>
      </c>
      <c r="N889" t="s">
        <v>501</v>
      </c>
      <c r="O889">
        <v>18</v>
      </c>
      <c r="P889">
        <v>20963.68</v>
      </c>
      <c r="Q889">
        <v>15</v>
      </c>
      <c r="R889">
        <v>56601.94</v>
      </c>
      <c r="S889" s="11">
        <v>320744.3</v>
      </c>
      <c r="T889">
        <v>-1443.85</v>
      </c>
      <c r="U889">
        <f t="shared" si="13"/>
        <v>320744.3</v>
      </c>
    </row>
    <row r="890" spans="1:21" ht="15" customHeight="1" x14ac:dyDescent="0.25">
      <c r="A890" t="s">
        <v>88</v>
      </c>
      <c r="B890" s="8">
        <v>45535</v>
      </c>
      <c r="C890" s="8">
        <v>45540</v>
      </c>
      <c r="D890" t="s">
        <v>73</v>
      </c>
      <c r="E890" t="s">
        <v>3048</v>
      </c>
      <c r="F890" t="s">
        <v>3036</v>
      </c>
      <c r="G890" t="s">
        <v>90</v>
      </c>
      <c r="H890">
        <v>8134374754</v>
      </c>
      <c r="I890" t="s">
        <v>35</v>
      </c>
      <c r="J890" t="s">
        <v>25</v>
      </c>
      <c r="K890" t="s">
        <v>36</v>
      </c>
      <c r="L890" t="s">
        <v>63</v>
      </c>
      <c r="M890" t="s">
        <v>64</v>
      </c>
      <c r="N890" t="s">
        <v>65</v>
      </c>
      <c r="O890">
        <v>17</v>
      </c>
      <c r="P890">
        <v>11233.45</v>
      </c>
      <c r="Q890">
        <v>20</v>
      </c>
      <c r="R890">
        <v>38193.730000000003</v>
      </c>
      <c r="S890" s="11">
        <v>152774.92000000001</v>
      </c>
      <c r="T890">
        <v>-11824.39</v>
      </c>
      <c r="U890">
        <f t="shared" si="13"/>
        <v>152774.92000000001</v>
      </c>
    </row>
    <row r="891" spans="1:21" ht="15" customHeight="1" x14ac:dyDescent="0.25">
      <c r="A891" t="s">
        <v>2277</v>
      </c>
      <c r="B891" s="8">
        <v>45535</v>
      </c>
      <c r="C891" s="8">
        <v>45538</v>
      </c>
      <c r="D891" t="s">
        <v>73</v>
      </c>
      <c r="E891" t="s">
        <v>3039</v>
      </c>
      <c r="F891" t="s">
        <v>3057</v>
      </c>
      <c r="G891" t="s">
        <v>2278</v>
      </c>
      <c r="H891">
        <v>7037340280</v>
      </c>
      <c r="I891" t="s">
        <v>35</v>
      </c>
      <c r="J891" t="s">
        <v>1009</v>
      </c>
      <c r="K891" t="s">
        <v>52</v>
      </c>
      <c r="L891" t="s">
        <v>27</v>
      </c>
      <c r="M891" t="s">
        <v>79</v>
      </c>
      <c r="N891" t="s">
        <v>80</v>
      </c>
      <c r="O891">
        <v>12</v>
      </c>
      <c r="P891">
        <v>5699.92</v>
      </c>
      <c r="Q891">
        <v>0</v>
      </c>
      <c r="R891">
        <v>0</v>
      </c>
      <c r="S891" s="11">
        <v>68399.039999999994</v>
      </c>
      <c r="T891">
        <v>-3744.83</v>
      </c>
      <c r="U891">
        <f t="shared" si="13"/>
        <v>68399.039999999994</v>
      </c>
    </row>
    <row r="892" spans="1:21" ht="15" customHeight="1" x14ac:dyDescent="0.25">
      <c r="A892" t="s">
        <v>1075</v>
      </c>
      <c r="B892" s="8">
        <v>45537</v>
      </c>
      <c r="C892" s="8">
        <v>45539</v>
      </c>
      <c r="D892" t="s">
        <v>20</v>
      </c>
      <c r="E892" t="s">
        <v>3053</v>
      </c>
      <c r="F892" t="s">
        <v>3034</v>
      </c>
      <c r="H892">
        <v>8167055937</v>
      </c>
      <c r="I892" t="s">
        <v>35</v>
      </c>
      <c r="J892" t="s">
        <v>61</v>
      </c>
      <c r="K892" t="s">
        <v>95</v>
      </c>
      <c r="L892" t="s">
        <v>63</v>
      </c>
      <c r="M892" t="s">
        <v>312</v>
      </c>
      <c r="N892" t="s">
        <v>686</v>
      </c>
      <c r="O892">
        <v>9</v>
      </c>
      <c r="P892">
        <v>23330.19</v>
      </c>
      <c r="Q892">
        <v>10</v>
      </c>
      <c r="R892">
        <v>20997.17</v>
      </c>
      <c r="S892" s="11">
        <v>188974.54</v>
      </c>
      <c r="T892">
        <v>-26097.16</v>
      </c>
      <c r="U892">
        <f t="shared" si="13"/>
        <v>188974.54</v>
      </c>
    </row>
    <row r="893" spans="1:21" ht="15" customHeight="1" x14ac:dyDescent="0.25">
      <c r="A893" t="s">
        <v>1179</v>
      </c>
      <c r="B893" s="8">
        <v>45538</v>
      </c>
      <c r="D893" t="s">
        <v>48</v>
      </c>
      <c r="E893" t="s">
        <v>3092</v>
      </c>
      <c r="F893" t="s">
        <v>3086</v>
      </c>
      <c r="G893" t="s">
        <v>1180</v>
      </c>
      <c r="H893">
        <v>9017273997</v>
      </c>
      <c r="I893" t="s">
        <v>43</v>
      </c>
      <c r="J893" t="s">
        <v>61</v>
      </c>
      <c r="K893" t="s">
        <v>95</v>
      </c>
      <c r="L893" t="s">
        <v>85</v>
      </c>
      <c r="M893" t="s">
        <v>486</v>
      </c>
      <c r="N893" t="s">
        <v>1018</v>
      </c>
      <c r="O893">
        <v>6</v>
      </c>
      <c r="P893">
        <v>89501.67</v>
      </c>
      <c r="Q893">
        <v>5</v>
      </c>
      <c r="R893">
        <v>26850.5</v>
      </c>
      <c r="S893" s="11">
        <v>510159.52</v>
      </c>
      <c r="T893">
        <v>-7262.71</v>
      </c>
      <c r="U893">
        <f t="shared" si="13"/>
        <v>510159.52</v>
      </c>
    </row>
    <row r="894" spans="1:21" ht="15" customHeight="1" x14ac:dyDescent="0.25">
      <c r="A894" t="s">
        <v>2607</v>
      </c>
      <c r="B894" s="8">
        <v>45539</v>
      </c>
      <c r="C894" s="8">
        <v>45542</v>
      </c>
      <c r="D894" t="s">
        <v>20</v>
      </c>
      <c r="E894" t="s">
        <v>3084</v>
      </c>
      <c r="F894" t="s">
        <v>3074</v>
      </c>
      <c r="G894" t="s">
        <v>2609</v>
      </c>
      <c r="H894">
        <v>8151427236</v>
      </c>
      <c r="I894" t="s">
        <v>35</v>
      </c>
      <c r="J894" t="s">
        <v>25</v>
      </c>
      <c r="K894" t="s">
        <v>26</v>
      </c>
      <c r="L894" t="s">
        <v>108</v>
      </c>
      <c r="M894" t="s">
        <v>38</v>
      </c>
      <c r="N894" t="s">
        <v>213</v>
      </c>
      <c r="O894">
        <v>20</v>
      </c>
      <c r="P894">
        <v>9653.93</v>
      </c>
      <c r="Q894">
        <v>0</v>
      </c>
      <c r="R894">
        <v>0</v>
      </c>
      <c r="S894" s="11">
        <v>193078.6</v>
      </c>
      <c r="T894">
        <v>45599.87</v>
      </c>
      <c r="U894">
        <f t="shared" si="13"/>
        <v>193078.6</v>
      </c>
    </row>
    <row r="895" spans="1:21" ht="15" customHeight="1" x14ac:dyDescent="0.25">
      <c r="A895" t="s">
        <v>551</v>
      </c>
      <c r="B895" s="8">
        <v>45539</v>
      </c>
      <c r="C895" s="8">
        <v>45539</v>
      </c>
      <c r="D895" t="s">
        <v>32</v>
      </c>
      <c r="E895" t="s">
        <v>3076</v>
      </c>
      <c r="F895" t="s">
        <v>3074</v>
      </c>
      <c r="G895" t="s">
        <v>553</v>
      </c>
      <c r="H895">
        <v>9071992583</v>
      </c>
      <c r="I895" t="s">
        <v>24</v>
      </c>
      <c r="J895" t="s">
        <v>61</v>
      </c>
      <c r="K895" t="s">
        <v>204</v>
      </c>
      <c r="L895" t="s">
        <v>96</v>
      </c>
      <c r="M895" t="s">
        <v>254</v>
      </c>
      <c r="N895" t="s">
        <v>255</v>
      </c>
      <c r="O895">
        <v>2</v>
      </c>
      <c r="P895">
        <v>247791.24</v>
      </c>
      <c r="Q895">
        <v>0</v>
      </c>
      <c r="R895">
        <v>0</v>
      </c>
      <c r="S895" s="11" t="s">
        <v>554</v>
      </c>
      <c r="T895">
        <v>49920.51</v>
      </c>
      <c r="U895" t="e">
        <f t="shared" si="13"/>
        <v>#VALUE!</v>
      </c>
    </row>
    <row r="896" spans="1:21" ht="15" customHeight="1" x14ac:dyDescent="0.25">
      <c r="A896" t="s">
        <v>2678</v>
      </c>
      <c r="B896" s="8">
        <v>45540</v>
      </c>
      <c r="C896" s="8">
        <v>45545</v>
      </c>
      <c r="D896" t="s">
        <v>48</v>
      </c>
      <c r="E896" t="s">
        <v>3094</v>
      </c>
      <c r="F896" t="s">
        <v>3062</v>
      </c>
      <c r="G896" t="s">
        <v>2679</v>
      </c>
      <c r="H896">
        <v>9077937523</v>
      </c>
      <c r="I896" t="s">
        <v>35</v>
      </c>
      <c r="J896" t="s">
        <v>61</v>
      </c>
      <c r="K896" t="s">
        <v>84</v>
      </c>
      <c r="L896" t="s">
        <v>63</v>
      </c>
      <c r="M896" t="s">
        <v>54</v>
      </c>
      <c r="N896" t="s">
        <v>55</v>
      </c>
      <c r="P896">
        <v>10456.59</v>
      </c>
      <c r="Q896">
        <v>0</v>
      </c>
      <c r="R896">
        <v>0</v>
      </c>
      <c r="S896" s="11">
        <v>146392.26</v>
      </c>
      <c r="T896">
        <v>54516.66</v>
      </c>
      <c r="U896">
        <f t="shared" si="13"/>
        <v>146392.26</v>
      </c>
    </row>
    <row r="897" spans="1:21" ht="15" customHeight="1" x14ac:dyDescent="0.25">
      <c r="A897" t="s">
        <v>1924</v>
      </c>
      <c r="B897" s="8">
        <v>45542</v>
      </c>
      <c r="C897" s="8">
        <v>45544</v>
      </c>
      <c r="D897" t="s">
        <v>20</v>
      </c>
      <c r="E897" t="s">
        <v>3059</v>
      </c>
      <c r="F897" t="s">
        <v>3090</v>
      </c>
      <c r="G897" t="s">
        <v>1925</v>
      </c>
      <c r="H897">
        <v>9073064864</v>
      </c>
      <c r="I897" t="s">
        <v>43</v>
      </c>
      <c r="J897" t="s">
        <v>69</v>
      </c>
      <c r="K897" t="s">
        <v>119</v>
      </c>
      <c r="L897" t="s">
        <v>96</v>
      </c>
      <c r="M897" t="s">
        <v>120</v>
      </c>
      <c r="N897" t="s">
        <v>1307</v>
      </c>
      <c r="O897">
        <v>4</v>
      </c>
      <c r="P897">
        <v>251919.31</v>
      </c>
      <c r="Q897">
        <v>25</v>
      </c>
      <c r="R897">
        <v>251919.31</v>
      </c>
      <c r="S897" s="11">
        <v>755757.93</v>
      </c>
      <c r="T897">
        <v>288604.40000000002</v>
      </c>
      <c r="U897">
        <f t="shared" si="13"/>
        <v>755757.93</v>
      </c>
    </row>
    <row r="898" spans="1:21" ht="15" customHeight="1" x14ac:dyDescent="0.25">
      <c r="A898" t="s">
        <v>603</v>
      </c>
      <c r="B898" s="8">
        <v>45543</v>
      </c>
      <c r="C898" s="8">
        <v>45546</v>
      </c>
      <c r="D898" t="s">
        <v>73</v>
      </c>
      <c r="E898" t="s">
        <v>3095</v>
      </c>
      <c r="F898" t="s">
        <v>3064</v>
      </c>
      <c r="G898" t="s">
        <v>605</v>
      </c>
      <c r="H898">
        <v>8134188068</v>
      </c>
      <c r="I898" t="s">
        <v>35</v>
      </c>
      <c r="J898" t="s">
        <v>25</v>
      </c>
      <c r="K898" t="s">
        <v>606</v>
      </c>
      <c r="L898" t="s">
        <v>96</v>
      </c>
      <c r="M898" t="s">
        <v>189</v>
      </c>
      <c r="N898" t="s">
        <v>190</v>
      </c>
      <c r="O898">
        <v>7</v>
      </c>
      <c r="P898">
        <v>317597.43</v>
      </c>
      <c r="Q898">
        <v>15</v>
      </c>
      <c r="R898">
        <v>333477.3</v>
      </c>
      <c r="S898" s="11">
        <v>1889704.71</v>
      </c>
      <c r="T898">
        <v>754135.56</v>
      </c>
      <c r="U898">
        <f t="shared" ref="U898:U961" si="14">VALUE(S898)</f>
        <v>1889704.71</v>
      </c>
    </row>
    <row r="899" spans="1:21" ht="15" customHeight="1" x14ac:dyDescent="0.25">
      <c r="A899" t="s">
        <v>1007</v>
      </c>
      <c r="B899" s="8">
        <v>45543</v>
      </c>
      <c r="C899" s="8">
        <v>45543</v>
      </c>
      <c r="D899" t="s">
        <v>32</v>
      </c>
      <c r="G899" t="s">
        <v>1008</v>
      </c>
      <c r="H899">
        <v>8035088109</v>
      </c>
      <c r="I899" t="s">
        <v>43</v>
      </c>
      <c r="J899" t="s">
        <v>1009</v>
      </c>
      <c r="K899" t="s">
        <v>52</v>
      </c>
      <c r="L899" t="s">
        <v>96</v>
      </c>
      <c r="M899" t="s">
        <v>385</v>
      </c>
      <c r="N899" t="s">
        <v>1010</v>
      </c>
      <c r="O899">
        <v>5</v>
      </c>
      <c r="P899">
        <v>272671.23</v>
      </c>
      <c r="Q899" t="s">
        <v>1011</v>
      </c>
      <c r="R899">
        <v>340839.04</v>
      </c>
      <c r="S899" s="11">
        <v>1022517.11</v>
      </c>
      <c r="T899">
        <v>-129333.57</v>
      </c>
      <c r="U899">
        <f t="shared" si="14"/>
        <v>1022517.11</v>
      </c>
    </row>
    <row r="900" spans="1:21" ht="15" customHeight="1" x14ac:dyDescent="0.25">
      <c r="A900" t="s">
        <v>1387</v>
      </c>
      <c r="B900" s="8">
        <v>45544</v>
      </c>
      <c r="C900" s="8">
        <v>45551</v>
      </c>
      <c r="D900" t="s">
        <v>48</v>
      </c>
      <c r="E900" t="s">
        <v>3093</v>
      </c>
      <c r="F900" t="s">
        <v>3078</v>
      </c>
      <c r="G900" t="s">
        <v>1388</v>
      </c>
      <c r="H900">
        <v>8108414487</v>
      </c>
      <c r="I900" t="s">
        <v>35</v>
      </c>
      <c r="J900" t="s">
        <v>25</v>
      </c>
      <c r="K900" t="s">
        <v>26</v>
      </c>
      <c r="L900" t="s">
        <v>27</v>
      </c>
      <c r="M900" t="s">
        <v>173</v>
      </c>
      <c r="N900" t="s">
        <v>174</v>
      </c>
      <c r="O900">
        <v>10</v>
      </c>
      <c r="P900">
        <v>1626</v>
      </c>
      <c r="Q900">
        <v>0</v>
      </c>
      <c r="R900">
        <v>0</v>
      </c>
      <c r="S900" s="11">
        <v>16260</v>
      </c>
      <c r="T900">
        <v>4823.95</v>
      </c>
      <c r="U900">
        <f t="shared" si="14"/>
        <v>16260</v>
      </c>
    </row>
    <row r="901" spans="1:21" ht="15" customHeight="1" x14ac:dyDescent="0.25">
      <c r="A901" t="s">
        <v>1855</v>
      </c>
      <c r="B901" s="8">
        <v>45544</v>
      </c>
      <c r="C901" s="8">
        <v>45548</v>
      </c>
      <c r="D901" t="s">
        <v>73</v>
      </c>
      <c r="G901" t="s">
        <v>1856</v>
      </c>
      <c r="H901">
        <v>7061233207</v>
      </c>
      <c r="I901" t="s">
        <v>24</v>
      </c>
      <c r="J901" t="s">
        <v>25</v>
      </c>
      <c r="K901" t="s">
        <v>168</v>
      </c>
      <c r="L901" t="s">
        <v>27</v>
      </c>
      <c r="M901" t="s">
        <v>354</v>
      </c>
      <c r="N901" t="s">
        <v>355</v>
      </c>
      <c r="O901">
        <v>18</v>
      </c>
      <c r="P901">
        <v>5799.03</v>
      </c>
      <c r="Q901">
        <v>10</v>
      </c>
      <c r="R901">
        <v>10438.25</v>
      </c>
      <c r="S901" s="11">
        <v>93944.29</v>
      </c>
      <c r="T901">
        <v>-325.45</v>
      </c>
      <c r="U901">
        <f t="shared" si="14"/>
        <v>93944.29</v>
      </c>
    </row>
    <row r="902" spans="1:21" ht="15" customHeight="1" x14ac:dyDescent="0.25">
      <c r="A902" t="s">
        <v>1412</v>
      </c>
      <c r="B902" s="8">
        <v>45546</v>
      </c>
      <c r="C902" s="8">
        <v>45549</v>
      </c>
      <c r="D902" t="s">
        <v>20</v>
      </c>
      <c r="E902" t="s">
        <v>3061</v>
      </c>
      <c r="F902" t="s">
        <v>3040</v>
      </c>
      <c r="G902" t="s">
        <v>1414</v>
      </c>
      <c r="H902">
        <v>9013006281</v>
      </c>
      <c r="I902" t="s">
        <v>35</v>
      </c>
      <c r="K902" t="s">
        <v>316</v>
      </c>
      <c r="L902" t="s">
        <v>63</v>
      </c>
      <c r="M902" t="s">
        <v>312</v>
      </c>
      <c r="N902" t="s">
        <v>686</v>
      </c>
      <c r="O902">
        <v>9</v>
      </c>
      <c r="P902">
        <v>929.85</v>
      </c>
      <c r="Q902">
        <v>0</v>
      </c>
      <c r="R902">
        <v>0</v>
      </c>
      <c r="S902" s="11">
        <v>8368.65</v>
      </c>
      <c r="T902">
        <v>1665.3</v>
      </c>
      <c r="U902">
        <f t="shared" si="14"/>
        <v>8368.65</v>
      </c>
    </row>
    <row r="903" spans="1:21" ht="15" customHeight="1" x14ac:dyDescent="0.25">
      <c r="A903" t="s">
        <v>1761</v>
      </c>
      <c r="B903" s="8">
        <v>45546</v>
      </c>
      <c r="C903" s="8">
        <v>45546</v>
      </c>
      <c r="D903" t="s">
        <v>32</v>
      </c>
      <c r="E903" t="s">
        <v>3095</v>
      </c>
      <c r="F903" t="s">
        <v>3054</v>
      </c>
      <c r="G903" t="s">
        <v>1763</v>
      </c>
      <c r="H903">
        <v>8133595845</v>
      </c>
      <c r="I903" t="s">
        <v>43</v>
      </c>
      <c r="J903" t="s">
        <v>51</v>
      </c>
      <c r="K903" t="s">
        <v>316</v>
      </c>
      <c r="L903" t="s">
        <v>85</v>
      </c>
      <c r="M903" t="s">
        <v>86</v>
      </c>
      <c r="N903" t="s">
        <v>584</v>
      </c>
      <c r="O903">
        <v>12</v>
      </c>
      <c r="P903">
        <v>156204.68</v>
      </c>
      <c r="Q903">
        <v>20</v>
      </c>
      <c r="R903">
        <v>374891.23</v>
      </c>
      <c r="S903" s="11">
        <v>1499564.93</v>
      </c>
      <c r="T903">
        <v>139059.39000000001</v>
      </c>
      <c r="U903">
        <f t="shared" si="14"/>
        <v>1499564.93</v>
      </c>
    </row>
    <row r="904" spans="1:21" ht="15" customHeight="1" x14ac:dyDescent="0.25">
      <c r="A904" t="s">
        <v>1613</v>
      </c>
      <c r="B904" s="8">
        <v>45547</v>
      </c>
      <c r="C904" s="8">
        <v>45548</v>
      </c>
      <c r="D904" t="s">
        <v>32</v>
      </c>
      <c r="E904" t="s">
        <v>3094</v>
      </c>
      <c r="F904" t="s">
        <v>3071</v>
      </c>
      <c r="G904" t="s">
        <v>1615</v>
      </c>
      <c r="H904">
        <v>9027330138</v>
      </c>
      <c r="I904" t="s">
        <v>35</v>
      </c>
      <c r="J904" t="s">
        <v>51</v>
      </c>
      <c r="K904" t="s">
        <v>52</v>
      </c>
      <c r="L904" t="s">
        <v>108</v>
      </c>
      <c r="M904" t="s">
        <v>189</v>
      </c>
      <c r="N904" t="s">
        <v>190</v>
      </c>
      <c r="O904">
        <v>17</v>
      </c>
      <c r="P904">
        <v>34763.9</v>
      </c>
      <c r="Q904">
        <v>20</v>
      </c>
      <c r="R904">
        <v>118197.26</v>
      </c>
      <c r="S904" s="11">
        <v>472789.04</v>
      </c>
      <c r="T904">
        <v>145149.67000000001</v>
      </c>
      <c r="U904">
        <f t="shared" si="14"/>
        <v>472789.04</v>
      </c>
    </row>
    <row r="905" spans="1:21" ht="15" customHeight="1" x14ac:dyDescent="0.25">
      <c r="A905" t="s">
        <v>1796</v>
      </c>
      <c r="B905" s="8">
        <v>45549</v>
      </c>
      <c r="C905" s="8">
        <v>45555</v>
      </c>
      <c r="D905" t="s">
        <v>48</v>
      </c>
      <c r="E905" t="s">
        <v>3059</v>
      </c>
      <c r="F905" t="s">
        <v>3052</v>
      </c>
      <c r="G905" t="s">
        <v>1797</v>
      </c>
      <c r="H905">
        <v>9022500416</v>
      </c>
      <c r="I905" t="s">
        <v>43</v>
      </c>
      <c r="J905" t="s">
        <v>69</v>
      </c>
      <c r="K905" t="s">
        <v>119</v>
      </c>
      <c r="L905" t="s">
        <v>96</v>
      </c>
      <c r="M905" t="s">
        <v>189</v>
      </c>
      <c r="N905" t="s">
        <v>287</v>
      </c>
      <c r="O905">
        <v>11</v>
      </c>
      <c r="P905">
        <v>84702.35</v>
      </c>
      <c r="Q905">
        <v>15</v>
      </c>
      <c r="R905">
        <v>139758.88</v>
      </c>
      <c r="S905" s="11">
        <v>791966.97</v>
      </c>
      <c r="T905">
        <v>245339.72</v>
      </c>
      <c r="U905">
        <f t="shared" si="14"/>
        <v>791966.97</v>
      </c>
    </row>
    <row r="906" spans="1:21" ht="15" customHeight="1" x14ac:dyDescent="0.25">
      <c r="A906" t="s">
        <v>2599</v>
      </c>
      <c r="B906" s="8">
        <v>45550</v>
      </c>
      <c r="C906" s="8">
        <v>45552</v>
      </c>
      <c r="D906" t="s">
        <v>20</v>
      </c>
      <c r="E906" t="s">
        <v>3091</v>
      </c>
      <c r="F906" t="s">
        <v>3103</v>
      </c>
      <c r="G906" t="s">
        <v>2601</v>
      </c>
      <c r="H906">
        <v>7039997791</v>
      </c>
      <c r="I906" t="s">
        <v>43</v>
      </c>
      <c r="J906" t="s">
        <v>61</v>
      </c>
      <c r="K906" t="s">
        <v>95</v>
      </c>
      <c r="L906" t="s">
        <v>85</v>
      </c>
      <c r="M906" t="s">
        <v>218</v>
      </c>
      <c r="N906" t="s">
        <v>842</v>
      </c>
      <c r="O906">
        <v>10</v>
      </c>
      <c r="P906">
        <v>112074</v>
      </c>
      <c r="Q906">
        <v>0</v>
      </c>
      <c r="R906">
        <v>0</v>
      </c>
      <c r="S906" s="11">
        <v>1120740</v>
      </c>
      <c r="T906">
        <v>326468.12</v>
      </c>
      <c r="U906">
        <f t="shared" si="14"/>
        <v>1120740</v>
      </c>
    </row>
    <row r="907" spans="1:21" ht="15" customHeight="1" x14ac:dyDescent="0.25">
      <c r="A907" t="s">
        <v>326</v>
      </c>
      <c r="B907" s="8">
        <v>45551</v>
      </c>
      <c r="C907" s="8">
        <v>45551</v>
      </c>
      <c r="D907" t="s">
        <v>32</v>
      </c>
      <c r="E907" t="s">
        <v>3059</v>
      </c>
      <c r="F907" t="s">
        <v>3045</v>
      </c>
      <c r="G907" t="s">
        <v>328</v>
      </c>
      <c r="H907">
        <v>9055963914</v>
      </c>
      <c r="I907" t="s">
        <v>35</v>
      </c>
      <c r="J907" t="s">
        <v>69</v>
      </c>
      <c r="K907" t="s">
        <v>144</v>
      </c>
      <c r="L907" t="s">
        <v>63</v>
      </c>
      <c r="M907" t="s">
        <v>249</v>
      </c>
      <c r="N907" t="s">
        <v>329</v>
      </c>
      <c r="O907">
        <v>19</v>
      </c>
      <c r="P907">
        <v>7224.77</v>
      </c>
      <c r="Q907">
        <v>0</v>
      </c>
      <c r="R907">
        <v>0</v>
      </c>
      <c r="S907" s="11">
        <v>137270.63</v>
      </c>
      <c r="T907">
        <v>54409.98</v>
      </c>
      <c r="U907">
        <f t="shared" si="14"/>
        <v>137270.63</v>
      </c>
    </row>
    <row r="908" spans="1:21" ht="15" customHeight="1" x14ac:dyDescent="0.25">
      <c r="A908" t="s">
        <v>1833</v>
      </c>
      <c r="B908" s="8">
        <v>45553</v>
      </c>
      <c r="C908" s="8">
        <v>45554</v>
      </c>
      <c r="D908" t="s">
        <v>32</v>
      </c>
      <c r="E908" t="s">
        <v>3093</v>
      </c>
      <c r="F908" t="s">
        <v>3057</v>
      </c>
      <c r="G908" t="s">
        <v>1834</v>
      </c>
      <c r="H908">
        <v>8066456436</v>
      </c>
      <c r="I908" t="s">
        <v>35</v>
      </c>
      <c r="J908" t="s">
        <v>25</v>
      </c>
      <c r="K908" t="s">
        <v>36</v>
      </c>
      <c r="L908" t="s">
        <v>96</v>
      </c>
      <c r="M908" t="s">
        <v>254</v>
      </c>
      <c r="N908" t="s">
        <v>255</v>
      </c>
      <c r="O908">
        <v>1</v>
      </c>
      <c r="P908">
        <v>191318.77</v>
      </c>
      <c r="Q908">
        <v>15</v>
      </c>
      <c r="R908">
        <v>28697.82</v>
      </c>
      <c r="S908" s="11">
        <v>162620.95000000001</v>
      </c>
      <c r="T908">
        <v>29863.08</v>
      </c>
      <c r="U908">
        <f t="shared" si="14"/>
        <v>162620.95000000001</v>
      </c>
    </row>
    <row r="909" spans="1:21" ht="15" customHeight="1" x14ac:dyDescent="0.25">
      <c r="A909" t="s">
        <v>502</v>
      </c>
      <c r="B909" s="8">
        <v>45553</v>
      </c>
      <c r="C909" s="8">
        <v>45551</v>
      </c>
      <c r="D909" t="s">
        <v>32</v>
      </c>
      <c r="E909" t="s">
        <v>3082</v>
      </c>
      <c r="F909" t="s">
        <v>3074</v>
      </c>
      <c r="G909" t="s">
        <v>504</v>
      </c>
      <c r="H909">
        <v>7036357240</v>
      </c>
      <c r="I909" t="s">
        <v>43</v>
      </c>
      <c r="J909" t="s">
        <v>25</v>
      </c>
      <c r="K909" t="s">
        <v>126</v>
      </c>
      <c r="L909" t="s">
        <v>63</v>
      </c>
      <c r="M909" t="s">
        <v>64</v>
      </c>
      <c r="N909" t="s">
        <v>501</v>
      </c>
      <c r="O909">
        <v>17</v>
      </c>
      <c r="P909">
        <v>19136.29</v>
      </c>
      <c r="Q909">
        <v>25</v>
      </c>
      <c r="R909">
        <v>81329.23</v>
      </c>
      <c r="S909" s="11">
        <v>243987.7</v>
      </c>
      <c r="T909">
        <v>-21053.61</v>
      </c>
      <c r="U909">
        <f t="shared" si="14"/>
        <v>243987.7</v>
      </c>
    </row>
    <row r="910" spans="1:21" ht="15" customHeight="1" x14ac:dyDescent="0.25">
      <c r="A910" t="s">
        <v>1527</v>
      </c>
      <c r="B910" s="8">
        <v>45555</v>
      </c>
      <c r="C910" s="8">
        <v>45558</v>
      </c>
      <c r="D910" t="s">
        <v>20</v>
      </c>
      <c r="G910" t="s">
        <v>1528</v>
      </c>
      <c r="H910">
        <v>8066865386</v>
      </c>
      <c r="I910" t="s">
        <v>43</v>
      </c>
      <c r="J910" t="s">
        <v>69</v>
      </c>
      <c r="K910" t="s">
        <v>307</v>
      </c>
      <c r="L910" t="s">
        <v>96</v>
      </c>
      <c r="M910" t="s">
        <v>385</v>
      </c>
      <c r="N910" t="s">
        <v>386</v>
      </c>
      <c r="O910">
        <v>6</v>
      </c>
      <c r="P910">
        <v>93584.91</v>
      </c>
      <c r="Q910">
        <v>25</v>
      </c>
      <c r="R910">
        <v>140377.35999999999</v>
      </c>
      <c r="S910" s="11">
        <v>421132.1</v>
      </c>
      <c r="T910">
        <v>144677.01</v>
      </c>
      <c r="U910">
        <f t="shared" si="14"/>
        <v>421132.1</v>
      </c>
    </row>
    <row r="911" spans="1:21" ht="15" customHeight="1" x14ac:dyDescent="0.25">
      <c r="A911" t="s">
        <v>1481</v>
      </c>
      <c r="B911" s="8">
        <v>45556</v>
      </c>
      <c r="C911" s="8">
        <v>45557</v>
      </c>
      <c r="D911" t="s">
        <v>32</v>
      </c>
      <c r="E911" t="s">
        <v>3099</v>
      </c>
      <c r="F911" t="s">
        <v>3040</v>
      </c>
      <c r="G911" t="s">
        <v>1483</v>
      </c>
      <c r="H911">
        <v>8133673591</v>
      </c>
      <c r="I911" t="s">
        <v>43</v>
      </c>
      <c r="J911" t="s">
        <v>25</v>
      </c>
      <c r="K911" t="s">
        <v>126</v>
      </c>
      <c r="L911" t="s">
        <v>63</v>
      </c>
      <c r="M911" t="s">
        <v>54</v>
      </c>
      <c r="N911" t="s">
        <v>1039</v>
      </c>
      <c r="O911">
        <v>9</v>
      </c>
      <c r="P911">
        <v>6830.72</v>
      </c>
      <c r="Q911">
        <v>25</v>
      </c>
      <c r="R911">
        <v>15369.12</v>
      </c>
      <c r="S911" s="11">
        <v>46107.360000000001</v>
      </c>
      <c r="T911">
        <v>-2047.58</v>
      </c>
      <c r="U911">
        <f t="shared" si="14"/>
        <v>46107.360000000001</v>
      </c>
    </row>
    <row r="912" spans="1:21" ht="15" customHeight="1" x14ac:dyDescent="0.25">
      <c r="A912" t="s">
        <v>2664</v>
      </c>
      <c r="B912" s="8">
        <v>45557</v>
      </c>
      <c r="C912" s="8">
        <v>45557</v>
      </c>
      <c r="D912" t="s">
        <v>32</v>
      </c>
      <c r="E912" t="s">
        <v>3049</v>
      </c>
      <c r="F912" t="s">
        <v>3045</v>
      </c>
      <c r="G912" t="s">
        <v>2666</v>
      </c>
      <c r="H912">
        <v>9027320306</v>
      </c>
      <c r="I912" t="s">
        <v>35</v>
      </c>
      <c r="J912" t="s">
        <v>61</v>
      </c>
      <c r="K912" t="s">
        <v>95</v>
      </c>
      <c r="L912" t="s">
        <v>96</v>
      </c>
      <c r="M912" t="s">
        <v>97</v>
      </c>
      <c r="N912" t="s">
        <v>443</v>
      </c>
      <c r="O912">
        <v>19</v>
      </c>
      <c r="P912">
        <v>112188.85</v>
      </c>
      <c r="Q912">
        <v>20</v>
      </c>
      <c r="R912">
        <v>426317.63</v>
      </c>
      <c r="S912" s="11">
        <v>1705270.52</v>
      </c>
      <c r="T912">
        <v>-21760.080000000002</v>
      </c>
      <c r="U912">
        <f t="shared" si="14"/>
        <v>1705270.52</v>
      </c>
    </row>
    <row r="913" spans="1:21" ht="15" customHeight="1" x14ac:dyDescent="0.25">
      <c r="A913" t="s">
        <v>1329</v>
      </c>
      <c r="B913" s="8">
        <v>45558</v>
      </c>
      <c r="C913" s="8">
        <v>45560</v>
      </c>
      <c r="D913" t="s">
        <v>20</v>
      </c>
      <c r="E913" t="s">
        <v>3053</v>
      </c>
      <c r="F913" t="s">
        <v>3034</v>
      </c>
      <c r="G913" s="10" t="s">
        <v>1330</v>
      </c>
      <c r="H913">
        <v>8101598917</v>
      </c>
      <c r="I913" t="s">
        <v>35</v>
      </c>
      <c r="J913" t="s">
        <v>51</v>
      </c>
      <c r="K913" t="s">
        <v>316</v>
      </c>
      <c r="L913" t="s">
        <v>85</v>
      </c>
      <c r="M913" t="s">
        <v>86</v>
      </c>
      <c r="N913" t="s">
        <v>238</v>
      </c>
      <c r="O913">
        <v>13</v>
      </c>
      <c r="P913">
        <v>49019.44</v>
      </c>
      <c r="Q913">
        <v>0</v>
      </c>
      <c r="R913">
        <v>0</v>
      </c>
      <c r="S913" s="11">
        <v>637252.72</v>
      </c>
      <c r="T913">
        <v>207517.21</v>
      </c>
      <c r="U913">
        <f t="shared" si="14"/>
        <v>637252.72</v>
      </c>
    </row>
    <row r="914" spans="1:21" ht="15" customHeight="1" x14ac:dyDescent="0.25">
      <c r="A914" t="s">
        <v>1153</v>
      </c>
      <c r="B914" s="8">
        <v>45561</v>
      </c>
      <c r="C914" s="8">
        <v>45565</v>
      </c>
      <c r="D914" t="s">
        <v>73</v>
      </c>
      <c r="E914" t="s">
        <v>3094</v>
      </c>
      <c r="F914" t="s">
        <v>3052</v>
      </c>
      <c r="G914" t="s">
        <v>1154</v>
      </c>
      <c r="H914">
        <v>8132201986</v>
      </c>
      <c r="I914" t="s">
        <v>43</v>
      </c>
      <c r="J914" t="s">
        <v>61</v>
      </c>
      <c r="K914" t="s">
        <v>62</v>
      </c>
      <c r="L914" t="s">
        <v>63</v>
      </c>
      <c r="M914" t="s">
        <v>194</v>
      </c>
      <c r="N914" t="s">
        <v>257</v>
      </c>
      <c r="O914">
        <v>19</v>
      </c>
      <c r="P914">
        <v>8423.59</v>
      </c>
      <c r="Q914">
        <v>0</v>
      </c>
      <c r="R914">
        <v>0</v>
      </c>
      <c r="S914" s="11">
        <v>160048.21</v>
      </c>
      <c r="T914">
        <v>-13201.11</v>
      </c>
      <c r="U914">
        <f t="shared" si="14"/>
        <v>160048.21</v>
      </c>
    </row>
    <row r="915" spans="1:21" ht="15" customHeight="1" x14ac:dyDescent="0.25">
      <c r="A915" t="s">
        <v>2584</v>
      </c>
      <c r="B915" s="8">
        <v>45563</v>
      </c>
      <c r="C915" s="8">
        <v>45566</v>
      </c>
      <c r="D915" t="s">
        <v>20</v>
      </c>
      <c r="E915" t="s">
        <v>3037</v>
      </c>
      <c r="F915" t="s">
        <v>3034</v>
      </c>
      <c r="H915">
        <v>8133861403</v>
      </c>
      <c r="I915" t="s">
        <v>43</v>
      </c>
      <c r="J915" t="s">
        <v>69</v>
      </c>
      <c r="K915" t="s">
        <v>144</v>
      </c>
      <c r="L915" t="s">
        <v>96</v>
      </c>
      <c r="M915" t="s">
        <v>97</v>
      </c>
      <c r="N915" t="s">
        <v>230</v>
      </c>
      <c r="O915">
        <v>15</v>
      </c>
      <c r="P915">
        <v>217251</v>
      </c>
      <c r="Q915">
        <v>10</v>
      </c>
      <c r="R915">
        <v>325876.5</v>
      </c>
      <c r="S915" s="11">
        <v>2932888.5</v>
      </c>
      <c r="T915">
        <v>1185085.25</v>
      </c>
      <c r="U915">
        <f t="shared" si="14"/>
        <v>2932888.5</v>
      </c>
    </row>
    <row r="916" spans="1:21" ht="15" customHeight="1" x14ac:dyDescent="0.25">
      <c r="A916" t="s">
        <v>2647</v>
      </c>
      <c r="B916" s="8">
        <v>45563</v>
      </c>
      <c r="C916" s="8">
        <v>45565</v>
      </c>
      <c r="D916" t="s">
        <v>20</v>
      </c>
      <c r="E916" t="s">
        <v>3041</v>
      </c>
      <c r="F916" t="s">
        <v>3034</v>
      </c>
      <c r="G916" t="s">
        <v>2643</v>
      </c>
      <c r="H916">
        <v>8157626337</v>
      </c>
      <c r="I916" t="s">
        <v>24</v>
      </c>
      <c r="J916" t="s">
        <v>61</v>
      </c>
      <c r="K916" t="s">
        <v>62</v>
      </c>
      <c r="L916" t="s">
        <v>27</v>
      </c>
      <c r="M916" t="s">
        <v>28</v>
      </c>
      <c r="N916" t="s">
        <v>508</v>
      </c>
      <c r="O916" t="s">
        <v>2648</v>
      </c>
      <c r="P916">
        <v>4743.05</v>
      </c>
      <c r="Q916">
        <v>0</v>
      </c>
      <c r="R916">
        <v>0</v>
      </c>
      <c r="S916" s="11">
        <v>66402.7</v>
      </c>
      <c r="T916">
        <v>-963.58</v>
      </c>
      <c r="U916">
        <f t="shared" si="14"/>
        <v>66402.7</v>
      </c>
    </row>
    <row r="917" spans="1:21" ht="15" customHeight="1" x14ac:dyDescent="0.25">
      <c r="A917" t="s">
        <v>927</v>
      </c>
      <c r="B917" s="8">
        <v>45564</v>
      </c>
      <c r="C917" s="8">
        <v>45566</v>
      </c>
      <c r="D917" t="s">
        <v>20</v>
      </c>
      <c r="E917" t="s">
        <v>3070</v>
      </c>
      <c r="F917" t="s">
        <v>3039</v>
      </c>
      <c r="G917" t="s">
        <v>929</v>
      </c>
      <c r="H917">
        <v>8155547530</v>
      </c>
      <c r="I917" t="s">
        <v>35</v>
      </c>
      <c r="J917" t="s">
        <v>25</v>
      </c>
      <c r="K917" t="s">
        <v>26</v>
      </c>
      <c r="L917" t="s">
        <v>27</v>
      </c>
      <c r="M917" t="s">
        <v>79</v>
      </c>
      <c r="N917" t="s">
        <v>145</v>
      </c>
      <c r="O917">
        <v>13</v>
      </c>
      <c r="P917">
        <v>1614.76</v>
      </c>
      <c r="Q917">
        <v>0</v>
      </c>
      <c r="R917">
        <v>0</v>
      </c>
      <c r="S917" s="11">
        <v>20991.88</v>
      </c>
      <c r="T917">
        <v>1198.71</v>
      </c>
      <c r="U917">
        <f t="shared" si="14"/>
        <v>20991.88</v>
      </c>
    </row>
    <row r="918" spans="1:21" ht="15" customHeight="1" x14ac:dyDescent="0.25">
      <c r="A918" t="s">
        <v>1451</v>
      </c>
      <c r="B918" s="8">
        <v>45566</v>
      </c>
      <c r="C918" s="8">
        <v>45567</v>
      </c>
      <c r="D918" t="s">
        <v>32</v>
      </c>
      <c r="E918" t="s">
        <v>3037</v>
      </c>
      <c r="F918" t="s">
        <v>3074</v>
      </c>
      <c r="G918" t="s">
        <v>1453</v>
      </c>
      <c r="H918">
        <v>9021530135</v>
      </c>
      <c r="I918" t="s">
        <v>24</v>
      </c>
      <c r="J918" t="s">
        <v>61</v>
      </c>
      <c r="K918" t="s">
        <v>182</v>
      </c>
      <c r="L918" t="s">
        <v>108</v>
      </c>
      <c r="M918" t="s">
        <v>114</v>
      </c>
      <c r="N918" t="s">
        <v>115</v>
      </c>
      <c r="O918">
        <v>13</v>
      </c>
      <c r="P918">
        <v>21354.97</v>
      </c>
      <c r="Q918">
        <v>20</v>
      </c>
      <c r="R918">
        <v>55522.92</v>
      </c>
      <c r="S918" s="11">
        <v>222091.69</v>
      </c>
      <c r="T918">
        <v>27937.75</v>
      </c>
      <c r="U918">
        <f t="shared" si="14"/>
        <v>222091.69</v>
      </c>
    </row>
    <row r="919" spans="1:21" ht="15" customHeight="1" x14ac:dyDescent="0.25">
      <c r="A919" t="s">
        <v>479</v>
      </c>
      <c r="B919" s="8">
        <v>45567</v>
      </c>
      <c r="C919" s="8">
        <v>45569</v>
      </c>
      <c r="D919" t="s">
        <v>20</v>
      </c>
      <c r="E919" t="s">
        <v>3056</v>
      </c>
      <c r="F919" t="s">
        <v>3054</v>
      </c>
      <c r="G919" t="s">
        <v>481</v>
      </c>
      <c r="H919">
        <v>8143896693</v>
      </c>
      <c r="I919" t="s">
        <v>24</v>
      </c>
      <c r="J919" t="s">
        <v>69</v>
      </c>
      <c r="K919" t="s">
        <v>119</v>
      </c>
      <c r="L919" t="s">
        <v>108</v>
      </c>
      <c r="M919" t="s">
        <v>114</v>
      </c>
      <c r="N919" t="s">
        <v>482</v>
      </c>
      <c r="O919">
        <v>3</v>
      </c>
      <c r="P919">
        <v>30717.11</v>
      </c>
      <c r="Q919">
        <v>25</v>
      </c>
      <c r="R919">
        <v>23037.83</v>
      </c>
      <c r="S919" s="11">
        <v>69113.5</v>
      </c>
      <c r="T919">
        <v>12115.79</v>
      </c>
      <c r="U919">
        <f t="shared" si="14"/>
        <v>69113.5</v>
      </c>
    </row>
    <row r="920" spans="1:21" ht="15" customHeight="1" x14ac:dyDescent="0.25">
      <c r="A920" t="s">
        <v>240</v>
      </c>
      <c r="B920" s="8">
        <v>45567</v>
      </c>
      <c r="C920" s="8">
        <v>45568</v>
      </c>
      <c r="D920" t="s">
        <v>32</v>
      </c>
      <c r="E920" t="s">
        <v>3047</v>
      </c>
      <c r="F920" t="s">
        <v>3050</v>
      </c>
      <c r="G920" t="s">
        <v>242</v>
      </c>
      <c r="H920">
        <v>8137784725</v>
      </c>
      <c r="I920" t="s">
        <v>35</v>
      </c>
      <c r="J920" t="s">
        <v>69</v>
      </c>
      <c r="K920" t="s">
        <v>155</v>
      </c>
      <c r="L920" t="s">
        <v>85</v>
      </c>
      <c r="M920" t="s">
        <v>243</v>
      </c>
      <c r="N920" t="s">
        <v>244</v>
      </c>
      <c r="O920">
        <v>18</v>
      </c>
      <c r="P920">
        <v>71471.520000000004</v>
      </c>
      <c r="Q920">
        <v>25</v>
      </c>
      <c r="R920">
        <v>321621.84000000003</v>
      </c>
      <c r="S920" s="11">
        <v>964865.52</v>
      </c>
      <c r="T920">
        <v>54277.97</v>
      </c>
      <c r="U920">
        <f t="shared" si="14"/>
        <v>964865.52</v>
      </c>
    </row>
    <row r="921" spans="1:21" ht="15" customHeight="1" x14ac:dyDescent="0.25">
      <c r="A921" t="s">
        <v>2821</v>
      </c>
      <c r="B921" s="8">
        <v>45570</v>
      </c>
      <c r="C921" s="8">
        <v>45575</v>
      </c>
      <c r="D921" t="s">
        <v>73</v>
      </c>
      <c r="E921" t="s">
        <v>3059</v>
      </c>
      <c r="F921" t="s">
        <v>3090</v>
      </c>
      <c r="G921" t="s">
        <v>2822</v>
      </c>
      <c r="H921">
        <v>8137516960</v>
      </c>
      <c r="I921" t="s">
        <v>43</v>
      </c>
      <c r="J921" t="s">
        <v>25</v>
      </c>
      <c r="K921" t="s">
        <v>36</v>
      </c>
      <c r="L921" t="s">
        <v>85</v>
      </c>
      <c r="M921" t="s">
        <v>266</v>
      </c>
      <c r="N921" t="s">
        <v>593</v>
      </c>
      <c r="O921">
        <v>13</v>
      </c>
      <c r="P921">
        <v>67214.070000000007</v>
      </c>
      <c r="Q921">
        <v>15</v>
      </c>
      <c r="R921">
        <v>131067.44</v>
      </c>
      <c r="S921" s="11">
        <v>742715.47</v>
      </c>
      <c r="T921">
        <v>294447.87</v>
      </c>
      <c r="U921">
        <f t="shared" si="14"/>
        <v>742715.47</v>
      </c>
    </row>
    <row r="922" spans="1:21" ht="15" customHeight="1" x14ac:dyDescent="0.25">
      <c r="A922" t="s">
        <v>2616</v>
      </c>
      <c r="B922" s="8">
        <v>45570</v>
      </c>
      <c r="C922" s="8">
        <v>45572</v>
      </c>
      <c r="D922" t="s">
        <v>20</v>
      </c>
      <c r="E922" t="s">
        <v>3051</v>
      </c>
      <c r="F922" t="s">
        <v>3077</v>
      </c>
      <c r="G922" t="s">
        <v>2618</v>
      </c>
      <c r="H922">
        <v>8034357530</v>
      </c>
      <c r="I922" t="s">
        <v>24</v>
      </c>
      <c r="J922" t="s">
        <v>69</v>
      </c>
      <c r="K922" t="s">
        <v>307</v>
      </c>
      <c r="L922" t="s">
        <v>27</v>
      </c>
      <c r="M922" t="s">
        <v>79</v>
      </c>
      <c r="N922" t="s">
        <v>490</v>
      </c>
      <c r="O922">
        <v>16</v>
      </c>
      <c r="P922">
        <v>2067.1999999999998</v>
      </c>
      <c r="Q922">
        <v>0</v>
      </c>
      <c r="R922">
        <v>0</v>
      </c>
      <c r="S922" s="11">
        <v>33075.199999999997</v>
      </c>
      <c r="T922">
        <v>1972.24</v>
      </c>
      <c r="U922">
        <f t="shared" si="14"/>
        <v>33075.199999999997</v>
      </c>
    </row>
    <row r="923" spans="1:21" ht="15" customHeight="1" x14ac:dyDescent="0.25">
      <c r="A923" t="s">
        <v>2063</v>
      </c>
      <c r="B923" s="8">
        <v>45576</v>
      </c>
      <c r="C923" s="8">
        <v>45578</v>
      </c>
      <c r="D923" t="s">
        <v>20</v>
      </c>
      <c r="E923" t="s">
        <v>3048</v>
      </c>
      <c r="F923" t="s">
        <v>3079</v>
      </c>
      <c r="G923" t="s">
        <v>2064</v>
      </c>
      <c r="H923">
        <v>7035831713</v>
      </c>
      <c r="I923" t="s">
        <v>24</v>
      </c>
      <c r="J923" t="s">
        <v>25</v>
      </c>
      <c r="K923" t="s">
        <v>126</v>
      </c>
      <c r="L923" t="s">
        <v>27</v>
      </c>
      <c r="M923" t="s">
        <v>45</v>
      </c>
      <c r="N923" t="s">
        <v>308</v>
      </c>
      <c r="O923">
        <v>17</v>
      </c>
      <c r="P923">
        <v>1025.67</v>
      </c>
      <c r="Q923">
        <v>20</v>
      </c>
      <c r="R923">
        <v>3487.28</v>
      </c>
      <c r="S923" s="11">
        <v>13949.11</v>
      </c>
      <c r="T923">
        <v>4093.43</v>
      </c>
      <c r="U923">
        <f t="shared" si="14"/>
        <v>13949.11</v>
      </c>
    </row>
    <row r="924" spans="1:21" ht="15" customHeight="1" x14ac:dyDescent="0.25">
      <c r="A924" t="s">
        <v>650</v>
      </c>
      <c r="B924" s="8">
        <v>45577</v>
      </c>
      <c r="C924" s="8">
        <v>45582</v>
      </c>
      <c r="D924" t="s">
        <v>73</v>
      </c>
      <c r="E924" t="s">
        <v>3085</v>
      </c>
      <c r="F924" t="s">
        <v>3052</v>
      </c>
      <c r="G924" t="s">
        <v>652</v>
      </c>
      <c r="H924">
        <v>8063273137</v>
      </c>
      <c r="I924" t="s">
        <v>43</v>
      </c>
      <c r="J924" t="s">
        <v>25</v>
      </c>
      <c r="K924" t="s">
        <v>44</v>
      </c>
      <c r="L924" t="s">
        <v>63</v>
      </c>
      <c r="M924" t="s">
        <v>249</v>
      </c>
      <c r="N924" t="s">
        <v>329</v>
      </c>
      <c r="O924">
        <v>20</v>
      </c>
      <c r="P924">
        <v>8639.32</v>
      </c>
      <c r="Q924">
        <v>15</v>
      </c>
      <c r="R924">
        <v>25917.96</v>
      </c>
      <c r="S924" s="11">
        <v>146868.44</v>
      </c>
      <c r="T924">
        <v>48825.81</v>
      </c>
      <c r="U924">
        <f t="shared" si="14"/>
        <v>146868.44</v>
      </c>
    </row>
    <row r="925" spans="1:21" ht="15" customHeight="1" x14ac:dyDescent="0.25">
      <c r="A925" t="s">
        <v>2474</v>
      </c>
      <c r="B925" s="8">
        <v>45580</v>
      </c>
      <c r="C925" s="8">
        <v>45581</v>
      </c>
      <c r="D925" t="s">
        <v>32</v>
      </c>
      <c r="E925" t="s">
        <v>3044</v>
      </c>
      <c r="F925" t="s">
        <v>3062</v>
      </c>
      <c r="G925" t="s">
        <v>2476</v>
      </c>
      <c r="H925" t="s">
        <v>649</v>
      </c>
      <c r="I925" t="s">
        <v>24</v>
      </c>
      <c r="J925" t="s">
        <v>25</v>
      </c>
      <c r="K925" t="s">
        <v>168</v>
      </c>
      <c r="L925" t="s">
        <v>27</v>
      </c>
      <c r="M925" t="s">
        <v>79</v>
      </c>
      <c r="N925" t="s">
        <v>80</v>
      </c>
      <c r="O925">
        <v>5</v>
      </c>
      <c r="P925">
        <v>3970.02</v>
      </c>
      <c r="Q925">
        <v>0</v>
      </c>
      <c r="R925">
        <v>0</v>
      </c>
      <c r="S925" s="11" t="s">
        <v>2477</v>
      </c>
      <c r="T925">
        <v>5145.2299999999996</v>
      </c>
      <c r="U925" t="e">
        <f t="shared" si="14"/>
        <v>#VALUE!</v>
      </c>
    </row>
    <row r="926" spans="1:21" ht="15" customHeight="1" x14ac:dyDescent="0.25">
      <c r="A926" t="s">
        <v>933</v>
      </c>
      <c r="B926" s="8">
        <v>45583</v>
      </c>
      <c r="D926" t="s">
        <v>73</v>
      </c>
      <c r="E926" t="s">
        <v>3070</v>
      </c>
      <c r="F926" t="s">
        <v>3034</v>
      </c>
      <c r="G926" t="s">
        <v>934</v>
      </c>
      <c r="H926">
        <v>8158261353</v>
      </c>
      <c r="I926" t="s">
        <v>24</v>
      </c>
      <c r="J926" t="s">
        <v>69</v>
      </c>
      <c r="K926" t="s">
        <v>70</v>
      </c>
      <c r="L926" t="s">
        <v>27</v>
      </c>
      <c r="M926" t="s">
        <v>28</v>
      </c>
      <c r="N926" t="s">
        <v>347</v>
      </c>
      <c r="O926" t="s">
        <v>935</v>
      </c>
      <c r="P926">
        <v>6314.33</v>
      </c>
      <c r="Q926">
        <v>0</v>
      </c>
      <c r="R926">
        <v>0</v>
      </c>
      <c r="S926" s="11">
        <v>37885.980000000003</v>
      </c>
      <c r="T926">
        <v>10922.41</v>
      </c>
      <c r="U926">
        <f t="shared" si="14"/>
        <v>37885.980000000003</v>
      </c>
    </row>
    <row r="927" spans="1:21" ht="15" customHeight="1" x14ac:dyDescent="0.25">
      <c r="A927" t="s">
        <v>1476</v>
      </c>
      <c r="B927" s="8">
        <v>45584</v>
      </c>
      <c r="C927" s="8">
        <v>45587</v>
      </c>
      <c r="D927" t="s">
        <v>73</v>
      </c>
      <c r="G927" t="s">
        <v>1477</v>
      </c>
      <c r="H927">
        <v>9052004647</v>
      </c>
      <c r="I927" t="s">
        <v>24</v>
      </c>
      <c r="J927" t="s">
        <v>61</v>
      </c>
      <c r="K927" t="s">
        <v>95</v>
      </c>
      <c r="L927" t="s">
        <v>27</v>
      </c>
      <c r="M927" t="s">
        <v>354</v>
      </c>
      <c r="N927" t="s">
        <v>494</v>
      </c>
      <c r="O927">
        <v>8</v>
      </c>
      <c r="P927">
        <v>3861.15</v>
      </c>
      <c r="Q927">
        <v>0</v>
      </c>
      <c r="R927">
        <v>0</v>
      </c>
      <c r="S927" s="11">
        <v>30889.200000000001</v>
      </c>
      <c r="T927">
        <v>9200.66</v>
      </c>
      <c r="U927">
        <f t="shared" si="14"/>
        <v>30889.200000000001</v>
      </c>
    </row>
    <row r="928" spans="1:21" ht="15" customHeight="1" x14ac:dyDescent="0.25">
      <c r="A928" t="s">
        <v>2591</v>
      </c>
      <c r="B928" s="8">
        <v>45584</v>
      </c>
      <c r="C928" s="8">
        <v>45585</v>
      </c>
      <c r="D928" t="s">
        <v>32</v>
      </c>
      <c r="E928" t="s">
        <v>3068</v>
      </c>
      <c r="F928" t="s">
        <v>3086</v>
      </c>
      <c r="G928" t="s">
        <v>2592</v>
      </c>
      <c r="H928">
        <v>8142002613</v>
      </c>
      <c r="I928" t="s">
        <v>35</v>
      </c>
      <c r="J928" t="s">
        <v>51</v>
      </c>
      <c r="K928" t="s">
        <v>131</v>
      </c>
      <c r="L928" t="s">
        <v>63</v>
      </c>
      <c r="M928" t="s">
        <v>249</v>
      </c>
      <c r="N928" t="s">
        <v>465</v>
      </c>
      <c r="O928">
        <v>16</v>
      </c>
      <c r="P928">
        <v>23847.279999999999</v>
      </c>
      <c r="Q928">
        <v>10</v>
      </c>
      <c r="R928">
        <v>38155.65</v>
      </c>
      <c r="S928" s="11">
        <v>343400.83</v>
      </c>
      <c r="T928">
        <v>-22359.97</v>
      </c>
      <c r="U928">
        <f t="shared" si="14"/>
        <v>343400.83</v>
      </c>
    </row>
    <row r="929" spans="1:21" ht="15" customHeight="1" x14ac:dyDescent="0.25">
      <c r="A929" t="s">
        <v>1706</v>
      </c>
      <c r="B929" s="8">
        <v>45585</v>
      </c>
      <c r="C929" s="8">
        <v>45592</v>
      </c>
      <c r="D929" t="s">
        <v>48</v>
      </c>
      <c r="E929" t="s">
        <v>3095</v>
      </c>
      <c r="F929" t="s">
        <v>3043</v>
      </c>
      <c r="G929" t="s">
        <v>1708</v>
      </c>
      <c r="H929">
        <v>7067767404</v>
      </c>
      <c r="I929" t="s">
        <v>24</v>
      </c>
      <c r="J929" t="s">
        <v>61</v>
      </c>
      <c r="K929" t="s">
        <v>182</v>
      </c>
      <c r="L929" t="s">
        <v>27</v>
      </c>
      <c r="M929" t="s">
        <v>45</v>
      </c>
      <c r="N929" t="s">
        <v>838</v>
      </c>
      <c r="O929">
        <v>19</v>
      </c>
      <c r="P929">
        <v>4819.55</v>
      </c>
      <c r="Q929">
        <v>0</v>
      </c>
      <c r="R929">
        <v>0</v>
      </c>
      <c r="S929" s="11">
        <v>91571.45</v>
      </c>
      <c r="T929">
        <v>36929.53</v>
      </c>
      <c r="U929">
        <f t="shared" si="14"/>
        <v>91571.45</v>
      </c>
    </row>
    <row r="930" spans="1:21" ht="15" customHeight="1" x14ac:dyDescent="0.25">
      <c r="A930" t="s">
        <v>2459</v>
      </c>
      <c r="B930" s="8">
        <v>45585</v>
      </c>
      <c r="C930" s="8">
        <v>45588</v>
      </c>
      <c r="D930" t="s">
        <v>73</v>
      </c>
      <c r="E930" t="s">
        <v>3095</v>
      </c>
      <c r="F930" t="s">
        <v>3039</v>
      </c>
      <c r="G930" t="s">
        <v>2460</v>
      </c>
      <c r="H930" t="s">
        <v>512</v>
      </c>
      <c r="I930" t="s">
        <v>43</v>
      </c>
      <c r="J930" t="s">
        <v>51</v>
      </c>
      <c r="K930" t="s">
        <v>316</v>
      </c>
      <c r="L930" t="s">
        <v>96</v>
      </c>
      <c r="M930" t="s">
        <v>120</v>
      </c>
      <c r="N930" t="s">
        <v>133</v>
      </c>
      <c r="O930">
        <v>16</v>
      </c>
      <c r="P930">
        <v>151122.09</v>
      </c>
      <c r="Q930">
        <v>0</v>
      </c>
      <c r="R930">
        <v>0</v>
      </c>
      <c r="S930" s="11">
        <v>2417953.44</v>
      </c>
      <c r="T930">
        <v>734909.59</v>
      </c>
      <c r="U930">
        <f t="shared" si="14"/>
        <v>2417953.44</v>
      </c>
    </row>
    <row r="931" spans="1:21" ht="15" customHeight="1" x14ac:dyDescent="0.25">
      <c r="A931" t="s">
        <v>1241</v>
      </c>
      <c r="B931" s="8">
        <v>45586</v>
      </c>
      <c r="C931" s="8">
        <v>45586</v>
      </c>
      <c r="D931" t="s">
        <v>32</v>
      </c>
      <c r="E931" t="s">
        <v>3050</v>
      </c>
      <c r="F931" t="s">
        <v>3074</v>
      </c>
      <c r="G931" t="s">
        <v>1243</v>
      </c>
      <c r="H931">
        <v>9019785019</v>
      </c>
      <c r="I931" t="s">
        <v>35</v>
      </c>
      <c r="J931" t="s">
        <v>69</v>
      </c>
      <c r="K931" t="s">
        <v>155</v>
      </c>
      <c r="L931" t="s">
        <v>63</v>
      </c>
      <c r="M931" t="s">
        <v>194</v>
      </c>
      <c r="N931" t="s">
        <v>716</v>
      </c>
      <c r="O931">
        <v>4</v>
      </c>
      <c r="P931">
        <v>4010.73</v>
      </c>
      <c r="Q931">
        <v>25</v>
      </c>
      <c r="R931">
        <v>4010.73</v>
      </c>
      <c r="S931" s="11">
        <v>12032.19</v>
      </c>
      <c r="T931">
        <v>3080.61</v>
      </c>
      <c r="U931">
        <f t="shared" si="14"/>
        <v>12032.19</v>
      </c>
    </row>
    <row r="932" spans="1:21" ht="15" customHeight="1" x14ac:dyDescent="0.25">
      <c r="A932" t="s">
        <v>939</v>
      </c>
      <c r="B932" s="8">
        <v>45588</v>
      </c>
      <c r="C932" s="8">
        <v>45588</v>
      </c>
      <c r="D932" t="s">
        <v>32</v>
      </c>
      <c r="E932" t="s">
        <v>3055</v>
      </c>
      <c r="F932" t="s">
        <v>3078</v>
      </c>
      <c r="G932" t="s">
        <v>941</v>
      </c>
      <c r="H932">
        <v>8147176462</v>
      </c>
      <c r="I932" t="s">
        <v>43</v>
      </c>
      <c r="J932" t="s">
        <v>51</v>
      </c>
      <c r="K932" t="s">
        <v>223</v>
      </c>
      <c r="L932" t="s">
        <v>96</v>
      </c>
      <c r="M932" t="s">
        <v>385</v>
      </c>
      <c r="N932" t="s">
        <v>942</v>
      </c>
      <c r="O932">
        <v>13</v>
      </c>
      <c r="P932">
        <v>52979.31</v>
      </c>
      <c r="Q932">
        <v>0</v>
      </c>
      <c r="R932">
        <v>0</v>
      </c>
      <c r="S932" s="11">
        <v>688731.03</v>
      </c>
      <c r="T932">
        <v>15857.08</v>
      </c>
      <c r="U932">
        <f t="shared" si="14"/>
        <v>688731.03</v>
      </c>
    </row>
    <row r="933" spans="1:21" ht="15" customHeight="1" x14ac:dyDescent="0.25">
      <c r="A933" t="s">
        <v>1988</v>
      </c>
      <c r="B933" s="8">
        <v>45590</v>
      </c>
      <c r="C933" s="8">
        <v>45592</v>
      </c>
      <c r="D933" t="s">
        <v>20</v>
      </c>
      <c r="E933" t="s">
        <v>3089</v>
      </c>
      <c r="F933" t="s">
        <v>3040</v>
      </c>
      <c r="G933" t="s">
        <v>1989</v>
      </c>
      <c r="H933">
        <v>7067885148</v>
      </c>
      <c r="I933" t="s">
        <v>43</v>
      </c>
      <c r="J933" t="s">
        <v>51</v>
      </c>
      <c r="K933" t="s">
        <v>52</v>
      </c>
      <c r="L933" t="s">
        <v>63</v>
      </c>
      <c r="M933" t="s">
        <v>558</v>
      </c>
      <c r="N933" t="s">
        <v>1990</v>
      </c>
      <c r="O933">
        <v>11</v>
      </c>
      <c r="P933">
        <v>10933.31</v>
      </c>
      <c r="Q933">
        <v>0</v>
      </c>
      <c r="R933">
        <v>0</v>
      </c>
      <c r="S933" s="11">
        <v>120266.41</v>
      </c>
      <c r="T933">
        <v>48805.23</v>
      </c>
      <c r="U933">
        <f t="shared" si="14"/>
        <v>120266.41</v>
      </c>
    </row>
    <row r="934" spans="1:21" ht="15" customHeight="1" x14ac:dyDescent="0.25">
      <c r="A934" t="s">
        <v>2341</v>
      </c>
      <c r="B934" s="8">
        <v>45592</v>
      </c>
      <c r="C934" s="8">
        <v>45595</v>
      </c>
      <c r="D934" t="s">
        <v>73</v>
      </c>
      <c r="E934" t="s">
        <v>3080</v>
      </c>
      <c r="F934" t="s">
        <v>3057</v>
      </c>
      <c r="G934" t="s">
        <v>2342</v>
      </c>
      <c r="H934">
        <v>8036452935</v>
      </c>
      <c r="I934" t="s">
        <v>35</v>
      </c>
      <c r="J934" t="s">
        <v>25</v>
      </c>
      <c r="K934" t="s">
        <v>36</v>
      </c>
      <c r="L934" t="s">
        <v>27</v>
      </c>
      <c r="M934" t="s">
        <v>354</v>
      </c>
      <c r="N934" t="s">
        <v>625</v>
      </c>
      <c r="O934">
        <v>16</v>
      </c>
      <c r="P934">
        <v>4683.66</v>
      </c>
      <c r="Q934">
        <v>0</v>
      </c>
      <c r="R934">
        <v>0</v>
      </c>
      <c r="S934" s="11">
        <v>74938.559999999998</v>
      </c>
      <c r="T934">
        <v>31557.200000000001</v>
      </c>
      <c r="U934">
        <f t="shared" si="14"/>
        <v>74938.559999999998</v>
      </c>
    </row>
    <row r="935" spans="1:21" ht="15" customHeight="1" x14ac:dyDescent="0.25">
      <c r="A935" t="s">
        <v>936</v>
      </c>
      <c r="B935" s="8">
        <v>45594</v>
      </c>
      <c r="C935" s="8">
        <v>45597</v>
      </c>
      <c r="D935" t="s">
        <v>20</v>
      </c>
      <c r="E935" t="s">
        <v>3051</v>
      </c>
      <c r="F935" t="s">
        <v>3088</v>
      </c>
      <c r="G935" t="s">
        <v>689</v>
      </c>
      <c r="H935">
        <v>8167675150</v>
      </c>
      <c r="I935" t="s">
        <v>43</v>
      </c>
      <c r="J935" t="s">
        <v>61</v>
      </c>
      <c r="K935" t="s">
        <v>95</v>
      </c>
      <c r="L935" t="s">
        <v>63</v>
      </c>
      <c r="M935" t="s">
        <v>558</v>
      </c>
      <c r="N935" t="s">
        <v>559</v>
      </c>
      <c r="O935">
        <v>5</v>
      </c>
      <c r="P935">
        <v>20217.52</v>
      </c>
      <c r="Q935">
        <v>15</v>
      </c>
      <c r="R935">
        <v>15163.14</v>
      </c>
      <c r="S935" s="11">
        <v>85924.46</v>
      </c>
      <c r="T935">
        <v>18174.28</v>
      </c>
      <c r="U935">
        <f t="shared" si="14"/>
        <v>85924.46</v>
      </c>
    </row>
    <row r="936" spans="1:21" ht="15" customHeight="1" x14ac:dyDescent="0.25">
      <c r="A936" t="s">
        <v>2176</v>
      </c>
      <c r="B936" s="8">
        <v>45597</v>
      </c>
      <c r="C936" s="8">
        <v>45599</v>
      </c>
      <c r="D936" t="s">
        <v>20</v>
      </c>
      <c r="E936" t="s">
        <v>3073</v>
      </c>
      <c r="F936" t="s">
        <v>3040</v>
      </c>
      <c r="G936" t="s">
        <v>2178</v>
      </c>
      <c r="H936">
        <v>9054864628</v>
      </c>
      <c r="I936" t="s">
        <v>35</v>
      </c>
      <c r="J936" t="s">
        <v>69</v>
      </c>
      <c r="K936" t="s">
        <v>144</v>
      </c>
      <c r="L936" t="s">
        <v>108</v>
      </c>
      <c r="M936" t="s">
        <v>183</v>
      </c>
      <c r="N936" t="s">
        <v>372</v>
      </c>
      <c r="O936">
        <v>5</v>
      </c>
      <c r="P936">
        <v>26481.72</v>
      </c>
      <c r="Q936">
        <v>25</v>
      </c>
      <c r="R936">
        <v>33102.15</v>
      </c>
      <c r="S936" s="11">
        <v>99306.45</v>
      </c>
      <c r="T936">
        <v>-301.26</v>
      </c>
      <c r="U936">
        <f t="shared" si="14"/>
        <v>99306.45</v>
      </c>
    </row>
    <row r="937" spans="1:21" ht="15" customHeight="1" x14ac:dyDescent="0.25">
      <c r="A937" t="s">
        <v>1837</v>
      </c>
      <c r="B937" s="8">
        <v>45598</v>
      </c>
      <c r="C937" s="8">
        <v>45605</v>
      </c>
      <c r="D937" t="s">
        <v>48</v>
      </c>
      <c r="E937" t="s">
        <v>3073</v>
      </c>
      <c r="F937" t="s">
        <v>3077</v>
      </c>
      <c r="G937" t="s">
        <v>1839</v>
      </c>
      <c r="H937">
        <v>7061001435</v>
      </c>
      <c r="I937" t="s">
        <v>35</v>
      </c>
      <c r="J937" t="s">
        <v>51</v>
      </c>
      <c r="K937" t="s">
        <v>52</v>
      </c>
      <c r="L937" t="s">
        <v>85</v>
      </c>
      <c r="M937" t="s">
        <v>243</v>
      </c>
      <c r="N937" t="s">
        <v>1054</v>
      </c>
      <c r="O937">
        <v>17</v>
      </c>
      <c r="P937">
        <v>170748.91</v>
      </c>
      <c r="Q937">
        <v>10</v>
      </c>
      <c r="R937">
        <v>290273.15000000002</v>
      </c>
      <c r="S937" s="11">
        <v>2612458.3199999998</v>
      </c>
      <c r="T937">
        <v>641344.27</v>
      </c>
      <c r="U937">
        <f t="shared" si="14"/>
        <v>2612458.3199999998</v>
      </c>
    </row>
    <row r="938" spans="1:21" ht="15" customHeight="1" x14ac:dyDescent="0.25">
      <c r="A938" t="s">
        <v>2300</v>
      </c>
      <c r="B938" s="8">
        <v>45600</v>
      </c>
      <c r="C938" s="8">
        <v>45604</v>
      </c>
      <c r="D938" t="s">
        <v>73</v>
      </c>
      <c r="E938" t="s">
        <v>3039</v>
      </c>
      <c r="F938" t="s">
        <v>3046</v>
      </c>
      <c r="G938" t="s">
        <v>2301</v>
      </c>
      <c r="H938">
        <v>9077739464</v>
      </c>
      <c r="I938" t="s">
        <v>43</v>
      </c>
      <c r="J938" t="s">
        <v>25</v>
      </c>
      <c r="K938" t="s">
        <v>126</v>
      </c>
      <c r="L938" t="s">
        <v>108</v>
      </c>
      <c r="M938" t="s">
        <v>114</v>
      </c>
      <c r="N938" t="s">
        <v>482</v>
      </c>
      <c r="O938">
        <v>4</v>
      </c>
      <c r="P938">
        <v>20274.189999999999</v>
      </c>
      <c r="Q938">
        <v>20</v>
      </c>
      <c r="R938">
        <v>16219.35</v>
      </c>
      <c r="S938" s="11">
        <v>64877.41</v>
      </c>
      <c r="T938">
        <v>9811.86</v>
      </c>
      <c r="U938">
        <f t="shared" si="14"/>
        <v>64877.41</v>
      </c>
    </row>
    <row r="939" spans="1:21" ht="15" customHeight="1" x14ac:dyDescent="0.25">
      <c r="A939" t="s">
        <v>1015</v>
      </c>
      <c r="B939" s="8">
        <v>45608</v>
      </c>
      <c r="C939" s="8">
        <v>45612</v>
      </c>
      <c r="D939" t="s">
        <v>73</v>
      </c>
      <c r="E939" t="s">
        <v>3048</v>
      </c>
      <c r="F939" t="s">
        <v>3034</v>
      </c>
      <c r="G939" t="s">
        <v>1017</v>
      </c>
      <c r="H939">
        <v>8142154992</v>
      </c>
      <c r="I939" t="s">
        <v>35</v>
      </c>
      <c r="J939" t="s">
        <v>69</v>
      </c>
      <c r="K939" t="s">
        <v>155</v>
      </c>
      <c r="L939" t="s">
        <v>85</v>
      </c>
      <c r="M939" t="s">
        <v>486</v>
      </c>
      <c r="N939" t="s">
        <v>1018</v>
      </c>
      <c r="O939">
        <v>1</v>
      </c>
      <c r="P939">
        <v>30740.67</v>
      </c>
      <c r="Q939">
        <v>5</v>
      </c>
      <c r="R939">
        <v>1537.03</v>
      </c>
      <c r="S939" s="11">
        <v>29203.64</v>
      </c>
      <c r="T939">
        <v>4778.5</v>
      </c>
      <c r="U939">
        <f t="shared" si="14"/>
        <v>29203.64</v>
      </c>
    </row>
    <row r="940" spans="1:21" ht="15" customHeight="1" x14ac:dyDescent="0.25">
      <c r="A940" t="s">
        <v>2610</v>
      </c>
      <c r="B940" s="8">
        <v>45609</v>
      </c>
      <c r="C940" s="8">
        <v>45614</v>
      </c>
      <c r="D940" t="s">
        <v>48</v>
      </c>
      <c r="E940" t="s">
        <v>3033</v>
      </c>
      <c r="F940" t="s">
        <v>3083</v>
      </c>
      <c r="G940" t="s">
        <v>2611</v>
      </c>
      <c r="H940">
        <v>8063347324</v>
      </c>
      <c r="I940" t="s">
        <v>24</v>
      </c>
      <c r="J940" t="s">
        <v>51</v>
      </c>
      <c r="K940" t="s">
        <v>227</v>
      </c>
      <c r="L940" t="s">
        <v>85</v>
      </c>
      <c r="M940" t="s">
        <v>86</v>
      </c>
      <c r="N940" t="s">
        <v>238</v>
      </c>
      <c r="O940">
        <v>8</v>
      </c>
      <c r="P940">
        <v>36101.660000000003</v>
      </c>
      <c r="Q940">
        <v>0</v>
      </c>
      <c r="R940">
        <v>0</v>
      </c>
      <c r="S940" s="11">
        <v>288813.28000000003</v>
      </c>
      <c r="T940">
        <v>87451.43</v>
      </c>
      <c r="U940">
        <f t="shared" si="14"/>
        <v>288813.28000000003</v>
      </c>
    </row>
    <row r="941" spans="1:21" ht="15" customHeight="1" x14ac:dyDescent="0.25">
      <c r="A941" t="s">
        <v>1876</v>
      </c>
      <c r="B941" s="8">
        <v>45609</v>
      </c>
      <c r="C941" s="8">
        <v>45612</v>
      </c>
      <c r="D941" t="s">
        <v>73</v>
      </c>
      <c r="E941" t="s">
        <v>3059</v>
      </c>
      <c r="F941" t="s">
        <v>3036</v>
      </c>
      <c r="G941" t="s">
        <v>1878</v>
      </c>
      <c r="H941" t="s">
        <v>1508</v>
      </c>
      <c r="I941" t="s">
        <v>24</v>
      </c>
      <c r="J941" t="s">
        <v>1879</v>
      </c>
      <c r="K941" t="s">
        <v>119</v>
      </c>
      <c r="L941" t="s">
        <v>85</v>
      </c>
      <c r="M941" t="s">
        <v>486</v>
      </c>
      <c r="N941" t="s">
        <v>1193</v>
      </c>
      <c r="O941">
        <v>4</v>
      </c>
      <c r="P941">
        <v>89509.57</v>
      </c>
      <c r="Q941">
        <v>25</v>
      </c>
      <c r="R941">
        <v>89509.57</v>
      </c>
      <c r="S941" s="11">
        <v>268528.71000000002</v>
      </c>
      <c r="T941">
        <v>58179.5</v>
      </c>
      <c r="U941">
        <f t="shared" si="14"/>
        <v>268528.71000000002</v>
      </c>
    </row>
    <row r="942" spans="1:21" ht="15" customHeight="1" x14ac:dyDescent="0.25">
      <c r="A942" t="s">
        <v>2343</v>
      </c>
      <c r="B942" s="8">
        <v>45609</v>
      </c>
      <c r="C942" s="8">
        <v>45609</v>
      </c>
      <c r="D942" t="s">
        <v>32</v>
      </c>
      <c r="G942" t="s">
        <v>2344</v>
      </c>
      <c r="H942">
        <v>9015015044</v>
      </c>
      <c r="I942" t="s">
        <v>24</v>
      </c>
      <c r="J942" t="s">
        <v>25</v>
      </c>
      <c r="K942" t="s">
        <v>36</v>
      </c>
      <c r="L942" t="s">
        <v>85</v>
      </c>
      <c r="M942" t="s">
        <v>486</v>
      </c>
      <c r="N942" t="s">
        <v>1193</v>
      </c>
      <c r="O942">
        <v>10</v>
      </c>
      <c r="P942">
        <v>63508.56</v>
      </c>
      <c r="Q942">
        <v>0</v>
      </c>
      <c r="R942">
        <v>0</v>
      </c>
      <c r="S942" s="11">
        <v>635085.6</v>
      </c>
      <c r="T942">
        <v>245566.89</v>
      </c>
      <c r="U942">
        <f t="shared" si="14"/>
        <v>635085.6</v>
      </c>
    </row>
    <row r="943" spans="1:21" ht="15" customHeight="1" x14ac:dyDescent="0.25">
      <c r="A943" t="s">
        <v>1197</v>
      </c>
      <c r="B943" s="8">
        <v>45609</v>
      </c>
      <c r="C943" s="8">
        <v>45609</v>
      </c>
      <c r="D943" t="s">
        <v>32</v>
      </c>
      <c r="E943" t="s">
        <v>3098</v>
      </c>
      <c r="F943" t="s">
        <v>3077</v>
      </c>
      <c r="G943" t="s">
        <v>1199</v>
      </c>
      <c r="H943">
        <v>8033866974</v>
      </c>
      <c r="I943" t="s">
        <v>35</v>
      </c>
      <c r="J943" t="s">
        <v>69</v>
      </c>
      <c r="K943" t="s">
        <v>144</v>
      </c>
      <c r="L943" t="s">
        <v>63</v>
      </c>
      <c r="M943" t="s">
        <v>312</v>
      </c>
      <c r="N943" t="s">
        <v>736</v>
      </c>
      <c r="O943">
        <v>5</v>
      </c>
      <c r="P943">
        <v>4472.04</v>
      </c>
      <c r="Q943">
        <v>0</v>
      </c>
      <c r="R943">
        <v>0</v>
      </c>
      <c r="S943" s="11">
        <v>22360.2</v>
      </c>
      <c r="T943">
        <v>6965.07</v>
      </c>
      <c r="U943">
        <f t="shared" si="14"/>
        <v>22360.2</v>
      </c>
    </row>
    <row r="944" spans="1:21" ht="15" customHeight="1" x14ac:dyDescent="0.25">
      <c r="A944" t="s">
        <v>2572</v>
      </c>
      <c r="B944" s="8">
        <v>45611</v>
      </c>
      <c r="C944" s="8">
        <v>45614</v>
      </c>
      <c r="D944" t="s">
        <v>20</v>
      </c>
      <c r="E944" t="s">
        <v>3051</v>
      </c>
      <c r="F944" t="s">
        <v>3078</v>
      </c>
      <c r="G944" t="s">
        <v>2573</v>
      </c>
      <c r="H944">
        <v>8106808928</v>
      </c>
      <c r="I944" t="s">
        <v>60</v>
      </c>
      <c r="J944" t="s">
        <v>51</v>
      </c>
      <c r="K944" t="s">
        <v>316</v>
      </c>
      <c r="L944" t="s">
        <v>63</v>
      </c>
      <c r="M944" t="s">
        <v>312</v>
      </c>
      <c r="N944" t="s">
        <v>736</v>
      </c>
      <c r="O944">
        <v>9</v>
      </c>
      <c r="P944">
        <v>12476.35</v>
      </c>
      <c r="Q944">
        <v>0</v>
      </c>
      <c r="R944">
        <v>0</v>
      </c>
      <c r="S944" s="11">
        <v>112287.15</v>
      </c>
      <c r="T944">
        <v>44691.9</v>
      </c>
      <c r="U944">
        <f t="shared" si="14"/>
        <v>112287.15</v>
      </c>
    </row>
    <row r="945" spans="1:21" ht="15" customHeight="1" x14ac:dyDescent="0.25">
      <c r="A945" t="s">
        <v>575</v>
      </c>
      <c r="B945" s="8">
        <v>45613</v>
      </c>
      <c r="C945" s="8">
        <v>45617</v>
      </c>
      <c r="D945" t="s">
        <v>73</v>
      </c>
      <c r="E945" t="s">
        <v>3039</v>
      </c>
      <c r="F945" t="s">
        <v>3057</v>
      </c>
      <c r="G945" t="s">
        <v>577</v>
      </c>
      <c r="H945">
        <v>8158757420</v>
      </c>
      <c r="I945" t="s">
        <v>43</v>
      </c>
      <c r="J945" t="s">
        <v>69</v>
      </c>
      <c r="K945" t="s">
        <v>307</v>
      </c>
      <c r="L945" t="s">
        <v>63</v>
      </c>
      <c r="M945" t="s">
        <v>469</v>
      </c>
      <c r="N945" t="s">
        <v>470</v>
      </c>
      <c r="O945">
        <v>1</v>
      </c>
      <c r="P945">
        <v>10200.74</v>
      </c>
      <c r="Q945">
        <v>5</v>
      </c>
      <c r="R945">
        <v>510.04</v>
      </c>
      <c r="S945" s="11">
        <v>9690.7000000000007</v>
      </c>
      <c r="T945">
        <v>1908.94</v>
      </c>
      <c r="U945">
        <f t="shared" si="14"/>
        <v>9690.7000000000007</v>
      </c>
    </row>
    <row r="946" spans="1:21" ht="15" customHeight="1" x14ac:dyDescent="0.25">
      <c r="A946" t="s">
        <v>2316</v>
      </c>
      <c r="B946" s="8">
        <v>45614</v>
      </c>
      <c r="C946" s="8">
        <v>45616</v>
      </c>
      <c r="D946" t="s">
        <v>20</v>
      </c>
      <c r="E946" t="s">
        <v>3087</v>
      </c>
      <c r="F946" t="s">
        <v>3039</v>
      </c>
      <c r="G946" t="s">
        <v>2318</v>
      </c>
      <c r="H946">
        <v>8138330731</v>
      </c>
      <c r="I946" t="s">
        <v>43</v>
      </c>
      <c r="J946" t="s">
        <v>61</v>
      </c>
      <c r="K946" t="s">
        <v>84</v>
      </c>
      <c r="L946" t="s">
        <v>63</v>
      </c>
      <c r="M946" t="s">
        <v>469</v>
      </c>
      <c r="N946" t="s">
        <v>1595</v>
      </c>
      <c r="O946">
        <v>2</v>
      </c>
      <c r="P946">
        <v>7282.92</v>
      </c>
      <c r="Q946">
        <v>15</v>
      </c>
      <c r="R946">
        <v>2184.88</v>
      </c>
      <c r="S946" s="11" t="s">
        <v>2319</v>
      </c>
      <c r="T946">
        <v>4900.9799999999996</v>
      </c>
      <c r="U946">
        <f t="shared" si="14"/>
        <v>12380.96</v>
      </c>
    </row>
    <row r="947" spans="1:21" ht="15" customHeight="1" x14ac:dyDescent="0.25">
      <c r="A947" t="s">
        <v>705</v>
      </c>
      <c r="B947" s="8">
        <v>45615</v>
      </c>
      <c r="C947" s="8">
        <v>45617</v>
      </c>
      <c r="D947" t="s">
        <v>20</v>
      </c>
      <c r="E947" t="s">
        <v>3033</v>
      </c>
      <c r="F947" t="s">
        <v>3096</v>
      </c>
      <c r="G947" s="10" t="s">
        <v>707</v>
      </c>
      <c r="H947">
        <v>8035652716</v>
      </c>
      <c r="I947" t="s">
        <v>24</v>
      </c>
      <c r="J947" t="s">
        <v>51</v>
      </c>
      <c r="K947" t="s">
        <v>223</v>
      </c>
      <c r="L947" t="s">
        <v>85</v>
      </c>
      <c r="M947" t="s">
        <v>218</v>
      </c>
      <c r="N947" t="s">
        <v>708</v>
      </c>
      <c r="O947">
        <v>11</v>
      </c>
      <c r="P947">
        <v>33153.870000000003</v>
      </c>
      <c r="Q947">
        <v>5</v>
      </c>
      <c r="R947">
        <v>18234.63</v>
      </c>
      <c r="S947" s="11">
        <v>346457.94</v>
      </c>
      <c r="T947">
        <v>106322.45</v>
      </c>
      <c r="U947">
        <f t="shared" si="14"/>
        <v>346457.94</v>
      </c>
    </row>
    <row r="948" spans="1:21" ht="15" customHeight="1" x14ac:dyDescent="0.25">
      <c r="A948" t="s">
        <v>2240</v>
      </c>
      <c r="B948" s="8">
        <v>45615</v>
      </c>
      <c r="C948" s="8">
        <v>45615</v>
      </c>
      <c r="D948" t="s">
        <v>32</v>
      </c>
      <c r="E948" t="s">
        <v>3072</v>
      </c>
      <c r="F948" t="s">
        <v>3066</v>
      </c>
      <c r="G948" t="s">
        <v>2241</v>
      </c>
      <c r="H948">
        <v>7063135445</v>
      </c>
      <c r="I948" t="s">
        <v>2242</v>
      </c>
      <c r="J948" t="s">
        <v>61</v>
      </c>
      <c r="K948" t="s">
        <v>182</v>
      </c>
      <c r="L948" t="s">
        <v>96</v>
      </c>
      <c r="M948" t="s">
        <v>385</v>
      </c>
      <c r="N948" t="s">
        <v>1010</v>
      </c>
      <c r="O948">
        <v>6</v>
      </c>
      <c r="P948">
        <v>340444.71</v>
      </c>
      <c r="Q948">
        <v>5</v>
      </c>
      <c r="R948">
        <v>102133.41</v>
      </c>
      <c r="S948" s="11">
        <v>1940534.85</v>
      </c>
      <c r="T948">
        <v>218428.07</v>
      </c>
      <c r="U948">
        <f t="shared" si="14"/>
        <v>1940534.85</v>
      </c>
    </row>
    <row r="949" spans="1:21" ht="15" customHeight="1" x14ac:dyDescent="0.25">
      <c r="A949" t="s">
        <v>509</v>
      </c>
      <c r="B949" s="8">
        <v>45616</v>
      </c>
      <c r="C949" s="8">
        <v>45617</v>
      </c>
      <c r="D949" t="s">
        <v>32</v>
      </c>
      <c r="E949" t="s">
        <v>3089</v>
      </c>
      <c r="F949" t="s">
        <v>3064</v>
      </c>
      <c r="G949" t="s">
        <v>511</v>
      </c>
      <c r="H949" t="s">
        <v>512</v>
      </c>
      <c r="I949" t="s">
        <v>35</v>
      </c>
      <c r="J949" t="s">
        <v>51</v>
      </c>
      <c r="K949" t="s">
        <v>131</v>
      </c>
      <c r="L949" t="s">
        <v>108</v>
      </c>
      <c r="M949" t="s">
        <v>189</v>
      </c>
      <c r="N949" t="s">
        <v>478</v>
      </c>
      <c r="O949">
        <v>7</v>
      </c>
      <c r="P949">
        <v>43567.53</v>
      </c>
      <c r="Q949">
        <v>10</v>
      </c>
      <c r="R949">
        <v>30497.27</v>
      </c>
      <c r="S949" s="11">
        <v>274475.44</v>
      </c>
      <c r="T949">
        <v>-33158.04</v>
      </c>
      <c r="U949">
        <f t="shared" si="14"/>
        <v>274475.44</v>
      </c>
    </row>
    <row r="950" spans="1:21" ht="15" customHeight="1" x14ac:dyDescent="0.25">
      <c r="A950" t="s">
        <v>2870</v>
      </c>
      <c r="B950" s="8">
        <v>45622</v>
      </c>
      <c r="C950" s="8">
        <v>45628</v>
      </c>
      <c r="D950" t="s">
        <v>48</v>
      </c>
      <c r="E950" t="s">
        <v>3085</v>
      </c>
      <c r="F950" t="s">
        <v>3071</v>
      </c>
      <c r="G950" t="s">
        <v>1662</v>
      </c>
      <c r="H950">
        <v>7062344809</v>
      </c>
      <c r="I950" t="s">
        <v>35</v>
      </c>
      <c r="J950" t="s">
        <v>61</v>
      </c>
      <c r="K950" t="s">
        <v>62</v>
      </c>
      <c r="L950" t="s">
        <v>63</v>
      </c>
      <c r="M950" t="s">
        <v>64</v>
      </c>
      <c r="N950" t="s">
        <v>501</v>
      </c>
      <c r="O950">
        <v>11</v>
      </c>
      <c r="P950">
        <v>17192.8</v>
      </c>
      <c r="Q950">
        <v>0</v>
      </c>
      <c r="R950">
        <v>0</v>
      </c>
      <c r="S950" s="11">
        <v>189120.8</v>
      </c>
      <c r="T950">
        <v>-24611.49</v>
      </c>
      <c r="U950">
        <f t="shared" si="14"/>
        <v>189120.8</v>
      </c>
    </row>
    <row r="951" spans="1:21" ht="15" customHeight="1" x14ac:dyDescent="0.25">
      <c r="A951" t="s">
        <v>1138</v>
      </c>
      <c r="B951" s="8">
        <v>45622</v>
      </c>
      <c r="C951" s="8">
        <v>45628</v>
      </c>
      <c r="D951" t="s">
        <v>48</v>
      </c>
      <c r="E951" t="s">
        <v>3093</v>
      </c>
      <c r="F951" t="s">
        <v>3046</v>
      </c>
      <c r="G951" t="s">
        <v>1140</v>
      </c>
      <c r="H951">
        <v>8134604128</v>
      </c>
      <c r="I951" t="s">
        <v>43</v>
      </c>
      <c r="J951" t="s">
        <v>25</v>
      </c>
      <c r="K951" t="s">
        <v>26</v>
      </c>
      <c r="L951" t="s">
        <v>63</v>
      </c>
      <c r="M951" t="s">
        <v>249</v>
      </c>
      <c r="N951" t="s">
        <v>1141</v>
      </c>
      <c r="O951">
        <v>17</v>
      </c>
      <c r="P951">
        <v>23018.25</v>
      </c>
      <c r="Q951">
        <v>25</v>
      </c>
      <c r="R951">
        <v>97827.56</v>
      </c>
      <c r="S951" s="11">
        <v>293482.69</v>
      </c>
      <c r="T951">
        <v>56466.34</v>
      </c>
      <c r="U951">
        <f t="shared" si="14"/>
        <v>293482.69</v>
      </c>
    </row>
    <row r="952" spans="1:21" ht="15" customHeight="1" x14ac:dyDescent="0.25">
      <c r="A952" t="s">
        <v>2453</v>
      </c>
      <c r="B952" s="8">
        <v>45624</v>
      </c>
      <c r="C952" s="8">
        <v>45625</v>
      </c>
      <c r="D952" t="s">
        <v>619</v>
      </c>
      <c r="E952" t="s">
        <v>3063</v>
      </c>
      <c r="F952" t="s">
        <v>3088</v>
      </c>
      <c r="G952" t="s">
        <v>2454</v>
      </c>
      <c r="H952">
        <v>9052653843</v>
      </c>
      <c r="I952" t="s">
        <v>24</v>
      </c>
      <c r="J952" t="s">
        <v>69</v>
      </c>
      <c r="K952" t="s">
        <v>155</v>
      </c>
      <c r="M952" t="s">
        <v>79</v>
      </c>
      <c r="N952" t="s">
        <v>145</v>
      </c>
      <c r="O952">
        <v>8</v>
      </c>
      <c r="P952">
        <v>7743.82</v>
      </c>
      <c r="Q952">
        <v>10</v>
      </c>
      <c r="R952">
        <v>6195.06</v>
      </c>
      <c r="S952" s="11">
        <v>55755.5</v>
      </c>
      <c r="T952">
        <v>11043.67</v>
      </c>
      <c r="U952">
        <f t="shared" si="14"/>
        <v>55755.5</v>
      </c>
    </row>
    <row r="953" spans="1:21" ht="15" customHeight="1" x14ac:dyDescent="0.25">
      <c r="A953" t="s">
        <v>1434</v>
      </c>
      <c r="B953" s="8">
        <v>45626</v>
      </c>
      <c r="C953" s="8">
        <v>45632</v>
      </c>
      <c r="D953" t="s">
        <v>48</v>
      </c>
      <c r="E953" t="s">
        <v>3089</v>
      </c>
      <c r="F953" t="s">
        <v>3096</v>
      </c>
      <c r="G953" t="s">
        <v>1436</v>
      </c>
      <c r="H953">
        <v>9015836389</v>
      </c>
      <c r="I953" t="s">
        <v>43</v>
      </c>
      <c r="J953" t="s">
        <v>51</v>
      </c>
      <c r="K953" t="s">
        <v>52</v>
      </c>
      <c r="L953" t="s">
        <v>27</v>
      </c>
      <c r="M953" t="s">
        <v>79</v>
      </c>
      <c r="N953" t="s">
        <v>145</v>
      </c>
      <c r="O953">
        <v>4</v>
      </c>
      <c r="P953" t="s">
        <v>1437</v>
      </c>
      <c r="Q953">
        <v>15</v>
      </c>
      <c r="R953">
        <v>1695.89</v>
      </c>
      <c r="S953" s="11">
        <v>9610.07</v>
      </c>
      <c r="T953">
        <v>193.8</v>
      </c>
      <c r="U953">
        <f t="shared" si="14"/>
        <v>9610.07</v>
      </c>
    </row>
    <row r="954" spans="1:21" ht="15" customHeight="1" x14ac:dyDescent="0.25">
      <c r="A954" t="s">
        <v>839</v>
      </c>
      <c r="B954" s="8">
        <v>45626</v>
      </c>
      <c r="C954" s="8">
        <v>45629</v>
      </c>
      <c r="D954" t="s">
        <v>20</v>
      </c>
      <c r="E954" t="s">
        <v>3049</v>
      </c>
      <c r="F954" t="s">
        <v>3079</v>
      </c>
      <c r="G954" t="s">
        <v>324</v>
      </c>
      <c r="H954">
        <v>8067953189</v>
      </c>
      <c r="I954" t="s">
        <v>43</v>
      </c>
      <c r="J954" t="s">
        <v>69</v>
      </c>
      <c r="K954" t="s">
        <v>155</v>
      </c>
      <c r="L954" t="s">
        <v>841</v>
      </c>
      <c r="M954" t="s">
        <v>218</v>
      </c>
      <c r="N954" t="s">
        <v>842</v>
      </c>
      <c r="O954">
        <v>4</v>
      </c>
      <c r="P954">
        <v>109124.67</v>
      </c>
      <c r="Q954">
        <v>0</v>
      </c>
      <c r="R954">
        <v>0</v>
      </c>
      <c r="S954" s="11">
        <v>436498.68</v>
      </c>
      <c r="T954">
        <v>81891.63</v>
      </c>
      <c r="U954">
        <f t="shared" si="14"/>
        <v>436498.68</v>
      </c>
    </row>
    <row r="955" spans="1:21" ht="15" customHeight="1" x14ac:dyDescent="0.25">
      <c r="A955" t="s">
        <v>892</v>
      </c>
      <c r="B955" s="8">
        <v>45627</v>
      </c>
      <c r="C955" s="8">
        <v>45634</v>
      </c>
      <c r="D955" t="s">
        <v>48</v>
      </c>
      <c r="E955" t="s">
        <v>3085</v>
      </c>
      <c r="F955" t="s">
        <v>3088</v>
      </c>
      <c r="G955" t="s">
        <v>894</v>
      </c>
      <c r="H955">
        <v>7062760168</v>
      </c>
      <c r="I955" t="s">
        <v>43</v>
      </c>
      <c r="J955" t="s">
        <v>895</v>
      </c>
      <c r="K955" t="s">
        <v>44</v>
      </c>
      <c r="L955" t="s">
        <v>27</v>
      </c>
      <c r="M955" t="s">
        <v>173</v>
      </c>
      <c r="N955" t="s">
        <v>279</v>
      </c>
      <c r="O955">
        <v>4</v>
      </c>
      <c r="P955">
        <v>2476.84</v>
      </c>
      <c r="Q955">
        <v>110</v>
      </c>
      <c r="R955">
        <v>1981.47</v>
      </c>
      <c r="S955" s="11">
        <v>7925.89</v>
      </c>
      <c r="T955">
        <v>-244.21</v>
      </c>
      <c r="U955">
        <f t="shared" si="14"/>
        <v>7925.89</v>
      </c>
    </row>
    <row r="956" spans="1:21" ht="15" customHeight="1" x14ac:dyDescent="0.25">
      <c r="A956" t="s">
        <v>892</v>
      </c>
      <c r="B956" s="8">
        <v>45627</v>
      </c>
      <c r="C956" s="8">
        <v>45634</v>
      </c>
      <c r="D956" t="s">
        <v>48</v>
      </c>
      <c r="E956" t="s">
        <v>3085</v>
      </c>
      <c r="F956" t="s">
        <v>3088</v>
      </c>
      <c r="G956" t="s">
        <v>894</v>
      </c>
      <c r="H956" t="s">
        <v>1508</v>
      </c>
      <c r="I956" t="s">
        <v>785</v>
      </c>
      <c r="J956" t="s">
        <v>25</v>
      </c>
      <c r="K956" t="s">
        <v>44</v>
      </c>
      <c r="L956" t="s">
        <v>27</v>
      </c>
      <c r="M956" t="s">
        <v>173</v>
      </c>
      <c r="N956" t="s">
        <v>279</v>
      </c>
      <c r="O956">
        <v>4</v>
      </c>
      <c r="P956">
        <v>2476.84</v>
      </c>
      <c r="Q956">
        <v>20</v>
      </c>
      <c r="R956">
        <v>1981.47</v>
      </c>
      <c r="S956" s="11">
        <v>7925.89</v>
      </c>
      <c r="T956">
        <v>-244.21</v>
      </c>
      <c r="U956">
        <f t="shared" si="14"/>
        <v>7925.89</v>
      </c>
    </row>
    <row r="957" spans="1:21" ht="15" customHeight="1" x14ac:dyDescent="0.25">
      <c r="A957" t="s">
        <v>1590</v>
      </c>
      <c r="B957" s="8">
        <v>45627</v>
      </c>
      <c r="C957" s="8">
        <v>45632</v>
      </c>
      <c r="D957" t="s">
        <v>73</v>
      </c>
      <c r="E957" t="s">
        <v>3076</v>
      </c>
      <c r="F957" t="s">
        <v>3052</v>
      </c>
      <c r="G957" t="s">
        <v>948</v>
      </c>
      <c r="H957">
        <v>8156238726</v>
      </c>
      <c r="I957" t="s">
        <v>24</v>
      </c>
      <c r="J957" t="s">
        <v>51</v>
      </c>
      <c r="K957" t="s">
        <v>316</v>
      </c>
      <c r="L957" t="s">
        <v>27</v>
      </c>
      <c r="M957" t="s">
        <v>45</v>
      </c>
      <c r="N957" t="s">
        <v>523</v>
      </c>
      <c r="O957" t="s">
        <v>1591</v>
      </c>
      <c r="P957">
        <v>480.35</v>
      </c>
      <c r="Q957">
        <v>10</v>
      </c>
      <c r="R957">
        <v>864.63</v>
      </c>
      <c r="S957" s="11">
        <v>7781.67</v>
      </c>
      <c r="T957">
        <v>-40.43</v>
      </c>
      <c r="U957">
        <f t="shared" si="14"/>
        <v>7781.67</v>
      </c>
    </row>
    <row r="958" spans="1:21" ht="15" customHeight="1" x14ac:dyDescent="0.25">
      <c r="A958" t="s">
        <v>2935</v>
      </c>
      <c r="B958" s="8">
        <v>45627</v>
      </c>
      <c r="C958" s="8">
        <v>45630</v>
      </c>
      <c r="D958" t="s">
        <v>73</v>
      </c>
      <c r="E958" t="s">
        <v>3060</v>
      </c>
      <c r="F958" t="s">
        <v>3096</v>
      </c>
      <c r="G958" t="s">
        <v>2937</v>
      </c>
      <c r="H958">
        <v>8035776497</v>
      </c>
      <c r="I958" t="s">
        <v>43</v>
      </c>
      <c r="J958" t="s">
        <v>51</v>
      </c>
      <c r="K958" t="s">
        <v>227</v>
      </c>
      <c r="L958" t="s">
        <v>96</v>
      </c>
      <c r="M958" t="s">
        <v>97</v>
      </c>
      <c r="N958" t="s">
        <v>230</v>
      </c>
      <c r="O958">
        <v>4</v>
      </c>
      <c r="P958">
        <v>400967.98</v>
      </c>
      <c r="Q958">
        <v>0</v>
      </c>
      <c r="R958">
        <v>0</v>
      </c>
      <c r="S958" s="11">
        <v>1603871.92</v>
      </c>
      <c r="T958">
        <v>627673.84</v>
      </c>
      <c r="U958">
        <f t="shared" si="14"/>
        <v>1603871.92</v>
      </c>
    </row>
    <row r="959" spans="1:21" ht="15" customHeight="1" x14ac:dyDescent="0.25">
      <c r="A959" t="s">
        <v>1184</v>
      </c>
      <c r="B959" s="8">
        <v>45628</v>
      </c>
      <c r="C959" s="8">
        <v>45633</v>
      </c>
      <c r="D959" t="s">
        <v>48</v>
      </c>
      <c r="E959" t="s">
        <v>3053</v>
      </c>
      <c r="F959" t="s">
        <v>3071</v>
      </c>
      <c r="G959" t="s">
        <v>1185</v>
      </c>
      <c r="H959">
        <v>8139702386</v>
      </c>
      <c r="I959" t="s">
        <v>43</v>
      </c>
      <c r="J959" t="s">
        <v>69</v>
      </c>
      <c r="K959" t="s">
        <v>144</v>
      </c>
      <c r="L959" t="s">
        <v>27</v>
      </c>
      <c r="M959" t="s">
        <v>28</v>
      </c>
      <c r="N959" t="s">
        <v>29</v>
      </c>
      <c r="O959">
        <v>17</v>
      </c>
      <c r="P959">
        <v>4594.3</v>
      </c>
      <c r="Q959">
        <v>0</v>
      </c>
      <c r="R959">
        <v>0</v>
      </c>
      <c r="S959" s="11" t="s">
        <v>1186</v>
      </c>
      <c r="T959">
        <v>-2818.72</v>
      </c>
      <c r="U959">
        <f t="shared" si="14"/>
        <v>78103.100000000006</v>
      </c>
    </row>
    <row r="960" spans="1:21" ht="15" customHeight="1" x14ac:dyDescent="0.25">
      <c r="A960" t="s">
        <v>594</v>
      </c>
      <c r="B960" s="8">
        <v>45629</v>
      </c>
      <c r="C960" s="8">
        <v>45632</v>
      </c>
      <c r="D960" t="s">
        <v>73</v>
      </c>
      <c r="E960" t="s">
        <v>3051</v>
      </c>
      <c r="F960" t="s">
        <v>3064</v>
      </c>
      <c r="G960" t="s">
        <v>596</v>
      </c>
      <c r="H960">
        <v>8033938247</v>
      </c>
      <c r="I960" t="s">
        <v>43</v>
      </c>
      <c r="J960" t="s">
        <v>51</v>
      </c>
      <c r="K960" t="s">
        <v>131</v>
      </c>
      <c r="L960" t="s">
        <v>108</v>
      </c>
      <c r="M960" t="s">
        <v>189</v>
      </c>
      <c r="N960" t="s">
        <v>478</v>
      </c>
      <c r="O960">
        <v>12</v>
      </c>
      <c r="P960">
        <v>4016.02</v>
      </c>
      <c r="Q960">
        <v>15</v>
      </c>
      <c r="R960">
        <v>7228.84</v>
      </c>
      <c r="S960" s="11">
        <v>40963.4</v>
      </c>
      <c r="T960">
        <v>13169.03</v>
      </c>
      <c r="U960">
        <f t="shared" si="14"/>
        <v>40963.4</v>
      </c>
    </row>
    <row r="961" spans="1:21" ht="15" customHeight="1" x14ac:dyDescent="0.25">
      <c r="A961" t="s">
        <v>1731</v>
      </c>
      <c r="B961" s="8">
        <v>45632</v>
      </c>
      <c r="C961" s="8">
        <v>45637</v>
      </c>
      <c r="D961" t="s">
        <v>48</v>
      </c>
      <c r="E961" t="s">
        <v>3098</v>
      </c>
      <c r="F961" t="s">
        <v>3078</v>
      </c>
      <c r="G961" t="s">
        <v>1374</v>
      </c>
      <c r="H961">
        <v>8141879382</v>
      </c>
      <c r="I961" t="s">
        <v>24</v>
      </c>
      <c r="J961" t="s">
        <v>61</v>
      </c>
      <c r="K961" t="s">
        <v>204</v>
      </c>
      <c r="L961" t="s">
        <v>27</v>
      </c>
      <c r="M961" t="s">
        <v>79</v>
      </c>
      <c r="N961" t="s">
        <v>145</v>
      </c>
      <c r="O961">
        <v>7</v>
      </c>
      <c r="P961">
        <v>6247.55</v>
      </c>
      <c r="Q961">
        <v>5</v>
      </c>
      <c r="R961">
        <v>2186.64</v>
      </c>
      <c r="S961" s="11">
        <v>41546.21</v>
      </c>
      <c r="T961">
        <v>3107.11</v>
      </c>
      <c r="U961">
        <f t="shared" si="14"/>
        <v>41546.21</v>
      </c>
    </row>
    <row r="962" spans="1:21" ht="15" customHeight="1" x14ac:dyDescent="0.25">
      <c r="A962" t="s">
        <v>1857</v>
      </c>
      <c r="B962" s="8">
        <v>45634</v>
      </c>
      <c r="C962" s="8">
        <v>45637</v>
      </c>
      <c r="D962" t="s">
        <v>73</v>
      </c>
      <c r="E962" t="s">
        <v>3065</v>
      </c>
      <c r="F962" t="s">
        <v>3050</v>
      </c>
      <c r="G962" t="s">
        <v>1859</v>
      </c>
      <c r="H962">
        <v>8033236718</v>
      </c>
      <c r="I962" t="s">
        <v>43</v>
      </c>
      <c r="J962" t="s">
        <v>25</v>
      </c>
      <c r="K962" t="s">
        <v>36</v>
      </c>
      <c r="L962" t="s">
        <v>27</v>
      </c>
      <c r="M962" t="s">
        <v>45</v>
      </c>
      <c r="N962" t="s">
        <v>308</v>
      </c>
      <c r="O962">
        <v>13</v>
      </c>
      <c r="P962">
        <v>3554.96</v>
      </c>
      <c r="Q962">
        <v>0</v>
      </c>
      <c r="R962">
        <v>0</v>
      </c>
      <c r="S962" s="11">
        <v>46214.48</v>
      </c>
      <c r="T962">
        <v>3418.5</v>
      </c>
      <c r="U962">
        <f t="shared" ref="U962:U1011" si="15">VALUE(S962)</f>
        <v>46214.48</v>
      </c>
    </row>
    <row r="963" spans="1:21" ht="15" customHeight="1" x14ac:dyDescent="0.25">
      <c r="A963" t="s">
        <v>2285</v>
      </c>
      <c r="B963" s="8">
        <v>45635</v>
      </c>
      <c r="C963" s="8">
        <v>45637</v>
      </c>
      <c r="D963" t="s">
        <v>20</v>
      </c>
      <c r="E963" t="s">
        <v>3094</v>
      </c>
      <c r="F963" t="s">
        <v>3096</v>
      </c>
      <c r="G963" t="s">
        <v>1407</v>
      </c>
      <c r="H963">
        <v>8106589281</v>
      </c>
      <c r="I963" t="s">
        <v>35</v>
      </c>
      <c r="J963" t="s">
        <v>61</v>
      </c>
      <c r="K963" t="s">
        <v>84</v>
      </c>
      <c r="L963" t="s">
        <v>96</v>
      </c>
      <c r="M963" t="s">
        <v>120</v>
      </c>
      <c r="N963" t="s">
        <v>367</v>
      </c>
      <c r="O963">
        <v>5</v>
      </c>
      <c r="P963">
        <v>359895.6</v>
      </c>
      <c r="Q963">
        <v>10</v>
      </c>
      <c r="R963">
        <v>179947.8</v>
      </c>
      <c r="S963" s="11">
        <v>1619530.2</v>
      </c>
      <c r="T963">
        <v>202810.71</v>
      </c>
      <c r="U963">
        <f t="shared" si="15"/>
        <v>1619530.2</v>
      </c>
    </row>
    <row r="964" spans="1:21" ht="15" customHeight="1" x14ac:dyDescent="0.25">
      <c r="A964" t="s">
        <v>1147</v>
      </c>
      <c r="B964" s="8">
        <v>45635</v>
      </c>
      <c r="C964" s="8">
        <v>45637</v>
      </c>
      <c r="D964" t="s">
        <v>20</v>
      </c>
      <c r="E964" t="s">
        <v>3041</v>
      </c>
      <c r="F964" t="s">
        <v>3077</v>
      </c>
      <c r="G964" t="s">
        <v>1149</v>
      </c>
      <c r="H964">
        <v>7039428900</v>
      </c>
      <c r="I964" t="s">
        <v>35</v>
      </c>
      <c r="J964" t="s">
        <v>25</v>
      </c>
      <c r="K964" t="s">
        <v>168</v>
      </c>
      <c r="L964" t="s">
        <v>85</v>
      </c>
      <c r="M964" t="s">
        <v>218</v>
      </c>
      <c r="N964" t="s">
        <v>321</v>
      </c>
      <c r="O964">
        <v>13</v>
      </c>
      <c r="P964">
        <v>123865.26</v>
      </c>
      <c r="Q964">
        <v>20</v>
      </c>
      <c r="R964">
        <v>322049.68</v>
      </c>
      <c r="S964" s="11">
        <v>1288198.7</v>
      </c>
      <c r="T964">
        <v>388654.86</v>
      </c>
      <c r="U964">
        <f t="shared" si="15"/>
        <v>1288198.7</v>
      </c>
    </row>
    <row r="965" spans="1:21" ht="15" customHeight="1" x14ac:dyDescent="0.25">
      <c r="A965" t="s">
        <v>2883</v>
      </c>
      <c r="B965" s="8">
        <v>45638</v>
      </c>
      <c r="C965" s="8">
        <v>45644</v>
      </c>
      <c r="D965" t="s">
        <v>48</v>
      </c>
      <c r="E965" t="s">
        <v>3033</v>
      </c>
      <c r="F965" t="s">
        <v>3050</v>
      </c>
      <c r="G965" t="s">
        <v>2885</v>
      </c>
      <c r="H965">
        <v>8161788304</v>
      </c>
      <c r="I965" t="s">
        <v>43</v>
      </c>
      <c r="J965" t="s">
        <v>154</v>
      </c>
      <c r="K965" t="s">
        <v>155</v>
      </c>
      <c r="L965" t="s">
        <v>96</v>
      </c>
      <c r="M965" t="s">
        <v>189</v>
      </c>
      <c r="N965" t="s">
        <v>325</v>
      </c>
      <c r="O965">
        <v>4</v>
      </c>
      <c r="P965">
        <v>378180.72</v>
      </c>
      <c r="Q965">
        <v>25</v>
      </c>
      <c r="R965">
        <v>378180.72</v>
      </c>
      <c r="S965" s="11">
        <v>1134542.1599999999</v>
      </c>
      <c r="T965">
        <v>452842.23999999999</v>
      </c>
      <c r="U965">
        <f t="shared" si="15"/>
        <v>1134542.1599999999</v>
      </c>
    </row>
    <row r="966" spans="1:21" ht="15" customHeight="1" x14ac:dyDescent="0.25">
      <c r="A966" t="s">
        <v>360</v>
      </c>
      <c r="B966" s="8">
        <v>45639</v>
      </c>
      <c r="C966" s="8">
        <v>45639</v>
      </c>
      <c r="D966" t="s">
        <v>32</v>
      </c>
      <c r="E966" t="s">
        <v>3044</v>
      </c>
      <c r="F966" t="s">
        <v>3083</v>
      </c>
      <c r="G966" t="s">
        <v>362</v>
      </c>
      <c r="H966">
        <v>9027074006</v>
      </c>
      <c r="I966" t="s">
        <v>35</v>
      </c>
      <c r="J966" t="s">
        <v>363</v>
      </c>
      <c r="K966" t="s">
        <v>52</v>
      </c>
      <c r="L966" t="s">
        <v>27</v>
      </c>
      <c r="M966" t="s">
        <v>173</v>
      </c>
      <c r="N966" t="s">
        <v>279</v>
      </c>
      <c r="O966">
        <v>8</v>
      </c>
      <c r="P966">
        <v>3780.44</v>
      </c>
      <c r="Q966">
        <v>0</v>
      </c>
      <c r="R966">
        <v>0</v>
      </c>
      <c r="S966" s="11">
        <v>30243.52</v>
      </c>
      <c r="T966">
        <v>8660.1</v>
      </c>
      <c r="U966">
        <f t="shared" si="15"/>
        <v>30243.52</v>
      </c>
    </row>
    <row r="967" spans="1:21" ht="15" customHeight="1" x14ac:dyDescent="0.25">
      <c r="A967" t="s">
        <v>1400</v>
      </c>
      <c r="B967" s="8">
        <v>45640</v>
      </c>
      <c r="C967" s="8">
        <v>45643</v>
      </c>
      <c r="D967" t="s">
        <v>73</v>
      </c>
      <c r="E967" t="s">
        <v>3091</v>
      </c>
      <c r="F967" t="s">
        <v>3052</v>
      </c>
      <c r="G967" t="s">
        <v>587</v>
      </c>
      <c r="H967">
        <v>8068473546</v>
      </c>
      <c r="I967" t="s">
        <v>35</v>
      </c>
      <c r="J967" t="s">
        <v>25</v>
      </c>
      <c r="K967" t="s">
        <v>44</v>
      </c>
      <c r="L967" t="s">
        <v>96</v>
      </c>
      <c r="M967" t="s">
        <v>254</v>
      </c>
      <c r="N967" t="s">
        <v>530</v>
      </c>
      <c r="O967">
        <v>11</v>
      </c>
      <c r="P967">
        <v>99585.77</v>
      </c>
      <c r="Q967">
        <v>25</v>
      </c>
      <c r="R967">
        <v>273860.87</v>
      </c>
      <c r="S967" s="11">
        <v>821582.6</v>
      </c>
      <c r="T967">
        <v>341812.29</v>
      </c>
      <c r="U967">
        <f t="shared" si="15"/>
        <v>821582.6</v>
      </c>
    </row>
    <row r="968" spans="1:21" ht="15" customHeight="1" x14ac:dyDescent="0.25">
      <c r="A968" t="s">
        <v>733</v>
      </c>
      <c r="B968" s="8">
        <v>45643</v>
      </c>
      <c r="C968" s="8">
        <v>45648</v>
      </c>
      <c r="D968" t="s">
        <v>48</v>
      </c>
      <c r="E968" t="s">
        <v>3073</v>
      </c>
      <c r="F968" t="s">
        <v>3074</v>
      </c>
      <c r="G968" t="s">
        <v>735</v>
      </c>
      <c r="H968">
        <v>7068060918</v>
      </c>
      <c r="I968" t="s">
        <v>391</v>
      </c>
      <c r="J968" t="s">
        <v>61</v>
      </c>
      <c r="K968" t="s">
        <v>204</v>
      </c>
      <c r="L968" t="s">
        <v>63</v>
      </c>
      <c r="M968" t="s">
        <v>312</v>
      </c>
      <c r="N968" t="s">
        <v>736</v>
      </c>
      <c r="O968">
        <v>3</v>
      </c>
      <c r="P968">
        <v>19186.79</v>
      </c>
      <c r="Q968">
        <v>0</v>
      </c>
      <c r="R968">
        <v>0</v>
      </c>
      <c r="S968" s="11">
        <v>57560.37</v>
      </c>
      <c r="T968">
        <v>11651.26</v>
      </c>
      <c r="U968">
        <f t="shared" si="15"/>
        <v>57560.37</v>
      </c>
    </row>
    <row r="969" spans="1:21" ht="15" customHeight="1" x14ac:dyDescent="0.25">
      <c r="A969" t="s">
        <v>1302</v>
      </c>
      <c r="B969" s="8">
        <v>45647</v>
      </c>
      <c r="C969" s="8">
        <v>45649</v>
      </c>
      <c r="D969" t="s">
        <v>20</v>
      </c>
      <c r="E969" t="s">
        <v>3072</v>
      </c>
      <c r="F969" t="s">
        <v>3077</v>
      </c>
      <c r="G969" t="s">
        <v>1304</v>
      </c>
      <c r="H969">
        <v>8038244164</v>
      </c>
      <c r="I969" t="s">
        <v>24</v>
      </c>
      <c r="J969" t="s">
        <v>69</v>
      </c>
      <c r="K969" t="s">
        <v>70</v>
      </c>
      <c r="L969" t="s">
        <v>27</v>
      </c>
      <c r="M969" t="s">
        <v>45</v>
      </c>
      <c r="N969" t="s">
        <v>838</v>
      </c>
      <c r="O969">
        <v>4</v>
      </c>
      <c r="P969">
        <v>2381.5100000000002</v>
      </c>
      <c r="Q969">
        <v>10</v>
      </c>
      <c r="R969">
        <v>952.6</v>
      </c>
      <c r="S969" s="11">
        <v>8573.44</v>
      </c>
      <c r="T969">
        <v>2079.9699999999998</v>
      </c>
      <c r="U969">
        <f t="shared" si="15"/>
        <v>8573.44</v>
      </c>
    </row>
    <row r="970" spans="1:21" ht="15" customHeight="1" x14ac:dyDescent="0.25">
      <c r="A970" t="s">
        <v>2440</v>
      </c>
      <c r="B970" s="8">
        <v>45653</v>
      </c>
      <c r="C970" s="8">
        <v>45660</v>
      </c>
      <c r="D970" t="s">
        <v>48</v>
      </c>
      <c r="E970" t="s">
        <v>3037</v>
      </c>
      <c r="F970" t="s">
        <v>3043</v>
      </c>
      <c r="G970" t="s">
        <v>2442</v>
      </c>
      <c r="H970">
        <v>7033663379</v>
      </c>
      <c r="I970" t="s">
        <v>24</v>
      </c>
      <c r="J970" t="s">
        <v>61</v>
      </c>
      <c r="K970" t="s">
        <v>84</v>
      </c>
      <c r="L970" t="s">
        <v>96</v>
      </c>
      <c r="M970" t="s">
        <v>385</v>
      </c>
      <c r="N970" t="s">
        <v>1010</v>
      </c>
      <c r="O970">
        <v>5</v>
      </c>
      <c r="P970">
        <v>113422.01</v>
      </c>
      <c r="Q970">
        <v>25</v>
      </c>
      <c r="R970">
        <v>141777.51</v>
      </c>
      <c r="S970" s="11">
        <v>425332.54</v>
      </c>
      <c r="T970">
        <v>176647.07</v>
      </c>
      <c r="U970">
        <f t="shared" si="15"/>
        <v>425332.54</v>
      </c>
    </row>
    <row r="971" spans="1:21" ht="15" customHeight="1" x14ac:dyDescent="0.25">
      <c r="A971" t="s">
        <v>1654</v>
      </c>
      <c r="B971" s="8">
        <v>45653</v>
      </c>
      <c r="C971" s="8">
        <v>45660</v>
      </c>
      <c r="D971" t="s">
        <v>48</v>
      </c>
      <c r="E971" t="s">
        <v>3060</v>
      </c>
      <c r="F971" t="s">
        <v>3071</v>
      </c>
      <c r="G971" t="s">
        <v>759</v>
      </c>
      <c r="H971">
        <v>7061870113</v>
      </c>
      <c r="I971" t="s">
        <v>24</v>
      </c>
      <c r="J971" t="s">
        <v>51</v>
      </c>
      <c r="K971" t="s">
        <v>131</v>
      </c>
      <c r="L971" t="s">
        <v>63</v>
      </c>
      <c r="M971" t="s">
        <v>64</v>
      </c>
      <c r="N971" t="s">
        <v>104</v>
      </c>
      <c r="O971">
        <v>17</v>
      </c>
      <c r="P971">
        <v>7213.87</v>
      </c>
      <c r="Q971">
        <v>20</v>
      </c>
      <c r="R971">
        <v>24527.16</v>
      </c>
      <c r="S971" s="11">
        <v>98108.63</v>
      </c>
      <c r="T971">
        <v>14455.8</v>
      </c>
      <c r="U971">
        <f t="shared" si="15"/>
        <v>98108.63</v>
      </c>
    </row>
    <row r="972" spans="1:21" ht="15" customHeight="1" x14ac:dyDescent="0.25">
      <c r="A972" t="s">
        <v>1490</v>
      </c>
      <c r="B972" s="8">
        <v>45654</v>
      </c>
      <c r="C972" s="8">
        <v>45655</v>
      </c>
      <c r="D972" t="s">
        <v>32</v>
      </c>
      <c r="E972" t="s">
        <v>3056</v>
      </c>
      <c r="F972" t="s">
        <v>3074</v>
      </c>
      <c r="G972" t="s">
        <v>1492</v>
      </c>
      <c r="H972">
        <v>8145133011</v>
      </c>
      <c r="I972" t="s">
        <v>35</v>
      </c>
      <c r="J972" t="s">
        <v>51</v>
      </c>
      <c r="K972" t="s">
        <v>227</v>
      </c>
      <c r="L972" t="s">
        <v>63</v>
      </c>
      <c r="M972" t="s">
        <v>194</v>
      </c>
      <c r="N972" t="s">
        <v>336</v>
      </c>
      <c r="O972">
        <v>12</v>
      </c>
      <c r="P972">
        <v>9393.4500000000007</v>
      </c>
      <c r="Q972">
        <v>10</v>
      </c>
      <c r="R972">
        <v>11272.14</v>
      </c>
      <c r="S972" s="11">
        <v>101449.26</v>
      </c>
      <c r="T972">
        <v>-13934.61</v>
      </c>
      <c r="U972">
        <f t="shared" si="15"/>
        <v>101449.26</v>
      </c>
    </row>
    <row r="973" spans="1:21" ht="15" customHeight="1" x14ac:dyDescent="0.25">
      <c r="A973" t="s">
        <v>607</v>
      </c>
      <c r="B973" s="8">
        <v>45654</v>
      </c>
      <c r="C973" s="8">
        <v>45655</v>
      </c>
      <c r="D973" t="s">
        <v>32</v>
      </c>
      <c r="E973" t="s">
        <v>3093</v>
      </c>
      <c r="F973" t="s">
        <v>3036</v>
      </c>
      <c r="G973" t="s">
        <v>609</v>
      </c>
      <c r="H973">
        <v>8159342928</v>
      </c>
      <c r="I973" t="s">
        <v>43</v>
      </c>
      <c r="J973" t="s">
        <v>51</v>
      </c>
      <c r="K973" t="s">
        <v>223</v>
      </c>
      <c r="L973" t="s">
        <v>108</v>
      </c>
      <c r="M973" t="s">
        <v>114</v>
      </c>
      <c r="N973" t="s">
        <v>115</v>
      </c>
      <c r="O973">
        <v>11</v>
      </c>
      <c r="P973">
        <v>34750.050000000003</v>
      </c>
      <c r="Q973">
        <v>5</v>
      </c>
      <c r="R973">
        <v>19112.53</v>
      </c>
      <c r="S973" s="11">
        <v>363138.02</v>
      </c>
      <c r="T973">
        <v>26299.53</v>
      </c>
      <c r="U973">
        <f t="shared" si="15"/>
        <v>363138.02</v>
      </c>
    </row>
    <row r="974" spans="1:21" ht="15" customHeight="1" x14ac:dyDescent="0.25">
      <c r="A974" t="s">
        <v>1933</v>
      </c>
      <c r="B974" s="8">
        <v>45655</v>
      </c>
      <c r="C974" s="8">
        <v>45656</v>
      </c>
      <c r="D974" t="s">
        <v>32</v>
      </c>
      <c r="E974" t="s">
        <v>3037</v>
      </c>
      <c r="F974" t="s">
        <v>3077</v>
      </c>
      <c r="G974" t="s">
        <v>1935</v>
      </c>
      <c r="H974">
        <v>7062402872</v>
      </c>
      <c r="I974" t="s">
        <v>43</v>
      </c>
      <c r="J974" t="s">
        <v>61</v>
      </c>
      <c r="K974" t="s">
        <v>204</v>
      </c>
      <c r="L974" t="s">
        <v>27</v>
      </c>
      <c r="M974" t="s">
        <v>28</v>
      </c>
      <c r="N974" t="s">
        <v>347</v>
      </c>
      <c r="O974">
        <v>8</v>
      </c>
      <c r="P974">
        <v>4749.6499999999996</v>
      </c>
      <c r="Q974">
        <v>0</v>
      </c>
      <c r="R974">
        <v>0</v>
      </c>
      <c r="S974" s="11">
        <v>37997.199999999997</v>
      </c>
      <c r="T974">
        <v>-337.57</v>
      </c>
      <c r="U974">
        <f t="shared" si="15"/>
        <v>37997.199999999997</v>
      </c>
    </row>
    <row r="975" spans="1:21" ht="15" customHeight="1" x14ac:dyDescent="0.25">
      <c r="A975" t="s">
        <v>943</v>
      </c>
      <c r="B975" s="8">
        <v>45655</v>
      </c>
      <c r="C975" s="8">
        <v>45656</v>
      </c>
      <c r="D975" t="s">
        <v>32</v>
      </c>
      <c r="E975" t="s">
        <v>3068</v>
      </c>
      <c r="F975" t="s">
        <v>3079</v>
      </c>
      <c r="G975" t="s">
        <v>945</v>
      </c>
      <c r="H975">
        <v>8152786278</v>
      </c>
      <c r="I975" t="s">
        <v>24</v>
      </c>
      <c r="J975" t="s">
        <v>69</v>
      </c>
      <c r="K975" t="s">
        <v>155</v>
      </c>
      <c r="L975" t="s">
        <v>96</v>
      </c>
      <c r="M975" t="s">
        <v>189</v>
      </c>
      <c r="N975" t="s">
        <v>190</v>
      </c>
      <c r="O975">
        <v>2</v>
      </c>
      <c r="P975">
        <v>38083.269999999997</v>
      </c>
      <c r="Q975">
        <v>5</v>
      </c>
      <c r="R975">
        <v>3808.33</v>
      </c>
      <c r="S975" s="11">
        <v>72358.210000000006</v>
      </c>
      <c r="T975">
        <v>737.11</v>
      </c>
      <c r="U975">
        <f t="shared" si="15"/>
        <v>72358.210000000006</v>
      </c>
    </row>
    <row r="976" spans="1:21" ht="15" customHeight="1" x14ac:dyDescent="0.25">
      <c r="A976" t="s">
        <v>2964</v>
      </c>
      <c r="B976" s="8">
        <v>45656</v>
      </c>
      <c r="C976" s="8">
        <v>45656</v>
      </c>
      <c r="D976" t="s">
        <v>32</v>
      </c>
      <c r="E976" t="s">
        <v>3084</v>
      </c>
      <c r="F976" t="s">
        <v>3071</v>
      </c>
      <c r="H976">
        <v>9079613268</v>
      </c>
      <c r="I976" t="s">
        <v>43</v>
      </c>
      <c r="J976" t="s">
        <v>51</v>
      </c>
      <c r="K976" t="s">
        <v>52</v>
      </c>
      <c r="L976" t="s">
        <v>85</v>
      </c>
      <c r="M976" t="s">
        <v>218</v>
      </c>
      <c r="N976" t="s">
        <v>321</v>
      </c>
      <c r="O976">
        <v>6</v>
      </c>
      <c r="P976">
        <v>10410.33</v>
      </c>
      <c r="Q976">
        <v>150</v>
      </c>
      <c r="R976">
        <v>0</v>
      </c>
      <c r="S976" s="11">
        <v>62461.98</v>
      </c>
      <c r="T976">
        <v>23542.48</v>
      </c>
      <c r="U976">
        <f t="shared" si="15"/>
        <v>62461.98</v>
      </c>
    </row>
    <row r="977" spans="1:21" ht="15" customHeight="1" x14ac:dyDescent="0.25">
      <c r="A977" t="s">
        <v>1286</v>
      </c>
      <c r="B977" s="8">
        <v>45657</v>
      </c>
      <c r="C977" s="8">
        <v>45659</v>
      </c>
      <c r="D977" t="s">
        <v>20</v>
      </c>
      <c r="E977" t="s">
        <v>3055</v>
      </c>
      <c r="F977" t="s">
        <v>3071</v>
      </c>
      <c r="G977" t="s">
        <v>1288</v>
      </c>
      <c r="H977">
        <v>9056561881</v>
      </c>
      <c r="I977" t="s">
        <v>35</v>
      </c>
      <c r="J977" t="s">
        <v>51</v>
      </c>
      <c r="K977" t="s">
        <v>227</v>
      </c>
      <c r="L977" t="s">
        <v>108</v>
      </c>
      <c r="M977" t="s">
        <v>38</v>
      </c>
      <c r="N977" t="s">
        <v>39</v>
      </c>
      <c r="O977">
        <v>2</v>
      </c>
      <c r="P977">
        <v>14435.96</v>
      </c>
      <c r="Q977">
        <v>10</v>
      </c>
      <c r="R977">
        <v>2887.19</v>
      </c>
      <c r="S977" s="11">
        <v>25984.73</v>
      </c>
      <c r="T977">
        <v>7436.39</v>
      </c>
      <c r="U977">
        <f t="shared" si="15"/>
        <v>25984.73</v>
      </c>
    </row>
    <row r="978" spans="1:21" ht="15" customHeight="1" x14ac:dyDescent="0.25">
      <c r="A978" t="s">
        <v>2847</v>
      </c>
      <c r="B978" s="8">
        <v>45657</v>
      </c>
      <c r="C978" s="8">
        <v>45657</v>
      </c>
      <c r="D978" t="s">
        <v>32</v>
      </c>
      <c r="E978" t="s">
        <v>3072</v>
      </c>
      <c r="F978" t="s">
        <v>3069</v>
      </c>
      <c r="G978" t="s">
        <v>2848</v>
      </c>
      <c r="H978">
        <v>9013277024</v>
      </c>
      <c r="I978" t="s">
        <v>43</v>
      </c>
      <c r="J978" t="s">
        <v>25</v>
      </c>
      <c r="K978" t="s">
        <v>126</v>
      </c>
      <c r="L978" t="s">
        <v>85</v>
      </c>
      <c r="M978" t="s">
        <v>218</v>
      </c>
      <c r="N978" t="s">
        <v>708</v>
      </c>
      <c r="O978">
        <v>2</v>
      </c>
      <c r="P978">
        <v>71790.84</v>
      </c>
      <c r="Q978">
        <v>10</v>
      </c>
      <c r="R978">
        <v>14358.17</v>
      </c>
      <c r="S978" s="11">
        <v>129223.51</v>
      </c>
      <c r="T978">
        <v>-18476.55</v>
      </c>
      <c r="U978">
        <f t="shared" si="15"/>
        <v>129223.51</v>
      </c>
    </row>
    <row r="979" spans="1:21" ht="15" customHeight="1" x14ac:dyDescent="0.25">
      <c r="A979" t="s">
        <v>2320</v>
      </c>
      <c r="B979" s="8" t="s">
        <v>2321</v>
      </c>
      <c r="C979" s="8">
        <v>44986</v>
      </c>
      <c r="D979" t="s">
        <v>32</v>
      </c>
      <c r="E979" t="s">
        <v>3051</v>
      </c>
      <c r="F979" t="s">
        <v>3069</v>
      </c>
      <c r="G979" t="s">
        <v>2322</v>
      </c>
      <c r="H979">
        <v>8165480410</v>
      </c>
      <c r="I979" t="s">
        <v>35</v>
      </c>
      <c r="J979" t="s">
        <v>51</v>
      </c>
      <c r="K979" t="s">
        <v>223</v>
      </c>
      <c r="L979" t="s">
        <v>108</v>
      </c>
      <c r="M979" t="s">
        <v>189</v>
      </c>
      <c r="N979" t="s">
        <v>325</v>
      </c>
      <c r="O979">
        <v>8</v>
      </c>
      <c r="P979">
        <v>6177.35</v>
      </c>
      <c r="Q979">
        <v>0</v>
      </c>
      <c r="R979">
        <v>0</v>
      </c>
      <c r="S979" s="11">
        <v>49418.8</v>
      </c>
      <c r="T979">
        <v>13610.19</v>
      </c>
      <c r="U979">
        <f t="shared" si="15"/>
        <v>49418.8</v>
      </c>
    </row>
    <row r="980" spans="1:21" ht="15" customHeight="1" x14ac:dyDescent="0.25">
      <c r="A980" t="s">
        <v>2053</v>
      </c>
      <c r="B980" s="8" t="s">
        <v>2054</v>
      </c>
      <c r="C980" s="8">
        <v>45545</v>
      </c>
      <c r="D980" t="s">
        <v>48</v>
      </c>
      <c r="E980" t="s">
        <v>3097</v>
      </c>
      <c r="F980" t="s">
        <v>3036</v>
      </c>
      <c r="G980" t="s">
        <v>2056</v>
      </c>
      <c r="H980">
        <v>8152410406</v>
      </c>
      <c r="I980" t="s">
        <v>43</v>
      </c>
      <c r="J980" t="s">
        <v>69</v>
      </c>
      <c r="K980" t="s">
        <v>119</v>
      </c>
      <c r="L980" t="s">
        <v>63</v>
      </c>
      <c r="M980" t="s">
        <v>64</v>
      </c>
      <c r="N980" t="s">
        <v>501</v>
      </c>
      <c r="O980">
        <v>17</v>
      </c>
      <c r="P980">
        <v>4190.1899999999996</v>
      </c>
      <c r="Q980" t="s">
        <v>2057</v>
      </c>
      <c r="R980">
        <v>10684.98</v>
      </c>
      <c r="S980" s="11">
        <v>60548.25</v>
      </c>
      <c r="T980">
        <v>9370.2099999999991</v>
      </c>
      <c r="U980">
        <f t="shared" si="15"/>
        <v>60548.25</v>
      </c>
    </row>
    <row r="981" spans="1:21" ht="15" customHeight="1" x14ac:dyDescent="0.25">
      <c r="A981" t="s">
        <v>2419</v>
      </c>
      <c r="B981" s="8" t="s">
        <v>2420</v>
      </c>
      <c r="C981" s="8">
        <v>44622</v>
      </c>
      <c r="D981" t="s">
        <v>20</v>
      </c>
      <c r="E981" t="s">
        <v>3095</v>
      </c>
      <c r="F981" t="s">
        <v>3046</v>
      </c>
      <c r="G981" t="s">
        <v>2422</v>
      </c>
      <c r="H981">
        <v>8033421636</v>
      </c>
      <c r="I981" t="s">
        <v>24</v>
      </c>
      <c r="J981" t="s">
        <v>51</v>
      </c>
      <c r="K981" t="s">
        <v>223</v>
      </c>
      <c r="L981" t="s">
        <v>156</v>
      </c>
      <c r="M981" t="s">
        <v>114</v>
      </c>
      <c r="N981" t="s">
        <v>891</v>
      </c>
      <c r="O981">
        <v>20</v>
      </c>
      <c r="P981">
        <v>18212.580000000002</v>
      </c>
      <c r="Q981">
        <v>25</v>
      </c>
      <c r="R981">
        <v>91062.9</v>
      </c>
      <c r="S981" s="11">
        <v>273188.7</v>
      </c>
      <c r="T981">
        <v>-13155.64</v>
      </c>
      <c r="U981">
        <f t="shared" si="15"/>
        <v>273188.7</v>
      </c>
    </row>
    <row r="982" spans="1:21" ht="15" customHeight="1" x14ac:dyDescent="0.25">
      <c r="A982" t="s">
        <v>2680</v>
      </c>
      <c r="B982" s="8" t="s">
        <v>2681</v>
      </c>
      <c r="C982" s="8">
        <v>45365</v>
      </c>
      <c r="D982" t="s">
        <v>20</v>
      </c>
      <c r="E982" t="s">
        <v>3080</v>
      </c>
      <c r="F982" t="s">
        <v>3042</v>
      </c>
      <c r="G982" t="s">
        <v>2683</v>
      </c>
      <c r="H982">
        <v>9013136181</v>
      </c>
      <c r="I982" t="s">
        <v>35</v>
      </c>
      <c r="J982" t="s">
        <v>69</v>
      </c>
      <c r="K982" t="s">
        <v>307</v>
      </c>
      <c r="L982" t="s">
        <v>108</v>
      </c>
      <c r="M982" t="s">
        <v>189</v>
      </c>
      <c r="N982" t="s">
        <v>205</v>
      </c>
      <c r="O982">
        <v>6</v>
      </c>
      <c r="P982">
        <v>40216</v>
      </c>
      <c r="Q982">
        <v>5</v>
      </c>
      <c r="R982">
        <v>12064.8</v>
      </c>
      <c r="S982" s="11">
        <v>229231.2</v>
      </c>
      <c r="T982">
        <v>47998.1</v>
      </c>
      <c r="U982">
        <f t="shared" si="15"/>
        <v>229231.2</v>
      </c>
    </row>
    <row r="983" spans="1:21" ht="15" customHeight="1" x14ac:dyDescent="0.25">
      <c r="A983" t="s">
        <v>214</v>
      </c>
      <c r="B983" s="8" t="s">
        <v>215</v>
      </c>
      <c r="C983" s="8">
        <v>44649</v>
      </c>
      <c r="D983" t="s">
        <v>48</v>
      </c>
      <c r="E983" t="s">
        <v>3059</v>
      </c>
      <c r="F983" t="s">
        <v>3052</v>
      </c>
      <c r="G983" t="s">
        <v>217</v>
      </c>
      <c r="H983">
        <v>9053556551</v>
      </c>
      <c r="I983" t="s">
        <v>35</v>
      </c>
      <c r="J983" t="s">
        <v>25</v>
      </c>
      <c r="K983" t="s">
        <v>44</v>
      </c>
      <c r="L983" t="s">
        <v>85</v>
      </c>
      <c r="M983" t="s">
        <v>218</v>
      </c>
      <c r="N983" t="s">
        <v>219</v>
      </c>
      <c r="O983">
        <v>19</v>
      </c>
      <c r="P983">
        <v>123146.92</v>
      </c>
      <c r="Q983">
        <v>5</v>
      </c>
      <c r="R983">
        <v>116989.57</v>
      </c>
      <c r="S983" s="11">
        <v>2222801.91</v>
      </c>
      <c r="T983">
        <v>286786.77</v>
      </c>
      <c r="U983">
        <f t="shared" si="15"/>
        <v>2222801.91</v>
      </c>
    </row>
    <row r="984" spans="1:21" ht="15" customHeight="1" x14ac:dyDescent="0.25">
      <c r="A984" t="s">
        <v>1888</v>
      </c>
      <c r="B984" s="8" t="s">
        <v>1889</v>
      </c>
      <c r="C984" s="8">
        <v>44675</v>
      </c>
      <c r="D984" t="s">
        <v>48</v>
      </c>
      <c r="E984" t="s">
        <v>3082</v>
      </c>
      <c r="F984" t="s">
        <v>3064</v>
      </c>
      <c r="G984" t="s">
        <v>1891</v>
      </c>
      <c r="H984">
        <v>8162690500</v>
      </c>
      <c r="I984" t="s">
        <v>35</v>
      </c>
      <c r="J984" t="s">
        <v>25</v>
      </c>
      <c r="K984" t="s">
        <v>126</v>
      </c>
      <c r="L984" t="s">
        <v>108</v>
      </c>
      <c r="M984" t="s">
        <v>109</v>
      </c>
      <c r="N984" t="s">
        <v>157</v>
      </c>
      <c r="O984">
        <v>12</v>
      </c>
      <c r="P984">
        <v>42778.11</v>
      </c>
      <c r="Q984">
        <v>10</v>
      </c>
      <c r="R984">
        <v>51333.73</v>
      </c>
      <c r="S984" s="11">
        <v>462003.59</v>
      </c>
      <c r="T984">
        <v>15067.79</v>
      </c>
      <c r="U984">
        <f t="shared" si="15"/>
        <v>462003.59</v>
      </c>
    </row>
    <row r="985" spans="1:21" ht="15" customHeight="1" x14ac:dyDescent="0.25">
      <c r="A985" t="s">
        <v>2119</v>
      </c>
      <c r="B985" s="8" t="s">
        <v>2120</v>
      </c>
      <c r="C985" s="8">
        <v>44966</v>
      </c>
      <c r="D985" t="s">
        <v>73</v>
      </c>
      <c r="E985" t="s">
        <v>3089</v>
      </c>
      <c r="F985" t="s">
        <v>3071</v>
      </c>
      <c r="G985" t="s">
        <v>2121</v>
      </c>
      <c r="H985">
        <v>8134375454</v>
      </c>
      <c r="I985" t="s">
        <v>35</v>
      </c>
      <c r="J985" t="s">
        <v>69</v>
      </c>
      <c r="K985" t="s">
        <v>70</v>
      </c>
      <c r="L985" t="s">
        <v>85</v>
      </c>
      <c r="M985" t="s">
        <v>486</v>
      </c>
      <c r="N985" t="s">
        <v>527</v>
      </c>
      <c r="O985">
        <v>7</v>
      </c>
      <c r="P985">
        <v>147091.62</v>
      </c>
      <c r="Q985" t="s">
        <v>376</v>
      </c>
      <c r="R985">
        <v>0</v>
      </c>
      <c r="S985" s="11">
        <v>1029641.34</v>
      </c>
      <c r="T985">
        <v>205171.24</v>
      </c>
      <c r="U985">
        <f t="shared" si="15"/>
        <v>1029641.34</v>
      </c>
    </row>
    <row r="986" spans="1:21" ht="15" customHeight="1" x14ac:dyDescent="0.25">
      <c r="A986" t="s">
        <v>1218</v>
      </c>
      <c r="B986" s="8" t="s">
        <v>1219</v>
      </c>
      <c r="C986" s="8">
        <v>45570</v>
      </c>
      <c r="D986" t="s">
        <v>32</v>
      </c>
      <c r="E986" t="s">
        <v>3085</v>
      </c>
      <c r="F986" t="s">
        <v>3043</v>
      </c>
      <c r="G986" t="s">
        <v>1221</v>
      </c>
      <c r="H986">
        <v>8131026523</v>
      </c>
      <c r="I986" t="s">
        <v>24</v>
      </c>
      <c r="J986" t="s">
        <v>69</v>
      </c>
      <c r="K986" t="s">
        <v>155</v>
      </c>
      <c r="L986" t="s">
        <v>96</v>
      </c>
      <c r="M986" t="s">
        <v>120</v>
      </c>
      <c r="N986" t="s">
        <v>133</v>
      </c>
      <c r="O986">
        <v>4</v>
      </c>
      <c r="P986">
        <v>287075.42</v>
      </c>
      <c r="Q986">
        <v>5</v>
      </c>
      <c r="R986">
        <v>57415.08</v>
      </c>
      <c r="S986" s="11">
        <v>1090886.6000000001</v>
      </c>
      <c r="T986">
        <v>359707.43</v>
      </c>
      <c r="U986">
        <f t="shared" si="15"/>
        <v>1090886.6000000001</v>
      </c>
    </row>
    <row r="987" spans="1:21" ht="15" customHeight="1" x14ac:dyDescent="0.25">
      <c r="A987" t="s">
        <v>1807</v>
      </c>
      <c r="B987" s="8" t="s">
        <v>1808</v>
      </c>
      <c r="C987" s="8">
        <v>45512</v>
      </c>
      <c r="D987" t="s">
        <v>48</v>
      </c>
      <c r="E987" t="s">
        <v>3084</v>
      </c>
      <c r="F987" t="s">
        <v>3042</v>
      </c>
      <c r="G987" t="s">
        <v>1810</v>
      </c>
      <c r="H987">
        <v>8034672603</v>
      </c>
      <c r="I987" t="s">
        <v>43</v>
      </c>
      <c r="J987" t="s">
        <v>61</v>
      </c>
      <c r="K987" t="s">
        <v>95</v>
      </c>
      <c r="L987" t="s">
        <v>37</v>
      </c>
      <c r="M987" t="s">
        <v>183</v>
      </c>
      <c r="N987" t="s">
        <v>372</v>
      </c>
      <c r="O987" t="s">
        <v>405</v>
      </c>
      <c r="P987">
        <v>27863.01</v>
      </c>
      <c r="Q987">
        <v>0</v>
      </c>
      <c r="R987">
        <v>0</v>
      </c>
      <c r="S987" s="11" t="s">
        <v>1811</v>
      </c>
      <c r="T987">
        <v>29162.57</v>
      </c>
      <c r="U987">
        <f t="shared" si="15"/>
        <v>139315.04999999999</v>
      </c>
    </row>
    <row r="988" spans="1:21" ht="15" customHeight="1" x14ac:dyDescent="0.25">
      <c r="A988" t="s">
        <v>2813</v>
      </c>
      <c r="B988" s="8" t="s">
        <v>2814</v>
      </c>
      <c r="C988" s="8">
        <v>44755</v>
      </c>
      <c r="D988" t="s">
        <v>73</v>
      </c>
      <c r="E988" t="s">
        <v>3070</v>
      </c>
      <c r="F988" t="s">
        <v>3088</v>
      </c>
      <c r="G988" t="s">
        <v>2815</v>
      </c>
      <c r="H988">
        <v>7032902103</v>
      </c>
      <c r="I988" t="s">
        <v>43</v>
      </c>
      <c r="J988" t="s">
        <v>25</v>
      </c>
      <c r="K988" t="s">
        <v>44</v>
      </c>
      <c r="L988" t="s">
        <v>96</v>
      </c>
      <c r="M988" t="s">
        <v>97</v>
      </c>
      <c r="N988" t="s">
        <v>1416</v>
      </c>
      <c r="O988">
        <v>4</v>
      </c>
      <c r="P988">
        <v>153465.60000000001</v>
      </c>
      <c r="Q988">
        <v>0</v>
      </c>
      <c r="R988">
        <v>0</v>
      </c>
      <c r="S988" s="11">
        <v>613862.40000000002</v>
      </c>
      <c r="T988">
        <v>120223</v>
      </c>
      <c r="U988">
        <f t="shared" si="15"/>
        <v>613862.40000000002</v>
      </c>
    </row>
    <row r="989" spans="1:21" ht="15" customHeight="1" x14ac:dyDescent="0.25">
      <c r="A989" t="s">
        <v>1713</v>
      </c>
      <c r="B989" s="8" t="s">
        <v>1714</v>
      </c>
      <c r="C989" s="8">
        <v>44883</v>
      </c>
      <c r="D989" t="s">
        <v>32</v>
      </c>
      <c r="E989" t="s">
        <v>3033</v>
      </c>
      <c r="F989" t="s">
        <v>3077</v>
      </c>
      <c r="G989" t="s">
        <v>1715</v>
      </c>
      <c r="H989">
        <v>8142153651</v>
      </c>
      <c r="I989" t="s">
        <v>43</v>
      </c>
      <c r="J989" t="s">
        <v>61</v>
      </c>
      <c r="K989" t="s">
        <v>182</v>
      </c>
      <c r="L989" t="s">
        <v>108</v>
      </c>
      <c r="M989" t="s">
        <v>109</v>
      </c>
      <c r="N989" t="s">
        <v>1258</v>
      </c>
      <c r="O989">
        <v>10</v>
      </c>
      <c r="P989">
        <v>39429.31</v>
      </c>
      <c r="Q989">
        <v>15</v>
      </c>
      <c r="R989">
        <v>59143.96</v>
      </c>
      <c r="S989" s="11">
        <v>335149.14</v>
      </c>
      <c r="T989">
        <v>114197.93</v>
      </c>
      <c r="U989">
        <f t="shared" si="15"/>
        <v>335149.14</v>
      </c>
    </row>
    <row r="990" spans="1:21" ht="15" customHeight="1" x14ac:dyDescent="0.25">
      <c r="A990" t="s">
        <v>1222</v>
      </c>
      <c r="B990" s="8" t="s">
        <v>1223</v>
      </c>
      <c r="C990" s="8">
        <v>45280</v>
      </c>
      <c r="D990" t="s">
        <v>20</v>
      </c>
      <c r="E990" t="s">
        <v>3049</v>
      </c>
      <c r="F990" t="s">
        <v>3040</v>
      </c>
      <c r="G990" t="s">
        <v>1225</v>
      </c>
      <c r="H990">
        <v>9015724912</v>
      </c>
      <c r="I990" t="s">
        <v>35</v>
      </c>
      <c r="J990" t="s">
        <v>69</v>
      </c>
      <c r="K990" t="s">
        <v>70</v>
      </c>
      <c r="L990" t="s">
        <v>63</v>
      </c>
      <c r="M990" t="s">
        <v>194</v>
      </c>
      <c r="N990" t="s">
        <v>1226</v>
      </c>
      <c r="O990">
        <v>17</v>
      </c>
      <c r="P990">
        <v>8040.43</v>
      </c>
      <c r="Q990">
        <v>25</v>
      </c>
      <c r="R990">
        <v>34171.83</v>
      </c>
      <c r="S990" s="11">
        <v>102515.48</v>
      </c>
      <c r="T990">
        <v>4547</v>
      </c>
      <c r="U990">
        <f t="shared" si="15"/>
        <v>102515.48</v>
      </c>
    </row>
    <row r="991" spans="1:21" ht="15" customHeight="1" x14ac:dyDescent="0.25">
      <c r="A991" t="s">
        <v>344</v>
      </c>
      <c r="B991" s="8" t="s">
        <v>345</v>
      </c>
      <c r="C991" s="8">
        <v>44767</v>
      </c>
      <c r="D991" t="s">
        <v>48</v>
      </c>
      <c r="E991" t="s">
        <v>3037</v>
      </c>
      <c r="F991" t="s">
        <v>3054</v>
      </c>
      <c r="H991">
        <v>8147224540</v>
      </c>
      <c r="I991" t="s">
        <v>43</v>
      </c>
      <c r="J991" t="s">
        <v>25</v>
      </c>
      <c r="K991" t="s">
        <v>44</v>
      </c>
      <c r="L991" t="s">
        <v>27</v>
      </c>
      <c r="M991" t="s">
        <v>28</v>
      </c>
      <c r="N991" t="s">
        <v>347</v>
      </c>
      <c r="O991">
        <v>5</v>
      </c>
      <c r="P991">
        <v>6015.47</v>
      </c>
      <c r="Q991">
        <v>15</v>
      </c>
      <c r="R991">
        <v>4511.6000000000004</v>
      </c>
      <c r="S991" s="11">
        <v>25565.75</v>
      </c>
      <c r="T991">
        <v>6211.28</v>
      </c>
      <c r="U991">
        <f t="shared" si="15"/>
        <v>25565.75</v>
      </c>
    </row>
    <row r="992" spans="1:21" ht="15" customHeight="1" x14ac:dyDescent="0.25">
      <c r="A992" t="s">
        <v>2913</v>
      </c>
      <c r="B992" s="8" t="s">
        <v>2914</v>
      </c>
      <c r="C992" s="8">
        <v>45372</v>
      </c>
      <c r="D992" t="s">
        <v>32</v>
      </c>
      <c r="E992" t="s">
        <v>3068</v>
      </c>
      <c r="F992" t="s">
        <v>3079</v>
      </c>
      <c r="G992" t="s">
        <v>945</v>
      </c>
      <c r="H992">
        <v>8152610366</v>
      </c>
      <c r="I992" t="s">
        <v>35</v>
      </c>
      <c r="J992" t="s">
        <v>25</v>
      </c>
      <c r="K992" t="s">
        <v>44</v>
      </c>
      <c r="L992" t="s">
        <v>96</v>
      </c>
      <c r="M992" t="s">
        <v>385</v>
      </c>
      <c r="N992" t="s">
        <v>942</v>
      </c>
      <c r="O992">
        <v>1</v>
      </c>
      <c r="P992">
        <v>354433.44</v>
      </c>
      <c r="Q992">
        <v>0</v>
      </c>
      <c r="R992">
        <v>0</v>
      </c>
      <c r="S992" s="11">
        <v>354433.44</v>
      </c>
      <c r="T992">
        <v>147553.75</v>
      </c>
      <c r="U992">
        <f t="shared" si="15"/>
        <v>354433.44</v>
      </c>
    </row>
    <row r="993" spans="1:21" ht="15" customHeight="1" x14ac:dyDescent="0.25">
      <c r="A993" t="s">
        <v>1356</v>
      </c>
      <c r="B993" s="8" t="s">
        <v>1357</v>
      </c>
      <c r="C993" s="8">
        <v>44927</v>
      </c>
      <c r="D993" t="s">
        <v>32</v>
      </c>
      <c r="E993" t="s">
        <v>3073</v>
      </c>
      <c r="F993" t="s">
        <v>3054</v>
      </c>
      <c r="G993" t="s">
        <v>1359</v>
      </c>
      <c r="H993">
        <v>9014257379</v>
      </c>
      <c r="I993" t="s">
        <v>35</v>
      </c>
      <c r="J993" t="s">
        <v>69</v>
      </c>
      <c r="K993" t="s">
        <v>119</v>
      </c>
      <c r="L993" t="s">
        <v>63</v>
      </c>
      <c r="M993" t="s">
        <v>558</v>
      </c>
      <c r="N993" t="s">
        <v>680</v>
      </c>
      <c r="O993">
        <v>2</v>
      </c>
      <c r="P993">
        <v>8729.34</v>
      </c>
      <c r="Q993">
        <v>0</v>
      </c>
      <c r="R993">
        <v>0</v>
      </c>
      <c r="S993" s="11">
        <v>17458.68</v>
      </c>
      <c r="T993">
        <v>320.58</v>
      </c>
      <c r="U993">
        <f t="shared" si="15"/>
        <v>17458.68</v>
      </c>
    </row>
    <row r="994" spans="1:21" ht="15" customHeight="1" x14ac:dyDescent="0.25">
      <c r="A994" t="s">
        <v>1280</v>
      </c>
      <c r="B994" s="8" t="s">
        <v>1281</v>
      </c>
      <c r="C994" s="8">
        <v>44946</v>
      </c>
      <c r="D994" t="s">
        <v>73</v>
      </c>
      <c r="E994" t="s">
        <v>3080</v>
      </c>
      <c r="F994" t="s">
        <v>3046</v>
      </c>
      <c r="G994" t="s">
        <v>1283</v>
      </c>
      <c r="H994">
        <v>8034972005</v>
      </c>
      <c r="I994" t="s">
        <v>43</v>
      </c>
      <c r="J994" t="s">
        <v>69</v>
      </c>
      <c r="K994" t="s">
        <v>70</v>
      </c>
      <c r="L994" t="s">
        <v>27</v>
      </c>
      <c r="M994" t="s">
        <v>45</v>
      </c>
      <c r="N994" t="s">
        <v>875</v>
      </c>
      <c r="O994">
        <v>19</v>
      </c>
      <c r="P994">
        <v>7434.55</v>
      </c>
      <c r="Q994">
        <v>10</v>
      </c>
      <c r="R994">
        <v>14125.65</v>
      </c>
      <c r="S994" s="11">
        <v>127130.8</v>
      </c>
      <c r="T994">
        <v>-16517.2</v>
      </c>
      <c r="U994">
        <f t="shared" si="15"/>
        <v>127130.8</v>
      </c>
    </row>
    <row r="995" spans="1:21" ht="15" customHeight="1" x14ac:dyDescent="0.25">
      <c r="A995" t="s">
        <v>547</v>
      </c>
      <c r="B995" s="8" t="s">
        <v>548</v>
      </c>
      <c r="C995" s="8">
        <v>45061</v>
      </c>
      <c r="D995" t="s">
        <v>73</v>
      </c>
      <c r="E995" t="s">
        <v>3070</v>
      </c>
      <c r="F995" t="s">
        <v>3043</v>
      </c>
      <c r="G995" t="s">
        <v>550</v>
      </c>
      <c r="H995">
        <v>8032681042</v>
      </c>
      <c r="I995" t="s">
        <v>35</v>
      </c>
      <c r="J995" t="s">
        <v>51</v>
      </c>
      <c r="K995" t="s">
        <v>131</v>
      </c>
      <c r="L995" t="s">
        <v>108</v>
      </c>
      <c r="M995" t="s">
        <v>38</v>
      </c>
      <c r="N995" t="s">
        <v>213</v>
      </c>
      <c r="O995">
        <v>5</v>
      </c>
      <c r="P995">
        <v>6323.43</v>
      </c>
      <c r="Q995">
        <v>0</v>
      </c>
      <c r="R995">
        <v>0</v>
      </c>
      <c r="S995" s="11">
        <v>31617.15</v>
      </c>
      <c r="T995">
        <v>13554.63</v>
      </c>
      <c r="U995">
        <f t="shared" si="15"/>
        <v>31617.15</v>
      </c>
    </row>
    <row r="996" spans="1:21" ht="15" customHeight="1" x14ac:dyDescent="0.25">
      <c r="A996" t="s">
        <v>1204</v>
      </c>
      <c r="B996" s="8" t="s">
        <v>1509</v>
      </c>
      <c r="C996" s="8">
        <v>45103</v>
      </c>
      <c r="D996" t="s">
        <v>73</v>
      </c>
      <c r="E996" t="s">
        <v>3048</v>
      </c>
      <c r="F996" t="s">
        <v>3090</v>
      </c>
      <c r="G996" t="s">
        <v>1206</v>
      </c>
      <c r="H996">
        <v>9058195804</v>
      </c>
      <c r="I996" t="s">
        <v>43</v>
      </c>
      <c r="J996" t="s">
        <v>61</v>
      </c>
      <c r="K996" t="s">
        <v>95</v>
      </c>
      <c r="L996" t="s">
        <v>27</v>
      </c>
      <c r="M996" t="s">
        <v>45</v>
      </c>
      <c r="N996" t="s">
        <v>523</v>
      </c>
      <c r="O996">
        <v>12</v>
      </c>
      <c r="P996">
        <v>985.77</v>
      </c>
      <c r="Q996">
        <v>0</v>
      </c>
      <c r="R996">
        <v>0</v>
      </c>
      <c r="S996" s="11">
        <v>11829.24</v>
      </c>
      <c r="T996">
        <v>4948.72</v>
      </c>
      <c r="U996">
        <f t="shared" si="15"/>
        <v>11829.24</v>
      </c>
    </row>
    <row r="997" spans="1:21" ht="15" customHeight="1" x14ac:dyDescent="0.25">
      <c r="A997" t="s">
        <v>1541</v>
      </c>
      <c r="B997" s="8" t="s">
        <v>1542</v>
      </c>
      <c r="C997" s="8">
        <v>45177</v>
      </c>
      <c r="D997" t="s">
        <v>32</v>
      </c>
      <c r="E997" t="s">
        <v>3033</v>
      </c>
      <c r="F997" t="s">
        <v>3069</v>
      </c>
      <c r="G997" t="s">
        <v>1544</v>
      </c>
      <c r="H997">
        <v>8035171713</v>
      </c>
      <c r="I997" t="s">
        <v>35</v>
      </c>
      <c r="J997" t="s">
        <v>69</v>
      </c>
      <c r="K997" t="s">
        <v>70</v>
      </c>
      <c r="L997" t="s">
        <v>1545</v>
      </c>
      <c r="M997" t="s">
        <v>28</v>
      </c>
      <c r="N997" t="s">
        <v>71</v>
      </c>
      <c r="O997">
        <v>18</v>
      </c>
      <c r="P997">
        <v>4677.72</v>
      </c>
      <c r="Q997">
        <v>0</v>
      </c>
      <c r="R997">
        <v>0</v>
      </c>
      <c r="S997" s="11">
        <v>84198.96</v>
      </c>
      <c r="T997">
        <v>33711.68</v>
      </c>
      <c r="U997">
        <f t="shared" si="15"/>
        <v>84198.96</v>
      </c>
    </row>
    <row r="998" spans="1:21" ht="15" customHeight="1" x14ac:dyDescent="0.25">
      <c r="A998" t="s">
        <v>410</v>
      </c>
      <c r="B998" s="8" t="s">
        <v>411</v>
      </c>
      <c r="C998" s="8">
        <v>45205</v>
      </c>
      <c r="D998" t="s">
        <v>48</v>
      </c>
      <c r="E998" t="s">
        <v>3053</v>
      </c>
      <c r="F998" t="s">
        <v>3090</v>
      </c>
      <c r="G998" t="s">
        <v>413</v>
      </c>
      <c r="H998">
        <v>7035816353</v>
      </c>
      <c r="I998" t="s">
        <v>24</v>
      </c>
      <c r="J998" t="s">
        <v>414</v>
      </c>
      <c r="K998" t="s">
        <v>44</v>
      </c>
      <c r="L998" t="s">
        <v>96</v>
      </c>
      <c r="M998" t="s">
        <v>120</v>
      </c>
      <c r="N998" t="s">
        <v>121</v>
      </c>
      <c r="O998">
        <v>13</v>
      </c>
      <c r="P998">
        <v>273424.71999999997</v>
      </c>
      <c r="Q998">
        <v>20</v>
      </c>
      <c r="R998">
        <v>710904.27</v>
      </c>
      <c r="S998" s="11">
        <v>2843617.09</v>
      </c>
      <c r="T998">
        <v>563598.21</v>
      </c>
      <c r="U998">
        <f t="shared" si="15"/>
        <v>2843617.09</v>
      </c>
    </row>
    <row r="999" spans="1:21" ht="15" customHeight="1" x14ac:dyDescent="0.25">
      <c r="A999" t="s">
        <v>896</v>
      </c>
      <c r="B999" s="8" t="s">
        <v>897</v>
      </c>
      <c r="C999" s="8">
        <v>45300</v>
      </c>
      <c r="D999" t="s">
        <v>73</v>
      </c>
      <c r="E999" t="s">
        <v>3051</v>
      </c>
      <c r="F999" t="s">
        <v>3064</v>
      </c>
      <c r="G999" t="s">
        <v>898</v>
      </c>
      <c r="H999">
        <v>8039327450</v>
      </c>
      <c r="I999" t="s">
        <v>24</v>
      </c>
      <c r="K999" t="s">
        <v>182</v>
      </c>
      <c r="L999" t="s">
        <v>85</v>
      </c>
      <c r="M999" t="s">
        <v>486</v>
      </c>
      <c r="N999" t="s">
        <v>543</v>
      </c>
      <c r="O999">
        <v>1</v>
      </c>
      <c r="P999">
        <v>48334.91</v>
      </c>
      <c r="Q999">
        <v>0</v>
      </c>
      <c r="R999">
        <v>0</v>
      </c>
      <c r="S999" s="11">
        <v>48334.91</v>
      </c>
      <c r="T999">
        <v>19050.14</v>
      </c>
      <c r="U999">
        <f t="shared" si="15"/>
        <v>48334.91</v>
      </c>
    </row>
    <row r="1000" spans="1:21" ht="15" customHeight="1" x14ac:dyDescent="0.25">
      <c r="A1000" t="s">
        <v>1066</v>
      </c>
      <c r="B1000" s="8" t="s">
        <v>1067</v>
      </c>
      <c r="C1000" s="8">
        <v>45344</v>
      </c>
      <c r="D1000" t="s">
        <v>73</v>
      </c>
      <c r="E1000" t="s">
        <v>3072</v>
      </c>
      <c r="F1000" t="s">
        <v>3074</v>
      </c>
      <c r="G1000" t="s">
        <v>1069</v>
      </c>
      <c r="H1000">
        <v>9055357055</v>
      </c>
      <c r="I1000" t="s">
        <v>24</v>
      </c>
      <c r="J1000" t="s">
        <v>25</v>
      </c>
      <c r="K1000" t="s">
        <v>26</v>
      </c>
      <c r="L1000" t="s">
        <v>85</v>
      </c>
      <c r="M1000" t="s">
        <v>266</v>
      </c>
      <c r="N1000" t="s">
        <v>593</v>
      </c>
      <c r="O1000">
        <v>16</v>
      </c>
      <c r="P1000">
        <v>48787.93</v>
      </c>
      <c r="Q1000">
        <v>10</v>
      </c>
      <c r="R1000">
        <v>78060.69</v>
      </c>
      <c r="S1000" s="11">
        <v>702546.19</v>
      </c>
      <c r="T1000">
        <v>48865.24</v>
      </c>
      <c r="U1000">
        <f t="shared" si="15"/>
        <v>702546.19</v>
      </c>
    </row>
    <row r="1001" spans="1:21" ht="15" customHeight="1" x14ac:dyDescent="0.25">
      <c r="A1001" t="s">
        <v>2519</v>
      </c>
      <c r="B1001" s="8" t="s">
        <v>2520</v>
      </c>
      <c r="C1001" s="8">
        <v>44825</v>
      </c>
      <c r="D1001" t="s">
        <v>32</v>
      </c>
      <c r="E1001" t="s">
        <v>3044</v>
      </c>
      <c r="F1001" t="s">
        <v>3040</v>
      </c>
      <c r="G1001" t="s">
        <v>2522</v>
      </c>
      <c r="H1001">
        <v>8063666299</v>
      </c>
      <c r="I1001" t="s">
        <v>24</v>
      </c>
      <c r="J1001" t="s">
        <v>69</v>
      </c>
      <c r="K1001" t="s">
        <v>307</v>
      </c>
      <c r="L1001" t="s">
        <v>108</v>
      </c>
      <c r="M1001" t="s">
        <v>114</v>
      </c>
      <c r="N1001" t="s">
        <v>848</v>
      </c>
      <c r="O1001">
        <v>6</v>
      </c>
      <c r="P1001">
        <v>25088.41</v>
      </c>
      <c r="Q1001">
        <v>10</v>
      </c>
      <c r="R1001">
        <v>15053.05</v>
      </c>
      <c r="S1001" s="11">
        <v>135477.41</v>
      </c>
      <c r="T1001">
        <v>57332.73</v>
      </c>
      <c r="U1001">
        <f t="shared" si="15"/>
        <v>135477.41</v>
      </c>
    </row>
    <row r="1002" spans="1:21" x14ac:dyDescent="0.25">
      <c r="A1002" t="s">
        <v>1375</v>
      </c>
      <c r="B1002" s="8" t="s">
        <v>1376</v>
      </c>
      <c r="C1002" s="8">
        <v>44677</v>
      </c>
      <c r="D1002" t="s">
        <v>20</v>
      </c>
      <c r="E1002" t="s">
        <v>3087</v>
      </c>
      <c r="F1002" t="s">
        <v>3038</v>
      </c>
      <c r="G1002" t="s">
        <v>1210</v>
      </c>
      <c r="H1002">
        <v>7038807325</v>
      </c>
      <c r="I1002" t="s">
        <v>24</v>
      </c>
      <c r="J1002" t="s">
        <v>61</v>
      </c>
      <c r="K1002" t="s">
        <v>95</v>
      </c>
      <c r="L1002" t="s">
        <v>27</v>
      </c>
      <c r="M1002" t="s">
        <v>79</v>
      </c>
      <c r="N1002" t="s">
        <v>80</v>
      </c>
      <c r="O1002">
        <v>18</v>
      </c>
      <c r="P1002">
        <v>3121.53</v>
      </c>
      <c r="Q1002" t="s">
        <v>376</v>
      </c>
      <c r="R1002">
        <v>0</v>
      </c>
      <c r="S1002" s="11">
        <v>56187.54</v>
      </c>
      <c r="T1002">
        <v>10476.44</v>
      </c>
      <c r="U1002">
        <f t="shared" si="15"/>
        <v>56187.54</v>
      </c>
    </row>
    <row r="1003" spans="1:21" x14ac:dyDescent="0.25">
      <c r="A1003" t="s">
        <v>2236</v>
      </c>
      <c r="B1003" s="8" t="s">
        <v>2237</v>
      </c>
      <c r="C1003" s="8">
        <v>45255</v>
      </c>
      <c r="D1003" t="s">
        <v>20</v>
      </c>
      <c r="E1003" t="s">
        <v>3063</v>
      </c>
      <c r="F1003" t="s">
        <v>3074</v>
      </c>
      <c r="G1003" t="s">
        <v>2239</v>
      </c>
      <c r="H1003">
        <v>8031093478</v>
      </c>
      <c r="I1003" t="s">
        <v>43</v>
      </c>
      <c r="J1003" t="s">
        <v>69</v>
      </c>
      <c r="K1003" t="s">
        <v>144</v>
      </c>
      <c r="L1003" t="s">
        <v>63</v>
      </c>
      <c r="M1003" t="s">
        <v>469</v>
      </c>
      <c r="N1003" t="s">
        <v>1595</v>
      </c>
      <c r="O1003">
        <v>16</v>
      </c>
      <c r="P1003">
        <v>18998.43</v>
      </c>
      <c r="Q1003">
        <v>25</v>
      </c>
      <c r="R1003">
        <v>75993.72</v>
      </c>
      <c r="S1003" s="11">
        <v>227981.16</v>
      </c>
      <c r="T1003">
        <v>34171.93</v>
      </c>
      <c r="U1003">
        <f t="shared" si="15"/>
        <v>227981.16</v>
      </c>
    </row>
    <row r="1004" spans="1:21" x14ac:dyDescent="0.25">
      <c r="A1004" t="s">
        <v>1029</v>
      </c>
      <c r="B1004" s="8" t="s">
        <v>1030</v>
      </c>
      <c r="C1004" s="8">
        <v>45379</v>
      </c>
      <c r="D1004" t="s">
        <v>20</v>
      </c>
      <c r="E1004" t="s">
        <v>3056</v>
      </c>
      <c r="F1004" t="s">
        <v>3034</v>
      </c>
      <c r="G1004" t="s">
        <v>1032</v>
      </c>
      <c r="H1004">
        <v>8143714471</v>
      </c>
      <c r="I1004" t="s">
        <v>43</v>
      </c>
      <c r="J1004" t="s">
        <v>69</v>
      </c>
      <c r="K1004" t="s">
        <v>144</v>
      </c>
      <c r="L1004" t="s">
        <v>96</v>
      </c>
      <c r="M1004" t="s">
        <v>385</v>
      </c>
      <c r="N1004" t="s">
        <v>1010</v>
      </c>
      <c r="O1004">
        <v>11</v>
      </c>
      <c r="P1004">
        <v>189243.99</v>
      </c>
      <c r="Q1004">
        <v>25</v>
      </c>
      <c r="R1004">
        <v>520420.97</v>
      </c>
      <c r="S1004" s="11">
        <v>1561262.92</v>
      </c>
      <c r="T1004">
        <v>341003.58</v>
      </c>
      <c r="U1004">
        <f t="shared" si="15"/>
        <v>1561262.92</v>
      </c>
    </row>
    <row r="1005" spans="1:21" x14ac:dyDescent="0.25">
      <c r="A1005" t="s">
        <v>1043</v>
      </c>
      <c r="B1005" s="8" t="s">
        <v>1044</v>
      </c>
      <c r="C1005" s="8">
        <v>44964</v>
      </c>
      <c r="D1005" t="s">
        <v>73</v>
      </c>
      <c r="E1005" t="s">
        <v>3058</v>
      </c>
      <c r="F1005" t="s">
        <v>3057</v>
      </c>
      <c r="G1005" t="s">
        <v>1046</v>
      </c>
      <c r="H1005">
        <v>8163936596</v>
      </c>
      <c r="I1005" t="s">
        <v>43</v>
      </c>
      <c r="J1005" t="s">
        <v>51</v>
      </c>
      <c r="K1005" t="s">
        <v>223</v>
      </c>
      <c r="L1005" t="s">
        <v>108</v>
      </c>
      <c r="M1005" t="s">
        <v>189</v>
      </c>
      <c r="N1005" t="s">
        <v>287</v>
      </c>
      <c r="O1005">
        <v>17</v>
      </c>
      <c r="P1005">
        <v>26021.119999999999</v>
      </c>
      <c r="Q1005">
        <v>10</v>
      </c>
      <c r="R1005">
        <v>44235.9</v>
      </c>
      <c r="S1005" s="11">
        <v>398123.14</v>
      </c>
      <c r="T1005">
        <v>21490.5</v>
      </c>
      <c r="U1005">
        <f t="shared" si="15"/>
        <v>398123.14</v>
      </c>
    </row>
    <row r="1006" spans="1:21" x14ac:dyDescent="0.25">
      <c r="A1006" t="s">
        <v>2279</v>
      </c>
      <c r="B1006" s="8" t="s">
        <v>2280</v>
      </c>
      <c r="C1006" s="8">
        <v>44952</v>
      </c>
      <c r="D1006" t="s">
        <v>48</v>
      </c>
      <c r="E1006" t="s">
        <v>3093</v>
      </c>
      <c r="F1006" t="s">
        <v>3062</v>
      </c>
      <c r="G1006" t="s">
        <v>2282</v>
      </c>
      <c r="H1006">
        <v>8154123258</v>
      </c>
      <c r="I1006" t="s">
        <v>43</v>
      </c>
      <c r="J1006" t="s">
        <v>69</v>
      </c>
      <c r="K1006" t="s">
        <v>144</v>
      </c>
      <c r="L1006" t="s">
        <v>96</v>
      </c>
      <c r="M1006" t="s">
        <v>189</v>
      </c>
      <c r="N1006" t="s">
        <v>205</v>
      </c>
      <c r="O1006">
        <v>19</v>
      </c>
      <c r="P1006">
        <v>213553.87</v>
      </c>
      <c r="Q1006">
        <v>15</v>
      </c>
      <c r="R1006">
        <v>608628.53</v>
      </c>
      <c r="S1006" s="11">
        <v>3448895</v>
      </c>
      <c r="T1006">
        <v>995257.68</v>
      </c>
      <c r="U1006">
        <f t="shared" si="15"/>
        <v>3448895</v>
      </c>
    </row>
    <row r="1007" spans="1:21" x14ac:dyDescent="0.25">
      <c r="A1007" t="s">
        <v>2151</v>
      </c>
      <c r="B1007" s="8" t="s">
        <v>2152</v>
      </c>
      <c r="C1007" s="8">
        <v>44629</v>
      </c>
      <c r="D1007" t="s">
        <v>20</v>
      </c>
      <c r="E1007" t="s">
        <v>3047</v>
      </c>
      <c r="F1007" t="s">
        <v>3088</v>
      </c>
      <c r="G1007" t="s">
        <v>2154</v>
      </c>
      <c r="H1007">
        <v>8035404568</v>
      </c>
      <c r="I1007" t="s">
        <v>35</v>
      </c>
      <c r="J1007" t="s">
        <v>69</v>
      </c>
      <c r="K1007" t="s">
        <v>155</v>
      </c>
      <c r="L1007" t="s">
        <v>27</v>
      </c>
      <c r="M1007" t="s">
        <v>354</v>
      </c>
      <c r="N1007" t="s">
        <v>355</v>
      </c>
      <c r="O1007">
        <v>20</v>
      </c>
      <c r="P1007">
        <v>2925.27</v>
      </c>
      <c r="Q1007">
        <v>15</v>
      </c>
      <c r="R1007">
        <v>8775.81</v>
      </c>
      <c r="S1007" s="11">
        <v>49729.59</v>
      </c>
      <c r="T1007">
        <v>18372.37</v>
      </c>
      <c r="U1007">
        <f t="shared" si="15"/>
        <v>49729.59</v>
      </c>
    </row>
    <row r="1008" spans="1:21" x14ac:dyDescent="0.25">
      <c r="A1008" t="s">
        <v>2750</v>
      </c>
      <c r="B1008" s="8" t="s">
        <v>2751</v>
      </c>
      <c r="C1008" s="8">
        <v>45420</v>
      </c>
      <c r="D1008" t="s">
        <v>73</v>
      </c>
      <c r="E1008" t="s">
        <v>3068</v>
      </c>
      <c r="F1008" t="s">
        <v>3077</v>
      </c>
      <c r="G1008" t="s">
        <v>2752</v>
      </c>
      <c r="H1008">
        <v>8131009512</v>
      </c>
      <c r="I1008" t="s">
        <v>24</v>
      </c>
      <c r="J1008" t="s">
        <v>61</v>
      </c>
      <c r="K1008" t="s">
        <v>204</v>
      </c>
      <c r="L1008" t="s">
        <v>96</v>
      </c>
      <c r="M1008" t="s">
        <v>385</v>
      </c>
      <c r="N1008" t="s">
        <v>743</v>
      </c>
      <c r="O1008">
        <v>16</v>
      </c>
      <c r="P1008">
        <v>130495.84</v>
      </c>
      <c r="Q1008">
        <v>0</v>
      </c>
      <c r="R1008">
        <v>0</v>
      </c>
      <c r="S1008" s="11">
        <v>2087933.44</v>
      </c>
      <c r="T1008">
        <v>-38717.24</v>
      </c>
      <c r="U1008">
        <f t="shared" si="15"/>
        <v>2087933.44</v>
      </c>
    </row>
    <row r="1009" spans="1:21" x14ac:dyDescent="0.25">
      <c r="A1009" t="s">
        <v>1883</v>
      </c>
      <c r="B1009" s="8" t="s">
        <v>1884</v>
      </c>
      <c r="C1009" s="8">
        <v>45437</v>
      </c>
      <c r="D1009" t="s">
        <v>20</v>
      </c>
      <c r="E1009" t="s">
        <v>3087</v>
      </c>
      <c r="F1009" t="s">
        <v>3075</v>
      </c>
      <c r="G1009" t="s">
        <v>1886</v>
      </c>
      <c r="H1009">
        <v>9071866635</v>
      </c>
      <c r="I1009" t="s">
        <v>35</v>
      </c>
      <c r="J1009" t="s">
        <v>51</v>
      </c>
      <c r="K1009" t="s">
        <v>131</v>
      </c>
      <c r="L1009" t="s">
        <v>1887</v>
      </c>
      <c r="M1009" t="s">
        <v>249</v>
      </c>
      <c r="N1009" t="s">
        <v>1141</v>
      </c>
      <c r="O1009">
        <v>12</v>
      </c>
      <c r="P1009">
        <v>9407.6200000000008</v>
      </c>
      <c r="Q1009">
        <v>15</v>
      </c>
      <c r="R1009">
        <v>16933.72</v>
      </c>
      <c r="T1009">
        <v>-174.53</v>
      </c>
      <c r="U1009">
        <f t="shared" si="15"/>
        <v>0</v>
      </c>
    </row>
    <row r="1010" spans="1:21" x14ac:dyDescent="0.25">
      <c r="A1010" t="s">
        <v>970</v>
      </c>
      <c r="B1010" s="8" t="s">
        <v>971</v>
      </c>
      <c r="C1010" s="8">
        <v>44709</v>
      </c>
      <c r="D1010" t="s">
        <v>32</v>
      </c>
      <c r="E1010" t="s">
        <v>3047</v>
      </c>
      <c r="F1010" t="s">
        <v>3071</v>
      </c>
      <c r="G1010" t="s">
        <v>973</v>
      </c>
      <c r="H1010">
        <v>8032468357</v>
      </c>
      <c r="I1010" t="s">
        <v>24</v>
      </c>
      <c r="J1010" t="s">
        <v>61</v>
      </c>
      <c r="K1010" t="s">
        <v>84</v>
      </c>
      <c r="L1010" t="s">
        <v>96</v>
      </c>
      <c r="M1010" t="s">
        <v>120</v>
      </c>
      <c r="N1010" t="s">
        <v>359</v>
      </c>
      <c r="O1010">
        <v>18</v>
      </c>
      <c r="P1010">
        <v>360483.43</v>
      </c>
      <c r="Q1010">
        <v>0</v>
      </c>
      <c r="R1010">
        <v>0</v>
      </c>
      <c r="S1010" s="11">
        <v>6488701.7400000002</v>
      </c>
      <c r="T1010">
        <v>1265150.04</v>
      </c>
      <c r="U1010">
        <f t="shared" si="15"/>
        <v>6488701.7400000002</v>
      </c>
    </row>
    <row r="1011" spans="1:21" x14ac:dyDescent="0.25">
      <c r="A1011" t="s">
        <v>535</v>
      </c>
      <c r="B1011" s="8" t="s">
        <v>536</v>
      </c>
      <c r="C1011" s="8">
        <v>45627</v>
      </c>
      <c r="D1011" t="s">
        <v>416</v>
      </c>
      <c r="E1011" t="s">
        <v>3060</v>
      </c>
      <c r="F1011" t="s">
        <v>3074</v>
      </c>
      <c r="G1011" t="s">
        <v>538</v>
      </c>
      <c r="H1011">
        <v>8157322070</v>
      </c>
      <c r="I1011" t="s">
        <v>24</v>
      </c>
      <c r="J1011" t="s">
        <v>69</v>
      </c>
      <c r="K1011" t="s">
        <v>307</v>
      </c>
      <c r="L1011" t="s">
        <v>63</v>
      </c>
      <c r="M1011" t="s">
        <v>54</v>
      </c>
      <c r="N1011" t="s">
        <v>409</v>
      </c>
      <c r="O1011">
        <v>11</v>
      </c>
      <c r="P1011">
        <v>22847.040000000001</v>
      </c>
      <c r="Q1011">
        <v>25</v>
      </c>
      <c r="R1011">
        <v>62829.36</v>
      </c>
      <c r="S1011" s="11" t="s">
        <v>539</v>
      </c>
      <c r="T1011">
        <v>11794.11</v>
      </c>
      <c r="U1011">
        <f t="shared" si="15"/>
        <v>188488.08</v>
      </c>
    </row>
    <row r="1012" spans="1:21" x14ac:dyDescent="0.25">
      <c r="B1012"/>
      <c r="C1012"/>
      <c r="S1012"/>
    </row>
    <row r="1013" spans="1:21" x14ac:dyDescent="0.25">
      <c r="B1013"/>
      <c r="C1013"/>
      <c r="S1013"/>
    </row>
    <row r="1014" spans="1:21" x14ac:dyDescent="0.25">
      <c r="B1014"/>
      <c r="C1014"/>
      <c r="S1014"/>
    </row>
    <row r="1015" spans="1:21" x14ac:dyDescent="0.25">
      <c r="B1015"/>
      <c r="C1015"/>
      <c r="S1015"/>
    </row>
    <row r="1016" spans="1:21" x14ac:dyDescent="0.25">
      <c r="B1016"/>
      <c r="C1016"/>
      <c r="S1016"/>
    </row>
    <row r="1017" spans="1:21" x14ac:dyDescent="0.25">
      <c r="B1017"/>
      <c r="C1017"/>
      <c r="S1017"/>
    </row>
    <row r="1018" spans="1:21" x14ac:dyDescent="0.25">
      <c r="B1018"/>
      <c r="C1018"/>
      <c r="S1018"/>
    </row>
    <row r="1019" spans="1:21" x14ac:dyDescent="0.25">
      <c r="B1019"/>
      <c r="C1019"/>
      <c r="S1019"/>
    </row>
    <row r="1020" spans="1:21" x14ac:dyDescent="0.25">
      <c r="B1020"/>
      <c r="C1020"/>
      <c r="S1020"/>
    </row>
    <row r="1021" spans="1:21" x14ac:dyDescent="0.25">
      <c r="B1021"/>
      <c r="C1021"/>
      <c r="S1021"/>
    </row>
  </sheetData>
  <autoFilter ref="A1:T1021" xr:uid="{0C860D36-85BC-428F-A9D5-1DE24AAE19FE}">
    <sortState xmlns:xlrd2="http://schemas.microsoft.com/office/spreadsheetml/2017/richdata2" ref="A2:T1021">
      <sortCondition ref="B1:B1021"/>
    </sortState>
  </autoFilter>
  <hyperlinks>
    <hyperlink ref="G947" r:id="rId1" xr:uid="{12641D19-96CF-4CCA-98C0-9AC95BE522E7}"/>
    <hyperlink ref="G913" r:id="rId2" xr:uid="{30DAF85B-D814-412A-BBF8-D5D0AAEE55F3}"/>
    <hyperlink ref="G10" r:id="rId3" xr:uid="{D42DE436-2B98-4FD0-B83B-D2EB1FC742E7}"/>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9BED7-B31B-40D1-99F0-A69016A7A216}">
  <sheetPr>
    <tabColor rgb="FF0F2044"/>
  </sheetPr>
  <dimension ref="A1:S1021"/>
  <sheetViews>
    <sheetView zoomScaleNormal="100" workbookViewId="0">
      <selection activeCell="C6" sqref="C6"/>
    </sheetView>
  </sheetViews>
  <sheetFormatPr defaultColWidth="8.7109375" defaultRowHeight="15" x14ac:dyDescent="0.25"/>
  <cols>
    <col min="1" max="1" width="14" customWidth="1"/>
    <col min="2" max="3" width="13" style="8" customWidth="1"/>
    <col min="4" max="4" width="16" customWidth="1"/>
    <col min="5" max="5" width="22" customWidth="1"/>
    <col min="6" max="6" width="30.42578125" bestFit="1" customWidth="1"/>
    <col min="7" max="7" width="20" customWidth="1"/>
    <col min="8" max="8" width="14" customWidth="1"/>
    <col min="9" max="9" width="10" customWidth="1"/>
    <col min="10" max="12" width="16" customWidth="1"/>
    <col min="13" max="13" width="28" customWidth="1"/>
    <col min="14" max="14" width="11.28515625" customWidth="1"/>
    <col min="15" max="15" width="16" customWidth="1"/>
    <col min="16" max="16" width="13" customWidth="1"/>
    <col min="17" max="17" width="18" customWidth="1"/>
    <col min="18" max="19" width="14" customWidth="1"/>
  </cols>
  <sheetData>
    <row r="1" spans="1:19" ht="34.5" customHeight="1" x14ac:dyDescent="0.25">
      <c r="A1" t="s">
        <v>0</v>
      </c>
      <c r="B1" s="8" t="s">
        <v>1</v>
      </c>
      <c r="C1" s="8" t="s">
        <v>2</v>
      </c>
      <c r="D1" t="s">
        <v>3</v>
      </c>
      <c r="E1" t="s">
        <v>4</v>
      </c>
      <c r="F1" t="s">
        <v>5</v>
      </c>
      <c r="G1" t="s">
        <v>6</v>
      </c>
      <c r="H1" t="s">
        <v>7</v>
      </c>
      <c r="I1" t="s">
        <v>8</v>
      </c>
      <c r="J1" t="s">
        <v>9</v>
      </c>
      <c r="K1" t="s">
        <v>10</v>
      </c>
      <c r="L1" t="s">
        <v>11</v>
      </c>
      <c r="M1" t="s">
        <v>12</v>
      </c>
      <c r="N1" t="s">
        <v>13</v>
      </c>
      <c r="O1" t="s">
        <v>14</v>
      </c>
      <c r="P1" t="s">
        <v>15</v>
      </c>
      <c r="Q1" t="s">
        <v>16</v>
      </c>
      <c r="R1" t="s">
        <v>17</v>
      </c>
      <c r="S1" t="s">
        <v>18</v>
      </c>
    </row>
    <row r="2" spans="1:19" ht="15" customHeight="1" x14ac:dyDescent="0.25">
      <c r="A2" t="s">
        <v>19</v>
      </c>
      <c r="B2" s="8">
        <v>45063</v>
      </c>
      <c r="C2" s="8">
        <v>45065</v>
      </c>
      <c r="D2" t="s">
        <v>20</v>
      </c>
      <c r="E2" t="s">
        <v>21</v>
      </c>
      <c r="F2" t="s">
        <v>22</v>
      </c>
      <c r="G2" t="s">
        <v>23</v>
      </c>
      <c r="H2" t="s">
        <v>24</v>
      </c>
      <c r="I2" t="s">
        <v>25</v>
      </c>
      <c r="J2" t="s">
        <v>26</v>
      </c>
      <c r="K2" t="s">
        <v>27</v>
      </c>
      <c r="L2" t="s">
        <v>28</v>
      </c>
      <c r="M2" t="s">
        <v>29</v>
      </c>
      <c r="N2">
        <v>7</v>
      </c>
      <c r="O2">
        <v>529.44000000000005</v>
      </c>
      <c r="P2" t="s">
        <v>30</v>
      </c>
      <c r="Q2">
        <v>185.3</v>
      </c>
      <c r="R2">
        <v>3520.78</v>
      </c>
      <c r="S2">
        <v>539.42999999999995</v>
      </c>
    </row>
    <row r="3" spans="1:19" ht="15" customHeight="1" x14ac:dyDescent="0.25">
      <c r="A3" t="s">
        <v>31</v>
      </c>
      <c r="B3" s="8">
        <v>45013</v>
      </c>
      <c r="C3" s="8">
        <v>45014</v>
      </c>
      <c r="D3" t="s">
        <v>32</v>
      </c>
      <c r="E3" t="s">
        <v>33</v>
      </c>
      <c r="F3" t="s">
        <v>34</v>
      </c>
      <c r="G3">
        <v>9023678638</v>
      </c>
      <c r="H3" t="s">
        <v>35</v>
      </c>
      <c r="I3" t="s">
        <v>25</v>
      </c>
      <c r="J3" t="s">
        <v>36</v>
      </c>
      <c r="K3" t="s">
        <v>37</v>
      </c>
      <c r="L3" t="s">
        <v>38</v>
      </c>
      <c r="M3" t="s">
        <v>39</v>
      </c>
      <c r="N3">
        <v>11</v>
      </c>
      <c r="O3">
        <v>8685.6200000000008</v>
      </c>
      <c r="P3">
        <v>0</v>
      </c>
      <c r="Q3">
        <v>0</v>
      </c>
      <c r="R3">
        <v>95541.82</v>
      </c>
      <c r="S3">
        <v>-9014.61</v>
      </c>
    </row>
    <row r="4" spans="1:19" ht="15" customHeight="1" x14ac:dyDescent="0.25">
      <c r="A4" t="s">
        <v>40</v>
      </c>
      <c r="B4" s="8">
        <v>44650</v>
      </c>
      <c r="C4" s="8">
        <v>44653</v>
      </c>
      <c r="D4" t="s">
        <v>20</v>
      </c>
      <c r="E4" t="s">
        <v>41</v>
      </c>
      <c r="F4" t="s">
        <v>42</v>
      </c>
      <c r="G4">
        <v>8065918715</v>
      </c>
      <c r="H4" t="s">
        <v>43</v>
      </c>
      <c r="I4" t="s">
        <v>25</v>
      </c>
      <c r="J4" t="s">
        <v>44</v>
      </c>
      <c r="K4" t="s">
        <v>27</v>
      </c>
      <c r="L4" t="s">
        <v>45</v>
      </c>
      <c r="M4" t="s">
        <v>46</v>
      </c>
      <c r="N4">
        <v>3</v>
      </c>
      <c r="O4">
        <v>1780.62</v>
      </c>
      <c r="P4">
        <v>0</v>
      </c>
      <c r="Q4">
        <v>0</v>
      </c>
      <c r="R4">
        <v>5341.86</v>
      </c>
      <c r="S4">
        <v>1318.15</v>
      </c>
    </row>
    <row r="5" spans="1:19" ht="15" customHeight="1" x14ac:dyDescent="0.25">
      <c r="A5" t="s">
        <v>47</v>
      </c>
      <c r="B5" s="8">
        <v>45340</v>
      </c>
      <c r="C5" s="8">
        <v>45347</v>
      </c>
      <c r="D5" t="s">
        <v>48</v>
      </c>
      <c r="E5" t="s">
        <v>49</v>
      </c>
      <c r="F5" t="s">
        <v>50</v>
      </c>
      <c r="G5">
        <v>8107210606</v>
      </c>
      <c r="H5" t="s">
        <v>35</v>
      </c>
      <c r="I5" t="s">
        <v>51</v>
      </c>
      <c r="J5" t="s">
        <v>52</v>
      </c>
      <c r="K5" t="s">
        <v>53</v>
      </c>
      <c r="L5" t="s">
        <v>54</v>
      </c>
      <c r="M5" t="s">
        <v>55</v>
      </c>
      <c r="N5">
        <v>3</v>
      </c>
      <c r="O5">
        <v>17694.599999999999</v>
      </c>
      <c r="P5">
        <v>0</v>
      </c>
      <c r="Q5">
        <v>0</v>
      </c>
      <c r="R5">
        <v>53083.8</v>
      </c>
      <c r="S5">
        <v>9049.93</v>
      </c>
    </row>
    <row r="6" spans="1:19" ht="15" customHeight="1" x14ac:dyDescent="0.25">
      <c r="A6" t="s">
        <v>56</v>
      </c>
      <c r="B6" s="8">
        <v>45114</v>
      </c>
      <c r="C6" s="8">
        <v>45114</v>
      </c>
      <c r="D6" t="s">
        <v>32</v>
      </c>
      <c r="E6" t="s">
        <v>57</v>
      </c>
      <c r="F6" t="s">
        <v>58</v>
      </c>
      <c r="G6" t="s">
        <v>59</v>
      </c>
      <c r="H6" t="s">
        <v>60</v>
      </c>
      <c r="I6" t="s">
        <v>61</v>
      </c>
      <c r="J6" t="s">
        <v>62</v>
      </c>
      <c r="K6" t="s">
        <v>63</v>
      </c>
      <c r="L6" t="s">
        <v>64</v>
      </c>
      <c r="M6" t="s">
        <v>65</v>
      </c>
      <c r="N6">
        <v>19</v>
      </c>
      <c r="O6">
        <v>2121.62</v>
      </c>
      <c r="P6">
        <v>10</v>
      </c>
      <c r="Q6">
        <v>4031.08</v>
      </c>
      <c r="R6">
        <v>36279.699999999997</v>
      </c>
      <c r="S6">
        <v>-813.54</v>
      </c>
    </row>
    <row r="7" spans="1:19" ht="15" customHeight="1" x14ac:dyDescent="0.25">
      <c r="A7" t="s">
        <v>66</v>
      </c>
      <c r="B7" s="8">
        <v>44854</v>
      </c>
      <c r="C7" s="8">
        <v>44855</v>
      </c>
      <c r="D7" t="s">
        <v>32</v>
      </c>
      <c r="E7" t="s">
        <v>67</v>
      </c>
      <c r="F7" t="s">
        <v>68</v>
      </c>
      <c r="G7">
        <v>9018187926</v>
      </c>
      <c r="H7" t="s">
        <v>24</v>
      </c>
      <c r="I7" t="s">
        <v>69</v>
      </c>
      <c r="J7" t="s">
        <v>70</v>
      </c>
      <c r="K7" t="s">
        <v>27</v>
      </c>
      <c r="L7" t="s">
        <v>28</v>
      </c>
      <c r="M7" t="s">
        <v>71</v>
      </c>
      <c r="N7">
        <v>5</v>
      </c>
      <c r="O7">
        <v>1988.77</v>
      </c>
      <c r="P7">
        <v>25</v>
      </c>
      <c r="Q7">
        <v>2485.96</v>
      </c>
      <c r="R7">
        <v>7457.89</v>
      </c>
    </row>
    <row r="8" spans="1:19" ht="15" customHeight="1" x14ac:dyDescent="0.25">
      <c r="A8" t="s">
        <v>72</v>
      </c>
      <c r="B8" s="8">
        <v>45426</v>
      </c>
      <c r="C8" s="8">
        <v>45431</v>
      </c>
      <c r="D8" t="s">
        <v>73</v>
      </c>
      <c r="E8" t="s">
        <v>74</v>
      </c>
      <c r="F8" t="s">
        <v>75</v>
      </c>
      <c r="G8">
        <v>9058852574</v>
      </c>
      <c r="H8" t="s">
        <v>35</v>
      </c>
      <c r="I8" t="s">
        <v>25</v>
      </c>
      <c r="J8" t="s">
        <v>26</v>
      </c>
      <c r="K8" t="s">
        <v>27</v>
      </c>
      <c r="L8" t="s">
        <v>45</v>
      </c>
      <c r="M8" t="s">
        <v>46</v>
      </c>
      <c r="N8">
        <v>1</v>
      </c>
      <c r="O8">
        <v>6928</v>
      </c>
      <c r="P8">
        <v>0</v>
      </c>
      <c r="Q8">
        <v>0</v>
      </c>
      <c r="R8">
        <v>6928</v>
      </c>
      <c r="S8">
        <v>1794.53</v>
      </c>
    </row>
    <row r="9" spans="1:19" ht="15" customHeight="1" x14ac:dyDescent="0.25">
      <c r="A9" t="s">
        <v>76</v>
      </c>
      <c r="B9" s="8">
        <v>45452</v>
      </c>
      <c r="C9" s="8">
        <v>45454</v>
      </c>
      <c r="D9" t="s">
        <v>20</v>
      </c>
      <c r="E9" t="s">
        <v>77</v>
      </c>
      <c r="F9" t="s">
        <v>78</v>
      </c>
      <c r="G9">
        <v>8153997281</v>
      </c>
      <c r="H9" t="s">
        <v>35</v>
      </c>
      <c r="I9" t="s">
        <v>51</v>
      </c>
      <c r="K9" t="s">
        <v>27</v>
      </c>
      <c r="L9" t="s">
        <v>79</v>
      </c>
      <c r="M9" t="s">
        <v>80</v>
      </c>
      <c r="N9">
        <v>17</v>
      </c>
      <c r="O9">
        <v>6780.85</v>
      </c>
      <c r="P9">
        <v>5</v>
      </c>
      <c r="Q9">
        <v>5763.72</v>
      </c>
      <c r="R9">
        <v>109510.73</v>
      </c>
      <c r="S9">
        <v>-6384.09</v>
      </c>
    </row>
    <row r="10" spans="1:19" ht="15" customHeight="1" x14ac:dyDescent="0.25">
      <c r="A10" t="s">
        <v>81</v>
      </c>
      <c r="B10" s="8">
        <v>45225</v>
      </c>
      <c r="C10" s="8">
        <v>45233</v>
      </c>
      <c r="D10" t="s">
        <v>48</v>
      </c>
      <c r="E10" t="s">
        <v>82</v>
      </c>
      <c r="F10" t="s">
        <v>83</v>
      </c>
      <c r="G10">
        <v>8036159230</v>
      </c>
      <c r="H10" t="s">
        <v>24</v>
      </c>
      <c r="I10" t="s">
        <v>61</v>
      </c>
      <c r="J10" t="s">
        <v>84</v>
      </c>
      <c r="K10" t="s">
        <v>85</v>
      </c>
      <c r="L10" t="s">
        <v>86</v>
      </c>
      <c r="M10" t="s">
        <v>87</v>
      </c>
      <c r="N10">
        <v>3</v>
      </c>
      <c r="O10">
        <v>159017.65</v>
      </c>
      <c r="P10">
        <v>0</v>
      </c>
      <c r="Q10">
        <v>0</v>
      </c>
      <c r="R10">
        <v>477052.95</v>
      </c>
      <c r="S10">
        <v>137937.26</v>
      </c>
    </row>
    <row r="11" spans="1:19" ht="15" customHeight="1" x14ac:dyDescent="0.25">
      <c r="A11" t="s">
        <v>88</v>
      </c>
      <c r="B11" s="8">
        <v>45535</v>
      </c>
      <c r="C11" s="8">
        <v>45540</v>
      </c>
      <c r="D11" t="s">
        <v>73</v>
      </c>
      <c r="E11" t="s">
        <v>89</v>
      </c>
      <c r="F11" t="s">
        <v>90</v>
      </c>
      <c r="G11">
        <v>8134374754</v>
      </c>
      <c r="H11" t="s">
        <v>35</v>
      </c>
      <c r="I11" t="s">
        <v>25</v>
      </c>
      <c r="J11" t="s">
        <v>36</v>
      </c>
      <c r="K11" t="s">
        <v>63</v>
      </c>
      <c r="L11" t="s">
        <v>64</v>
      </c>
      <c r="M11" t="s">
        <v>65</v>
      </c>
      <c r="N11">
        <v>17</v>
      </c>
      <c r="O11">
        <v>11233.45</v>
      </c>
      <c r="P11">
        <v>20</v>
      </c>
      <c r="Q11">
        <v>38193.730000000003</v>
      </c>
      <c r="R11">
        <v>152774.92000000001</v>
      </c>
      <c r="S11">
        <v>-11824.39</v>
      </c>
    </row>
    <row r="12" spans="1:19" ht="15" customHeight="1" x14ac:dyDescent="0.25">
      <c r="A12" t="s">
        <v>91</v>
      </c>
      <c r="B12" s="8">
        <v>45033</v>
      </c>
      <c r="C12" s="8">
        <v>45039</v>
      </c>
      <c r="D12" t="s">
        <v>48</v>
      </c>
      <c r="E12" t="s">
        <v>92</v>
      </c>
      <c r="F12" t="s">
        <v>93</v>
      </c>
      <c r="G12" t="s">
        <v>94</v>
      </c>
      <c r="H12" t="s">
        <v>43</v>
      </c>
      <c r="I12" t="s">
        <v>61</v>
      </c>
      <c r="J12" t="s">
        <v>95</v>
      </c>
      <c r="K12" t="s">
        <v>96</v>
      </c>
      <c r="L12" t="s">
        <v>97</v>
      </c>
      <c r="M12" t="s">
        <v>98</v>
      </c>
      <c r="N12">
        <v>9</v>
      </c>
      <c r="O12">
        <v>238657.91</v>
      </c>
      <c r="P12">
        <v>20</v>
      </c>
      <c r="Q12">
        <v>429584.24</v>
      </c>
      <c r="R12" t="s">
        <v>99</v>
      </c>
      <c r="S12">
        <v>-36871.93</v>
      </c>
    </row>
    <row r="13" spans="1:19" ht="15" customHeight="1" x14ac:dyDescent="0.25">
      <c r="A13" t="s">
        <v>100</v>
      </c>
      <c r="B13" s="8">
        <v>45059</v>
      </c>
      <c r="C13" s="8">
        <v>45060</v>
      </c>
      <c r="D13" t="s">
        <v>32</v>
      </c>
      <c r="E13" t="s">
        <v>101</v>
      </c>
      <c r="F13" t="s">
        <v>102</v>
      </c>
      <c r="G13">
        <v>8068231838</v>
      </c>
      <c r="H13" t="s">
        <v>24</v>
      </c>
      <c r="I13" t="s">
        <v>61</v>
      </c>
      <c r="J13" t="s">
        <v>103</v>
      </c>
      <c r="K13" t="s">
        <v>63</v>
      </c>
      <c r="L13" t="s">
        <v>64</v>
      </c>
      <c r="M13" t="s">
        <v>104</v>
      </c>
      <c r="N13">
        <v>2</v>
      </c>
      <c r="O13">
        <v>11942.1</v>
      </c>
      <c r="P13">
        <v>0</v>
      </c>
      <c r="Q13">
        <v>0</v>
      </c>
      <c r="R13">
        <v>23884.2</v>
      </c>
      <c r="S13">
        <v>-2714.02</v>
      </c>
    </row>
    <row r="14" spans="1:19" ht="15" customHeight="1" x14ac:dyDescent="0.25">
      <c r="A14" t="s">
        <v>105</v>
      </c>
      <c r="B14" s="8">
        <v>44951</v>
      </c>
      <c r="C14" s="8">
        <v>44956</v>
      </c>
      <c r="D14" t="s">
        <v>73</v>
      </c>
      <c r="E14" t="s">
        <v>106</v>
      </c>
      <c r="F14" t="s">
        <v>107</v>
      </c>
      <c r="G14">
        <v>8105673212</v>
      </c>
      <c r="H14" t="s">
        <v>35</v>
      </c>
      <c r="I14" t="s">
        <v>51</v>
      </c>
      <c r="J14" t="s">
        <v>52</v>
      </c>
      <c r="K14" t="s">
        <v>108</v>
      </c>
      <c r="L14" t="s">
        <v>109</v>
      </c>
      <c r="M14" t="s">
        <v>110</v>
      </c>
      <c r="N14">
        <v>18</v>
      </c>
      <c r="O14">
        <v>21054.62</v>
      </c>
      <c r="P14">
        <v>0</v>
      </c>
      <c r="Q14">
        <v>0</v>
      </c>
      <c r="R14">
        <v>378983.16</v>
      </c>
      <c r="S14">
        <v>-45344.2</v>
      </c>
    </row>
    <row r="15" spans="1:19" ht="15" customHeight="1" x14ac:dyDescent="0.25">
      <c r="A15" t="s">
        <v>111</v>
      </c>
      <c r="B15" s="8">
        <v>45394</v>
      </c>
      <c r="C15" s="8">
        <v>45398</v>
      </c>
      <c r="D15" t="s">
        <v>73</v>
      </c>
      <c r="E15" t="s">
        <v>112</v>
      </c>
      <c r="F15" t="s">
        <v>113</v>
      </c>
      <c r="G15">
        <v>8033762152</v>
      </c>
      <c r="H15" t="s">
        <v>35</v>
      </c>
      <c r="I15" t="s">
        <v>25</v>
      </c>
      <c r="J15" t="s">
        <v>26</v>
      </c>
      <c r="K15" t="s">
        <v>108</v>
      </c>
      <c r="L15" t="s">
        <v>114</v>
      </c>
      <c r="M15" t="s">
        <v>115</v>
      </c>
      <c r="N15">
        <v>15</v>
      </c>
      <c r="O15">
        <v>13403.73</v>
      </c>
      <c r="P15">
        <v>10</v>
      </c>
      <c r="Q15">
        <v>20105.59</v>
      </c>
      <c r="R15">
        <v>180950.36</v>
      </c>
      <c r="S15">
        <v>18783.46</v>
      </c>
    </row>
    <row r="16" spans="1:19" ht="15" customHeight="1" x14ac:dyDescent="0.25">
      <c r="A16" t="s">
        <v>116</v>
      </c>
      <c r="B16" s="8">
        <v>45007</v>
      </c>
      <c r="C16" s="8">
        <v>45009</v>
      </c>
      <c r="D16" t="s">
        <v>20</v>
      </c>
      <c r="E16" t="s">
        <v>117</v>
      </c>
      <c r="F16" t="s">
        <v>118</v>
      </c>
      <c r="G16">
        <v>9016261415</v>
      </c>
      <c r="H16" t="s">
        <v>35</v>
      </c>
      <c r="I16" t="s">
        <v>69</v>
      </c>
      <c r="J16" t="s">
        <v>119</v>
      </c>
      <c r="K16" t="s">
        <v>96</v>
      </c>
      <c r="L16" t="s">
        <v>120</v>
      </c>
      <c r="M16" t="s">
        <v>121</v>
      </c>
      <c r="N16">
        <v>17</v>
      </c>
      <c r="O16">
        <v>222403</v>
      </c>
      <c r="P16">
        <v>0</v>
      </c>
      <c r="Q16">
        <v>0</v>
      </c>
      <c r="R16">
        <v>3780851</v>
      </c>
      <c r="S16">
        <v>-438095.72</v>
      </c>
    </row>
    <row r="17" spans="1:19" ht="15" customHeight="1" x14ac:dyDescent="0.25">
      <c r="A17" t="s">
        <v>122</v>
      </c>
      <c r="B17" s="8">
        <v>45043</v>
      </c>
      <c r="C17" s="8">
        <v>45051</v>
      </c>
      <c r="D17" t="s">
        <v>48</v>
      </c>
      <c r="E17" t="s">
        <v>123</v>
      </c>
      <c r="F17" t="s">
        <v>124</v>
      </c>
      <c r="G17">
        <v>9051666754</v>
      </c>
      <c r="H17" t="s">
        <v>125</v>
      </c>
      <c r="I17" t="s">
        <v>25</v>
      </c>
      <c r="J17" t="s">
        <v>126</v>
      </c>
      <c r="K17" t="s">
        <v>27</v>
      </c>
      <c r="L17" t="s">
        <v>79</v>
      </c>
      <c r="M17" t="s">
        <v>127</v>
      </c>
      <c r="N17">
        <v>19</v>
      </c>
      <c r="O17">
        <v>5361.77</v>
      </c>
      <c r="P17">
        <v>25</v>
      </c>
      <c r="Q17">
        <v>25468.41</v>
      </c>
      <c r="R17">
        <v>76405.22</v>
      </c>
      <c r="S17">
        <v>3042.6</v>
      </c>
    </row>
    <row r="18" spans="1:19" ht="15" customHeight="1" x14ac:dyDescent="0.25">
      <c r="A18" t="s">
        <v>128</v>
      </c>
      <c r="B18" s="8">
        <v>45050</v>
      </c>
      <c r="C18" s="8">
        <v>45053</v>
      </c>
      <c r="D18" t="s">
        <v>20</v>
      </c>
      <c r="E18" t="s">
        <v>129</v>
      </c>
      <c r="F18" t="s">
        <v>130</v>
      </c>
      <c r="G18">
        <v>8146304573</v>
      </c>
      <c r="H18" t="s">
        <v>24</v>
      </c>
      <c r="I18" t="s">
        <v>51</v>
      </c>
      <c r="J18" t="s">
        <v>131</v>
      </c>
      <c r="K18" t="s">
        <v>132</v>
      </c>
      <c r="L18" t="s">
        <v>120</v>
      </c>
      <c r="M18" t="s">
        <v>133</v>
      </c>
      <c r="N18">
        <v>19</v>
      </c>
      <c r="O18">
        <v>285204.28000000003</v>
      </c>
      <c r="P18">
        <v>0</v>
      </c>
      <c r="Q18">
        <v>0</v>
      </c>
      <c r="R18">
        <v>5418881.3200000003</v>
      </c>
      <c r="S18">
        <v>-574637.51</v>
      </c>
    </row>
    <row r="19" spans="1:19" ht="15" customHeight="1" x14ac:dyDescent="0.25">
      <c r="A19" t="s">
        <v>134</v>
      </c>
      <c r="B19" s="8">
        <v>45276</v>
      </c>
      <c r="C19" s="8">
        <v>45279</v>
      </c>
      <c r="D19" t="s">
        <v>73</v>
      </c>
      <c r="E19" t="s">
        <v>135</v>
      </c>
      <c r="F19" t="s">
        <v>136</v>
      </c>
      <c r="G19">
        <v>8108351517</v>
      </c>
      <c r="H19" t="s">
        <v>43</v>
      </c>
      <c r="I19" t="s">
        <v>61</v>
      </c>
      <c r="J19" t="s">
        <v>84</v>
      </c>
      <c r="K19" t="s">
        <v>27</v>
      </c>
      <c r="L19" t="s">
        <v>45</v>
      </c>
      <c r="M19" t="s">
        <v>46</v>
      </c>
      <c r="N19">
        <v>17</v>
      </c>
      <c r="O19">
        <v>7875.67</v>
      </c>
      <c r="P19">
        <v>0</v>
      </c>
      <c r="Q19">
        <v>0</v>
      </c>
      <c r="R19">
        <v>133886.39000000001</v>
      </c>
      <c r="S19">
        <v>33567.72</v>
      </c>
    </row>
    <row r="20" spans="1:19" ht="15" customHeight="1" x14ac:dyDescent="0.25">
      <c r="A20" t="s">
        <v>137</v>
      </c>
      <c r="B20" s="8">
        <v>44798</v>
      </c>
      <c r="C20" s="8">
        <v>44800</v>
      </c>
      <c r="D20" t="s">
        <v>20</v>
      </c>
      <c r="E20" t="s">
        <v>138</v>
      </c>
      <c r="F20" t="s">
        <v>139</v>
      </c>
      <c r="G20">
        <v>8164533779</v>
      </c>
      <c r="H20" t="s">
        <v>35</v>
      </c>
      <c r="I20" t="s">
        <v>51</v>
      </c>
      <c r="J20" t="s">
        <v>52</v>
      </c>
      <c r="K20" t="s">
        <v>63</v>
      </c>
      <c r="L20" t="s">
        <v>54</v>
      </c>
      <c r="M20" t="s">
        <v>55</v>
      </c>
      <c r="N20" t="s">
        <v>140</v>
      </c>
      <c r="O20">
        <v>12882.52</v>
      </c>
      <c r="P20">
        <v>0</v>
      </c>
      <c r="Q20">
        <v>0</v>
      </c>
      <c r="R20">
        <v>115942.68</v>
      </c>
      <c r="S20">
        <v>-10970.6</v>
      </c>
    </row>
    <row r="21" spans="1:19" ht="15" customHeight="1" x14ac:dyDescent="0.25">
      <c r="A21" t="s">
        <v>141</v>
      </c>
      <c r="B21" s="8">
        <v>45245</v>
      </c>
      <c r="C21" s="8">
        <v>45251</v>
      </c>
      <c r="D21" t="s">
        <v>48</v>
      </c>
      <c r="E21" t="s">
        <v>142</v>
      </c>
      <c r="F21" t="s">
        <v>143</v>
      </c>
      <c r="G21">
        <v>8158175395</v>
      </c>
      <c r="H21" t="s">
        <v>35</v>
      </c>
      <c r="I21" t="s">
        <v>69</v>
      </c>
      <c r="J21" t="s">
        <v>144</v>
      </c>
      <c r="K21" t="s">
        <v>27</v>
      </c>
      <c r="L21" t="s">
        <v>79</v>
      </c>
      <c r="M21" t="s">
        <v>145</v>
      </c>
      <c r="N21">
        <v>5</v>
      </c>
      <c r="O21">
        <v>879.38</v>
      </c>
      <c r="P21">
        <v>25</v>
      </c>
      <c r="Q21">
        <v>1099.22</v>
      </c>
      <c r="R21">
        <v>3297.68</v>
      </c>
      <c r="S21">
        <v>-423.37</v>
      </c>
    </row>
    <row r="22" spans="1:19" ht="15" customHeight="1" x14ac:dyDescent="0.25">
      <c r="A22" t="s">
        <v>146</v>
      </c>
      <c r="B22" s="8">
        <v>45442</v>
      </c>
      <c r="C22" s="8">
        <v>45445</v>
      </c>
      <c r="D22" t="s">
        <v>73</v>
      </c>
      <c r="E22" t="s">
        <v>147</v>
      </c>
      <c r="F22" t="s">
        <v>148</v>
      </c>
      <c r="G22">
        <v>9021669324</v>
      </c>
      <c r="H22" t="s">
        <v>24</v>
      </c>
      <c r="I22" t="s">
        <v>51</v>
      </c>
      <c r="J22" t="s">
        <v>149</v>
      </c>
      <c r="K22" t="s">
        <v>63</v>
      </c>
      <c r="L22" t="s">
        <v>54</v>
      </c>
      <c r="M22" t="s">
        <v>150</v>
      </c>
      <c r="N22">
        <v>-1</v>
      </c>
      <c r="O22">
        <v>16839.87</v>
      </c>
      <c r="P22">
        <v>25</v>
      </c>
      <c r="Q22">
        <v>50519.61</v>
      </c>
      <c r="R22">
        <v>151558.82999999999</v>
      </c>
      <c r="S22">
        <v>57665.23</v>
      </c>
    </row>
    <row r="23" spans="1:19" ht="15" customHeight="1" x14ac:dyDescent="0.25">
      <c r="A23" t="s">
        <v>151</v>
      </c>
      <c r="B23" s="8">
        <v>45046</v>
      </c>
      <c r="C23" s="8">
        <v>45049</v>
      </c>
      <c r="D23" t="s">
        <v>73</v>
      </c>
      <c r="E23" t="s">
        <v>152</v>
      </c>
      <c r="F23" t="s">
        <v>153</v>
      </c>
      <c r="G23">
        <v>8106573147</v>
      </c>
      <c r="H23" t="s">
        <v>24</v>
      </c>
      <c r="I23" t="s">
        <v>154</v>
      </c>
      <c r="J23" t="s">
        <v>155</v>
      </c>
      <c r="K23" t="s">
        <v>156</v>
      </c>
      <c r="L23" t="s">
        <v>109</v>
      </c>
      <c r="M23" t="s">
        <v>157</v>
      </c>
      <c r="N23">
        <v>4</v>
      </c>
      <c r="O23">
        <v>8845.51</v>
      </c>
      <c r="P23">
        <v>15</v>
      </c>
      <c r="Q23">
        <v>5307.31</v>
      </c>
      <c r="R23">
        <v>30074.73</v>
      </c>
      <c r="S23">
        <v>11226.9</v>
      </c>
    </row>
    <row r="24" spans="1:19" ht="15" customHeight="1" x14ac:dyDescent="0.25">
      <c r="A24" t="s">
        <v>158</v>
      </c>
      <c r="B24" s="8">
        <v>45278</v>
      </c>
      <c r="C24" s="8">
        <v>45279</v>
      </c>
      <c r="D24" t="s">
        <v>32</v>
      </c>
      <c r="E24" t="s">
        <v>159</v>
      </c>
      <c r="F24" t="s">
        <v>160</v>
      </c>
      <c r="G24">
        <v>9074240180</v>
      </c>
      <c r="H24" t="s">
        <v>35</v>
      </c>
      <c r="I24" t="s">
        <v>69</v>
      </c>
      <c r="J24" t="s">
        <v>119</v>
      </c>
      <c r="K24" t="s">
        <v>108</v>
      </c>
      <c r="L24" t="s">
        <v>38</v>
      </c>
      <c r="M24" t="s">
        <v>39</v>
      </c>
      <c r="N24">
        <v>9</v>
      </c>
      <c r="O24">
        <v>39167.18</v>
      </c>
      <c r="P24" t="s">
        <v>161</v>
      </c>
      <c r="Q24">
        <v>35250.46</v>
      </c>
      <c r="R24">
        <v>317254.15999999997</v>
      </c>
      <c r="S24">
        <v>74519.53</v>
      </c>
    </row>
    <row r="25" spans="1:19" ht="15" customHeight="1" x14ac:dyDescent="0.25">
      <c r="A25" t="s">
        <v>162</v>
      </c>
      <c r="B25" s="8">
        <v>44798</v>
      </c>
      <c r="C25" s="8">
        <v>44805</v>
      </c>
      <c r="D25" t="s">
        <v>48</v>
      </c>
      <c r="E25" t="s">
        <v>163</v>
      </c>
      <c r="F25" t="s">
        <v>164</v>
      </c>
      <c r="G25">
        <v>8032818692</v>
      </c>
      <c r="H25" t="s">
        <v>43</v>
      </c>
      <c r="I25" t="s">
        <v>69</v>
      </c>
      <c r="J25" t="s">
        <v>155</v>
      </c>
      <c r="K25" t="s">
        <v>27</v>
      </c>
      <c r="L25" t="s">
        <v>28</v>
      </c>
      <c r="M25" t="s">
        <v>71</v>
      </c>
      <c r="N25">
        <v>11</v>
      </c>
      <c r="O25">
        <v>5909.8</v>
      </c>
      <c r="P25">
        <v>15</v>
      </c>
      <c r="Q25">
        <v>9751.17</v>
      </c>
      <c r="R25">
        <v>55256.63</v>
      </c>
      <c r="S25">
        <v>11809.74</v>
      </c>
    </row>
    <row r="26" spans="1:19" ht="15" customHeight="1" x14ac:dyDescent="0.25">
      <c r="A26" t="s">
        <v>165</v>
      </c>
      <c r="B26" s="8">
        <v>45083</v>
      </c>
      <c r="C26" s="8">
        <v>45086</v>
      </c>
      <c r="D26" t="s">
        <v>73</v>
      </c>
      <c r="E26" t="s">
        <v>166</v>
      </c>
      <c r="F26" t="s">
        <v>167</v>
      </c>
      <c r="G26">
        <v>7038235969</v>
      </c>
      <c r="H26" t="s">
        <v>24</v>
      </c>
      <c r="I26" t="s">
        <v>25</v>
      </c>
      <c r="J26" t="s">
        <v>168</v>
      </c>
      <c r="K26" t="s">
        <v>96</v>
      </c>
      <c r="L26" t="s">
        <v>97</v>
      </c>
      <c r="M26" t="s">
        <v>169</v>
      </c>
      <c r="N26">
        <v>4</v>
      </c>
      <c r="O26">
        <v>151553.31</v>
      </c>
      <c r="P26">
        <v>10</v>
      </c>
      <c r="Q26">
        <v>60621.32</v>
      </c>
      <c r="S26">
        <v>84170.38</v>
      </c>
    </row>
    <row r="27" spans="1:19" ht="15" customHeight="1" x14ac:dyDescent="0.25">
      <c r="A27" t="s">
        <v>170</v>
      </c>
      <c r="B27" s="8">
        <v>44822</v>
      </c>
      <c r="C27" s="8">
        <v>44824</v>
      </c>
      <c r="D27" t="s">
        <v>20</v>
      </c>
      <c r="E27" t="s">
        <v>171</v>
      </c>
      <c r="F27" t="s">
        <v>172</v>
      </c>
      <c r="G27">
        <v>9073919694</v>
      </c>
      <c r="H27" t="s">
        <v>43</v>
      </c>
      <c r="I27" t="s">
        <v>69</v>
      </c>
      <c r="J27" t="s">
        <v>144</v>
      </c>
      <c r="K27" t="s">
        <v>27</v>
      </c>
      <c r="L27" t="s">
        <v>173</v>
      </c>
      <c r="M27" t="s">
        <v>174</v>
      </c>
      <c r="N27">
        <v>1</v>
      </c>
      <c r="O27">
        <v>3426.78</v>
      </c>
      <c r="P27">
        <v>10</v>
      </c>
      <c r="Q27">
        <v>342.68</v>
      </c>
      <c r="R27">
        <v>3084.1</v>
      </c>
      <c r="S27">
        <v>68.31</v>
      </c>
    </row>
    <row r="28" spans="1:19" ht="15" customHeight="1" x14ac:dyDescent="0.25">
      <c r="A28" t="s">
        <v>175</v>
      </c>
      <c r="B28" s="8">
        <v>45514</v>
      </c>
      <c r="C28" s="8">
        <v>45517</v>
      </c>
      <c r="D28" t="s">
        <v>20</v>
      </c>
      <c r="E28" t="s">
        <v>176</v>
      </c>
      <c r="F28" t="s">
        <v>177</v>
      </c>
      <c r="G28">
        <v>8158938746</v>
      </c>
      <c r="H28" t="s">
        <v>24</v>
      </c>
      <c r="I28" t="s">
        <v>69</v>
      </c>
      <c r="J28" t="s">
        <v>155</v>
      </c>
      <c r="K28" t="s">
        <v>85</v>
      </c>
      <c r="L28" t="s">
        <v>86</v>
      </c>
      <c r="M28" t="s">
        <v>178</v>
      </c>
      <c r="N28">
        <v>20</v>
      </c>
      <c r="O28">
        <v>96657.75</v>
      </c>
      <c r="P28">
        <v>10</v>
      </c>
      <c r="Q28">
        <v>193315.5</v>
      </c>
      <c r="R28">
        <v>1739839.5</v>
      </c>
      <c r="S28">
        <v>-163488.68</v>
      </c>
    </row>
    <row r="29" spans="1:19" ht="15" customHeight="1" x14ac:dyDescent="0.25">
      <c r="A29" t="s">
        <v>179</v>
      </c>
      <c r="B29" s="8">
        <v>44863</v>
      </c>
      <c r="C29" s="8">
        <v>44866</v>
      </c>
      <c r="D29" t="s">
        <v>73</v>
      </c>
      <c r="E29" t="s">
        <v>180</v>
      </c>
      <c r="F29" t="s">
        <v>181</v>
      </c>
      <c r="G29">
        <v>9052221854</v>
      </c>
      <c r="H29" t="s">
        <v>35</v>
      </c>
      <c r="I29" t="s">
        <v>61</v>
      </c>
      <c r="J29" t="s">
        <v>182</v>
      </c>
      <c r="K29" t="s">
        <v>108</v>
      </c>
      <c r="L29" t="s">
        <v>183</v>
      </c>
      <c r="M29" t="s">
        <v>184</v>
      </c>
      <c r="N29" t="s">
        <v>185</v>
      </c>
      <c r="O29">
        <v>10360.719999999999</v>
      </c>
      <c r="P29">
        <v>20</v>
      </c>
      <c r="Q29">
        <v>26937.87</v>
      </c>
      <c r="R29">
        <v>107751.49</v>
      </c>
      <c r="S29">
        <v>9675.19</v>
      </c>
    </row>
    <row r="30" spans="1:19" ht="15" customHeight="1" x14ac:dyDescent="0.25">
      <c r="A30" t="s">
        <v>186</v>
      </c>
      <c r="B30" s="8">
        <v>45010</v>
      </c>
      <c r="C30" s="8">
        <v>45010</v>
      </c>
      <c r="D30" t="s">
        <v>32</v>
      </c>
      <c r="E30" t="s">
        <v>187</v>
      </c>
      <c r="F30" t="s">
        <v>188</v>
      </c>
      <c r="G30">
        <v>8155180853</v>
      </c>
      <c r="H30" t="s">
        <v>35</v>
      </c>
      <c r="I30" t="s">
        <v>61</v>
      </c>
      <c r="J30" t="s">
        <v>95</v>
      </c>
      <c r="K30" t="s">
        <v>96</v>
      </c>
      <c r="L30" t="s">
        <v>189</v>
      </c>
      <c r="M30" t="s">
        <v>190</v>
      </c>
      <c r="N30">
        <v>17</v>
      </c>
      <c r="O30">
        <v>363616.22</v>
      </c>
      <c r="P30">
        <v>25</v>
      </c>
      <c r="Q30">
        <v>1545368.93</v>
      </c>
      <c r="R30">
        <v>4636106.8099999996</v>
      </c>
      <c r="S30">
        <v>960932.31</v>
      </c>
    </row>
    <row r="31" spans="1:19" ht="15" customHeight="1" x14ac:dyDescent="0.25">
      <c r="A31" t="s">
        <v>191</v>
      </c>
      <c r="B31" s="8">
        <v>45475</v>
      </c>
      <c r="C31" s="8">
        <v>45475</v>
      </c>
      <c r="D31" t="s">
        <v>32</v>
      </c>
      <c r="E31" t="s">
        <v>192</v>
      </c>
      <c r="F31" t="s">
        <v>193</v>
      </c>
      <c r="G31">
        <v>9025147994</v>
      </c>
      <c r="H31" t="s">
        <v>24</v>
      </c>
      <c r="I31" t="s">
        <v>69</v>
      </c>
      <c r="J31" t="s">
        <v>155</v>
      </c>
      <c r="K31" t="s">
        <v>63</v>
      </c>
      <c r="L31" t="s">
        <v>194</v>
      </c>
      <c r="M31" t="s">
        <v>195</v>
      </c>
      <c r="N31">
        <v>8</v>
      </c>
      <c r="O31">
        <v>12372.63</v>
      </c>
      <c r="P31" t="s">
        <v>161</v>
      </c>
      <c r="Q31">
        <v>9898.1</v>
      </c>
      <c r="R31">
        <v>89082.94</v>
      </c>
      <c r="S31">
        <v>10148.65</v>
      </c>
    </row>
    <row r="32" spans="1:19" ht="15" customHeight="1" x14ac:dyDescent="0.25">
      <c r="A32" t="s">
        <v>196</v>
      </c>
      <c r="B32" s="8">
        <v>45216</v>
      </c>
      <c r="C32" s="8">
        <v>45218</v>
      </c>
      <c r="D32" t="s">
        <v>20</v>
      </c>
      <c r="E32" t="s">
        <v>197</v>
      </c>
      <c r="F32" t="s">
        <v>198</v>
      </c>
      <c r="G32">
        <v>7063563646</v>
      </c>
      <c r="H32" t="s">
        <v>43</v>
      </c>
      <c r="I32" t="s">
        <v>51</v>
      </c>
      <c r="J32" t="s">
        <v>131</v>
      </c>
      <c r="K32" t="s">
        <v>85</v>
      </c>
      <c r="L32" t="s">
        <v>86</v>
      </c>
      <c r="M32" t="s">
        <v>199</v>
      </c>
      <c r="N32">
        <v>18</v>
      </c>
      <c r="O32">
        <v>78107.09</v>
      </c>
      <c r="P32">
        <v>20</v>
      </c>
      <c r="Q32">
        <v>281185.52</v>
      </c>
      <c r="R32" t="s">
        <v>200</v>
      </c>
      <c r="S32">
        <v>111871.96</v>
      </c>
    </row>
    <row r="33" spans="1:19" ht="15" customHeight="1" x14ac:dyDescent="0.25">
      <c r="A33" t="s">
        <v>201</v>
      </c>
      <c r="B33" s="8">
        <v>45341</v>
      </c>
      <c r="C33" s="8">
        <v>45349</v>
      </c>
      <c r="D33" t="s">
        <v>48</v>
      </c>
      <c r="E33" t="s">
        <v>202</v>
      </c>
      <c r="F33" t="s">
        <v>203</v>
      </c>
      <c r="G33">
        <v>9027542890</v>
      </c>
      <c r="H33" t="s">
        <v>43</v>
      </c>
      <c r="I33" t="s">
        <v>61</v>
      </c>
      <c r="J33" t="s">
        <v>204</v>
      </c>
      <c r="K33" t="s">
        <v>108</v>
      </c>
      <c r="L33" t="s">
        <v>189</v>
      </c>
      <c r="M33" t="s">
        <v>205</v>
      </c>
      <c r="N33">
        <v>8</v>
      </c>
      <c r="O33">
        <v>36394.33</v>
      </c>
      <c r="P33">
        <v>20</v>
      </c>
      <c r="Q33">
        <v>58230.93</v>
      </c>
      <c r="R33">
        <v>232923.71</v>
      </c>
      <c r="S33">
        <v>-4273.46</v>
      </c>
    </row>
    <row r="34" spans="1:19" ht="15" customHeight="1" x14ac:dyDescent="0.25">
      <c r="A34" t="s">
        <v>206</v>
      </c>
      <c r="B34" s="8">
        <v>45250</v>
      </c>
      <c r="C34" s="8">
        <v>45251</v>
      </c>
      <c r="D34" t="s">
        <v>32</v>
      </c>
      <c r="E34" t="s">
        <v>207</v>
      </c>
      <c r="F34" t="s">
        <v>208</v>
      </c>
      <c r="G34">
        <v>8109961107</v>
      </c>
      <c r="H34" t="s">
        <v>35</v>
      </c>
      <c r="I34" t="s">
        <v>69</v>
      </c>
      <c r="J34" t="s">
        <v>70</v>
      </c>
      <c r="K34" t="s">
        <v>96</v>
      </c>
      <c r="L34" t="s">
        <v>189</v>
      </c>
      <c r="M34" t="s">
        <v>205</v>
      </c>
      <c r="N34">
        <v>1</v>
      </c>
      <c r="O34">
        <v>260510.51</v>
      </c>
      <c r="P34">
        <v>0</v>
      </c>
      <c r="Q34">
        <v>0</v>
      </c>
      <c r="R34">
        <v>260510.51</v>
      </c>
      <c r="S34">
        <v>61389.25</v>
      </c>
    </row>
    <row r="35" spans="1:19" ht="15" customHeight="1" x14ac:dyDescent="0.25">
      <c r="A35" t="s">
        <v>209</v>
      </c>
      <c r="B35" s="8">
        <v>45094</v>
      </c>
      <c r="C35" s="8">
        <v>45102</v>
      </c>
      <c r="D35" t="s">
        <v>210</v>
      </c>
      <c r="E35" t="s">
        <v>211</v>
      </c>
      <c r="F35" t="s">
        <v>212</v>
      </c>
      <c r="G35">
        <v>7036662319</v>
      </c>
      <c r="H35" t="s">
        <v>35</v>
      </c>
      <c r="I35" t="s">
        <v>61</v>
      </c>
      <c r="J35" t="s">
        <v>204</v>
      </c>
      <c r="K35" t="s">
        <v>108</v>
      </c>
      <c r="L35" t="s">
        <v>38</v>
      </c>
      <c r="M35" t="s">
        <v>213</v>
      </c>
      <c r="N35">
        <v>3</v>
      </c>
      <c r="O35">
        <v>12847.68</v>
      </c>
      <c r="P35">
        <v>20</v>
      </c>
      <c r="Q35">
        <v>7708.61</v>
      </c>
      <c r="R35">
        <v>30834.43</v>
      </c>
      <c r="S35">
        <v>-4266.5600000000004</v>
      </c>
    </row>
    <row r="36" spans="1:19" ht="15" customHeight="1" x14ac:dyDescent="0.25">
      <c r="A36" t="s">
        <v>214</v>
      </c>
      <c r="B36" s="8" t="s">
        <v>215</v>
      </c>
      <c r="C36" s="8">
        <v>44649</v>
      </c>
      <c r="D36" t="s">
        <v>48</v>
      </c>
      <c r="E36" t="s">
        <v>216</v>
      </c>
      <c r="F36" t="s">
        <v>217</v>
      </c>
      <c r="G36">
        <v>9053556551</v>
      </c>
      <c r="H36" t="s">
        <v>35</v>
      </c>
      <c r="I36" t="s">
        <v>25</v>
      </c>
      <c r="J36" t="s">
        <v>44</v>
      </c>
      <c r="K36" t="s">
        <v>85</v>
      </c>
      <c r="L36" t="s">
        <v>218</v>
      </c>
      <c r="M36" t="s">
        <v>219</v>
      </c>
      <c r="N36">
        <v>19</v>
      </c>
      <c r="O36">
        <v>123146.92</v>
      </c>
      <c r="P36">
        <v>5</v>
      </c>
      <c r="Q36">
        <v>116989.57</v>
      </c>
      <c r="R36">
        <v>2222801.91</v>
      </c>
      <c r="S36">
        <v>286786.77</v>
      </c>
    </row>
    <row r="37" spans="1:19" ht="15" customHeight="1" x14ac:dyDescent="0.25">
      <c r="A37" t="s">
        <v>220</v>
      </c>
      <c r="B37" s="8">
        <v>44897</v>
      </c>
      <c r="C37" s="8">
        <v>44904</v>
      </c>
      <c r="D37" t="s">
        <v>48</v>
      </c>
      <c r="E37" t="s">
        <v>221</v>
      </c>
      <c r="F37" t="s">
        <v>222</v>
      </c>
      <c r="G37">
        <v>8167296605</v>
      </c>
      <c r="H37" t="s">
        <v>35</v>
      </c>
      <c r="I37" t="s">
        <v>51</v>
      </c>
      <c r="J37" t="s">
        <v>223</v>
      </c>
      <c r="K37" t="s">
        <v>108</v>
      </c>
      <c r="L37" t="s">
        <v>109</v>
      </c>
      <c r="M37" t="s">
        <v>110</v>
      </c>
      <c r="N37">
        <v>8</v>
      </c>
      <c r="O37">
        <v>27460.21</v>
      </c>
      <c r="P37">
        <v>0</v>
      </c>
      <c r="Q37">
        <v>0</v>
      </c>
      <c r="R37">
        <v>219681.68</v>
      </c>
      <c r="S37">
        <v>58944.07</v>
      </c>
    </row>
    <row r="38" spans="1:19" ht="15" customHeight="1" x14ac:dyDescent="0.25">
      <c r="A38" t="s">
        <v>224</v>
      </c>
      <c r="B38" s="8">
        <v>45273</v>
      </c>
      <c r="C38" s="8">
        <v>45281</v>
      </c>
      <c r="D38" t="s">
        <v>48</v>
      </c>
      <c r="E38" t="s">
        <v>225</v>
      </c>
      <c r="F38" t="s">
        <v>226</v>
      </c>
      <c r="G38">
        <v>8038047416</v>
      </c>
      <c r="H38" t="s">
        <v>35</v>
      </c>
      <c r="I38" t="s">
        <v>51</v>
      </c>
      <c r="J38" t="s">
        <v>227</v>
      </c>
      <c r="K38" t="s">
        <v>108</v>
      </c>
      <c r="L38" t="s">
        <v>114</v>
      </c>
      <c r="M38" t="s">
        <v>115</v>
      </c>
      <c r="N38">
        <v>15</v>
      </c>
      <c r="O38">
        <v>43313.87</v>
      </c>
      <c r="P38">
        <v>0</v>
      </c>
      <c r="Q38">
        <v>0</v>
      </c>
      <c r="R38">
        <v>649708.05000000005</v>
      </c>
      <c r="S38">
        <v>72307.490000000005</v>
      </c>
    </row>
    <row r="39" spans="1:19" ht="15" customHeight="1" x14ac:dyDescent="0.25">
      <c r="A39" t="s">
        <v>228</v>
      </c>
      <c r="B39" s="8">
        <v>45514</v>
      </c>
      <c r="C39" s="8">
        <v>45515</v>
      </c>
      <c r="D39" t="s">
        <v>32</v>
      </c>
      <c r="E39" t="s">
        <v>33</v>
      </c>
      <c r="F39" t="s">
        <v>229</v>
      </c>
      <c r="G39">
        <v>8035118725</v>
      </c>
      <c r="H39" t="s">
        <v>24</v>
      </c>
      <c r="I39" t="s">
        <v>51</v>
      </c>
      <c r="J39" t="s">
        <v>227</v>
      </c>
      <c r="K39" t="s">
        <v>96</v>
      </c>
      <c r="L39" t="s">
        <v>97</v>
      </c>
      <c r="M39" t="s">
        <v>230</v>
      </c>
      <c r="N39">
        <v>15</v>
      </c>
      <c r="O39">
        <v>121080.6</v>
      </c>
      <c r="P39">
        <v>15</v>
      </c>
      <c r="Q39">
        <v>272431.34999999998</v>
      </c>
      <c r="R39">
        <v>1543777.65</v>
      </c>
      <c r="S39">
        <v>80026.3</v>
      </c>
    </row>
    <row r="40" spans="1:19" ht="15" customHeight="1" x14ac:dyDescent="0.25">
      <c r="A40" t="s">
        <v>231</v>
      </c>
      <c r="B40" s="8">
        <v>44996</v>
      </c>
      <c r="C40" s="8">
        <v>44997</v>
      </c>
      <c r="D40" t="s">
        <v>32</v>
      </c>
      <c r="E40" t="s">
        <v>232</v>
      </c>
      <c r="F40" t="s">
        <v>233</v>
      </c>
      <c r="G40">
        <v>9055635017</v>
      </c>
      <c r="H40" t="s">
        <v>35</v>
      </c>
      <c r="I40" t="s">
        <v>69</v>
      </c>
      <c r="J40" t="s">
        <v>144</v>
      </c>
      <c r="K40" t="s">
        <v>27</v>
      </c>
      <c r="L40" t="s">
        <v>79</v>
      </c>
      <c r="M40" t="s">
        <v>234</v>
      </c>
      <c r="N40">
        <v>3</v>
      </c>
      <c r="O40">
        <v>7600.08</v>
      </c>
      <c r="P40">
        <v>5</v>
      </c>
      <c r="Q40">
        <v>1140.01</v>
      </c>
      <c r="S40">
        <v>6109.16</v>
      </c>
    </row>
    <row r="41" spans="1:19" ht="15" customHeight="1" x14ac:dyDescent="0.25">
      <c r="A41" t="s">
        <v>235</v>
      </c>
      <c r="B41" s="8">
        <v>45076</v>
      </c>
      <c r="C41" s="8">
        <v>45077</v>
      </c>
      <c r="D41" t="s">
        <v>32</v>
      </c>
      <c r="E41" t="s">
        <v>236</v>
      </c>
      <c r="F41" t="s">
        <v>237</v>
      </c>
      <c r="G41">
        <v>8101610970</v>
      </c>
      <c r="H41" t="s">
        <v>24</v>
      </c>
      <c r="I41" t="s">
        <v>51</v>
      </c>
      <c r="J41" t="s">
        <v>227</v>
      </c>
      <c r="K41" t="s">
        <v>85</v>
      </c>
      <c r="L41" t="s">
        <v>86</v>
      </c>
      <c r="M41" t="s">
        <v>238</v>
      </c>
      <c r="N41">
        <v>10</v>
      </c>
      <c r="O41">
        <v>179090.91</v>
      </c>
      <c r="P41">
        <v>0</v>
      </c>
      <c r="Q41">
        <v>0</v>
      </c>
      <c r="R41" t="s">
        <v>239</v>
      </c>
      <c r="S41">
        <v>380814.35</v>
      </c>
    </row>
    <row r="42" spans="1:19" ht="15" customHeight="1" x14ac:dyDescent="0.25">
      <c r="A42" t="s">
        <v>240</v>
      </c>
      <c r="B42" s="8">
        <v>45567</v>
      </c>
      <c r="C42" s="8">
        <v>45568</v>
      </c>
      <c r="D42" t="s">
        <v>32</v>
      </c>
      <c r="E42" t="s">
        <v>241</v>
      </c>
      <c r="F42" t="s">
        <v>242</v>
      </c>
      <c r="G42">
        <v>8137784725</v>
      </c>
      <c r="H42" t="s">
        <v>35</v>
      </c>
      <c r="I42" t="s">
        <v>69</v>
      </c>
      <c r="J42" t="s">
        <v>155</v>
      </c>
      <c r="K42" t="s">
        <v>85</v>
      </c>
      <c r="L42" t="s">
        <v>243</v>
      </c>
      <c r="M42" t="s">
        <v>244</v>
      </c>
      <c r="N42">
        <v>18</v>
      </c>
      <c r="O42">
        <v>71471.520000000004</v>
      </c>
      <c r="P42">
        <v>25</v>
      </c>
      <c r="Q42">
        <v>321621.84000000003</v>
      </c>
      <c r="R42">
        <v>964865.52</v>
      </c>
      <c r="S42">
        <v>54277.97</v>
      </c>
    </row>
    <row r="43" spans="1:19" ht="15" customHeight="1" x14ac:dyDescent="0.25">
      <c r="A43" t="s">
        <v>245</v>
      </c>
      <c r="B43" s="8">
        <v>45116</v>
      </c>
      <c r="C43" s="8">
        <v>45117</v>
      </c>
      <c r="D43" t="s">
        <v>32</v>
      </c>
      <c r="E43" t="s">
        <v>246</v>
      </c>
      <c r="F43" t="s">
        <v>247</v>
      </c>
      <c r="G43">
        <v>9014231028</v>
      </c>
      <c r="H43" t="s">
        <v>24</v>
      </c>
      <c r="I43" t="s">
        <v>51</v>
      </c>
      <c r="J43" t="s">
        <v>223</v>
      </c>
      <c r="K43" t="s">
        <v>248</v>
      </c>
      <c r="L43" t="s">
        <v>249</v>
      </c>
      <c r="M43" t="s">
        <v>250</v>
      </c>
      <c r="N43">
        <v>6</v>
      </c>
      <c r="O43">
        <v>23796.5</v>
      </c>
      <c r="P43">
        <v>5</v>
      </c>
      <c r="Q43">
        <v>7138.95</v>
      </c>
      <c r="R43">
        <v>135640.04999999999</v>
      </c>
      <c r="S43">
        <v>-2735.75</v>
      </c>
    </row>
    <row r="44" spans="1:19" ht="15" customHeight="1" x14ac:dyDescent="0.25">
      <c r="A44" t="s">
        <v>251</v>
      </c>
      <c r="B44" s="8">
        <v>44767</v>
      </c>
      <c r="C44" s="8">
        <v>44769</v>
      </c>
      <c r="D44" t="s">
        <v>20</v>
      </c>
      <c r="E44" t="s">
        <v>252</v>
      </c>
      <c r="F44" t="s">
        <v>253</v>
      </c>
      <c r="G44">
        <v>8106071208</v>
      </c>
      <c r="H44" t="s">
        <v>24</v>
      </c>
      <c r="I44" t="s">
        <v>69</v>
      </c>
      <c r="J44" t="s">
        <v>144</v>
      </c>
      <c r="K44" t="s">
        <v>96</v>
      </c>
      <c r="L44" t="s">
        <v>254</v>
      </c>
      <c r="M44" t="s">
        <v>255</v>
      </c>
      <c r="N44">
        <v>2</v>
      </c>
      <c r="O44">
        <v>134325.43</v>
      </c>
      <c r="P44">
        <v>25</v>
      </c>
      <c r="Q44">
        <v>67162.710000000006</v>
      </c>
      <c r="R44">
        <v>201488.15</v>
      </c>
      <c r="S44">
        <v>5094.0200000000004</v>
      </c>
    </row>
    <row r="45" spans="1:19" ht="15" customHeight="1" x14ac:dyDescent="0.25">
      <c r="A45" t="s">
        <v>256</v>
      </c>
      <c r="B45" s="8">
        <v>45144</v>
      </c>
      <c r="C45" s="8">
        <v>45152</v>
      </c>
      <c r="D45" t="s">
        <v>48</v>
      </c>
      <c r="E45" t="s">
        <v>192</v>
      </c>
      <c r="F45" t="s">
        <v>193</v>
      </c>
      <c r="G45">
        <v>8101861958</v>
      </c>
      <c r="H45" t="s">
        <v>35</v>
      </c>
      <c r="I45" t="s">
        <v>61</v>
      </c>
      <c r="J45" t="s">
        <v>204</v>
      </c>
      <c r="K45" t="s">
        <v>63</v>
      </c>
      <c r="L45" t="s">
        <v>194</v>
      </c>
      <c r="M45" t="s">
        <v>257</v>
      </c>
      <c r="N45">
        <v>3</v>
      </c>
      <c r="O45">
        <v>3295.13</v>
      </c>
      <c r="P45">
        <v>15</v>
      </c>
      <c r="Q45">
        <v>1482.81</v>
      </c>
      <c r="R45">
        <v>8402.58</v>
      </c>
      <c r="S45">
        <v>1218.78</v>
      </c>
    </row>
    <row r="46" spans="1:19" ht="15" customHeight="1" x14ac:dyDescent="0.25">
      <c r="A46" t="s">
        <v>258</v>
      </c>
      <c r="B46" s="8">
        <v>44736</v>
      </c>
      <c r="C46" s="8">
        <v>44738</v>
      </c>
      <c r="D46" t="s">
        <v>259</v>
      </c>
      <c r="E46" t="s">
        <v>260</v>
      </c>
      <c r="F46" t="s">
        <v>261</v>
      </c>
      <c r="G46">
        <v>9054786401</v>
      </c>
      <c r="H46" t="s">
        <v>35</v>
      </c>
      <c r="I46" t="s">
        <v>25</v>
      </c>
      <c r="K46" t="s">
        <v>27</v>
      </c>
      <c r="L46" t="s">
        <v>28</v>
      </c>
      <c r="M46" t="s">
        <v>262</v>
      </c>
      <c r="N46">
        <v>10</v>
      </c>
      <c r="O46">
        <v>7295.48</v>
      </c>
      <c r="P46">
        <v>15</v>
      </c>
      <c r="Q46">
        <v>10943.22</v>
      </c>
      <c r="R46">
        <v>62011.58</v>
      </c>
      <c r="S46">
        <v>2060.5300000000002</v>
      </c>
    </row>
    <row r="47" spans="1:19" ht="15" customHeight="1" x14ac:dyDescent="0.25">
      <c r="A47" t="s">
        <v>263</v>
      </c>
      <c r="B47" s="8">
        <v>44987</v>
      </c>
      <c r="C47" s="8">
        <v>44993</v>
      </c>
      <c r="D47" t="s">
        <v>48</v>
      </c>
      <c r="E47" t="s">
        <v>264</v>
      </c>
      <c r="F47" t="s">
        <v>265</v>
      </c>
      <c r="G47">
        <v>8105024269</v>
      </c>
      <c r="H47" t="s">
        <v>24</v>
      </c>
      <c r="I47" t="s">
        <v>25</v>
      </c>
      <c r="J47" t="s">
        <v>36</v>
      </c>
      <c r="K47" t="s">
        <v>85</v>
      </c>
      <c r="L47" t="s">
        <v>266</v>
      </c>
      <c r="M47" t="s">
        <v>267</v>
      </c>
      <c r="N47">
        <v>14</v>
      </c>
      <c r="O47">
        <v>34923.61</v>
      </c>
      <c r="P47">
        <v>20</v>
      </c>
      <c r="Q47">
        <v>97786.11</v>
      </c>
      <c r="R47">
        <v>391144.43</v>
      </c>
      <c r="S47">
        <v>103114.54</v>
      </c>
    </row>
    <row r="48" spans="1:19" ht="15" customHeight="1" x14ac:dyDescent="0.25">
      <c r="A48" t="s">
        <v>268</v>
      </c>
      <c r="B48" s="8">
        <v>45152</v>
      </c>
      <c r="C48" s="8">
        <v>45157</v>
      </c>
      <c r="D48" t="s">
        <v>73</v>
      </c>
      <c r="E48" t="s">
        <v>269</v>
      </c>
      <c r="F48" t="s">
        <v>270</v>
      </c>
      <c r="G48">
        <v>8064916201</v>
      </c>
      <c r="H48" t="s">
        <v>35</v>
      </c>
      <c r="I48" t="s">
        <v>69</v>
      </c>
      <c r="J48" t="s">
        <v>144</v>
      </c>
      <c r="K48" t="s">
        <v>271</v>
      </c>
      <c r="L48" t="s">
        <v>194</v>
      </c>
      <c r="M48" t="s">
        <v>272</v>
      </c>
      <c r="N48">
        <v>7</v>
      </c>
      <c r="O48">
        <v>16698.98</v>
      </c>
      <c r="P48">
        <v>15</v>
      </c>
      <c r="Q48">
        <v>17533.93</v>
      </c>
      <c r="R48">
        <v>99358.93</v>
      </c>
      <c r="S48">
        <v>-8061.41</v>
      </c>
    </row>
    <row r="49" spans="1:19" ht="15" customHeight="1" x14ac:dyDescent="0.25">
      <c r="A49" t="s">
        <v>273</v>
      </c>
      <c r="B49" s="8">
        <v>44708</v>
      </c>
      <c r="C49" s="8">
        <v>44711</v>
      </c>
      <c r="D49" t="s">
        <v>73</v>
      </c>
      <c r="E49" t="s">
        <v>274</v>
      </c>
      <c r="F49" t="s">
        <v>275</v>
      </c>
      <c r="G49">
        <v>9055842082</v>
      </c>
      <c r="H49" t="s">
        <v>43</v>
      </c>
      <c r="I49" t="s">
        <v>61</v>
      </c>
      <c r="J49" t="s">
        <v>62</v>
      </c>
      <c r="K49" t="s">
        <v>108</v>
      </c>
      <c r="L49" t="s">
        <v>114</v>
      </c>
      <c r="M49" t="s">
        <v>115</v>
      </c>
      <c r="N49">
        <v>13</v>
      </c>
      <c r="O49">
        <v>31613.15</v>
      </c>
      <c r="P49">
        <v>10</v>
      </c>
      <c r="Q49">
        <v>41097.1</v>
      </c>
      <c r="R49">
        <v>369873.85</v>
      </c>
      <c r="S49">
        <v>55585.87</v>
      </c>
    </row>
    <row r="50" spans="1:19" ht="15" customHeight="1" x14ac:dyDescent="0.25">
      <c r="A50" t="s">
        <v>276</v>
      </c>
      <c r="B50" s="8">
        <v>45446</v>
      </c>
      <c r="C50" s="8">
        <v>45453</v>
      </c>
      <c r="D50" t="s">
        <v>48</v>
      </c>
      <c r="E50" t="s">
        <v>277</v>
      </c>
      <c r="F50" t="s">
        <v>278</v>
      </c>
      <c r="G50">
        <v>8064840714</v>
      </c>
      <c r="H50" t="s">
        <v>35</v>
      </c>
      <c r="I50" t="s">
        <v>69</v>
      </c>
      <c r="J50" t="s">
        <v>70</v>
      </c>
      <c r="K50" t="s">
        <v>27</v>
      </c>
      <c r="L50" t="s">
        <v>173</v>
      </c>
      <c r="M50" t="s">
        <v>279</v>
      </c>
      <c r="N50">
        <v>-1</v>
      </c>
      <c r="O50">
        <v>7996.71</v>
      </c>
      <c r="P50">
        <v>0</v>
      </c>
      <c r="Q50">
        <v>0</v>
      </c>
      <c r="R50">
        <v>71970.39</v>
      </c>
      <c r="S50">
        <v>22157.19</v>
      </c>
    </row>
    <row r="51" spans="1:19" ht="15" customHeight="1" x14ac:dyDescent="0.25">
      <c r="A51" t="s">
        <v>280</v>
      </c>
      <c r="B51" s="8">
        <v>45131</v>
      </c>
      <c r="C51" s="8">
        <v>45131</v>
      </c>
      <c r="D51" t="s">
        <v>32</v>
      </c>
      <c r="E51" t="s">
        <v>281</v>
      </c>
      <c r="F51" t="s">
        <v>282</v>
      </c>
      <c r="G51">
        <v>8068885465</v>
      </c>
      <c r="H51" t="s">
        <v>24</v>
      </c>
      <c r="I51" t="s">
        <v>61</v>
      </c>
      <c r="J51" t="s">
        <v>204</v>
      </c>
      <c r="K51" t="s">
        <v>63</v>
      </c>
      <c r="L51" t="s">
        <v>64</v>
      </c>
      <c r="M51" t="s">
        <v>65</v>
      </c>
      <c r="N51">
        <v>4</v>
      </c>
      <c r="O51" t="s">
        <v>283</v>
      </c>
      <c r="P51">
        <v>0</v>
      </c>
      <c r="Q51">
        <v>0</v>
      </c>
      <c r="R51">
        <v>33463.72</v>
      </c>
      <c r="S51">
        <v>1602.32</v>
      </c>
    </row>
    <row r="52" spans="1:19" ht="15" customHeight="1" x14ac:dyDescent="0.25">
      <c r="A52" t="s">
        <v>284</v>
      </c>
      <c r="B52" s="8">
        <v>44637</v>
      </c>
      <c r="C52" s="8">
        <v>44638</v>
      </c>
      <c r="D52" t="s">
        <v>32</v>
      </c>
      <c r="E52" t="s">
        <v>285</v>
      </c>
      <c r="F52" t="s">
        <v>286</v>
      </c>
      <c r="G52">
        <v>7032944841</v>
      </c>
      <c r="H52" t="s">
        <v>24</v>
      </c>
      <c r="I52" t="s">
        <v>69</v>
      </c>
      <c r="J52" t="s">
        <v>144</v>
      </c>
      <c r="K52" t="s">
        <v>108</v>
      </c>
      <c r="L52" t="s">
        <v>189</v>
      </c>
      <c r="M52" t="s">
        <v>287</v>
      </c>
      <c r="N52">
        <v>18</v>
      </c>
      <c r="O52">
        <v>30279.4</v>
      </c>
      <c r="P52">
        <v>20</v>
      </c>
      <c r="Q52">
        <v>109005.84</v>
      </c>
      <c r="R52">
        <v>436023.36</v>
      </c>
      <c r="S52">
        <v>42707.85</v>
      </c>
    </row>
    <row r="53" spans="1:19" ht="15" customHeight="1" x14ac:dyDescent="0.25">
      <c r="A53" t="s">
        <v>288</v>
      </c>
      <c r="B53" s="8">
        <v>45467</v>
      </c>
      <c r="C53" s="8">
        <v>45467</v>
      </c>
      <c r="D53" t="s">
        <v>32</v>
      </c>
      <c r="E53" t="s">
        <v>289</v>
      </c>
      <c r="F53" t="s">
        <v>290</v>
      </c>
      <c r="G53">
        <v>8168350368</v>
      </c>
      <c r="H53" t="s">
        <v>43</v>
      </c>
      <c r="I53" t="s">
        <v>61</v>
      </c>
      <c r="J53" t="s">
        <v>84</v>
      </c>
      <c r="K53" t="s">
        <v>108</v>
      </c>
      <c r="L53" t="s">
        <v>114</v>
      </c>
      <c r="M53" t="s">
        <v>291</v>
      </c>
      <c r="N53">
        <v>20</v>
      </c>
      <c r="O53">
        <v>43845.31</v>
      </c>
      <c r="P53">
        <v>5</v>
      </c>
      <c r="Q53">
        <v>43845.31</v>
      </c>
      <c r="R53" t="s">
        <v>292</v>
      </c>
      <c r="S53">
        <v>229816.25</v>
      </c>
    </row>
    <row r="54" spans="1:19" ht="15" customHeight="1" x14ac:dyDescent="0.25">
      <c r="A54" t="s">
        <v>293</v>
      </c>
      <c r="B54" s="8">
        <v>44752</v>
      </c>
      <c r="C54" s="8">
        <v>44752</v>
      </c>
      <c r="D54" t="s">
        <v>32</v>
      </c>
      <c r="E54" t="s">
        <v>294</v>
      </c>
      <c r="F54" t="s">
        <v>295</v>
      </c>
      <c r="G54">
        <v>9073583206</v>
      </c>
      <c r="H54" t="s">
        <v>35</v>
      </c>
      <c r="I54" t="s">
        <v>51</v>
      </c>
      <c r="J54" t="s">
        <v>227</v>
      </c>
      <c r="K54" t="s">
        <v>108</v>
      </c>
      <c r="L54" t="s">
        <v>38</v>
      </c>
      <c r="M54" t="s">
        <v>296</v>
      </c>
      <c r="N54">
        <v>14</v>
      </c>
      <c r="O54">
        <v>32332.7</v>
      </c>
      <c r="P54">
        <v>20</v>
      </c>
      <c r="Q54">
        <v>90531.56</v>
      </c>
      <c r="R54">
        <v>362126.24</v>
      </c>
      <c r="S54">
        <v>158664.45000000001</v>
      </c>
    </row>
    <row r="55" spans="1:19" ht="15" customHeight="1" x14ac:dyDescent="0.25">
      <c r="A55" t="s">
        <v>297</v>
      </c>
      <c r="B55" s="8">
        <v>45347</v>
      </c>
      <c r="C55" s="8">
        <v>45350</v>
      </c>
      <c r="D55" t="s">
        <v>73</v>
      </c>
      <c r="E55" t="s">
        <v>298</v>
      </c>
      <c r="F55" t="s">
        <v>299</v>
      </c>
      <c r="G55">
        <v>8032171218</v>
      </c>
      <c r="H55" t="s">
        <v>24</v>
      </c>
      <c r="I55" t="s">
        <v>61</v>
      </c>
      <c r="J55" t="s">
        <v>204</v>
      </c>
      <c r="K55" t="s">
        <v>63</v>
      </c>
      <c r="L55" t="s">
        <v>194</v>
      </c>
      <c r="M55" t="s">
        <v>257</v>
      </c>
      <c r="N55">
        <v>17</v>
      </c>
      <c r="O55">
        <v>8826.94</v>
      </c>
      <c r="P55">
        <v>10</v>
      </c>
      <c r="Q55">
        <v>15005.8</v>
      </c>
      <c r="R55">
        <v>135052.18</v>
      </c>
      <c r="S55">
        <v>46232.37</v>
      </c>
    </row>
    <row r="56" spans="1:19" ht="15" customHeight="1" x14ac:dyDescent="0.25">
      <c r="A56" t="s">
        <v>300</v>
      </c>
      <c r="B56" s="8">
        <v>44866</v>
      </c>
      <c r="C56" s="8">
        <v>44867</v>
      </c>
      <c r="D56" t="s">
        <v>32</v>
      </c>
      <c r="E56" t="s">
        <v>301</v>
      </c>
      <c r="F56" t="s">
        <v>302</v>
      </c>
      <c r="G56">
        <v>7037328534</v>
      </c>
      <c r="H56" t="s">
        <v>24</v>
      </c>
      <c r="I56" t="s">
        <v>51</v>
      </c>
      <c r="J56" t="s">
        <v>223</v>
      </c>
      <c r="K56" t="s">
        <v>108</v>
      </c>
      <c r="L56" t="s">
        <v>38</v>
      </c>
      <c r="M56" t="s">
        <v>303</v>
      </c>
      <c r="N56">
        <v>8</v>
      </c>
      <c r="O56">
        <v>44173.31</v>
      </c>
      <c r="P56">
        <v>15</v>
      </c>
      <c r="Q56">
        <v>53007.97</v>
      </c>
      <c r="R56">
        <v>300378.51</v>
      </c>
      <c r="S56">
        <v>-2962.49</v>
      </c>
    </row>
    <row r="57" spans="1:19" ht="15" customHeight="1" x14ac:dyDescent="0.25">
      <c r="A57" t="s">
        <v>304</v>
      </c>
      <c r="B57" s="8">
        <v>45342</v>
      </c>
      <c r="C57" s="8">
        <v>45343</v>
      </c>
      <c r="D57" t="s">
        <v>32</v>
      </c>
      <c r="E57" t="s">
        <v>305</v>
      </c>
      <c r="F57" t="s">
        <v>306</v>
      </c>
      <c r="G57">
        <v>8109427047</v>
      </c>
      <c r="H57" t="s">
        <v>43</v>
      </c>
      <c r="I57" t="s">
        <v>69</v>
      </c>
      <c r="J57" t="s">
        <v>307</v>
      </c>
      <c r="L57" t="s">
        <v>45</v>
      </c>
      <c r="M57" t="s">
        <v>308</v>
      </c>
      <c r="N57">
        <v>15</v>
      </c>
      <c r="O57">
        <v>7031.27</v>
      </c>
      <c r="P57">
        <v>0</v>
      </c>
      <c r="Q57">
        <v>0</v>
      </c>
      <c r="R57">
        <v>105469.05</v>
      </c>
      <c r="S57">
        <v>17462.580000000002</v>
      </c>
    </row>
    <row r="58" spans="1:19" ht="15" customHeight="1" x14ac:dyDescent="0.25">
      <c r="A58" t="s">
        <v>309</v>
      </c>
      <c r="B58" s="8">
        <v>45401</v>
      </c>
      <c r="C58" s="8">
        <v>45406</v>
      </c>
      <c r="D58" t="s">
        <v>73</v>
      </c>
      <c r="E58" t="s">
        <v>310</v>
      </c>
      <c r="F58" t="s">
        <v>311</v>
      </c>
      <c r="G58">
        <v>9025446344</v>
      </c>
      <c r="H58" t="s">
        <v>24</v>
      </c>
      <c r="I58" t="s">
        <v>69</v>
      </c>
      <c r="J58" t="s">
        <v>307</v>
      </c>
      <c r="K58" t="s">
        <v>63</v>
      </c>
      <c r="L58" t="s">
        <v>312</v>
      </c>
      <c r="M58" t="s">
        <v>313</v>
      </c>
      <c r="N58">
        <v>11</v>
      </c>
      <c r="O58">
        <v>16421</v>
      </c>
      <c r="P58">
        <v>25</v>
      </c>
      <c r="Q58">
        <v>45157.75</v>
      </c>
      <c r="R58">
        <v>135473.25</v>
      </c>
      <c r="S58">
        <v>10567.68</v>
      </c>
    </row>
    <row r="59" spans="1:19" ht="15" customHeight="1" x14ac:dyDescent="0.25">
      <c r="A59" t="s">
        <v>314</v>
      </c>
      <c r="B59" s="8">
        <v>44702</v>
      </c>
      <c r="C59" s="8">
        <v>44708</v>
      </c>
      <c r="D59" t="s">
        <v>48</v>
      </c>
      <c r="E59" t="s">
        <v>252</v>
      </c>
      <c r="F59" t="s">
        <v>315</v>
      </c>
      <c r="G59">
        <v>7062651601</v>
      </c>
      <c r="H59" t="s">
        <v>24</v>
      </c>
      <c r="I59" t="s">
        <v>51</v>
      </c>
      <c r="J59" t="s">
        <v>316</v>
      </c>
      <c r="K59" t="s">
        <v>96</v>
      </c>
      <c r="L59" t="s">
        <v>189</v>
      </c>
      <c r="M59" t="s">
        <v>190</v>
      </c>
      <c r="N59" t="s">
        <v>317</v>
      </c>
      <c r="O59">
        <v>316890.51</v>
      </c>
      <c r="P59">
        <v>0</v>
      </c>
      <c r="Q59">
        <v>0</v>
      </c>
      <c r="R59">
        <v>316890.51</v>
      </c>
      <c r="S59">
        <v>14141.18</v>
      </c>
    </row>
    <row r="60" spans="1:19" ht="15" customHeight="1" x14ac:dyDescent="0.25">
      <c r="A60" t="s">
        <v>318</v>
      </c>
      <c r="B60" s="8">
        <v>45444</v>
      </c>
      <c r="C60" s="8">
        <v>45446</v>
      </c>
      <c r="D60" t="s">
        <v>20</v>
      </c>
      <c r="E60" t="s">
        <v>319</v>
      </c>
      <c r="F60" t="s">
        <v>320</v>
      </c>
      <c r="G60">
        <v>9054020853</v>
      </c>
      <c r="H60" t="s">
        <v>43</v>
      </c>
      <c r="I60" t="s">
        <v>25</v>
      </c>
      <c r="J60" t="s">
        <v>44</v>
      </c>
      <c r="K60" t="s">
        <v>85</v>
      </c>
      <c r="L60" t="s">
        <v>218</v>
      </c>
      <c r="M60" t="s">
        <v>321</v>
      </c>
      <c r="N60">
        <v>13</v>
      </c>
      <c r="O60">
        <v>112832.59</v>
      </c>
      <c r="P60">
        <v>5</v>
      </c>
      <c r="Q60">
        <v>73341.179999999993</v>
      </c>
      <c r="R60">
        <v>1393482.49</v>
      </c>
      <c r="S60">
        <v>207071.99</v>
      </c>
    </row>
    <row r="61" spans="1:19" ht="15" customHeight="1" x14ac:dyDescent="0.25">
      <c r="A61" t="s">
        <v>322</v>
      </c>
      <c r="B61" s="8">
        <v>45503</v>
      </c>
      <c r="C61" s="8">
        <v>45506</v>
      </c>
      <c r="D61" t="s">
        <v>20</v>
      </c>
      <c r="E61" t="s">
        <v>323</v>
      </c>
      <c r="F61" t="s">
        <v>324</v>
      </c>
      <c r="G61">
        <v>8163650391</v>
      </c>
      <c r="H61" t="s">
        <v>43</v>
      </c>
      <c r="I61" t="s">
        <v>61</v>
      </c>
      <c r="J61" t="s">
        <v>62</v>
      </c>
      <c r="K61" t="s">
        <v>96</v>
      </c>
      <c r="L61" t="s">
        <v>189</v>
      </c>
      <c r="M61" t="s">
        <v>325</v>
      </c>
      <c r="N61">
        <v>10</v>
      </c>
      <c r="O61">
        <v>444628.49</v>
      </c>
      <c r="P61">
        <v>15</v>
      </c>
      <c r="Q61">
        <v>666942.74</v>
      </c>
      <c r="R61">
        <v>3779342.16</v>
      </c>
      <c r="S61">
        <v>998457.25</v>
      </c>
    </row>
    <row r="62" spans="1:19" ht="15" customHeight="1" x14ac:dyDescent="0.25">
      <c r="A62" t="s">
        <v>326</v>
      </c>
      <c r="B62" s="8">
        <v>45551</v>
      </c>
      <c r="C62" s="8">
        <v>45551</v>
      </c>
      <c r="D62" t="s">
        <v>32</v>
      </c>
      <c r="E62" t="s">
        <v>327</v>
      </c>
      <c r="F62" t="s">
        <v>328</v>
      </c>
      <c r="G62">
        <v>9055963914</v>
      </c>
      <c r="H62" t="s">
        <v>35</v>
      </c>
      <c r="I62" t="s">
        <v>69</v>
      </c>
      <c r="J62" t="s">
        <v>144</v>
      </c>
      <c r="K62" t="s">
        <v>63</v>
      </c>
      <c r="L62" t="s">
        <v>249</v>
      </c>
      <c r="M62" t="s">
        <v>329</v>
      </c>
      <c r="N62">
        <v>19</v>
      </c>
      <c r="O62">
        <v>7224.77</v>
      </c>
      <c r="P62">
        <v>0</v>
      </c>
      <c r="Q62">
        <v>0</v>
      </c>
      <c r="R62">
        <v>137270.63</v>
      </c>
      <c r="S62">
        <v>54409.98</v>
      </c>
    </row>
    <row r="63" spans="1:19" ht="15" customHeight="1" x14ac:dyDescent="0.25">
      <c r="A63" t="s">
        <v>330</v>
      </c>
      <c r="B63" s="8">
        <v>45010</v>
      </c>
      <c r="C63" s="8">
        <v>45012</v>
      </c>
      <c r="D63" t="s">
        <v>20</v>
      </c>
      <c r="E63" t="s">
        <v>331</v>
      </c>
      <c r="F63" t="s">
        <v>332</v>
      </c>
      <c r="G63">
        <v>9072630140</v>
      </c>
      <c r="H63" t="s">
        <v>35</v>
      </c>
      <c r="I63" t="s">
        <v>69</v>
      </c>
      <c r="J63" t="s">
        <v>144</v>
      </c>
      <c r="K63" t="s">
        <v>96</v>
      </c>
      <c r="L63" t="s">
        <v>97</v>
      </c>
      <c r="M63" t="s">
        <v>230</v>
      </c>
      <c r="N63">
        <v>12</v>
      </c>
      <c r="O63">
        <v>29513.57</v>
      </c>
      <c r="P63">
        <v>0</v>
      </c>
      <c r="Q63">
        <v>0</v>
      </c>
      <c r="R63">
        <v>354162.84</v>
      </c>
      <c r="S63">
        <v>-33971.29</v>
      </c>
    </row>
    <row r="64" spans="1:19" ht="15" customHeight="1" x14ac:dyDescent="0.25">
      <c r="A64" t="s">
        <v>333</v>
      </c>
      <c r="B64" s="8">
        <v>44921</v>
      </c>
      <c r="C64" s="8">
        <v>44921</v>
      </c>
      <c r="D64" t="s">
        <v>32</v>
      </c>
      <c r="E64" t="s">
        <v>334</v>
      </c>
      <c r="F64" t="s">
        <v>335</v>
      </c>
      <c r="G64">
        <v>8159418719</v>
      </c>
      <c r="H64" t="s">
        <v>24</v>
      </c>
      <c r="I64" t="s">
        <v>51</v>
      </c>
      <c r="J64" t="s">
        <v>223</v>
      </c>
      <c r="K64" t="s">
        <v>63</v>
      </c>
      <c r="L64" t="s">
        <v>194</v>
      </c>
      <c r="M64" t="s">
        <v>336</v>
      </c>
      <c r="N64">
        <v>16</v>
      </c>
      <c r="O64">
        <v>6795.77</v>
      </c>
      <c r="P64">
        <v>10</v>
      </c>
      <c r="Q64">
        <v>10873.23</v>
      </c>
      <c r="R64">
        <v>97859.09</v>
      </c>
      <c r="S64">
        <v>29155.71</v>
      </c>
    </row>
    <row r="65" spans="1:19" ht="15" customHeight="1" x14ac:dyDescent="0.25">
      <c r="A65" t="s">
        <v>337</v>
      </c>
      <c r="B65" s="8">
        <v>44850</v>
      </c>
      <c r="C65" s="8">
        <v>44856</v>
      </c>
      <c r="D65" t="s">
        <v>48</v>
      </c>
      <c r="E65" t="s">
        <v>338</v>
      </c>
      <c r="F65" t="s">
        <v>339</v>
      </c>
      <c r="G65">
        <v>8067619862</v>
      </c>
      <c r="H65" t="s">
        <v>43</v>
      </c>
      <c r="I65" t="s">
        <v>51</v>
      </c>
      <c r="J65" t="s">
        <v>52</v>
      </c>
      <c r="K65" t="s">
        <v>96</v>
      </c>
      <c r="L65" t="s">
        <v>97</v>
      </c>
      <c r="M65" t="s">
        <v>169</v>
      </c>
      <c r="O65">
        <v>68761.100000000006</v>
      </c>
      <c r="P65">
        <v>10</v>
      </c>
      <c r="Q65">
        <v>82513.320000000007</v>
      </c>
      <c r="R65" t="s">
        <v>340</v>
      </c>
      <c r="S65">
        <v>149070.59</v>
      </c>
    </row>
    <row r="66" spans="1:19" ht="15" customHeight="1" x14ac:dyDescent="0.25">
      <c r="A66" t="s">
        <v>341</v>
      </c>
      <c r="B66" s="8">
        <v>45527</v>
      </c>
      <c r="C66" s="8">
        <v>45530</v>
      </c>
      <c r="D66" t="s">
        <v>73</v>
      </c>
      <c r="E66" t="s">
        <v>342</v>
      </c>
      <c r="F66" t="s">
        <v>343</v>
      </c>
      <c r="G66">
        <v>9054713925</v>
      </c>
      <c r="H66" t="s">
        <v>24</v>
      </c>
      <c r="I66" t="s">
        <v>51</v>
      </c>
      <c r="J66" t="s">
        <v>52</v>
      </c>
      <c r="K66" t="s">
        <v>96</v>
      </c>
      <c r="L66" t="s">
        <v>189</v>
      </c>
      <c r="M66" t="s">
        <v>325</v>
      </c>
      <c r="N66">
        <v>4</v>
      </c>
      <c r="O66">
        <v>297419.15999999997</v>
      </c>
      <c r="P66">
        <v>0</v>
      </c>
      <c r="Q66">
        <v>0</v>
      </c>
      <c r="R66">
        <v>1189676.6399999999</v>
      </c>
      <c r="S66">
        <v>-146082.67000000001</v>
      </c>
    </row>
    <row r="67" spans="1:19" ht="15" customHeight="1" x14ac:dyDescent="0.25">
      <c r="A67" t="s">
        <v>344</v>
      </c>
      <c r="B67" s="8" t="s">
        <v>345</v>
      </c>
      <c r="C67" s="8">
        <v>44767</v>
      </c>
      <c r="D67" t="s">
        <v>48</v>
      </c>
      <c r="E67" t="s">
        <v>346</v>
      </c>
      <c r="G67">
        <v>8147224540</v>
      </c>
      <c r="H67" t="s">
        <v>43</v>
      </c>
      <c r="I67" t="s">
        <v>25</v>
      </c>
      <c r="J67" t="s">
        <v>44</v>
      </c>
      <c r="K67" t="s">
        <v>27</v>
      </c>
      <c r="L67" t="s">
        <v>28</v>
      </c>
      <c r="M67" t="s">
        <v>347</v>
      </c>
      <c r="N67">
        <v>5</v>
      </c>
      <c r="O67">
        <v>6015.47</v>
      </c>
      <c r="P67">
        <v>15</v>
      </c>
      <c r="Q67">
        <v>4511.6000000000004</v>
      </c>
      <c r="R67">
        <v>25565.75</v>
      </c>
      <c r="S67">
        <v>6211.28</v>
      </c>
    </row>
    <row r="68" spans="1:19" ht="15" customHeight="1" x14ac:dyDescent="0.25">
      <c r="A68" t="s">
        <v>348</v>
      </c>
      <c r="B68" s="8">
        <v>44629</v>
      </c>
      <c r="C68" s="8">
        <v>44632</v>
      </c>
      <c r="D68" t="s">
        <v>20</v>
      </c>
      <c r="E68" t="s">
        <v>349</v>
      </c>
      <c r="F68" t="s">
        <v>350</v>
      </c>
      <c r="G68">
        <v>8137084862</v>
      </c>
      <c r="H68" t="s">
        <v>43</v>
      </c>
      <c r="I68" t="s">
        <v>69</v>
      </c>
      <c r="J68" t="s">
        <v>155</v>
      </c>
      <c r="K68" t="s">
        <v>96</v>
      </c>
      <c r="L68" t="s">
        <v>97</v>
      </c>
      <c r="M68" t="s">
        <v>169</v>
      </c>
      <c r="N68">
        <v>12</v>
      </c>
      <c r="O68">
        <v>407237.85</v>
      </c>
      <c r="P68">
        <v>0</v>
      </c>
      <c r="Q68">
        <v>0</v>
      </c>
      <c r="R68">
        <v>4886854.2</v>
      </c>
      <c r="S68">
        <v>434362.1</v>
      </c>
    </row>
    <row r="69" spans="1:19" ht="15" customHeight="1" x14ac:dyDescent="0.25">
      <c r="A69" t="s">
        <v>351</v>
      </c>
      <c r="B69" s="8">
        <v>44996</v>
      </c>
      <c r="C69" s="8">
        <v>45001</v>
      </c>
      <c r="D69" t="s">
        <v>48</v>
      </c>
      <c r="E69" t="s">
        <v>352</v>
      </c>
      <c r="F69" t="s">
        <v>353</v>
      </c>
      <c r="G69">
        <v>8133112652</v>
      </c>
      <c r="H69" t="s">
        <v>43</v>
      </c>
      <c r="I69" t="s">
        <v>61</v>
      </c>
      <c r="J69" t="s">
        <v>95</v>
      </c>
      <c r="K69" t="s">
        <v>27</v>
      </c>
      <c r="L69" t="s">
        <v>354</v>
      </c>
      <c r="M69" t="s">
        <v>355</v>
      </c>
      <c r="N69">
        <v>18</v>
      </c>
      <c r="O69">
        <v>6689.6</v>
      </c>
      <c r="P69">
        <v>5</v>
      </c>
      <c r="Q69">
        <v>6020.64</v>
      </c>
      <c r="R69">
        <v>114392.16</v>
      </c>
      <c r="S69">
        <v>23087.75</v>
      </c>
    </row>
    <row r="70" spans="1:19" ht="15" customHeight="1" x14ac:dyDescent="0.25">
      <c r="A70" t="s">
        <v>356</v>
      </c>
      <c r="B70" s="8">
        <v>45129</v>
      </c>
      <c r="C70" s="8">
        <v>45135</v>
      </c>
      <c r="D70" t="s">
        <v>48</v>
      </c>
      <c r="E70" t="s">
        <v>357</v>
      </c>
      <c r="F70" t="s">
        <v>358</v>
      </c>
      <c r="G70">
        <v>9023927575</v>
      </c>
      <c r="H70" t="s">
        <v>35</v>
      </c>
      <c r="I70" t="s">
        <v>61</v>
      </c>
      <c r="J70" t="s">
        <v>182</v>
      </c>
      <c r="K70" t="s">
        <v>96</v>
      </c>
      <c r="L70" t="s">
        <v>120</v>
      </c>
      <c r="M70" t="s">
        <v>359</v>
      </c>
      <c r="N70">
        <v>8</v>
      </c>
      <c r="O70">
        <v>21464.240000000002</v>
      </c>
      <c r="P70">
        <v>10</v>
      </c>
      <c r="Q70">
        <v>17171.39</v>
      </c>
      <c r="R70">
        <v>154542.53</v>
      </c>
      <c r="S70">
        <v>-21718.07</v>
      </c>
    </row>
    <row r="71" spans="1:19" ht="15" customHeight="1" x14ac:dyDescent="0.25">
      <c r="A71" t="s">
        <v>360</v>
      </c>
      <c r="B71" s="8">
        <v>45639</v>
      </c>
      <c r="C71" s="8">
        <v>45639</v>
      </c>
      <c r="D71" t="s">
        <v>32</v>
      </c>
      <c r="E71" t="s">
        <v>361</v>
      </c>
      <c r="F71" t="s">
        <v>362</v>
      </c>
      <c r="G71">
        <v>9027074006</v>
      </c>
      <c r="H71" t="s">
        <v>35</v>
      </c>
      <c r="I71" t="s">
        <v>363</v>
      </c>
      <c r="J71" t="s">
        <v>52</v>
      </c>
      <c r="K71" t="s">
        <v>27</v>
      </c>
      <c r="L71" t="s">
        <v>173</v>
      </c>
      <c r="M71" t="s">
        <v>279</v>
      </c>
      <c r="N71">
        <v>8</v>
      </c>
      <c r="O71">
        <v>3780.44</v>
      </c>
      <c r="P71">
        <v>0</v>
      </c>
      <c r="Q71">
        <v>0</v>
      </c>
      <c r="R71">
        <v>30243.52</v>
      </c>
      <c r="S71">
        <v>8660.1</v>
      </c>
    </row>
    <row r="72" spans="1:19" ht="15" customHeight="1" x14ac:dyDescent="0.25">
      <c r="A72" t="s">
        <v>364</v>
      </c>
      <c r="B72" s="8">
        <v>44686</v>
      </c>
      <c r="C72" s="8">
        <v>44694</v>
      </c>
      <c r="D72" t="s">
        <v>48</v>
      </c>
      <c r="E72" t="s">
        <v>365</v>
      </c>
      <c r="F72" t="s">
        <v>366</v>
      </c>
      <c r="G72">
        <v>8148441741</v>
      </c>
      <c r="H72" t="s">
        <v>24</v>
      </c>
      <c r="I72" t="s">
        <v>51</v>
      </c>
      <c r="J72" t="s">
        <v>316</v>
      </c>
      <c r="K72" t="s">
        <v>96</v>
      </c>
      <c r="L72" t="s">
        <v>120</v>
      </c>
      <c r="M72" t="s">
        <v>367</v>
      </c>
      <c r="N72">
        <v>3</v>
      </c>
      <c r="O72">
        <v>279609.38</v>
      </c>
      <c r="P72">
        <v>0</v>
      </c>
      <c r="Q72">
        <v>0</v>
      </c>
      <c r="R72">
        <v>838828.14</v>
      </c>
      <c r="S72">
        <v>12590.47</v>
      </c>
    </row>
    <row r="73" spans="1:19" ht="15" customHeight="1" x14ac:dyDescent="0.25">
      <c r="A73" t="s">
        <v>368</v>
      </c>
      <c r="B73" s="8">
        <v>45491</v>
      </c>
      <c r="C73" s="8">
        <v>45494</v>
      </c>
      <c r="D73" t="s">
        <v>20</v>
      </c>
      <c r="E73" t="s">
        <v>369</v>
      </c>
      <c r="F73" t="s">
        <v>370</v>
      </c>
      <c r="G73">
        <v>8034607488</v>
      </c>
      <c r="H73" t="s">
        <v>24</v>
      </c>
      <c r="I73" t="s">
        <v>371</v>
      </c>
      <c r="J73" t="s">
        <v>316</v>
      </c>
      <c r="K73" t="s">
        <v>108</v>
      </c>
      <c r="L73" t="s">
        <v>183</v>
      </c>
      <c r="M73" t="s">
        <v>372</v>
      </c>
      <c r="N73">
        <v>15</v>
      </c>
      <c r="O73">
        <v>19793.98</v>
      </c>
      <c r="P73">
        <v>15</v>
      </c>
      <c r="Q73">
        <v>44536.46</v>
      </c>
      <c r="R73">
        <v>252373.24</v>
      </c>
      <c r="S73">
        <v>25134.81</v>
      </c>
    </row>
    <row r="74" spans="1:19" ht="15" customHeight="1" x14ac:dyDescent="0.25">
      <c r="A74" t="s">
        <v>373</v>
      </c>
      <c r="B74" s="8">
        <v>45084</v>
      </c>
      <c r="C74" s="8">
        <v>45087</v>
      </c>
      <c r="D74" t="s">
        <v>20</v>
      </c>
      <c r="E74" t="s">
        <v>374</v>
      </c>
      <c r="F74" t="s">
        <v>375</v>
      </c>
      <c r="G74">
        <v>8062530497</v>
      </c>
      <c r="H74" t="s">
        <v>43</v>
      </c>
      <c r="I74" t="s">
        <v>25</v>
      </c>
      <c r="J74" t="s">
        <v>44</v>
      </c>
      <c r="K74" t="s">
        <v>96</v>
      </c>
      <c r="L74" t="s">
        <v>120</v>
      </c>
      <c r="M74" t="s">
        <v>133</v>
      </c>
      <c r="N74">
        <v>12</v>
      </c>
      <c r="O74">
        <v>57005.53</v>
      </c>
      <c r="P74" t="s">
        <v>376</v>
      </c>
      <c r="Q74">
        <v>0</v>
      </c>
      <c r="R74">
        <v>684066.36</v>
      </c>
      <c r="S74">
        <v>125746.75</v>
      </c>
    </row>
    <row r="75" spans="1:19" ht="15" customHeight="1" x14ac:dyDescent="0.25">
      <c r="A75" t="s">
        <v>377</v>
      </c>
      <c r="B75" s="8">
        <v>45428</v>
      </c>
      <c r="C75" s="8">
        <v>45430</v>
      </c>
      <c r="D75" t="s">
        <v>20</v>
      </c>
      <c r="E75" t="s">
        <v>378</v>
      </c>
      <c r="F75" t="s">
        <v>379</v>
      </c>
      <c r="G75">
        <v>7032738129</v>
      </c>
      <c r="H75" t="s">
        <v>60</v>
      </c>
      <c r="I75" t="s">
        <v>51</v>
      </c>
      <c r="J75" t="s">
        <v>52</v>
      </c>
      <c r="K75" t="s">
        <v>27</v>
      </c>
      <c r="L75" t="s">
        <v>173</v>
      </c>
      <c r="M75" t="s">
        <v>380</v>
      </c>
      <c r="N75">
        <v>16</v>
      </c>
      <c r="O75">
        <v>1491.42</v>
      </c>
      <c r="P75">
        <v>5</v>
      </c>
      <c r="Q75">
        <v>1193.1400000000001</v>
      </c>
      <c r="R75">
        <v>22669.58</v>
      </c>
      <c r="S75">
        <v>8123.98</v>
      </c>
    </row>
    <row r="76" spans="1:19" ht="15" customHeight="1" x14ac:dyDescent="0.25">
      <c r="A76" t="s">
        <v>381</v>
      </c>
      <c r="B76" s="8">
        <v>45132</v>
      </c>
      <c r="C76" s="8">
        <v>45138</v>
      </c>
      <c r="D76" t="s">
        <v>48</v>
      </c>
      <c r="E76" t="s">
        <v>382</v>
      </c>
      <c r="F76" t="s">
        <v>383</v>
      </c>
      <c r="G76">
        <v>9055487028</v>
      </c>
      <c r="H76" t="s">
        <v>43</v>
      </c>
      <c r="I76" t="s">
        <v>384</v>
      </c>
      <c r="J76" t="s">
        <v>227</v>
      </c>
      <c r="K76" t="s">
        <v>96</v>
      </c>
      <c r="L76" t="s">
        <v>385</v>
      </c>
      <c r="M76" t="s">
        <v>386</v>
      </c>
      <c r="N76">
        <v>10</v>
      </c>
      <c r="O76">
        <v>320673.96999999997</v>
      </c>
      <c r="P76">
        <v>10</v>
      </c>
      <c r="Q76">
        <v>320673.96999999997</v>
      </c>
      <c r="R76">
        <v>2886065.73</v>
      </c>
      <c r="S76">
        <v>174936.14</v>
      </c>
    </row>
    <row r="77" spans="1:19" ht="15" customHeight="1" x14ac:dyDescent="0.25">
      <c r="A77" t="s">
        <v>387</v>
      </c>
      <c r="B77" s="8">
        <v>44704</v>
      </c>
      <c r="C77" s="8">
        <v>44704</v>
      </c>
      <c r="D77" t="s">
        <v>32</v>
      </c>
      <c r="E77" t="s">
        <v>241</v>
      </c>
      <c r="F77" t="s">
        <v>388</v>
      </c>
      <c r="G77">
        <v>7068043620</v>
      </c>
      <c r="H77" t="s">
        <v>24</v>
      </c>
      <c r="I77" t="s">
        <v>61</v>
      </c>
      <c r="J77" t="s">
        <v>62</v>
      </c>
      <c r="K77" t="s">
        <v>108</v>
      </c>
      <c r="L77" t="s">
        <v>38</v>
      </c>
      <c r="M77" t="s">
        <v>303</v>
      </c>
      <c r="N77">
        <v>11</v>
      </c>
      <c r="O77">
        <v>17912.28</v>
      </c>
      <c r="P77" t="s">
        <v>376</v>
      </c>
      <c r="Q77">
        <v>0</v>
      </c>
      <c r="R77">
        <v>197035.08</v>
      </c>
      <c r="S77">
        <v>74874.38</v>
      </c>
    </row>
    <row r="78" spans="1:19" ht="15" customHeight="1" x14ac:dyDescent="0.25">
      <c r="A78" t="s">
        <v>389</v>
      </c>
      <c r="B78" s="8">
        <v>44729</v>
      </c>
      <c r="C78" s="8">
        <v>44736</v>
      </c>
      <c r="D78" t="s">
        <v>48</v>
      </c>
      <c r="E78" t="s">
        <v>176</v>
      </c>
      <c r="F78" t="s">
        <v>390</v>
      </c>
      <c r="G78">
        <v>8148416270</v>
      </c>
      <c r="H78" t="s">
        <v>391</v>
      </c>
      <c r="I78" t="s">
        <v>61</v>
      </c>
      <c r="J78" t="s">
        <v>62</v>
      </c>
      <c r="K78" t="s">
        <v>108</v>
      </c>
      <c r="L78" t="s">
        <v>38</v>
      </c>
      <c r="M78" t="s">
        <v>303</v>
      </c>
      <c r="N78">
        <v>4</v>
      </c>
      <c r="O78">
        <v>34462.559999999998</v>
      </c>
      <c r="P78">
        <v>10</v>
      </c>
      <c r="Q78">
        <v>13785.02</v>
      </c>
      <c r="R78">
        <v>124065.22</v>
      </c>
      <c r="S78">
        <v>13392.61</v>
      </c>
    </row>
    <row r="79" spans="1:19" ht="15" customHeight="1" x14ac:dyDescent="0.25">
      <c r="A79" t="s">
        <v>392</v>
      </c>
      <c r="B79" s="8">
        <v>44655</v>
      </c>
      <c r="C79" s="8">
        <v>44657</v>
      </c>
      <c r="D79" t="s">
        <v>20</v>
      </c>
      <c r="E79" t="s">
        <v>393</v>
      </c>
      <c r="F79" t="s">
        <v>394</v>
      </c>
      <c r="G79">
        <v>8034429650</v>
      </c>
      <c r="H79" t="s">
        <v>43</v>
      </c>
      <c r="I79" t="s">
        <v>51</v>
      </c>
      <c r="J79" t="s">
        <v>227</v>
      </c>
      <c r="K79" t="s">
        <v>63</v>
      </c>
      <c r="L79" t="s">
        <v>54</v>
      </c>
      <c r="M79" t="s">
        <v>150</v>
      </c>
      <c r="N79">
        <v>10</v>
      </c>
      <c r="O79">
        <v>19221.939999999999</v>
      </c>
      <c r="P79">
        <v>10</v>
      </c>
      <c r="Q79">
        <v>19221.939999999999</v>
      </c>
      <c r="R79">
        <v>172997.46</v>
      </c>
      <c r="S79">
        <v>-13495.43</v>
      </c>
    </row>
    <row r="80" spans="1:19" ht="15" customHeight="1" x14ac:dyDescent="0.25">
      <c r="A80" t="s">
        <v>395</v>
      </c>
      <c r="B80" s="8">
        <v>45340</v>
      </c>
      <c r="C80" s="8">
        <v>45345</v>
      </c>
      <c r="D80" t="s">
        <v>73</v>
      </c>
      <c r="E80" t="s">
        <v>396</v>
      </c>
      <c r="F80" t="s">
        <v>397</v>
      </c>
      <c r="G80">
        <v>8067661748</v>
      </c>
      <c r="H80" t="s">
        <v>35</v>
      </c>
      <c r="I80" t="s">
        <v>69</v>
      </c>
      <c r="J80" t="s">
        <v>70</v>
      </c>
      <c r="K80" t="s">
        <v>96</v>
      </c>
      <c r="L80" t="s">
        <v>189</v>
      </c>
      <c r="M80" t="s">
        <v>287</v>
      </c>
      <c r="N80">
        <v>3</v>
      </c>
      <c r="O80">
        <v>214993.1</v>
      </c>
      <c r="P80">
        <v>10</v>
      </c>
      <c r="Q80">
        <v>64497.93</v>
      </c>
      <c r="R80">
        <v>580481.37</v>
      </c>
      <c r="S80">
        <v>113458.27</v>
      </c>
    </row>
    <row r="81" spans="1:19" ht="15" customHeight="1" x14ac:dyDescent="0.25">
      <c r="A81" t="s">
        <v>398</v>
      </c>
      <c r="B81" s="8">
        <v>45391</v>
      </c>
      <c r="C81" s="8">
        <v>45396</v>
      </c>
      <c r="D81" t="s">
        <v>48</v>
      </c>
      <c r="E81" t="s">
        <v>399</v>
      </c>
      <c r="F81" t="s">
        <v>400</v>
      </c>
      <c r="G81">
        <v>8037070880</v>
      </c>
      <c r="H81" t="s">
        <v>43</v>
      </c>
      <c r="I81" t="s">
        <v>69</v>
      </c>
      <c r="J81" t="s">
        <v>70</v>
      </c>
      <c r="K81" t="s">
        <v>96</v>
      </c>
      <c r="L81" t="s">
        <v>189</v>
      </c>
      <c r="M81" t="s">
        <v>287</v>
      </c>
      <c r="N81">
        <v>19</v>
      </c>
      <c r="O81">
        <v>120842.67</v>
      </c>
      <c r="P81">
        <v>15</v>
      </c>
      <c r="Q81">
        <v>344401.61</v>
      </c>
      <c r="R81">
        <v>1951609.12</v>
      </c>
      <c r="S81">
        <v>320800.68</v>
      </c>
    </row>
    <row r="82" spans="1:19" ht="15" customHeight="1" x14ac:dyDescent="0.25">
      <c r="A82" t="s">
        <v>401</v>
      </c>
      <c r="B82" s="8">
        <v>45015</v>
      </c>
      <c r="C82" s="8">
        <v>45018</v>
      </c>
      <c r="D82" t="s">
        <v>20</v>
      </c>
      <c r="E82" t="s">
        <v>402</v>
      </c>
      <c r="F82" t="s">
        <v>403</v>
      </c>
      <c r="G82">
        <v>8159555575</v>
      </c>
      <c r="H82" t="s">
        <v>24</v>
      </c>
      <c r="I82" t="s">
        <v>69</v>
      </c>
      <c r="J82" t="s">
        <v>144</v>
      </c>
      <c r="K82" t="s">
        <v>85</v>
      </c>
      <c r="L82" t="s">
        <v>243</v>
      </c>
      <c r="M82" t="s">
        <v>404</v>
      </c>
      <c r="N82" t="s">
        <v>405</v>
      </c>
      <c r="O82">
        <v>133109.21</v>
      </c>
      <c r="P82">
        <v>5</v>
      </c>
      <c r="Q82">
        <v>33277.300000000003</v>
      </c>
      <c r="R82">
        <v>632268.75</v>
      </c>
      <c r="S82">
        <v>-55840.26</v>
      </c>
    </row>
    <row r="83" spans="1:19" ht="15" customHeight="1" x14ac:dyDescent="0.25">
      <c r="A83" t="s">
        <v>406</v>
      </c>
      <c r="B83" s="8">
        <v>44716</v>
      </c>
      <c r="C83" s="8">
        <v>44719</v>
      </c>
      <c r="D83" t="s">
        <v>73</v>
      </c>
      <c r="E83" t="s">
        <v>407</v>
      </c>
      <c r="F83" t="s">
        <v>408</v>
      </c>
      <c r="G83">
        <v>9076422534</v>
      </c>
      <c r="H83" t="s">
        <v>35</v>
      </c>
      <c r="I83" t="s">
        <v>51</v>
      </c>
      <c r="J83" t="s">
        <v>131</v>
      </c>
      <c r="K83" t="s">
        <v>63</v>
      </c>
      <c r="L83" t="s">
        <v>54</v>
      </c>
      <c r="M83" t="s">
        <v>409</v>
      </c>
      <c r="N83">
        <v>15</v>
      </c>
      <c r="O83">
        <v>2173.0100000000002</v>
      </c>
      <c r="P83">
        <v>10</v>
      </c>
      <c r="Q83">
        <v>3259.51</v>
      </c>
      <c r="R83">
        <v>29335.64</v>
      </c>
      <c r="S83">
        <v>9616.16</v>
      </c>
    </row>
    <row r="84" spans="1:19" ht="15" customHeight="1" x14ac:dyDescent="0.25">
      <c r="A84" t="s">
        <v>410</v>
      </c>
      <c r="B84" s="8" t="s">
        <v>411</v>
      </c>
      <c r="C84" s="8">
        <v>45205</v>
      </c>
      <c r="D84" t="s">
        <v>48</v>
      </c>
      <c r="E84" t="s">
        <v>412</v>
      </c>
      <c r="F84" t="s">
        <v>413</v>
      </c>
      <c r="G84">
        <v>7035816353</v>
      </c>
      <c r="H84" t="s">
        <v>24</v>
      </c>
      <c r="I84" t="s">
        <v>414</v>
      </c>
      <c r="J84" t="s">
        <v>44</v>
      </c>
      <c r="K84" t="s">
        <v>96</v>
      </c>
      <c r="L84" t="s">
        <v>120</v>
      </c>
      <c r="M84" t="s">
        <v>121</v>
      </c>
      <c r="N84">
        <v>13</v>
      </c>
      <c r="O84">
        <v>273424.71999999997</v>
      </c>
      <c r="P84">
        <v>20</v>
      </c>
      <c r="Q84">
        <v>710904.27</v>
      </c>
      <c r="R84">
        <v>2843617.09</v>
      </c>
      <c r="S84">
        <v>563598.21</v>
      </c>
    </row>
    <row r="85" spans="1:19" ht="15" customHeight="1" x14ac:dyDescent="0.25">
      <c r="A85" t="s">
        <v>415</v>
      </c>
      <c r="B85" s="8">
        <v>45220</v>
      </c>
      <c r="C85" s="8">
        <v>45225</v>
      </c>
      <c r="D85" t="s">
        <v>416</v>
      </c>
      <c r="E85" t="s">
        <v>417</v>
      </c>
      <c r="F85" t="s">
        <v>418</v>
      </c>
      <c r="G85">
        <v>8038558523</v>
      </c>
      <c r="H85" t="s">
        <v>24</v>
      </c>
      <c r="I85" t="s">
        <v>25</v>
      </c>
      <c r="K85" t="s">
        <v>96</v>
      </c>
      <c r="L85" t="s">
        <v>97</v>
      </c>
      <c r="M85" t="s">
        <v>98</v>
      </c>
      <c r="N85">
        <v>6</v>
      </c>
      <c r="O85">
        <v>234478.82</v>
      </c>
      <c r="P85">
        <v>0</v>
      </c>
      <c r="Q85">
        <v>0</v>
      </c>
      <c r="R85">
        <v>1406872.92</v>
      </c>
      <c r="S85">
        <v>-1904.58</v>
      </c>
    </row>
    <row r="86" spans="1:19" ht="15" customHeight="1" x14ac:dyDescent="0.25">
      <c r="A86" t="s">
        <v>419</v>
      </c>
      <c r="B86" s="8">
        <v>45307</v>
      </c>
      <c r="D86" t="s">
        <v>73</v>
      </c>
      <c r="E86" t="s">
        <v>420</v>
      </c>
      <c r="F86" t="s">
        <v>421</v>
      </c>
      <c r="G86" t="s">
        <v>422</v>
      </c>
      <c r="H86" t="s">
        <v>24</v>
      </c>
      <c r="I86" t="s">
        <v>69</v>
      </c>
      <c r="J86" t="s">
        <v>70</v>
      </c>
      <c r="K86" t="s">
        <v>27</v>
      </c>
      <c r="L86" t="s">
        <v>79</v>
      </c>
      <c r="M86" t="s">
        <v>80</v>
      </c>
      <c r="N86">
        <v>4</v>
      </c>
      <c r="O86">
        <v>807.52</v>
      </c>
      <c r="P86">
        <v>25</v>
      </c>
      <c r="Q86">
        <v>807.52</v>
      </c>
      <c r="R86">
        <v>2422.56</v>
      </c>
      <c r="S86">
        <v>622.66</v>
      </c>
    </row>
    <row r="87" spans="1:19" ht="15" customHeight="1" x14ac:dyDescent="0.25">
      <c r="A87" t="s">
        <v>423</v>
      </c>
      <c r="B87" s="8">
        <v>45244</v>
      </c>
      <c r="C87" s="8">
        <v>45247</v>
      </c>
      <c r="D87" t="s">
        <v>73</v>
      </c>
      <c r="E87" t="s">
        <v>424</v>
      </c>
      <c r="F87" t="s">
        <v>425</v>
      </c>
      <c r="G87" t="s">
        <v>94</v>
      </c>
      <c r="H87" t="s">
        <v>24</v>
      </c>
      <c r="J87" t="s">
        <v>223</v>
      </c>
      <c r="K87" t="s">
        <v>108</v>
      </c>
      <c r="L87" t="s">
        <v>109</v>
      </c>
      <c r="M87" t="s">
        <v>426</v>
      </c>
      <c r="N87">
        <v>-5</v>
      </c>
      <c r="O87">
        <v>32479.86</v>
      </c>
      <c r="P87">
        <v>10</v>
      </c>
      <c r="Q87">
        <v>9743.9599999999991</v>
      </c>
      <c r="R87">
        <v>87695.62</v>
      </c>
      <c r="S87">
        <v>16254.67</v>
      </c>
    </row>
    <row r="88" spans="1:19" ht="15" customHeight="1" x14ac:dyDescent="0.25">
      <c r="A88" t="s">
        <v>427</v>
      </c>
      <c r="B88" s="8">
        <v>45429</v>
      </c>
      <c r="C88" s="8">
        <v>45436</v>
      </c>
      <c r="D88" t="s">
        <v>48</v>
      </c>
      <c r="E88" t="s">
        <v>428</v>
      </c>
      <c r="F88" t="s">
        <v>429</v>
      </c>
      <c r="G88">
        <v>8104593556</v>
      </c>
      <c r="H88" t="s">
        <v>24</v>
      </c>
      <c r="I88" t="s">
        <v>51</v>
      </c>
      <c r="J88" t="s">
        <v>131</v>
      </c>
      <c r="K88" t="s">
        <v>63</v>
      </c>
      <c r="L88" t="s">
        <v>194</v>
      </c>
      <c r="M88" t="s">
        <v>257</v>
      </c>
      <c r="N88">
        <v>5</v>
      </c>
      <c r="O88">
        <v>5204.13</v>
      </c>
      <c r="P88">
        <v>0</v>
      </c>
      <c r="Q88">
        <v>0</v>
      </c>
      <c r="R88">
        <v>26020.65</v>
      </c>
      <c r="S88">
        <v>-2698.37</v>
      </c>
    </row>
    <row r="89" spans="1:19" ht="15" customHeight="1" x14ac:dyDescent="0.25">
      <c r="A89" t="s">
        <v>430</v>
      </c>
      <c r="B89" s="8">
        <v>45251</v>
      </c>
      <c r="C89" s="8">
        <v>45257</v>
      </c>
      <c r="D89" t="s">
        <v>48</v>
      </c>
      <c r="E89" t="s">
        <v>431</v>
      </c>
      <c r="F89" t="s">
        <v>432</v>
      </c>
      <c r="G89">
        <v>8104034091</v>
      </c>
      <c r="H89" t="s">
        <v>24</v>
      </c>
      <c r="I89" t="s">
        <v>25</v>
      </c>
      <c r="J89" t="s">
        <v>36</v>
      </c>
      <c r="K89" t="s">
        <v>27</v>
      </c>
      <c r="L89" t="s">
        <v>354</v>
      </c>
      <c r="M89" t="s">
        <v>433</v>
      </c>
      <c r="N89">
        <v>-2</v>
      </c>
      <c r="O89">
        <v>636.42999999999995</v>
      </c>
      <c r="P89">
        <v>5</v>
      </c>
      <c r="Q89">
        <v>381.86</v>
      </c>
      <c r="R89">
        <v>7255.3</v>
      </c>
      <c r="S89">
        <v>3132.5</v>
      </c>
    </row>
    <row r="90" spans="1:19" ht="15" customHeight="1" x14ac:dyDescent="0.25">
      <c r="A90" t="s">
        <v>434</v>
      </c>
      <c r="B90" s="8">
        <v>45195</v>
      </c>
      <c r="C90" s="8">
        <v>45199</v>
      </c>
      <c r="D90" t="s">
        <v>416</v>
      </c>
      <c r="E90" t="s">
        <v>435</v>
      </c>
      <c r="F90" t="s">
        <v>436</v>
      </c>
      <c r="G90">
        <v>8145727345</v>
      </c>
      <c r="H90" t="s">
        <v>35</v>
      </c>
      <c r="I90" t="s">
        <v>51</v>
      </c>
      <c r="J90" t="s">
        <v>316</v>
      </c>
      <c r="K90" t="s">
        <v>108</v>
      </c>
      <c r="L90" t="s">
        <v>189</v>
      </c>
      <c r="M90" t="s">
        <v>205</v>
      </c>
      <c r="N90">
        <v>6</v>
      </c>
      <c r="O90">
        <v>20002.419999999998</v>
      </c>
      <c r="P90">
        <v>5</v>
      </c>
      <c r="Q90">
        <v>6000.73</v>
      </c>
      <c r="R90">
        <v>114013.79</v>
      </c>
      <c r="S90">
        <v>37710.69</v>
      </c>
    </row>
    <row r="91" spans="1:19" ht="15" customHeight="1" x14ac:dyDescent="0.25">
      <c r="A91" t="s">
        <v>437</v>
      </c>
      <c r="B91" s="8">
        <v>45322</v>
      </c>
      <c r="C91" s="8">
        <v>45322</v>
      </c>
      <c r="D91" t="s">
        <v>32</v>
      </c>
      <c r="F91" t="s">
        <v>438</v>
      </c>
      <c r="G91">
        <v>8162407191</v>
      </c>
      <c r="H91" t="s">
        <v>35</v>
      </c>
      <c r="I91" t="s">
        <v>61</v>
      </c>
      <c r="J91" t="s">
        <v>182</v>
      </c>
      <c r="K91" t="s">
        <v>85</v>
      </c>
      <c r="L91" t="s">
        <v>243</v>
      </c>
      <c r="M91" t="s">
        <v>439</v>
      </c>
      <c r="N91">
        <v>5</v>
      </c>
      <c r="O91">
        <v>163712.67000000001</v>
      </c>
      <c r="P91">
        <v>15</v>
      </c>
      <c r="Q91">
        <v>122784.5</v>
      </c>
      <c r="R91">
        <v>695778.85</v>
      </c>
      <c r="S91">
        <v>-66079.41</v>
      </c>
    </row>
    <row r="92" spans="1:19" ht="15" customHeight="1" x14ac:dyDescent="0.25">
      <c r="A92" t="s">
        <v>440</v>
      </c>
      <c r="B92" s="8">
        <v>45411</v>
      </c>
      <c r="C92" s="8">
        <v>45416</v>
      </c>
      <c r="D92" t="s">
        <v>48</v>
      </c>
      <c r="E92" t="s">
        <v>441</v>
      </c>
      <c r="F92" t="s">
        <v>442</v>
      </c>
      <c r="G92" t="s">
        <v>23</v>
      </c>
      <c r="H92" t="s">
        <v>43</v>
      </c>
      <c r="I92" t="s">
        <v>61</v>
      </c>
      <c r="J92" t="s">
        <v>204</v>
      </c>
      <c r="K92" t="s">
        <v>96</v>
      </c>
      <c r="L92" t="s">
        <v>97</v>
      </c>
      <c r="M92" t="s">
        <v>443</v>
      </c>
      <c r="N92">
        <v>4</v>
      </c>
      <c r="O92">
        <v>27261.58</v>
      </c>
      <c r="P92">
        <v>10</v>
      </c>
      <c r="Q92">
        <v>10904.63</v>
      </c>
      <c r="S92">
        <v>31879.21</v>
      </c>
    </row>
    <row r="93" spans="1:19" ht="15" customHeight="1" x14ac:dyDescent="0.25">
      <c r="A93" t="s">
        <v>444</v>
      </c>
      <c r="B93" s="8">
        <v>44846</v>
      </c>
      <c r="C93" s="8">
        <v>44847</v>
      </c>
      <c r="D93" t="s">
        <v>32</v>
      </c>
      <c r="E93" t="s">
        <v>445</v>
      </c>
      <c r="F93" t="s">
        <v>446</v>
      </c>
      <c r="G93">
        <v>8061318832</v>
      </c>
      <c r="H93" t="s">
        <v>43</v>
      </c>
      <c r="I93" t="s">
        <v>61</v>
      </c>
      <c r="J93" t="s">
        <v>95</v>
      </c>
      <c r="K93" t="s">
        <v>63</v>
      </c>
      <c r="L93" t="s">
        <v>54</v>
      </c>
      <c r="M93" t="s">
        <v>150</v>
      </c>
      <c r="N93">
        <v>20</v>
      </c>
      <c r="O93">
        <v>13945.7</v>
      </c>
      <c r="P93">
        <v>25</v>
      </c>
      <c r="Q93">
        <v>69728.5</v>
      </c>
      <c r="R93">
        <v>209185.5</v>
      </c>
      <c r="S93">
        <v>21745.43</v>
      </c>
    </row>
    <row r="94" spans="1:19" ht="15" customHeight="1" x14ac:dyDescent="0.25">
      <c r="A94" t="s">
        <v>447</v>
      </c>
      <c r="B94" s="8">
        <v>44659</v>
      </c>
      <c r="C94" s="8">
        <v>44665</v>
      </c>
      <c r="D94" t="s">
        <v>48</v>
      </c>
      <c r="F94" t="s">
        <v>448</v>
      </c>
      <c r="G94">
        <v>8062859886</v>
      </c>
      <c r="H94" t="s">
        <v>43</v>
      </c>
      <c r="I94" t="s">
        <v>51</v>
      </c>
      <c r="J94" t="s">
        <v>131</v>
      </c>
      <c r="K94" t="s">
        <v>108</v>
      </c>
      <c r="L94" t="s">
        <v>189</v>
      </c>
      <c r="M94" t="s">
        <v>205</v>
      </c>
      <c r="N94">
        <v>17</v>
      </c>
      <c r="O94">
        <v>2706.72</v>
      </c>
      <c r="P94">
        <v>5</v>
      </c>
      <c r="Q94">
        <v>2300.71</v>
      </c>
      <c r="R94">
        <v>43713.53</v>
      </c>
      <c r="S94">
        <v>12289.04</v>
      </c>
    </row>
    <row r="95" spans="1:19" ht="15" customHeight="1" x14ac:dyDescent="0.25">
      <c r="A95" t="s">
        <v>449</v>
      </c>
      <c r="B95" s="8">
        <v>45054</v>
      </c>
      <c r="C95" s="8">
        <v>45057</v>
      </c>
      <c r="D95" t="s">
        <v>20</v>
      </c>
      <c r="E95" t="s">
        <v>450</v>
      </c>
      <c r="F95" t="s">
        <v>451</v>
      </c>
      <c r="G95">
        <v>8157049927</v>
      </c>
      <c r="H95" t="s">
        <v>35</v>
      </c>
      <c r="I95" t="s">
        <v>51</v>
      </c>
      <c r="K95" t="s">
        <v>96</v>
      </c>
      <c r="L95" t="s">
        <v>254</v>
      </c>
      <c r="M95" t="s">
        <v>452</v>
      </c>
      <c r="N95">
        <v>17</v>
      </c>
      <c r="O95">
        <v>235687.55</v>
      </c>
      <c r="P95">
        <v>25</v>
      </c>
      <c r="Q95">
        <v>1001672.09</v>
      </c>
      <c r="R95">
        <v>3005016.26</v>
      </c>
      <c r="S95">
        <v>-414089.49</v>
      </c>
    </row>
    <row r="96" spans="1:19" ht="15" customHeight="1" x14ac:dyDescent="0.25">
      <c r="A96" t="s">
        <v>453</v>
      </c>
      <c r="B96" s="8">
        <v>45326</v>
      </c>
      <c r="C96" s="8">
        <v>45327</v>
      </c>
      <c r="D96" t="s">
        <v>32</v>
      </c>
      <c r="E96" t="s">
        <v>428</v>
      </c>
      <c r="F96" t="s">
        <v>454</v>
      </c>
      <c r="G96">
        <v>7035045421</v>
      </c>
      <c r="H96" t="s">
        <v>24</v>
      </c>
      <c r="I96" t="s">
        <v>69</v>
      </c>
      <c r="J96" t="s">
        <v>307</v>
      </c>
      <c r="K96" t="s">
        <v>96</v>
      </c>
      <c r="L96" t="s">
        <v>254</v>
      </c>
      <c r="M96" t="s">
        <v>455</v>
      </c>
      <c r="N96">
        <v>12</v>
      </c>
      <c r="O96">
        <v>73033.17</v>
      </c>
      <c r="P96">
        <v>25</v>
      </c>
      <c r="Q96">
        <v>219099.51</v>
      </c>
      <c r="R96">
        <v>657298.53</v>
      </c>
      <c r="S96">
        <v>34921.19</v>
      </c>
    </row>
    <row r="97" spans="1:19" ht="15" customHeight="1" x14ac:dyDescent="0.25">
      <c r="A97" t="s">
        <v>456</v>
      </c>
      <c r="B97" s="8">
        <v>44935</v>
      </c>
      <c r="C97" s="8">
        <v>44935</v>
      </c>
      <c r="D97" t="s">
        <v>32</v>
      </c>
      <c r="E97" t="s">
        <v>457</v>
      </c>
      <c r="F97" t="s">
        <v>458</v>
      </c>
      <c r="G97">
        <v>8035923149</v>
      </c>
      <c r="H97" t="s">
        <v>24</v>
      </c>
      <c r="I97" t="s">
        <v>61</v>
      </c>
      <c r="J97" t="s">
        <v>204</v>
      </c>
      <c r="K97" t="s">
        <v>85</v>
      </c>
      <c r="L97" t="s">
        <v>86</v>
      </c>
      <c r="M97" t="s">
        <v>87</v>
      </c>
      <c r="N97">
        <v>11</v>
      </c>
      <c r="O97">
        <v>160355.95000000001</v>
      </c>
      <c r="P97">
        <v>10</v>
      </c>
      <c r="Q97">
        <v>176391.55</v>
      </c>
      <c r="R97">
        <v>1587523.9</v>
      </c>
      <c r="S97">
        <v>252781.67</v>
      </c>
    </row>
    <row r="98" spans="1:19" ht="15" customHeight="1" x14ac:dyDescent="0.25">
      <c r="A98" t="s">
        <v>459</v>
      </c>
      <c r="B98" s="8">
        <v>45147</v>
      </c>
      <c r="C98" s="8">
        <v>45151</v>
      </c>
      <c r="D98" t="s">
        <v>73</v>
      </c>
      <c r="E98" t="s">
        <v>460</v>
      </c>
      <c r="F98" t="s">
        <v>461</v>
      </c>
      <c r="G98">
        <v>8163088344</v>
      </c>
      <c r="H98" t="s">
        <v>35</v>
      </c>
      <c r="I98" t="s">
        <v>69</v>
      </c>
      <c r="J98" t="s">
        <v>144</v>
      </c>
      <c r="K98" t="s">
        <v>63</v>
      </c>
      <c r="L98" t="s">
        <v>64</v>
      </c>
      <c r="M98" t="s">
        <v>104</v>
      </c>
      <c r="N98">
        <v>13</v>
      </c>
      <c r="O98">
        <v>18711.04</v>
      </c>
      <c r="P98">
        <v>10</v>
      </c>
      <c r="Q98">
        <v>24324.35</v>
      </c>
      <c r="R98">
        <v>218919.17</v>
      </c>
      <c r="S98">
        <v>95062.18</v>
      </c>
    </row>
    <row r="99" spans="1:19" ht="15" customHeight="1" x14ac:dyDescent="0.25">
      <c r="A99" t="s">
        <v>462</v>
      </c>
      <c r="B99" s="8">
        <v>44731</v>
      </c>
      <c r="C99" s="8">
        <v>44734</v>
      </c>
      <c r="D99" t="s">
        <v>20</v>
      </c>
      <c r="E99" t="s">
        <v>463</v>
      </c>
      <c r="F99" t="s">
        <v>464</v>
      </c>
      <c r="G99">
        <v>8155928582</v>
      </c>
      <c r="H99" t="s">
        <v>43</v>
      </c>
      <c r="I99" t="s">
        <v>69</v>
      </c>
      <c r="J99" t="s">
        <v>70</v>
      </c>
      <c r="K99" t="s">
        <v>63</v>
      </c>
      <c r="L99" t="s">
        <v>249</v>
      </c>
      <c r="M99" t="s">
        <v>465</v>
      </c>
      <c r="N99">
        <v>10</v>
      </c>
      <c r="O99">
        <v>8534.0400000000009</v>
      </c>
      <c r="P99">
        <v>10</v>
      </c>
      <c r="Q99">
        <v>8534.0400000000009</v>
      </c>
      <c r="R99">
        <v>76806.36</v>
      </c>
      <c r="S99">
        <v>9028.5499999999993</v>
      </c>
    </row>
    <row r="100" spans="1:19" ht="15" customHeight="1" x14ac:dyDescent="0.25">
      <c r="A100" t="s">
        <v>466</v>
      </c>
      <c r="B100" s="8">
        <v>45281</v>
      </c>
      <c r="C100" s="8">
        <v>45282</v>
      </c>
      <c r="D100" t="s">
        <v>32</v>
      </c>
      <c r="E100" t="s">
        <v>467</v>
      </c>
      <c r="F100" t="s">
        <v>468</v>
      </c>
      <c r="G100">
        <v>9058297090</v>
      </c>
      <c r="H100" t="s">
        <v>24</v>
      </c>
      <c r="I100" t="s">
        <v>69</v>
      </c>
      <c r="J100" t="s">
        <v>119</v>
      </c>
      <c r="K100" t="s">
        <v>63</v>
      </c>
      <c r="L100" t="s">
        <v>469</v>
      </c>
      <c r="M100" t="s">
        <v>470</v>
      </c>
      <c r="N100">
        <v>13</v>
      </c>
      <c r="O100">
        <v>2338.5100000000002</v>
      </c>
      <c r="P100">
        <v>10</v>
      </c>
      <c r="Q100">
        <v>3040.06</v>
      </c>
      <c r="R100">
        <v>27360.57</v>
      </c>
      <c r="S100">
        <v>4318.91</v>
      </c>
    </row>
    <row r="101" spans="1:19" ht="15" customHeight="1" x14ac:dyDescent="0.25">
      <c r="A101" t="s">
        <v>471</v>
      </c>
      <c r="B101" s="8">
        <v>44633</v>
      </c>
      <c r="C101" s="8">
        <v>44633</v>
      </c>
      <c r="D101" t="s">
        <v>32</v>
      </c>
      <c r="E101" t="s">
        <v>472</v>
      </c>
      <c r="F101" t="s">
        <v>473</v>
      </c>
      <c r="G101">
        <v>7037423230</v>
      </c>
      <c r="H101" t="s">
        <v>35</v>
      </c>
      <c r="I101" t="s">
        <v>61</v>
      </c>
      <c r="J101" t="s">
        <v>95</v>
      </c>
      <c r="K101" t="s">
        <v>27</v>
      </c>
      <c r="L101" t="s">
        <v>79</v>
      </c>
      <c r="M101" t="s">
        <v>234</v>
      </c>
      <c r="N101">
        <v>15</v>
      </c>
      <c r="O101">
        <v>1481.47</v>
      </c>
      <c r="P101">
        <v>10</v>
      </c>
      <c r="Q101">
        <v>2222.1999999999998</v>
      </c>
      <c r="R101" t="s">
        <v>474</v>
      </c>
      <c r="S101">
        <v>1464.15</v>
      </c>
    </row>
    <row r="102" spans="1:19" ht="15" customHeight="1" x14ac:dyDescent="0.25">
      <c r="A102" t="s">
        <v>475</v>
      </c>
      <c r="B102" s="8">
        <v>45377</v>
      </c>
      <c r="C102" s="8">
        <v>45380</v>
      </c>
      <c r="D102" t="s">
        <v>20</v>
      </c>
      <c r="E102" t="s">
        <v>476</v>
      </c>
      <c r="F102" t="s">
        <v>477</v>
      </c>
      <c r="G102">
        <v>8034121368</v>
      </c>
      <c r="H102" t="s">
        <v>35</v>
      </c>
      <c r="I102" t="s">
        <v>25</v>
      </c>
      <c r="J102" t="s">
        <v>36</v>
      </c>
      <c r="K102" t="s">
        <v>108</v>
      </c>
      <c r="L102" t="s">
        <v>189</v>
      </c>
      <c r="M102" t="s">
        <v>478</v>
      </c>
      <c r="N102">
        <v>4</v>
      </c>
      <c r="O102">
        <v>41282.33</v>
      </c>
      <c r="P102">
        <v>10</v>
      </c>
      <c r="Q102">
        <v>16512.93</v>
      </c>
      <c r="R102">
        <v>148616.39000000001</v>
      </c>
    </row>
    <row r="103" spans="1:19" ht="15" customHeight="1" x14ac:dyDescent="0.25">
      <c r="A103" t="s">
        <v>479</v>
      </c>
      <c r="B103" s="8">
        <v>45567</v>
      </c>
      <c r="C103" s="8">
        <v>45569</v>
      </c>
      <c r="D103" t="s">
        <v>20</v>
      </c>
      <c r="E103" t="s">
        <v>480</v>
      </c>
      <c r="F103" t="s">
        <v>481</v>
      </c>
      <c r="G103">
        <v>8143896693</v>
      </c>
      <c r="H103" t="s">
        <v>24</v>
      </c>
      <c r="I103" t="s">
        <v>69</v>
      </c>
      <c r="J103" t="s">
        <v>119</v>
      </c>
      <c r="K103" t="s">
        <v>108</v>
      </c>
      <c r="L103" t="s">
        <v>114</v>
      </c>
      <c r="M103" t="s">
        <v>482</v>
      </c>
      <c r="N103">
        <v>3</v>
      </c>
      <c r="O103">
        <v>30717.11</v>
      </c>
      <c r="P103">
        <v>25</v>
      </c>
      <c r="Q103">
        <v>23037.83</v>
      </c>
      <c r="R103">
        <v>69113.5</v>
      </c>
      <c r="S103">
        <v>12115.79</v>
      </c>
    </row>
    <row r="104" spans="1:19" ht="15" customHeight="1" x14ac:dyDescent="0.25">
      <c r="A104" t="s">
        <v>483</v>
      </c>
      <c r="B104" s="8">
        <v>45302</v>
      </c>
      <c r="C104" s="8">
        <v>45307</v>
      </c>
      <c r="D104" t="s">
        <v>73</v>
      </c>
      <c r="E104" t="s">
        <v>484</v>
      </c>
      <c r="F104" t="s">
        <v>485</v>
      </c>
      <c r="G104">
        <v>9023329967</v>
      </c>
      <c r="H104" t="s">
        <v>24</v>
      </c>
      <c r="I104" t="s">
        <v>51</v>
      </c>
      <c r="J104" t="s">
        <v>131</v>
      </c>
      <c r="K104" t="s">
        <v>85</v>
      </c>
      <c r="L104" t="s">
        <v>486</v>
      </c>
      <c r="M104" t="s">
        <v>487</v>
      </c>
      <c r="N104">
        <v>19</v>
      </c>
      <c r="O104">
        <v>70074.2</v>
      </c>
      <c r="P104">
        <v>10</v>
      </c>
      <c r="Q104">
        <v>133140.98000000001</v>
      </c>
      <c r="R104">
        <v>1198268.82</v>
      </c>
      <c r="S104">
        <v>156306.38</v>
      </c>
    </row>
    <row r="105" spans="1:19" ht="15" customHeight="1" x14ac:dyDescent="0.25">
      <c r="A105" t="s">
        <v>488</v>
      </c>
      <c r="B105" s="8">
        <v>45195</v>
      </c>
      <c r="C105" s="8">
        <v>45203</v>
      </c>
      <c r="D105" t="s">
        <v>48</v>
      </c>
      <c r="E105" t="s">
        <v>417</v>
      </c>
      <c r="F105" t="s">
        <v>489</v>
      </c>
      <c r="G105">
        <v>9027869154</v>
      </c>
      <c r="H105" t="s">
        <v>35</v>
      </c>
      <c r="I105" t="s">
        <v>61</v>
      </c>
      <c r="J105" t="s">
        <v>84</v>
      </c>
      <c r="K105" t="s">
        <v>27</v>
      </c>
      <c r="L105" t="s">
        <v>79</v>
      </c>
      <c r="M105" t="s">
        <v>490</v>
      </c>
      <c r="N105">
        <v>3</v>
      </c>
      <c r="O105">
        <v>7787.32</v>
      </c>
      <c r="P105">
        <v>20</v>
      </c>
      <c r="Q105">
        <v>4672.3900000000003</v>
      </c>
      <c r="R105">
        <v>18689.57</v>
      </c>
      <c r="S105">
        <v>2420.3000000000002</v>
      </c>
    </row>
    <row r="106" spans="1:19" ht="15" customHeight="1" x14ac:dyDescent="0.25">
      <c r="A106" t="s">
        <v>491</v>
      </c>
      <c r="B106" s="8">
        <v>44826</v>
      </c>
      <c r="C106" s="8">
        <v>44830</v>
      </c>
      <c r="D106" t="s">
        <v>73</v>
      </c>
      <c r="E106" t="s">
        <v>492</v>
      </c>
      <c r="F106" t="s">
        <v>493</v>
      </c>
      <c r="G106">
        <v>8033083077</v>
      </c>
      <c r="H106" t="s">
        <v>24</v>
      </c>
      <c r="I106" t="s">
        <v>51</v>
      </c>
      <c r="J106" t="s">
        <v>131</v>
      </c>
      <c r="K106" t="s">
        <v>27</v>
      </c>
      <c r="L106" t="s">
        <v>354</v>
      </c>
      <c r="M106" t="s">
        <v>494</v>
      </c>
      <c r="N106">
        <v>11</v>
      </c>
      <c r="O106">
        <v>1567.86</v>
      </c>
      <c r="P106">
        <v>5</v>
      </c>
      <c r="Q106">
        <v>862.32</v>
      </c>
      <c r="R106">
        <v>16384.14</v>
      </c>
      <c r="S106">
        <v>943.95</v>
      </c>
    </row>
    <row r="107" spans="1:19" ht="15" customHeight="1" x14ac:dyDescent="0.25">
      <c r="A107" t="s">
        <v>495</v>
      </c>
      <c r="B107" s="8">
        <v>45124</v>
      </c>
      <c r="C107" s="8">
        <v>45127</v>
      </c>
      <c r="D107" t="s">
        <v>73</v>
      </c>
      <c r="E107" t="s">
        <v>496</v>
      </c>
      <c r="F107" t="s">
        <v>497</v>
      </c>
      <c r="G107">
        <v>8153829240</v>
      </c>
      <c r="H107" t="s">
        <v>43</v>
      </c>
      <c r="I107" t="s">
        <v>51</v>
      </c>
      <c r="J107" t="s">
        <v>52</v>
      </c>
      <c r="K107" t="s">
        <v>27</v>
      </c>
      <c r="L107" t="s">
        <v>173</v>
      </c>
      <c r="M107" t="s">
        <v>380</v>
      </c>
      <c r="N107">
        <v>20</v>
      </c>
      <c r="O107">
        <v>1618.24</v>
      </c>
      <c r="P107">
        <v>10</v>
      </c>
      <c r="Q107">
        <v>3236.48</v>
      </c>
      <c r="R107">
        <v>29128.32</v>
      </c>
      <c r="S107">
        <v>10355.64</v>
      </c>
    </row>
    <row r="108" spans="1:19" ht="15" customHeight="1" x14ac:dyDescent="0.25">
      <c r="A108" t="s">
        <v>498</v>
      </c>
      <c r="B108" s="8">
        <v>45104</v>
      </c>
      <c r="C108" s="8">
        <v>45110</v>
      </c>
      <c r="D108" t="s">
        <v>48</v>
      </c>
      <c r="E108" t="s">
        <v>499</v>
      </c>
      <c r="F108" t="s">
        <v>500</v>
      </c>
      <c r="G108">
        <v>8145859883</v>
      </c>
      <c r="H108" t="s">
        <v>35</v>
      </c>
      <c r="I108" t="s">
        <v>25</v>
      </c>
      <c r="J108" t="s">
        <v>26</v>
      </c>
      <c r="K108" t="s">
        <v>63</v>
      </c>
      <c r="L108" t="s">
        <v>64</v>
      </c>
      <c r="M108" t="s">
        <v>501</v>
      </c>
      <c r="N108">
        <v>13</v>
      </c>
      <c r="O108">
        <v>20214.86</v>
      </c>
      <c r="P108">
        <v>10</v>
      </c>
      <c r="Q108">
        <v>26279.32</v>
      </c>
      <c r="R108">
        <v>236513.86</v>
      </c>
      <c r="S108">
        <v>28884.61</v>
      </c>
    </row>
    <row r="109" spans="1:19" ht="15" customHeight="1" x14ac:dyDescent="0.25">
      <c r="A109" t="s">
        <v>502</v>
      </c>
      <c r="B109" s="8">
        <v>45553</v>
      </c>
      <c r="C109" s="8">
        <v>45551</v>
      </c>
      <c r="D109" t="s">
        <v>32</v>
      </c>
      <c r="E109" t="s">
        <v>503</v>
      </c>
      <c r="F109" t="s">
        <v>504</v>
      </c>
      <c r="G109">
        <v>7036357240</v>
      </c>
      <c r="H109" t="s">
        <v>43</v>
      </c>
      <c r="I109" t="s">
        <v>25</v>
      </c>
      <c r="J109" t="s">
        <v>126</v>
      </c>
      <c r="K109" t="s">
        <v>63</v>
      </c>
      <c r="L109" t="s">
        <v>64</v>
      </c>
      <c r="M109" t="s">
        <v>501</v>
      </c>
      <c r="N109">
        <v>17</v>
      </c>
      <c r="O109">
        <v>19136.29</v>
      </c>
      <c r="P109">
        <v>25</v>
      </c>
      <c r="Q109">
        <v>81329.23</v>
      </c>
      <c r="R109">
        <v>243987.7</v>
      </c>
      <c r="S109">
        <v>-21053.61</v>
      </c>
    </row>
    <row r="110" spans="1:19" ht="15" customHeight="1" x14ac:dyDescent="0.25">
      <c r="A110" t="s">
        <v>505</v>
      </c>
      <c r="B110" s="8">
        <v>45482</v>
      </c>
      <c r="C110" s="8">
        <v>45484</v>
      </c>
      <c r="D110" t="s">
        <v>20</v>
      </c>
      <c r="E110" t="s">
        <v>506</v>
      </c>
      <c r="F110" t="s">
        <v>507</v>
      </c>
      <c r="G110">
        <v>8167444964</v>
      </c>
      <c r="H110" t="s">
        <v>35</v>
      </c>
      <c r="I110" t="s">
        <v>61</v>
      </c>
      <c r="J110" t="s">
        <v>204</v>
      </c>
      <c r="K110" t="s">
        <v>27</v>
      </c>
      <c r="L110" t="s">
        <v>28</v>
      </c>
      <c r="M110" t="s">
        <v>508</v>
      </c>
      <c r="N110">
        <v>6</v>
      </c>
      <c r="O110">
        <v>7712.68</v>
      </c>
      <c r="P110">
        <v>10</v>
      </c>
      <c r="Q110">
        <v>4627.6099999999997</v>
      </c>
      <c r="R110">
        <v>41648.47</v>
      </c>
      <c r="S110">
        <v>17086.32</v>
      </c>
    </row>
    <row r="111" spans="1:19" ht="15" customHeight="1" x14ac:dyDescent="0.25">
      <c r="A111" t="s">
        <v>509</v>
      </c>
      <c r="B111" s="8">
        <v>45616</v>
      </c>
      <c r="C111" s="8">
        <v>45617</v>
      </c>
      <c r="D111" t="s">
        <v>32</v>
      </c>
      <c r="E111" t="s">
        <v>510</v>
      </c>
      <c r="F111" t="s">
        <v>511</v>
      </c>
      <c r="G111" t="s">
        <v>512</v>
      </c>
      <c r="H111" t="s">
        <v>35</v>
      </c>
      <c r="I111" t="s">
        <v>51</v>
      </c>
      <c r="J111" t="s">
        <v>131</v>
      </c>
      <c r="K111" t="s">
        <v>108</v>
      </c>
      <c r="L111" t="s">
        <v>189</v>
      </c>
      <c r="M111" t="s">
        <v>478</v>
      </c>
      <c r="N111">
        <v>7</v>
      </c>
      <c r="O111">
        <v>43567.53</v>
      </c>
      <c r="P111">
        <v>10</v>
      </c>
      <c r="Q111">
        <v>30497.27</v>
      </c>
      <c r="R111">
        <v>274475.44</v>
      </c>
      <c r="S111">
        <v>-33158.04</v>
      </c>
    </row>
    <row r="112" spans="1:19" ht="15" customHeight="1" x14ac:dyDescent="0.25">
      <c r="A112" t="s">
        <v>513</v>
      </c>
      <c r="B112" s="8">
        <v>44715</v>
      </c>
      <c r="C112" s="8">
        <v>44717</v>
      </c>
      <c r="D112" t="s">
        <v>20</v>
      </c>
      <c r="E112" t="s">
        <v>514</v>
      </c>
      <c r="F112" t="s">
        <v>515</v>
      </c>
      <c r="G112">
        <v>9023160763</v>
      </c>
      <c r="H112" t="s">
        <v>24</v>
      </c>
      <c r="I112" t="s">
        <v>25</v>
      </c>
      <c r="J112" t="s">
        <v>36</v>
      </c>
      <c r="K112" t="s">
        <v>96</v>
      </c>
      <c r="L112" t="s">
        <v>97</v>
      </c>
      <c r="M112" t="s">
        <v>98</v>
      </c>
      <c r="N112">
        <v>15</v>
      </c>
      <c r="O112">
        <v>33572.9</v>
      </c>
      <c r="P112">
        <v>0</v>
      </c>
      <c r="Q112">
        <v>0</v>
      </c>
      <c r="R112">
        <v>503593.5</v>
      </c>
      <c r="S112">
        <v>-24780.06</v>
      </c>
    </row>
    <row r="113" spans="1:19" ht="15" customHeight="1" x14ac:dyDescent="0.25">
      <c r="A113" t="s">
        <v>516</v>
      </c>
      <c r="B113" s="8">
        <v>45147</v>
      </c>
      <c r="C113" s="8">
        <v>45147</v>
      </c>
      <c r="D113" t="s">
        <v>32</v>
      </c>
      <c r="E113" t="s">
        <v>517</v>
      </c>
      <c r="F113" t="s">
        <v>518</v>
      </c>
      <c r="G113">
        <v>8167136730</v>
      </c>
      <c r="H113" t="s">
        <v>24</v>
      </c>
      <c r="I113" t="s">
        <v>51</v>
      </c>
      <c r="J113" t="s">
        <v>316</v>
      </c>
      <c r="K113" t="s">
        <v>108</v>
      </c>
      <c r="L113" t="s">
        <v>38</v>
      </c>
      <c r="M113" t="s">
        <v>519</v>
      </c>
      <c r="N113">
        <v>19</v>
      </c>
      <c r="O113">
        <v>19225.009999999998</v>
      </c>
      <c r="P113">
        <v>25</v>
      </c>
      <c r="Q113">
        <v>91318.8</v>
      </c>
      <c r="R113">
        <v>273956.39</v>
      </c>
      <c r="S113">
        <v>-9097.2199999999993</v>
      </c>
    </row>
    <row r="114" spans="1:19" ht="15" customHeight="1" x14ac:dyDescent="0.25">
      <c r="A114" t="s">
        <v>520</v>
      </c>
      <c r="B114" s="8">
        <v>45134</v>
      </c>
      <c r="C114" s="8">
        <v>45134</v>
      </c>
      <c r="D114" t="s">
        <v>32</v>
      </c>
      <c r="E114" t="s">
        <v>521</v>
      </c>
      <c r="F114" t="s">
        <v>522</v>
      </c>
      <c r="G114">
        <v>7036688907</v>
      </c>
      <c r="H114" t="s">
        <v>43</v>
      </c>
      <c r="I114" t="s">
        <v>51</v>
      </c>
      <c r="J114" t="s">
        <v>52</v>
      </c>
      <c r="K114" t="s">
        <v>27</v>
      </c>
      <c r="L114" t="s">
        <v>45</v>
      </c>
      <c r="M114" t="s">
        <v>523</v>
      </c>
      <c r="N114">
        <v>17</v>
      </c>
      <c r="O114">
        <v>1832.75</v>
      </c>
      <c r="P114">
        <v>15</v>
      </c>
      <c r="Q114">
        <v>4673.51</v>
      </c>
      <c r="R114">
        <v>26483.24</v>
      </c>
      <c r="S114">
        <v>3973.72</v>
      </c>
    </row>
    <row r="115" spans="1:19" ht="15" customHeight="1" x14ac:dyDescent="0.25">
      <c r="A115" t="s">
        <v>524</v>
      </c>
      <c r="B115" s="8">
        <v>45532</v>
      </c>
      <c r="C115" s="8">
        <v>45535</v>
      </c>
      <c r="D115" t="s">
        <v>20</v>
      </c>
      <c r="E115" t="s">
        <v>525</v>
      </c>
      <c r="F115" t="s">
        <v>526</v>
      </c>
      <c r="G115">
        <v>7036344047</v>
      </c>
      <c r="H115" t="s">
        <v>35</v>
      </c>
      <c r="I115" t="s">
        <v>25</v>
      </c>
      <c r="J115" t="s">
        <v>26</v>
      </c>
      <c r="K115" t="s">
        <v>85</v>
      </c>
      <c r="L115" t="s">
        <v>486</v>
      </c>
      <c r="M115" t="s">
        <v>527</v>
      </c>
      <c r="N115">
        <v>10</v>
      </c>
      <c r="O115">
        <v>135162.93</v>
      </c>
      <c r="P115">
        <v>10</v>
      </c>
      <c r="Q115">
        <v>135162.93</v>
      </c>
      <c r="R115">
        <v>1216466.3700000001</v>
      </c>
      <c r="S115">
        <v>187809.02</v>
      </c>
    </row>
    <row r="116" spans="1:19" ht="15" customHeight="1" x14ac:dyDescent="0.25">
      <c r="A116" t="s">
        <v>528</v>
      </c>
      <c r="B116" s="8">
        <v>44596</v>
      </c>
      <c r="C116" s="8">
        <v>44597</v>
      </c>
      <c r="D116" t="s">
        <v>32</v>
      </c>
      <c r="E116" t="s">
        <v>529</v>
      </c>
      <c r="G116">
        <v>7066161977</v>
      </c>
      <c r="H116" t="s">
        <v>43</v>
      </c>
      <c r="I116" t="s">
        <v>69</v>
      </c>
      <c r="J116" t="s">
        <v>155</v>
      </c>
      <c r="K116" t="s">
        <v>96</v>
      </c>
      <c r="L116" t="s">
        <v>254</v>
      </c>
      <c r="M116" t="s">
        <v>530</v>
      </c>
      <c r="N116">
        <v>19</v>
      </c>
      <c r="O116">
        <v>130505.74</v>
      </c>
      <c r="P116">
        <v>5</v>
      </c>
      <c r="Q116">
        <v>123980.45</v>
      </c>
      <c r="R116">
        <v>2355628.61</v>
      </c>
      <c r="S116">
        <v>666266.15</v>
      </c>
    </row>
    <row r="117" spans="1:19" ht="15" customHeight="1" x14ac:dyDescent="0.25">
      <c r="A117" t="s">
        <v>531</v>
      </c>
      <c r="B117" s="8">
        <v>44864</v>
      </c>
      <c r="C117" s="8">
        <v>44864</v>
      </c>
      <c r="D117" t="s">
        <v>32</v>
      </c>
      <c r="E117" t="s">
        <v>532</v>
      </c>
      <c r="F117" t="s">
        <v>533</v>
      </c>
      <c r="G117">
        <v>8131317716</v>
      </c>
      <c r="H117" t="s">
        <v>24</v>
      </c>
      <c r="I117" t="s">
        <v>69</v>
      </c>
      <c r="J117" t="s">
        <v>119</v>
      </c>
      <c r="K117" t="s">
        <v>534</v>
      </c>
      <c r="L117" t="s">
        <v>38</v>
      </c>
      <c r="M117" t="s">
        <v>213</v>
      </c>
      <c r="N117">
        <v>7</v>
      </c>
      <c r="O117">
        <v>8511.5400000000009</v>
      </c>
      <c r="P117">
        <v>15</v>
      </c>
      <c r="Q117">
        <v>8937.1200000000008</v>
      </c>
      <c r="R117">
        <v>50643.66</v>
      </c>
      <c r="S117">
        <v>7651.84</v>
      </c>
    </row>
    <row r="118" spans="1:19" ht="15" customHeight="1" x14ac:dyDescent="0.25">
      <c r="A118" t="s">
        <v>535</v>
      </c>
      <c r="B118" s="8" t="s">
        <v>536</v>
      </c>
      <c r="C118" s="8">
        <v>45627</v>
      </c>
      <c r="D118" t="s">
        <v>416</v>
      </c>
      <c r="E118" t="s">
        <v>537</v>
      </c>
      <c r="F118" t="s">
        <v>538</v>
      </c>
      <c r="G118">
        <v>8157322070</v>
      </c>
      <c r="H118" t="s">
        <v>24</v>
      </c>
      <c r="I118" t="s">
        <v>69</v>
      </c>
      <c r="J118" t="s">
        <v>307</v>
      </c>
      <c r="K118" t="s">
        <v>63</v>
      </c>
      <c r="L118" t="s">
        <v>54</v>
      </c>
      <c r="M118" t="s">
        <v>409</v>
      </c>
      <c r="N118">
        <v>11</v>
      </c>
      <c r="O118">
        <v>22847.040000000001</v>
      </c>
      <c r="P118">
        <v>25</v>
      </c>
      <c r="Q118">
        <v>62829.36</v>
      </c>
      <c r="R118" t="s">
        <v>539</v>
      </c>
      <c r="S118">
        <v>11794.11</v>
      </c>
    </row>
    <row r="119" spans="1:19" ht="15" customHeight="1" x14ac:dyDescent="0.25">
      <c r="A119" t="s">
        <v>540</v>
      </c>
      <c r="B119" s="8">
        <v>45066</v>
      </c>
      <c r="C119" s="8">
        <v>45070</v>
      </c>
      <c r="D119" t="s">
        <v>73</v>
      </c>
      <c r="E119" t="s">
        <v>541</v>
      </c>
      <c r="F119" t="s">
        <v>542</v>
      </c>
      <c r="G119">
        <v>8165848684</v>
      </c>
      <c r="H119" t="s">
        <v>60</v>
      </c>
      <c r="I119" t="s">
        <v>51</v>
      </c>
      <c r="J119" t="s">
        <v>227</v>
      </c>
      <c r="K119" t="s">
        <v>85</v>
      </c>
      <c r="L119" t="s">
        <v>486</v>
      </c>
      <c r="M119" t="s">
        <v>543</v>
      </c>
      <c r="N119">
        <v>18</v>
      </c>
      <c r="O119">
        <v>90526.19</v>
      </c>
      <c r="P119">
        <v>10</v>
      </c>
      <c r="Q119">
        <v>162947.14000000001</v>
      </c>
      <c r="R119">
        <v>1466524.28</v>
      </c>
      <c r="S119">
        <v>33251.42</v>
      </c>
    </row>
    <row r="120" spans="1:19" ht="15" customHeight="1" x14ac:dyDescent="0.25">
      <c r="A120" t="s">
        <v>544</v>
      </c>
      <c r="B120" s="8">
        <v>45156</v>
      </c>
      <c r="C120" s="8">
        <v>45159</v>
      </c>
      <c r="D120" t="s">
        <v>73</v>
      </c>
      <c r="E120" t="s">
        <v>269</v>
      </c>
      <c r="F120" t="s">
        <v>545</v>
      </c>
      <c r="G120">
        <v>7038421839</v>
      </c>
      <c r="H120" t="s">
        <v>43</v>
      </c>
      <c r="I120" t="s">
        <v>69</v>
      </c>
      <c r="J120" t="s">
        <v>70</v>
      </c>
      <c r="K120" t="s">
        <v>63</v>
      </c>
      <c r="L120" t="s">
        <v>469</v>
      </c>
      <c r="M120" t="s">
        <v>546</v>
      </c>
      <c r="N120">
        <v>18</v>
      </c>
      <c r="O120">
        <v>5742.68</v>
      </c>
      <c r="P120">
        <v>10</v>
      </c>
      <c r="Q120">
        <v>10336.82</v>
      </c>
      <c r="R120">
        <v>93031.42</v>
      </c>
      <c r="S120">
        <v>38125.61</v>
      </c>
    </row>
    <row r="121" spans="1:19" ht="15" customHeight="1" x14ac:dyDescent="0.25">
      <c r="A121" t="s">
        <v>547</v>
      </c>
      <c r="B121" s="8" t="s">
        <v>548</v>
      </c>
      <c r="C121" s="8">
        <v>45061</v>
      </c>
      <c r="D121" t="s">
        <v>73</v>
      </c>
      <c r="E121" t="s">
        <v>549</v>
      </c>
      <c r="F121" t="s">
        <v>550</v>
      </c>
      <c r="G121">
        <v>8032681042</v>
      </c>
      <c r="H121" t="s">
        <v>35</v>
      </c>
      <c r="I121" t="s">
        <v>51</v>
      </c>
      <c r="J121" t="s">
        <v>131</v>
      </c>
      <c r="K121" t="s">
        <v>108</v>
      </c>
      <c r="L121" t="s">
        <v>38</v>
      </c>
      <c r="M121" t="s">
        <v>213</v>
      </c>
      <c r="N121">
        <v>5</v>
      </c>
      <c r="O121">
        <v>6323.43</v>
      </c>
      <c r="P121">
        <v>0</v>
      </c>
      <c r="Q121">
        <v>0</v>
      </c>
      <c r="R121">
        <v>31617.15</v>
      </c>
      <c r="S121">
        <v>13554.63</v>
      </c>
    </row>
    <row r="122" spans="1:19" ht="15" customHeight="1" x14ac:dyDescent="0.25">
      <c r="A122" t="s">
        <v>551</v>
      </c>
      <c r="B122" s="8">
        <v>45539</v>
      </c>
      <c r="C122" s="8">
        <v>45539</v>
      </c>
      <c r="D122" t="s">
        <v>32</v>
      </c>
      <c r="E122" t="s">
        <v>552</v>
      </c>
      <c r="F122" t="s">
        <v>553</v>
      </c>
      <c r="G122">
        <v>9071992583</v>
      </c>
      <c r="H122" t="s">
        <v>24</v>
      </c>
      <c r="I122" t="s">
        <v>61</v>
      </c>
      <c r="J122" t="s">
        <v>204</v>
      </c>
      <c r="K122" t="s">
        <v>96</v>
      </c>
      <c r="L122" t="s">
        <v>254</v>
      </c>
      <c r="M122" t="s">
        <v>255</v>
      </c>
      <c r="N122">
        <v>2</v>
      </c>
      <c r="O122">
        <v>247791.24</v>
      </c>
      <c r="P122">
        <v>0</v>
      </c>
      <c r="Q122">
        <v>0</v>
      </c>
      <c r="R122" t="s">
        <v>554</v>
      </c>
      <c r="S122">
        <v>49920.51</v>
      </c>
    </row>
    <row r="123" spans="1:19" ht="15" customHeight="1" x14ac:dyDescent="0.25">
      <c r="A123" t="s">
        <v>555</v>
      </c>
      <c r="B123" s="8">
        <v>44943</v>
      </c>
      <c r="C123" s="8">
        <v>44944</v>
      </c>
      <c r="D123" t="s">
        <v>32</v>
      </c>
      <c r="E123" t="s">
        <v>556</v>
      </c>
      <c r="F123" t="s">
        <v>557</v>
      </c>
      <c r="G123">
        <v>9052800206</v>
      </c>
      <c r="H123" t="s">
        <v>43</v>
      </c>
      <c r="I123" t="s">
        <v>61</v>
      </c>
      <c r="J123" t="s">
        <v>95</v>
      </c>
      <c r="K123" t="s">
        <v>63</v>
      </c>
      <c r="L123" t="s">
        <v>558</v>
      </c>
      <c r="M123" t="s">
        <v>559</v>
      </c>
      <c r="N123">
        <v>18</v>
      </c>
      <c r="O123">
        <v>24732.94</v>
      </c>
      <c r="P123">
        <v>25</v>
      </c>
      <c r="Q123">
        <v>111298.23</v>
      </c>
      <c r="R123">
        <v>333894.69</v>
      </c>
      <c r="S123">
        <v>48864.639999999999</v>
      </c>
    </row>
    <row r="124" spans="1:19" ht="15" customHeight="1" x14ac:dyDescent="0.25">
      <c r="A124" t="s">
        <v>560</v>
      </c>
      <c r="B124" s="8">
        <v>44956</v>
      </c>
      <c r="C124" s="8">
        <v>44958</v>
      </c>
      <c r="D124" t="s">
        <v>20</v>
      </c>
      <c r="E124" t="s">
        <v>561</v>
      </c>
      <c r="F124" t="s">
        <v>562</v>
      </c>
      <c r="G124">
        <v>9075316188</v>
      </c>
      <c r="H124" t="s">
        <v>43</v>
      </c>
      <c r="I124" t="s">
        <v>61</v>
      </c>
      <c r="J124" t="s">
        <v>84</v>
      </c>
      <c r="K124" t="s">
        <v>85</v>
      </c>
      <c r="L124" t="s">
        <v>86</v>
      </c>
      <c r="M124" t="s">
        <v>178</v>
      </c>
      <c r="N124">
        <v>19</v>
      </c>
      <c r="O124">
        <v>144012.04</v>
      </c>
      <c r="P124">
        <v>5</v>
      </c>
      <c r="Q124">
        <v>136811.44</v>
      </c>
      <c r="S124">
        <v>-116201.89</v>
      </c>
    </row>
    <row r="125" spans="1:19" ht="15" customHeight="1" x14ac:dyDescent="0.25">
      <c r="A125" t="s">
        <v>563</v>
      </c>
      <c r="B125" s="8">
        <v>44739</v>
      </c>
      <c r="C125" s="8">
        <v>44742</v>
      </c>
      <c r="D125" t="s">
        <v>20</v>
      </c>
      <c r="E125" t="s">
        <v>564</v>
      </c>
      <c r="F125" t="s">
        <v>565</v>
      </c>
      <c r="G125">
        <v>8146429135</v>
      </c>
      <c r="H125" t="s">
        <v>24</v>
      </c>
      <c r="I125" t="s">
        <v>69</v>
      </c>
      <c r="J125" t="s">
        <v>70</v>
      </c>
      <c r="K125" t="s">
        <v>85</v>
      </c>
      <c r="L125" t="s">
        <v>86</v>
      </c>
      <c r="M125" t="s">
        <v>178</v>
      </c>
      <c r="N125">
        <v>15</v>
      </c>
      <c r="O125">
        <v>73974.8</v>
      </c>
      <c r="P125">
        <v>10</v>
      </c>
      <c r="Q125">
        <v>110962.2</v>
      </c>
      <c r="R125">
        <v>998659.8</v>
      </c>
      <c r="S125">
        <v>421854.77</v>
      </c>
    </row>
    <row r="126" spans="1:19" ht="15" customHeight="1" x14ac:dyDescent="0.25">
      <c r="A126" t="s">
        <v>566</v>
      </c>
      <c r="B126" s="8">
        <v>45097</v>
      </c>
      <c r="C126" s="8">
        <v>45104</v>
      </c>
      <c r="D126" t="s">
        <v>48</v>
      </c>
      <c r="E126" t="s">
        <v>567</v>
      </c>
      <c r="F126" t="s">
        <v>568</v>
      </c>
      <c r="G126">
        <v>8146147356</v>
      </c>
      <c r="H126" t="s">
        <v>24</v>
      </c>
      <c r="I126" t="s">
        <v>51</v>
      </c>
      <c r="J126" t="s">
        <v>227</v>
      </c>
      <c r="K126" t="s">
        <v>85</v>
      </c>
      <c r="L126" t="s">
        <v>486</v>
      </c>
      <c r="M126" t="s">
        <v>527</v>
      </c>
      <c r="N126">
        <v>10</v>
      </c>
      <c r="O126">
        <v>166774.23000000001</v>
      </c>
      <c r="P126">
        <v>0</v>
      </c>
      <c r="Q126">
        <v>0</v>
      </c>
      <c r="R126">
        <v>1667742.3</v>
      </c>
      <c r="S126">
        <v>388962.19</v>
      </c>
    </row>
    <row r="127" spans="1:19" ht="15" customHeight="1" x14ac:dyDescent="0.25">
      <c r="A127" t="s">
        <v>569</v>
      </c>
      <c r="B127" s="8">
        <v>45010</v>
      </c>
      <c r="C127" s="8">
        <v>45013</v>
      </c>
      <c r="D127" t="s">
        <v>73</v>
      </c>
      <c r="E127" t="s">
        <v>570</v>
      </c>
      <c r="F127" t="s">
        <v>571</v>
      </c>
      <c r="G127">
        <v>9017268384</v>
      </c>
      <c r="H127" t="s">
        <v>24</v>
      </c>
      <c r="I127" t="s">
        <v>51</v>
      </c>
      <c r="J127" t="s">
        <v>223</v>
      </c>
      <c r="K127" t="s">
        <v>108</v>
      </c>
      <c r="L127" t="s">
        <v>189</v>
      </c>
      <c r="M127" t="s">
        <v>478</v>
      </c>
      <c r="N127">
        <v>7</v>
      </c>
      <c r="O127">
        <v>34566.07</v>
      </c>
      <c r="P127">
        <v>5</v>
      </c>
      <c r="Q127">
        <v>12098.12</v>
      </c>
      <c r="R127">
        <v>229864.37</v>
      </c>
      <c r="S127">
        <v>59352.160000000003</v>
      </c>
    </row>
    <row r="128" spans="1:19" ht="15" customHeight="1" x14ac:dyDescent="0.25">
      <c r="A128" t="s">
        <v>572</v>
      </c>
      <c r="B128" s="8">
        <v>44721</v>
      </c>
      <c r="C128" s="8">
        <v>44723</v>
      </c>
      <c r="D128" t="s">
        <v>20</v>
      </c>
      <c r="E128" t="s">
        <v>573</v>
      </c>
      <c r="F128" t="s">
        <v>574</v>
      </c>
      <c r="G128">
        <v>9053514105</v>
      </c>
      <c r="H128" t="s">
        <v>43</v>
      </c>
      <c r="I128" t="s">
        <v>25</v>
      </c>
      <c r="J128" t="s">
        <v>36</v>
      </c>
      <c r="K128" t="s">
        <v>85</v>
      </c>
      <c r="L128" t="s">
        <v>243</v>
      </c>
      <c r="M128" t="s">
        <v>244</v>
      </c>
      <c r="N128">
        <v>7</v>
      </c>
      <c r="O128">
        <v>83996.58</v>
      </c>
      <c r="P128">
        <v>20</v>
      </c>
      <c r="Q128">
        <v>117595.21</v>
      </c>
      <c r="R128">
        <v>470380.85</v>
      </c>
      <c r="S128">
        <v>-44890.8</v>
      </c>
    </row>
    <row r="129" spans="1:19" ht="15" customHeight="1" x14ac:dyDescent="0.25">
      <c r="A129" t="s">
        <v>575</v>
      </c>
      <c r="B129" s="8">
        <v>45613</v>
      </c>
      <c r="C129" s="8">
        <v>45617</v>
      </c>
      <c r="D129" t="s">
        <v>73</v>
      </c>
      <c r="E129" t="s">
        <v>576</v>
      </c>
      <c r="F129" t="s">
        <v>577</v>
      </c>
      <c r="G129">
        <v>8158757420</v>
      </c>
      <c r="H129" t="s">
        <v>43</v>
      </c>
      <c r="I129" t="s">
        <v>69</v>
      </c>
      <c r="J129" t="s">
        <v>307</v>
      </c>
      <c r="K129" t="s">
        <v>63</v>
      </c>
      <c r="L129" t="s">
        <v>469</v>
      </c>
      <c r="M129" t="s">
        <v>470</v>
      </c>
      <c r="N129">
        <v>1</v>
      </c>
      <c r="O129">
        <v>10200.74</v>
      </c>
      <c r="P129">
        <v>5</v>
      </c>
      <c r="Q129">
        <v>510.04</v>
      </c>
      <c r="R129">
        <v>9690.7000000000007</v>
      </c>
      <c r="S129">
        <v>1908.94</v>
      </c>
    </row>
    <row r="130" spans="1:19" ht="15" customHeight="1" x14ac:dyDescent="0.25">
      <c r="A130" t="s">
        <v>578</v>
      </c>
      <c r="B130" s="8">
        <v>44685</v>
      </c>
      <c r="C130" s="8">
        <v>44690</v>
      </c>
      <c r="D130" t="s">
        <v>210</v>
      </c>
      <c r="E130" t="s">
        <v>579</v>
      </c>
      <c r="F130" t="s">
        <v>580</v>
      </c>
      <c r="G130">
        <v>7064019585</v>
      </c>
      <c r="H130" t="s">
        <v>43</v>
      </c>
      <c r="I130" t="s">
        <v>25</v>
      </c>
      <c r="J130" t="s">
        <v>168</v>
      </c>
      <c r="K130" t="s">
        <v>85</v>
      </c>
      <c r="L130" t="s">
        <v>486</v>
      </c>
      <c r="M130" t="s">
        <v>543</v>
      </c>
      <c r="N130">
        <v>13</v>
      </c>
      <c r="O130">
        <v>178771.33</v>
      </c>
      <c r="P130">
        <v>20</v>
      </c>
      <c r="Q130">
        <v>464805.46</v>
      </c>
      <c r="R130">
        <v>1859221.83</v>
      </c>
      <c r="S130">
        <v>691206.94</v>
      </c>
    </row>
    <row r="131" spans="1:19" ht="15" customHeight="1" x14ac:dyDescent="0.25">
      <c r="A131" t="s">
        <v>581</v>
      </c>
      <c r="B131" s="8">
        <v>45274</v>
      </c>
      <c r="C131" s="8">
        <v>45277</v>
      </c>
      <c r="D131" t="s">
        <v>73</v>
      </c>
      <c r="E131" t="s">
        <v>582</v>
      </c>
      <c r="F131" t="s">
        <v>583</v>
      </c>
      <c r="G131">
        <v>8153136529</v>
      </c>
      <c r="H131" t="s">
        <v>35</v>
      </c>
      <c r="I131" t="s">
        <v>69</v>
      </c>
      <c r="J131" t="s">
        <v>70</v>
      </c>
      <c r="K131" t="s">
        <v>85</v>
      </c>
      <c r="L131" t="s">
        <v>86</v>
      </c>
      <c r="M131" t="s">
        <v>584</v>
      </c>
      <c r="N131">
        <v>15</v>
      </c>
      <c r="O131">
        <v>176300.4</v>
      </c>
      <c r="P131">
        <v>25</v>
      </c>
      <c r="Q131">
        <v>661126.5</v>
      </c>
      <c r="R131">
        <v>1983379.5</v>
      </c>
      <c r="S131">
        <v>207217.18</v>
      </c>
    </row>
    <row r="132" spans="1:19" ht="15" customHeight="1" x14ac:dyDescent="0.25">
      <c r="A132" t="s">
        <v>585</v>
      </c>
      <c r="B132" s="8">
        <v>45270</v>
      </c>
      <c r="C132" s="8">
        <v>45270</v>
      </c>
      <c r="D132" t="s">
        <v>32</v>
      </c>
      <c r="E132" t="s">
        <v>586</v>
      </c>
      <c r="F132" t="s">
        <v>587</v>
      </c>
      <c r="G132">
        <v>8038033690</v>
      </c>
      <c r="H132" t="s">
        <v>35</v>
      </c>
      <c r="I132" t="s">
        <v>588</v>
      </c>
      <c r="J132" t="s">
        <v>119</v>
      </c>
      <c r="K132" t="s">
        <v>27</v>
      </c>
      <c r="L132" t="s">
        <v>79</v>
      </c>
      <c r="M132" t="s">
        <v>490</v>
      </c>
      <c r="N132">
        <v>4</v>
      </c>
      <c r="O132">
        <v>1886.83</v>
      </c>
      <c r="P132">
        <v>0</v>
      </c>
      <c r="Q132">
        <v>0</v>
      </c>
      <c r="R132">
        <v>7547.32</v>
      </c>
      <c r="S132">
        <v>889.56</v>
      </c>
    </row>
    <row r="133" spans="1:19" ht="15" customHeight="1" x14ac:dyDescent="0.25">
      <c r="A133" t="s">
        <v>589</v>
      </c>
      <c r="B133" s="8">
        <v>45385</v>
      </c>
      <c r="C133" s="8">
        <v>45393</v>
      </c>
      <c r="D133" t="s">
        <v>590</v>
      </c>
      <c r="E133" t="s">
        <v>591</v>
      </c>
      <c r="F133" t="s">
        <v>592</v>
      </c>
      <c r="G133">
        <v>9021946973</v>
      </c>
      <c r="H133" t="s">
        <v>24</v>
      </c>
      <c r="I133" t="s">
        <v>25</v>
      </c>
      <c r="J133" t="s">
        <v>126</v>
      </c>
      <c r="K133" t="s">
        <v>85</v>
      </c>
      <c r="L133" t="s">
        <v>266</v>
      </c>
      <c r="M133" t="s">
        <v>593</v>
      </c>
      <c r="N133">
        <v>19</v>
      </c>
      <c r="O133">
        <v>48275.78</v>
      </c>
      <c r="P133">
        <v>10</v>
      </c>
      <c r="Q133">
        <v>91723.98</v>
      </c>
      <c r="R133">
        <v>825515.84</v>
      </c>
      <c r="S133">
        <v>162201.39000000001</v>
      </c>
    </row>
    <row r="134" spans="1:19" ht="15" customHeight="1" x14ac:dyDescent="0.25">
      <c r="A134" t="s">
        <v>594</v>
      </c>
      <c r="B134" s="8">
        <v>45629</v>
      </c>
      <c r="C134" s="8">
        <v>45632</v>
      </c>
      <c r="D134" t="s">
        <v>73</v>
      </c>
      <c r="E134" t="s">
        <v>595</v>
      </c>
      <c r="F134" t="s">
        <v>596</v>
      </c>
      <c r="G134">
        <v>8033938247</v>
      </c>
      <c r="H134" t="s">
        <v>43</v>
      </c>
      <c r="I134" t="s">
        <v>51</v>
      </c>
      <c r="J134" t="s">
        <v>131</v>
      </c>
      <c r="K134" t="s">
        <v>108</v>
      </c>
      <c r="L134" t="s">
        <v>189</v>
      </c>
      <c r="M134" t="s">
        <v>478</v>
      </c>
      <c r="N134">
        <v>12</v>
      </c>
      <c r="O134">
        <v>4016.02</v>
      </c>
      <c r="P134">
        <v>15</v>
      </c>
      <c r="Q134">
        <v>7228.84</v>
      </c>
      <c r="R134">
        <v>40963.4</v>
      </c>
      <c r="S134">
        <v>13169.03</v>
      </c>
    </row>
    <row r="135" spans="1:19" ht="15" customHeight="1" x14ac:dyDescent="0.25">
      <c r="A135" t="s">
        <v>597</v>
      </c>
      <c r="B135" s="8">
        <v>45176</v>
      </c>
      <c r="C135" s="8">
        <v>45180</v>
      </c>
      <c r="D135" t="s">
        <v>73</v>
      </c>
      <c r="E135" t="s">
        <v>598</v>
      </c>
      <c r="F135" t="s">
        <v>599</v>
      </c>
      <c r="G135">
        <v>8134780654</v>
      </c>
      <c r="H135" t="s">
        <v>43</v>
      </c>
      <c r="I135" t="s">
        <v>51</v>
      </c>
      <c r="J135" t="s">
        <v>316</v>
      </c>
      <c r="K135" t="s">
        <v>63</v>
      </c>
      <c r="L135" t="s">
        <v>194</v>
      </c>
      <c r="M135" t="s">
        <v>336</v>
      </c>
      <c r="N135">
        <v>2</v>
      </c>
      <c r="O135">
        <v>20241.52</v>
      </c>
      <c r="P135">
        <v>25</v>
      </c>
      <c r="Q135">
        <v>10120.76</v>
      </c>
      <c r="R135">
        <v>30362.28</v>
      </c>
      <c r="S135">
        <v>2963.56</v>
      </c>
    </row>
    <row r="136" spans="1:19" ht="15" customHeight="1" x14ac:dyDescent="0.25">
      <c r="A136" t="s">
        <v>600</v>
      </c>
      <c r="B136" s="8">
        <v>45357</v>
      </c>
      <c r="C136" s="8">
        <v>45360</v>
      </c>
      <c r="D136" t="s">
        <v>73</v>
      </c>
      <c r="E136" t="s">
        <v>601</v>
      </c>
      <c r="F136" t="s">
        <v>602</v>
      </c>
      <c r="G136">
        <v>9072326581</v>
      </c>
      <c r="H136" t="s">
        <v>24</v>
      </c>
      <c r="I136" t="s">
        <v>69</v>
      </c>
      <c r="J136" t="s">
        <v>155</v>
      </c>
      <c r="K136" t="s">
        <v>108</v>
      </c>
      <c r="L136" t="s">
        <v>38</v>
      </c>
      <c r="M136" t="s">
        <v>519</v>
      </c>
      <c r="N136">
        <v>7</v>
      </c>
      <c r="O136">
        <v>25032.33</v>
      </c>
      <c r="P136">
        <v>0</v>
      </c>
      <c r="Q136">
        <v>0</v>
      </c>
      <c r="R136">
        <v>175226.31</v>
      </c>
      <c r="S136">
        <v>1940.97</v>
      </c>
    </row>
    <row r="137" spans="1:19" ht="15" customHeight="1" x14ac:dyDescent="0.25">
      <c r="A137" t="s">
        <v>603</v>
      </c>
      <c r="B137" s="8">
        <v>45543</v>
      </c>
      <c r="C137" s="8">
        <v>45546</v>
      </c>
      <c r="D137" t="s">
        <v>73</v>
      </c>
      <c r="E137" t="s">
        <v>604</v>
      </c>
      <c r="F137" t="s">
        <v>605</v>
      </c>
      <c r="G137">
        <v>8134188068</v>
      </c>
      <c r="H137" t="s">
        <v>35</v>
      </c>
      <c r="I137" t="s">
        <v>25</v>
      </c>
      <c r="J137" t="s">
        <v>606</v>
      </c>
      <c r="K137" t="s">
        <v>96</v>
      </c>
      <c r="L137" t="s">
        <v>189</v>
      </c>
      <c r="M137" t="s">
        <v>190</v>
      </c>
      <c r="N137">
        <v>7</v>
      </c>
      <c r="O137">
        <v>317597.43</v>
      </c>
      <c r="P137">
        <v>15</v>
      </c>
      <c r="Q137">
        <v>333477.3</v>
      </c>
      <c r="R137">
        <v>1889704.71</v>
      </c>
      <c r="S137">
        <v>754135.56</v>
      </c>
    </row>
    <row r="138" spans="1:19" ht="15" customHeight="1" x14ac:dyDescent="0.25">
      <c r="A138" t="s">
        <v>607</v>
      </c>
      <c r="B138" s="8">
        <v>45654</v>
      </c>
      <c r="C138" s="8">
        <v>45655</v>
      </c>
      <c r="D138" t="s">
        <v>32</v>
      </c>
      <c r="E138" t="s">
        <v>608</v>
      </c>
      <c r="F138" t="s">
        <v>609</v>
      </c>
      <c r="G138">
        <v>8159342928</v>
      </c>
      <c r="H138" t="s">
        <v>43</v>
      </c>
      <c r="I138" t="s">
        <v>51</v>
      </c>
      <c r="J138" t="s">
        <v>223</v>
      </c>
      <c r="K138" t="s">
        <v>108</v>
      </c>
      <c r="L138" t="s">
        <v>114</v>
      </c>
      <c r="M138" t="s">
        <v>115</v>
      </c>
      <c r="N138">
        <v>11</v>
      </c>
      <c r="O138">
        <v>34750.050000000003</v>
      </c>
      <c r="P138">
        <v>5</v>
      </c>
      <c r="Q138">
        <v>19112.53</v>
      </c>
      <c r="R138">
        <v>363138.02</v>
      </c>
      <c r="S138">
        <v>26299.53</v>
      </c>
    </row>
    <row r="139" spans="1:19" ht="15" customHeight="1" x14ac:dyDescent="0.25">
      <c r="A139" t="s">
        <v>610</v>
      </c>
      <c r="B139" s="8">
        <v>44860</v>
      </c>
      <c r="C139" s="8">
        <v>44863</v>
      </c>
      <c r="D139" t="s">
        <v>73</v>
      </c>
      <c r="E139" t="s">
        <v>611</v>
      </c>
      <c r="F139" t="s">
        <v>612</v>
      </c>
      <c r="G139">
        <v>8163557039</v>
      </c>
      <c r="H139" t="s">
        <v>24</v>
      </c>
      <c r="I139" t="s">
        <v>69</v>
      </c>
      <c r="J139" t="s">
        <v>307</v>
      </c>
      <c r="K139" t="s">
        <v>85</v>
      </c>
      <c r="L139" t="s">
        <v>243</v>
      </c>
      <c r="M139" t="s">
        <v>613</v>
      </c>
      <c r="N139">
        <v>8</v>
      </c>
      <c r="O139">
        <v>73332.44</v>
      </c>
      <c r="P139">
        <v>20</v>
      </c>
      <c r="Q139">
        <v>117331.9</v>
      </c>
      <c r="R139">
        <v>469327.62</v>
      </c>
      <c r="S139">
        <v>84659.91</v>
      </c>
    </row>
    <row r="140" spans="1:19" ht="15" customHeight="1" x14ac:dyDescent="0.25">
      <c r="A140" t="s">
        <v>614</v>
      </c>
      <c r="B140" s="8">
        <v>45505</v>
      </c>
      <c r="C140" s="8">
        <v>45501</v>
      </c>
      <c r="D140" t="s">
        <v>32</v>
      </c>
      <c r="F140" t="s">
        <v>615</v>
      </c>
      <c r="G140">
        <v>9019192588</v>
      </c>
      <c r="H140" t="s">
        <v>43</v>
      </c>
      <c r="I140" t="s">
        <v>51</v>
      </c>
      <c r="J140" t="s">
        <v>223</v>
      </c>
      <c r="K140" t="s">
        <v>85</v>
      </c>
      <c r="L140" t="s">
        <v>266</v>
      </c>
      <c r="M140" t="s">
        <v>267</v>
      </c>
      <c r="N140">
        <v>3</v>
      </c>
      <c r="O140">
        <v>98118.44</v>
      </c>
      <c r="P140">
        <v>0</v>
      </c>
      <c r="Q140">
        <v>0</v>
      </c>
      <c r="R140">
        <v>294355.32</v>
      </c>
      <c r="S140">
        <v>90839.02</v>
      </c>
    </row>
    <row r="141" spans="1:19" ht="15" customHeight="1" x14ac:dyDescent="0.25">
      <c r="A141" t="s">
        <v>616</v>
      </c>
      <c r="B141" s="8">
        <v>44701</v>
      </c>
      <c r="C141" s="8">
        <v>44706</v>
      </c>
      <c r="D141" t="s">
        <v>73</v>
      </c>
      <c r="E141" t="s">
        <v>617</v>
      </c>
      <c r="G141">
        <v>8158650572</v>
      </c>
      <c r="H141" t="s">
        <v>24</v>
      </c>
      <c r="I141" t="s">
        <v>69</v>
      </c>
      <c r="J141" t="s">
        <v>119</v>
      </c>
      <c r="K141" t="s">
        <v>63</v>
      </c>
      <c r="L141" t="s">
        <v>249</v>
      </c>
      <c r="M141" t="s">
        <v>250</v>
      </c>
      <c r="N141">
        <v>20</v>
      </c>
      <c r="O141">
        <v>16124.35</v>
      </c>
      <c r="P141">
        <v>20</v>
      </c>
      <c r="Q141">
        <v>64497.4</v>
      </c>
      <c r="R141">
        <v>257989.6</v>
      </c>
      <c r="S141">
        <v>63354.66</v>
      </c>
    </row>
    <row r="142" spans="1:19" ht="15" customHeight="1" x14ac:dyDescent="0.25">
      <c r="A142" t="s">
        <v>618</v>
      </c>
      <c r="B142" s="8">
        <v>44586</v>
      </c>
      <c r="C142" s="8">
        <v>44586</v>
      </c>
      <c r="D142" t="s">
        <v>619</v>
      </c>
      <c r="E142" t="s">
        <v>620</v>
      </c>
      <c r="F142" t="s">
        <v>621</v>
      </c>
      <c r="G142">
        <v>8155809835</v>
      </c>
      <c r="H142" t="s">
        <v>24</v>
      </c>
      <c r="I142" t="s">
        <v>25</v>
      </c>
      <c r="J142" t="s">
        <v>26</v>
      </c>
      <c r="K142" t="s">
        <v>96</v>
      </c>
      <c r="L142" t="s">
        <v>254</v>
      </c>
      <c r="M142" t="s">
        <v>530</v>
      </c>
      <c r="N142">
        <v>6</v>
      </c>
      <c r="O142">
        <v>365682.95</v>
      </c>
      <c r="P142">
        <v>0</v>
      </c>
      <c r="Q142">
        <v>0</v>
      </c>
      <c r="R142">
        <v>2194097.7000000002</v>
      </c>
      <c r="S142">
        <v>879458.66</v>
      </c>
    </row>
    <row r="143" spans="1:19" ht="15" customHeight="1" x14ac:dyDescent="0.25">
      <c r="A143" t="s">
        <v>622</v>
      </c>
      <c r="B143" s="8">
        <v>45287</v>
      </c>
      <c r="D143" t="s">
        <v>20</v>
      </c>
      <c r="E143" t="s">
        <v>623</v>
      </c>
      <c r="F143" t="s">
        <v>624</v>
      </c>
      <c r="G143">
        <v>7068700704</v>
      </c>
      <c r="H143" t="s">
        <v>35</v>
      </c>
      <c r="I143" t="s">
        <v>61</v>
      </c>
      <c r="J143" t="s">
        <v>62</v>
      </c>
      <c r="K143" t="s">
        <v>27</v>
      </c>
      <c r="L143" t="s">
        <v>354</v>
      </c>
      <c r="M143" t="s">
        <v>625</v>
      </c>
      <c r="N143">
        <v>3</v>
      </c>
      <c r="O143">
        <v>2609.8000000000002</v>
      </c>
      <c r="P143">
        <v>0</v>
      </c>
      <c r="Q143">
        <v>0</v>
      </c>
      <c r="R143">
        <v>7829.4</v>
      </c>
      <c r="S143">
        <v>-735.18</v>
      </c>
    </row>
    <row r="144" spans="1:19" ht="15" customHeight="1" x14ac:dyDescent="0.25">
      <c r="A144" t="s">
        <v>626</v>
      </c>
      <c r="B144" s="8">
        <v>44676</v>
      </c>
      <c r="C144" s="8">
        <v>44676</v>
      </c>
      <c r="D144" t="s">
        <v>32</v>
      </c>
      <c r="E144" t="s">
        <v>402</v>
      </c>
      <c r="F144" t="s">
        <v>627</v>
      </c>
      <c r="G144">
        <v>8038279795</v>
      </c>
      <c r="H144" t="s">
        <v>24</v>
      </c>
      <c r="I144" t="s">
        <v>69</v>
      </c>
      <c r="J144" t="s">
        <v>70</v>
      </c>
      <c r="L144" t="s">
        <v>312</v>
      </c>
      <c r="M144" t="s">
        <v>628</v>
      </c>
      <c r="N144">
        <v>2</v>
      </c>
      <c r="O144">
        <v>22422.38</v>
      </c>
      <c r="P144">
        <v>5</v>
      </c>
      <c r="Q144">
        <v>2242.2399999999998</v>
      </c>
      <c r="R144">
        <v>42602.52</v>
      </c>
      <c r="S144">
        <v>-986.24</v>
      </c>
    </row>
    <row r="145" spans="1:19" ht="15" customHeight="1" x14ac:dyDescent="0.25">
      <c r="A145" t="s">
        <v>629</v>
      </c>
      <c r="B145" s="8">
        <v>45136</v>
      </c>
      <c r="C145" s="8">
        <v>45141</v>
      </c>
      <c r="D145" t="s">
        <v>48</v>
      </c>
      <c r="E145" t="s">
        <v>630</v>
      </c>
      <c r="F145" t="s">
        <v>631</v>
      </c>
      <c r="G145">
        <v>8034475536</v>
      </c>
      <c r="H145" t="s">
        <v>35</v>
      </c>
      <c r="I145" t="s">
        <v>69</v>
      </c>
      <c r="J145" t="s">
        <v>144</v>
      </c>
      <c r="K145" t="s">
        <v>27</v>
      </c>
      <c r="L145" t="s">
        <v>354</v>
      </c>
      <c r="M145" t="s">
        <v>433</v>
      </c>
      <c r="N145">
        <v>10</v>
      </c>
      <c r="O145">
        <v>7452.34</v>
      </c>
      <c r="P145">
        <v>0</v>
      </c>
      <c r="Q145">
        <v>0</v>
      </c>
      <c r="R145">
        <v>74523.399999999994</v>
      </c>
      <c r="S145">
        <v>14038.34</v>
      </c>
    </row>
    <row r="146" spans="1:19" ht="15" customHeight="1" x14ac:dyDescent="0.25">
      <c r="A146" t="s">
        <v>632</v>
      </c>
      <c r="B146" s="8">
        <v>44848</v>
      </c>
      <c r="C146" s="8">
        <v>44848</v>
      </c>
      <c r="D146" t="s">
        <v>32</v>
      </c>
      <c r="E146" t="s">
        <v>633</v>
      </c>
      <c r="F146" t="s">
        <v>634</v>
      </c>
      <c r="G146">
        <v>8032638895</v>
      </c>
      <c r="H146" t="s">
        <v>43</v>
      </c>
      <c r="I146" t="s">
        <v>69</v>
      </c>
      <c r="J146" t="s">
        <v>155</v>
      </c>
      <c r="K146" t="s">
        <v>108</v>
      </c>
      <c r="L146" t="s">
        <v>109</v>
      </c>
      <c r="M146" t="s">
        <v>110</v>
      </c>
      <c r="N146" t="s">
        <v>635</v>
      </c>
      <c r="O146" t="s">
        <v>636</v>
      </c>
      <c r="P146">
        <v>15</v>
      </c>
      <c r="Q146">
        <v>49936.47</v>
      </c>
      <c r="R146">
        <v>282973.33</v>
      </c>
      <c r="S146">
        <v>122061.2</v>
      </c>
    </row>
    <row r="147" spans="1:19" ht="15" customHeight="1" x14ac:dyDescent="0.25">
      <c r="A147" t="s">
        <v>637</v>
      </c>
      <c r="B147" s="8">
        <v>45484</v>
      </c>
      <c r="C147" s="8">
        <v>45487</v>
      </c>
      <c r="D147" t="s">
        <v>20</v>
      </c>
      <c r="E147" t="s">
        <v>638</v>
      </c>
      <c r="F147" t="s">
        <v>639</v>
      </c>
      <c r="G147">
        <v>7064116163</v>
      </c>
      <c r="H147" t="s">
        <v>24</v>
      </c>
      <c r="I147" t="s">
        <v>51</v>
      </c>
      <c r="J147" t="s">
        <v>52</v>
      </c>
      <c r="K147" t="s">
        <v>27</v>
      </c>
      <c r="L147" t="s">
        <v>28</v>
      </c>
      <c r="M147" t="s">
        <v>29</v>
      </c>
      <c r="N147" t="s">
        <v>640</v>
      </c>
      <c r="O147">
        <v>6245.69</v>
      </c>
      <c r="P147">
        <v>5</v>
      </c>
      <c r="Q147">
        <v>3122.84</v>
      </c>
      <c r="R147">
        <v>59334.06</v>
      </c>
      <c r="S147">
        <v>16486.87</v>
      </c>
    </row>
    <row r="148" spans="1:19" ht="15" customHeight="1" x14ac:dyDescent="0.25">
      <c r="A148" t="s">
        <v>641</v>
      </c>
      <c r="B148" s="8">
        <v>44877</v>
      </c>
      <c r="C148" s="8">
        <v>44878</v>
      </c>
      <c r="D148" t="s">
        <v>32</v>
      </c>
      <c r="E148" t="s">
        <v>642</v>
      </c>
      <c r="G148">
        <v>8061087161</v>
      </c>
      <c r="H148" t="s">
        <v>35</v>
      </c>
      <c r="I148" t="s">
        <v>25</v>
      </c>
      <c r="J148" t="s">
        <v>44</v>
      </c>
      <c r="K148" t="s">
        <v>63</v>
      </c>
      <c r="L148" t="s">
        <v>64</v>
      </c>
      <c r="M148" t="s">
        <v>65</v>
      </c>
      <c r="N148">
        <v>4</v>
      </c>
      <c r="O148">
        <v>19152.990000000002</v>
      </c>
      <c r="P148">
        <v>0</v>
      </c>
      <c r="Q148">
        <v>0</v>
      </c>
      <c r="R148">
        <v>76611.960000000006</v>
      </c>
      <c r="S148">
        <v>-7478.99</v>
      </c>
    </row>
    <row r="149" spans="1:19" ht="15" customHeight="1" x14ac:dyDescent="0.25">
      <c r="A149" t="s">
        <v>643</v>
      </c>
      <c r="B149" s="8">
        <v>44773</v>
      </c>
      <c r="C149" s="8">
        <v>44773</v>
      </c>
      <c r="D149" t="s">
        <v>32</v>
      </c>
      <c r="E149" t="s">
        <v>644</v>
      </c>
      <c r="F149" t="s">
        <v>645</v>
      </c>
      <c r="G149">
        <v>9056443037</v>
      </c>
      <c r="H149" t="s">
        <v>24</v>
      </c>
      <c r="I149" t="s">
        <v>69</v>
      </c>
      <c r="J149" t="s">
        <v>70</v>
      </c>
      <c r="K149" t="s">
        <v>108</v>
      </c>
      <c r="L149" t="s">
        <v>114</v>
      </c>
      <c r="M149" t="s">
        <v>482</v>
      </c>
      <c r="O149">
        <v>19793.830000000002</v>
      </c>
      <c r="P149">
        <v>25</v>
      </c>
      <c r="Q149">
        <v>14845.37</v>
      </c>
      <c r="R149">
        <v>44536.12</v>
      </c>
      <c r="S149">
        <v>17508.240000000002</v>
      </c>
    </row>
    <row r="150" spans="1:19" ht="15" customHeight="1" x14ac:dyDescent="0.25">
      <c r="A150" t="s">
        <v>646</v>
      </c>
      <c r="B150" s="8">
        <v>45341</v>
      </c>
      <c r="C150" s="8">
        <v>45344</v>
      </c>
      <c r="D150" t="s">
        <v>73</v>
      </c>
      <c r="E150" t="s">
        <v>647</v>
      </c>
      <c r="F150" t="s">
        <v>648</v>
      </c>
      <c r="G150" t="s">
        <v>649</v>
      </c>
      <c r="H150" t="s">
        <v>24</v>
      </c>
      <c r="I150" t="s">
        <v>61</v>
      </c>
      <c r="J150" t="s">
        <v>84</v>
      </c>
      <c r="K150" t="s">
        <v>85</v>
      </c>
      <c r="L150" t="s">
        <v>86</v>
      </c>
      <c r="M150" t="s">
        <v>87</v>
      </c>
      <c r="N150">
        <v>14</v>
      </c>
      <c r="O150">
        <v>82764.320000000007</v>
      </c>
      <c r="P150">
        <v>10</v>
      </c>
      <c r="Q150">
        <v>115870.05</v>
      </c>
      <c r="R150">
        <v>1042830.43</v>
      </c>
      <c r="S150">
        <v>146558.13</v>
      </c>
    </row>
    <row r="151" spans="1:19" ht="15" customHeight="1" x14ac:dyDescent="0.25">
      <c r="A151" t="s">
        <v>650</v>
      </c>
      <c r="B151" s="8">
        <v>45577</v>
      </c>
      <c r="C151" s="8">
        <v>45582</v>
      </c>
      <c r="D151" t="s">
        <v>73</v>
      </c>
      <c r="E151" t="s">
        <v>651</v>
      </c>
      <c r="F151" t="s">
        <v>652</v>
      </c>
      <c r="G151">
        <v>8063273137</v>
      </c>
      <c r="H151" t="s">
        <v>43</v>
      </c>
      <c r="I151" t="s">
        <v>25</v>
      </c>
      <c r="J151" t="s">
        <v>44</v>
      </c>
      <c r="K151" t="s">
        <v>63</v>
      </c>
      <c r="L151" t="s">
        <v>249</v>
      </c>
      <c r="M151" t="s">
        <v>329</v>
      </c>
      <c r="N151">
        <v>20</v>
      </c>
      <c r="O151">
        <v>8639.32</v>
      </c>
      <c r="P151">
        <v>15</v>
      </c>
      <c r="Q151">
        <v>25917.96</v>
      </c>
      <c r="R151">
        <v>146868.44</v>
      </c>
      <c r="S151">
        <v>48825.81</v>
      </c>
    </row>
    <row r="152" spans="1:19" ht="15" customHeight="1" x14ac:dyDescent="0.25">
      <c r="A152" t="s">
        <v>653</v>
      </c>
      <c r="B152" s="8">
        <v>44840</v>
      </c>
      <c r="C152" s="8">
        <v>44841</v>
      </c>
      <c r="D152" t="s">
        <v>32</v>
      </c>
      <c r="E152" t="s">
        <v>654</v>
      </c>
      <c r="F152" t="s">
        <v>655</v>
      </c>
      <c r="G152">
        <v>8146271120</v>
      </c>
      <c r="H152" t="s">
        <v>43</v>
      </c>
      <c r="I152" t="s">
        <v>51</v>
      </c>
      <c r="J152" t="s">
        <v>316</v>
      </c>
      <c r="K152" t="s">
        <v>85</v>
      </c>
      <c r="L152" t="s">
        <v>486</v>
      </c>
      <c r="M152" t="s">
        <v>543</v>
      </c>
      <c r="N152">
        <v>16</v>
      </c>
      <c r="O152">
        <v>58129.08</v>
      </c>
      <c r="P152">
        <v>5</v>
      </c>
      <c r="Q152">
        <v>46503.26</v>
      </c>
      <c r="R152">
        <v>883562.02</v>
      </c>
      <c r="S152">
        <v>40230.120000000003</v>
      </c>
    </row>
    <row r="153" spans="1:19" ht="15" customHeight="1" x14ac:dyDescent="0.25">
      <c r="A153" t="s">
        <v>656</v>
      </c>
      <c r="B153" s="8">
        <v>44971</v>
      </c>
      <c r="C153" s="8">
        <v>44977</v>
      </c>
      <c r="D153" t="s">
        <v>48</v>
      </c>
      <c r="E153" t="s">
        <v>657</v>
      </c>
      <c r="F153" t="s">
        <v>658</v>
      </c>
      <c r="G153">
        <v>9014517316</v>
      </c>
      <c r="H153" t="s">
        <v>43</v>
      </c>
      <c r="I153" t="s">
        <v>51</v>
      </c>
      <c r="J153" t="s">
        <v>316</v>
      </c>
      <c r="K153" t="s">
        <v>108</v>
      </c>
      <c r="L153" t="s">
        <v>38</v>
      </c>
      <c r="M153" t="s">
        <v>519</v>
      </c>
      <c r="N153">
        <v>14</v>
      </c>
      <c r="O153">
        <v>37215.519999999997</v>
      </c>
      <c r="P153">
        <v>20</v>
      </c>
      <c r="Q153">
        <v>104203.46</v>
      </c>
      <c r="R153">
        <v>416813.82</v>
      </c>
      <c r="S153">
        <v>-27715</v>
      </c>
    </row>
    <row r="154" spans="1:19" ht="15" customHeight="1" x14ac:dyDescent="0.25">
      <c r="A154" t="s">
        <v>659</v>
      </c>
      <c r="B154" s="8">
        <v>45428</v>
      </c>
      <c r="C154" s="8">
        <v>45432</v>
      </c>
      <c r="D154" t="s">
        <v>73</v>
      </c>
      <c r="E154" t="s">
        <v>660</v>
      </c>
      <c r="F154" t="s">
        <v>661</v>
      </c>
      <c r="G154">
        <v>9057724393</v>
      </c>
      <c r="H154" t="s">
        <v>43</v>
      </c>
      <c r="I154" t="s">
        <v>51</v>
      </c>
      <c r="J154" t="s">
        <v>131</v>
      </c>
      <c r="K154" t="s">
        <v>27</v>
      </c>
      <c r="L154" t="s">
        <v>173</v>
      </c>
      <c r="M154" t="s">
        <v>662</v>
      </c>
      <c r="N154">
        <v>12</v>
      </c>
      <c r="O154">
        <v>4486.07</v>
      </c>
      <c r="P154">
        <v>25</v>
      </c>
      <c r="Q154">
        <v>13458.21</v>
      </c>
      <c r="R154">
        <v>40374.629999999997</v>
      </c>
      <c r="S154">
        <v>8328.9599999999991</v>
      </c>
    </row>
    <row r="155" spans="1:19" ht="15" customHeight="1" x14ac:dyDescent="0.25">
      <c r="A155" t="s">
        <v>663</v>
      </c>
      <c r="B155" s="8">
        <v>44902</v>
      </c>
      <c r="C155" s="8">
        <v>44904</v>
      </c>
      <c r="D155" t="s">
        <v>664</v>
      </c>
      <c r="E155" t="s">
        <v>665</v>
      </c>
      <c r="F155" t="s">
        <v>666</v>
      </c>
      <c r="G155">
        <v>9026563269</v>
      </c>
      <c r="H155" t="s">
        <v>35</v>
      </c>
      <c r="I155" t="s">
        <v>25</v>
      </c>
      <c r="J155" t="s">
        <v>26</v>
      </c>
      <c r="K155" t="s">
        <v>108</v>
      </c>
      <c r="L155" t="s">
        <v>114</v>
      </c>
      <c r="M155" t="s">
        <v>291</v>
      </c>
      <c r="N155">
        <v>8</v>
      </c>
      <c r="O155">
        <v>6240.08</v>
      </c>
      <c r="P155">
        <v>25</v>
      </c>
      <c r="Q155">
        <v>12480.16</v>
      </c>
      <c r="R155">
        <v>37440.480000000003</v>
      </c>
      <c r="S155">
        <v>11161.45</v>
      </c>
    </row>
    <row r="156" spans="1:19" ht="15" customHeight="1" x14ac:dyDescent="0.25">
      <c r="A156" t="s">
        <v>667</v>
      </c>
      <c r="B156" s="8">
        <v>45510</v>
      </c>
      <c r="C156" s="8">
        <v>45510</v>
      </c>
      <c r="D156" t="s">
        <v>32</v>
      </c>
      <c r="E156" t="s">
        <v>668</v>
      </c>
      <c r="G156">
        <v>8065956530</v>
      </c>
      <c r="H156" t="s">
        <v>43</v>
      </c>
      <c r="I156" t="s">
        <v>61</v>
      </c>
      <c r="J156" t="s">
        <v>204</v>
      </c>
      <c r="K156" t="s">
        <v>669</v>
      </c>
      <c r="L156" t="s">
        <v>114</v>
      </c>
      <c r="M156" t="s">
        <v>291</v>
      </c>
      <c r="N156">
        <v>5</v>
      </c>
      <c r="O156">
        <v>37746.660000000003</v>
      </c>
      <c r="P156">
        <v>10</v>
      </c>
      <c r="Q156">
        <v>18873.330000000002</v>
      </c>
      <c r="R156">
        <v>169859.97</v>
      </c>
      <c r="S156">
        <v>6307.62</v>
      </c>
    </row>
    <row r="157" spans="1:19" ht="15" customHeight="1" x14ac:dyDescent="0.25">
      <c r="A157" t="s">
        <v>670</v>
      </c>
      <c r="B157" s="8">
        <v>45275</v>
      </c>
      <c r="C157" s="8">
        <v>45276</v>
      </c>
      <c r="D157" t="s">
        <v>32</v>
      </c>
      <c r="E157" t="s">
        <v>671</v>
      </c>
      <c r="F157" t="s">
        <v>672</v>
      </c>
      <c r="G157">
        <v>7032126998</v>
      </c>
      <c r="H157" t="s">
        <v>24</v>
      </c>
      <c r="I157" t="s">
        <v>69</v>
      </c>
      <c r="J157" t="s">
        <v>119</v>
      </c>
      <c r="K157" t="s">
        <v>63</v>
      </c>
      <c r="L157" t="s">
        <v>249</v>
      </c>
      <c r="M157" t="s">
        <v>465</v>
      </c>
      <c r="N157">
        <v>11</v>
      </c>
      <c r="O157">
        <v>1053.3399999999999</v>
      </c>
      <c r="P157">
        <v>0</v>
      </c>
      <c r="Q157">
        <v>0</v>
      </c>
      <c r="R157">
        <v>11586.74</v>
      </c>
    </row>
    <row r="158" spans="1:19" ht="15" customHeight="1" x14ac:dyDescent="0.25">
      <c r="A158" t="s">
        <v>673</v>
      </c>
      <c r="B158" s="8">
        <v>44889</v>
      </c>
      <c r="C158" s="8">
        <v>44893</v>
      </c>
      <c r="D158" t="s">
        <v>73</v>
      </c>
      <c r="E158" t="s">
        <v>674</v>
      </c>
      <c r="F158" t="s">
        <v>675</v>
      </c>
      <c r="G158">
        <v>8137795568</v>
      </c>
      <c r="H158" t="s">
        <v>24</v>
      </c>
      <c r="I158" t="s">
        <v>676</v>
      </c>
      <c r="J158" t="s">
        <v>62</v>
      </c>
      <c r="K158" t="s">
        <v>85</v>
      </c>
      <c r="L158" t="s">
        <v>218</v>
      </c>
      <c r="M158" t="s">
        <v>219</v>
      </c>
      <c r="N158">
        <v>20</v>
      </c>
      <c r="O158">
        <v>76040.17</v>
      </c>
      <c r="P158">
        <v>5</v>
      </c>
      <c r="Q158">
        <v>76040.17</v>
      </c>
      <c r="R158">
        <v>1444763.23</v>
      </c>
      <c r="S158">
        <v>173003.18</v>
      </c>
    </row>
    <row r="159" spans="1:19" ht="15" customHeight="1" x14ac:dyDescent="0.25">
      <c r="A159" t="s">
        <v>677</v>
      </c>
      <c r="B159" s="8">
        <v>44983</v>
      </c>
      <c r="C159" s="8">
        <v>44987</v>
      </c>
      <c r="D159" t="s">
        <v>73</v>
      </c>
      <c r="E159" t="s">
        <v>678</v>
      </c>
      <c r="F159" t="s">
        <v>679</v>
      </c>
      <c r="G159">
        <v>9024136665</v>
      </c>
      <c r="H159" t="s">
        <v>35</v>
      </c>
      <c r="I159" t="s">
        <v>69</v>
      </c>
      <c r="J159" t="s">
        <v>70</v>
      </c>
      <c r="K159" t="s">
        <v>63</v>
      </c>
      <c r="L159" t="s">
        <v>558</v>
      </c>
      <c r="M159" t="s">
        <v>680</v>
      </c>
      <c r="N159">
        <v>9</v>
      </c>
      <c r="O159" t="s">
        <v>681</v>
      </c>
      <c r="P159" t="s">
        <v>682</v>
      </c>
      <c r="Q159">
        <v>21077.98</v>
      </c>
      <c r="R159">
        <v>84311.93</v>
      </c>
      <c r="S159">
        <v>14048.81</v>
      </c>
    </row>
    <row r="160" spans="1:19" ht="15" customHeight="1" x14ac:dyDescent="0.25">
      <c r="A160" t="s">
        <v>683</v>
      </c>
      <c r="B160" s="8">
        <v>44795</v>
      </c>
      <c r="C160" s="8">
        <v>44796</v>
      </c>
      <c r="D160" t="s">
        <v>32</v>
      </c>
      <c r="E160" t="s">
        <v>684</v>
      </c>
      <c r="F160" t="s">
        <v>685</v>
      </c>
      <c r="G160">
        <v>9053894531</v>
      </c>
      <c r="H160" t="s">
        <v>43</v>
      </c>
      <c r="I160" t="s">
        <v>51</v>
      </c>
      <c r="J160" t="s">
        <v>227</v>
      </c>
      <c r="K160" t="s">
        <v>63</v>
      </c>
      <c r="L160" t="s">
        <v>312</v>
      </c>
      <c r="M160" t="s">
        <v>686</v>
      </c>
      <c r="N160">
        <v>5</v>
      </c>
      <c r="O160">
        <v>2576.42</v>
      </c>
      <c r="P160">
        <v>10</v>
      </c>
      <c r="Q160">
        <v>1288.21</v>
      </c>
      <c r="R160">
        <v>11593.89</v>
      </c>
      <c r="S160">
        <v>-919.2</v>
      </c>
    </row>
    <row r="161" spans="1:19" ht="15" customHeight="1" x14ac:dyDescent="0.25">
      <c r="A161" t="s">
        <v>687</v>
      </c>
      <c r="B161" s="8">
        <v>44851</v>
      </c>
      <c r="C161" s="8">
        <v>44854</v>
      </c>
      <c r="D161" t="s">
        <v>20</v>
      </c>
      <c r="E161" t="s">
        <v>688</v>
      </c>
      <c r="F161" t="s">
        <v>689</v>
      </c>
      <c r="G161">
        <v>9057437584</v>
      </c>
      <c r="H161" t="s">
        <v>35</v>
      </c>
      <c r="I161" t="s">
        <v>51</v>
      </c>
      <c r="J161" t="s">
        <v>52</v>
      </c>
      <c r="K161" t="s">
        <v>108</v>
      </c>
      <c r="L161" t="s">
        <v>109</v>
      </c>
      <c r="M161" t="s">
        <v>690</v>
      </c>
      <c r="N161">
        <v>6</v>
      </c>
      <c r="O161">
        <v>29326.57</v>
      </c>
      <c r="P161">
        <v>25</v>
      </c>
      <c r="Q161">
        <v>43989.86</v>
      </c>
      <c r="R161">
        <v>131969.56</v>
      </c>
      <c r="S161">
        <v>-6582.73</v>
      </c>
    </row>
    <row r="162" spans="1:19" ht="15" customHeight="1" x14ac:dyDescent="0.25">
      <c r="A162" t="s">
        <v>691</v>
      </c>
      <c r="B162" s="8">
        <v>45485</v>
      </c>
      <c r="C162" s="8">
        <v>45487</v>
      </c>
      <c r="D162" t="s">
        <v>20</v>
      </c>
      <c r="E162" t="s">
        <v>668</v>
      </c>
      <c r="F162" t="s">
        <v>692</v>
      </c>
      <c r="G162">
        <v>8104273712</v>
      </c>
      <c r="H162" t="s">
        <v>35</v>
      </c>
      <c r="J162" t="s">
        <v>131</v>
      </c>
      <c r="K162" t="s">
        <v>108</v>
      </c>
      <c r="L162" t="s">
        <v>189</v>
      </c>
      <c r="M162" t="s">
        <v>205</v>
      </c>
      <c r="N162">
        <v>14</v>
      </c>
      <c r="O162">
        <v>30082</v>
      </c>
      <c r="P162">
        <v>20</v>
      </c>
      <c r="Q162">
        <v>84229.6</v>
      </c>
      <c r="R162">
        <v>336918.4</v>
      </c>
      <c r="S162">
        <v>33482.36</v>
      </c>
    </row>
    <row r="163" spans="1:19" ht="15" customHeight="1" x14ac:dyDescent="0.25">
      <c r="A163" t="s">
        <v>693</v>
      </c>
      <c r="B163" s="8">
        <v>44625</v>
      </c>
      <c r="C163" s="8">
        <v>44631</v>
      </c>
      <c r="D163" t="s">
        <v>48</v>
      </c>
      <c r="E163" t="s">
        <v>694</v>
      </c>
      <c r="F163" t="s">
        <v>695</v>
      </c>
      <c r="G163">
        <v>8135843084</v>
      </c>
      <c r="H163" t="s">
        <v>35</v>
      </c>
      <c r="I163" t="s">
        <v>69</v>
      </c>
      <c r="J163" t="s">
        <v>70</v>
      </c>
      <c r="K163" t="s">
        <v>85</v>
      </c>
      <c r="L163" t="s">
        <v>486</v>
      </c>
      <c r="M163" t="s">
        <v>527</v>
      </c>
      <c r="N163">
        <v>16</v>
      </c>
      <c r="O163">
        <v>135713.14000000001</v>
      </c>
      <c r="P163">
        <v>25</v>
      </c>
      <c r="Q163">
        <v>542852.56000000006</v>
      </c>
      <c r="R163">
        <v>1628557.68</v>
      </c>
      <c r="S163">
        <v>254842.55</v>
      </c>
    </row>
    <row r="164" spans="1:19" ht="15" customHeight="1" x14ac:dyDescent="0.25">
      <c r="A164" t="s">
        <v>696</v>
      </c>
      <c r="B164" s="8">
        <v>44647</v>
      </c>
      <c r="C164" s="8">
        <v>44650</v>
      </c>
      <c r="D164" t="s">
        <v>20</v>
      </c>
      <c r="E164" t="s">
        <v>697</v>
      </c>
      <c r="F164" t="s">
        <v>698</v>
      </c>
      <c r="G164">
        <v>8065152891</v>
      </c>
      <c r="H164" t="s">
        <v>24</v>
      </c>
      <c r="I164" t="s">
        <v>699</v>
      </c>
      <c r="J164" t="s">
        <v>44</v>
      </c>
      <c r="K164" t="s">
        <v>63</v>
      </c>
      <c r="L164" t="s">
        <v>194</v>
      </c>
      <c r="M164" t="s">
        <v>700</v>
      </c>
      <c r="N164">
        <v>12</v>
      </c>
      <c r="O164">
        <v>11518.44</v>
      </c>
      <c r="P164">
        <v>0</v>
      </c>
      <c r="Q164">
        <v>0</v>
      </c>
      <c r="R164">
        <v>138221.28</v>
      </c>
      <c r="S164">
        <v>15680.09</v>
      </c>
    </row>
    <row r="165" spans="1:19" ht="15" customHeight="1" x14ac:dyDescent="0.25">
      <c r="A165" t="s">
        <v>701</v>
      </c>
      <c r="B165" s="8">
        <v>45438</v>
      </c>
      <c r="C165" s="8">
        <v>45440</v>
      </c>
      <c r="D165" t="s">
        <v>20</v>
      </c>
      <c r="E165" t="s">
        <v>702</v>
      </c>
      <c r="F165" t="s">
        <v>703</v>
      </c>
      <c r="G165">
        <v>8034471922</v>
      </c>
      <c r="H165" t="s">
        <v>35</v>
      </c>
      <c r="I165" t="s">
        <v>25</v>
      </c>
      <c r="J165" t="s">
        <v>126</v>
      </c>
      <c r="K165" t="s">
        <v>96</v>
      </c>
      <c r="L165" t="s">
        <v>254</v>
      </c>
      <c r="M165" t="s">
        <v>455</v>
      </c>
      <c r="N165">
        <v>20</v>
      </c>
      <c r="O165">
        <v>246542.15</v>
      </c>
      <c r="P165">
        <v>25</v>
      </c>
      <c r="Q165">
        <v>1232710.75</v>
      </c>
      <c r="R165" t="s">
        <v>704</v>
      </c>
    </row>
    <row r="166" spans="1:19" ht="15" customHeight="1" x14ac:dyDescent="0.25">
      <c r="A166" t="s">
        <v>705</v>
      </c>
      <c r="B166" s="8">
        <v>45615</v>
      </c>
      <c r="C166" s="8">
        <v>45617</v>
      </c>
      <c r="D166" t="s">
        <v>20</v>
      </c>
      <c r="E166" t="s">
        <v>706</v>
      </c>
      <c r="F166" t="s">
        <v>707</v>
      </c>
      <c r="G166">
        <v>8035652716</v>
      </c>
      <c r="H166" t="s">
        <v>24</v>
      </c>
      <c r="I166" t="s">
        <v>51</v>
      </c>
      <c r="J166" t="s">
        <v>223</v>
      </c>
      <c r="K166" t="s">
        <v>85</v>
      </c>
      <c r="L166" t="s">
        <v>218</v>
      </c>
      <c r="M166" t="s">
        <v>708</v>
      </c>
      <c r="N166">
        <v>11</v>
      </c>
      <c r="O166">
        <v>33153.870000000003</v>
      </c>
      <c r="P166">
        <v>5</v>
      </c>
      <c r="Q166">
        <v>18234.63</v>
      </c>
      <c r="R166">
        <v>346457.94</v>
      </c>
      <c r="S166">
        <v>106322.45</v>
      </c>
    </row>
    <row r="167" spans="1:19" ht="15" customHeight="1" x14ac:dyDescent="0.25">
      <c r="A167" t="s">
        <v>709</v>
      </c>
      <c r="B167" s="8">
        <v>45410</v>
      </c>
      <c r="C167" s="8">
        <v>45413</v>
      </c>
      <c r="D167" t="s">
        <v>20</v>
      </c>
      <c r="E167" t="s">
        <v>710</v>
      </c>
      <c r="F167" t="s">
        <v>711</v>
      </c>
      <c r="G167">
        <v>7069650558</v>
      </c>
      <c r="H167" t="s">
        <v>35</v>
      </c>
      <c r="I167" t="s">
        <v>69</v>
      </c>
      <c r="J167" t="s">
        <v>70</v>
      </c>
      <c r="K167" t="s">
        <v>63</v>
      </c>
      <c r="L167" t="s">
        <v>469</v>
      </c>
      <c r="M167" t="s">
        <v>712</v>
      </c>
      <c r="N167">
        <v>16</v>
      </c>
      <c r="O167">
        <v>11640.04</v>
      </c>
      <c r="P167">
        <v>10</v>
      </c>
      <c r="Q167">
        <v>18624.060000000001</v>
      </c>
      <c r="R167">
        <v>167616.57999999999</v>
      </c>
      <c r="S167">
        <v>33384.75</v>
      </c>
    </row>
    <row r="168" spans="1:19" ht="15" customHeight="1" x14ac:dyDescent="0.25">
      <c r="A168" t="s">
        <v>713</v>
      </c>
      <c r="B168" s="8">
        <v>44691</v>
      </c>
      <c r="C168" s="8">
        <v>44694</v>
      </c>
      <c r="D168" t="s">
        <v>20</v>
      </c>
      <c r="E168" t="s">
        <v>714</v>
      </c>
      <c r="F168" t="s">
        <v>715</v>
      </c>
      <c r="G168">
        <v>8145505300</v>
      </c>
      <c r="H168" t="s">
        <v>24</v>
      </c>
      <c r="I168" t="s">
        <v>25</v>
      </c>
      <c r="J168" t="s">
        <v>168</v>
      </c>
      <c r="K168" t="s">
        <v>63</v>
      </c>
      <c r="L168" t="s">
        <v>194</v>
      </c>
      <c r="M168" t="s">
        <v>716</v>
      </c>
      <c r="N168">
        <v>19</v>
      </c>
      <c r="O168">
        <v>8775</v>
      </c>
      <c r="P168">
        <v>0</v>
      </c>
      <c r="Q168">
        <v>0</v>
      </c>
      <c r="R168">
        <v>166725</v>
      </c>
      <c r="S168">
        <v>31625.279999999999</v>
      </c>
    </row>
    <row r="169" spans="1:19" ht="15" customHeight="1" x14ac:dyDescent="0.25">
      <c r="A169" t="s">
        <v>717</v>
      </c>
      <c r="B169" s="8">
        <v>44656</v>
      </c>
      <c r="C169" s="8">
        <v>44661</v>
      </c>
      <c r="D169" t="s">
        <v>48</v>
      </c>
      <c r="E169" t="s">
        <v>77</v>
      </c>
      <c r="F169" t="s">
        <v>718</v>
      </c>
      <c r="G169">
        <v>8033650523</v>
      </c>
      <c r="H169" t="s">
        <v>24</v>
      </c>
      <c r="I169" t="s">
        <v>69</v>
      </c>
      <c r="J169" t="s">
        <v>144</v>
      </c>
      <c r="K169" t="s">
        <v>108</v>
      </c>
      <c r="L169" t="s">
        <v>183</v>
      </c>
      <c r="M169" t="s">
        <v>719</v>
      </c>
      <c r="N169">
        <v>14</v>
      </c>
      <c r="O169">
        <v>44649.04</v>
      </c>
      <c r="P169">
        <v>5</v>
      </c>
      <c r="Q169">
        <v>31254.33</v>
      </c>
      <c r="R169">
        <v>593832.23</v>
      </c>
      <c r="S169">
        <v>265690.3</v>
      </c>
    </row>
    <row r="170" spans="1:19" ht="15" customHeight="1" x14ac:dyDescent="0.25">
      <c r="A170" t="s">
        <v>720</v>
      </c>
      <c r="B170" s="8">
        <v>44753</v>
      </c>
      <c r="C170" s="8">
        <v>44756</v>
      </c>
      <c r="D170" t="s">
        <v>20</v>
      </c>
      <c r="E170" t="s">
        <v>721</v>
      </c>
      <c r="F170" t="s">
        <v>722</v>
      </c>
      <c r="G170">
        <v>9073777050</v>
      </c>
      <c r="H170" t="s">
        <v>35</v>
      </c>
      <c r="I170" t="s">
        <v>61</v>
      </c>
      <c r="J170" t="s">
        <v>182</v>
      </c>
      <c r="K170" t="s">
        <v>96</v>
      </c>
      <c r="L170" t="s">
        <v>189</v>
      </c>
      <c r="M170" t="s">
        <v>325</v>
      </c>
      <c r="N170">
        <v>8</v>
      </c>
      <c r="O170">
        <v>330804.94</v>
      </c>
      <c r="P170">
        <v>15</v>
      </c>
      <c r="Q170">
        <v>396965.93</v>
      </c>
      <c r="R170">
        <v>2249473.59</v>
      </c>
      <c r="S170">
        <v>547276.99</v>
      </c>
    </row>
    <row r="171" spans="1:19" ht="15" customHeight="1" x14ac:dyDescent="0.25">
      <c r="A171" t="s">
        <v>723</v>
      </c>
      <c r="B171" s="8">
        <v>44721</v>
      </c>
      <c r="C171" s="8">
        <v>44721</v>
      </c>
      <c r="D171" t="s">
        <v>32</v>
      </c>
      <c r="E171" t="s">
        <v>724</v>
      </c>
      <c r="F171" t="s">
        <v>725</v>
      </c>
      <c r="G171">
        <v>8031135267</v>
      </c>
      <c r="H171" t="s">
        <v>35</v>
      </c>
      <c r="I171" t="s">
        <v>25</v>
      </c>
      <c r="J171" t="s">
        <v>26</v>
      </c>
      <c r="K171" t="s">
        <v>63</v>
      </c>
      <c r="L171" t="s">
        <v>194</v>
      </c>
      <c r="M171" t="s">
        <v>700</v>
      </c>
      <c r="N171">
        <v>14</v>
      </c>
      <c r="O171">
        <v>24709.8</v>
      </c>
      <c r="P171">
        <v>0</v>
      </c>
      <c r="Q171">
        <v>0</v>
      </c>
      <c r="R171">
        <v>345937.2</v>
      </c>
      <c r="S171">
        <v>47261.99</v>
      </c>
    </row>
    <row r="172" spans="1:19" ht="15" customHeight="1" x14ac:dyDescent="0.25">
      <c r="A172" t="s">
        <v>726</v>
      </c>
      <c r="B172" s="8">
        <v>44773</v>
      </c>
      <c r="C172" s="8">
        <v>44780</v>
      </c>
      <c r="D172" t="s">
        <v>210</v>
      </c>
      <c r="E172" t="s">
        <v>727</v>
      </c>
      <c r="G172">
        <v>7063233823</v>
      </c>
      <c r="H172" t="s">
        <v>35</v>
      </c>
      <c r="I172" t="s">
        <v>61</v>
      </c>
      <c r="J172" t="s">
        <v>204</v>
      </c>
      <c r="K172" t="s">
        <v>85</v>
      </c>
      <c r="L172" t="s">
        <v>86</v>
      </c>
      <c r="M172" t="s">
        <v>238</v>
      </c>
      <c r="N172">
        <v>20</v>
      </c>
      <c r="O172">
        <v>104886.09</v>
      </c>
      <c r="P172">
        <v>0</v>
      </c>
      <c r="Q172">
        <v>0</v>
      </c>
      <c r="R172">
        <v>2097721.7999999998</v>
      </c>
      <c r="S172">
        <v>239265.42</v>
      </c>
    </row>
    <row r="173" spans="1:19" ht="15" customHeight="1" x14ac:dyDescent="0.25">
      <c r="A173" t="s">
        <v>728</v>
      </c>
      <c r="B173" s="8">
        <v>45006</v>
      </c>
      <c r="C173" s="8">
        <v>45006</v>
      </c>
      <c r="D173" t="s">
        <v>32</v>
      </c>
      <c r="E173" t="s">
        <v>729</v>
      </c>
      <c r="F173" t="s">
        <v>730</v>
      </c>
      <c r="G173">
        <v>9057442986</v>
      </c>
      <c r="H173" t="s">
        <v>43</v>
      </c>
      <c r="I173" t="s">
        <v>61</v>
      </c>
      <c r="J173" t="s">
        <v>62</v>
      </c>
      <c r="K173" t="s">
        <v>53</v>
      </c>
      <c r="L173" t="s">
        <v>64</v>
      </c>
      <c r="M173" t="s">
        <v>65</v>
      </c>
      <c r="N173">
        <v>8</v>
      </c>
      <c r="O173">
        <v>19881.38</v>
      </c>
      <c r="P173">
        <v>10</v>
      </c>
      <c r="Q173">
        <v>15905.1</v>
      </c>
      <c r="R173">
        <v>143145.94</v>
      </c>
      <c r="S173">
        <v>33893</v>
      </c>
    </row>
    <row r="174" spans="1:19" ht="15" customHeight="1" x14ac:dyDescent="0.25">
      <c r="A174" t="s">
        <v>731</v>
      </c>
      <c r="B174" s="8">
        <v>44616</v>
      </c>
      <c r="C174" s="8">
        <v>44619</v>
      </c>
      <c r="D174" t="s">
        <v>20</v>
      </c>
      <c r="E174" t="s">
        <v>732</v>
      </c>
      <c r="G174">
        <v>9017572491</v>
      </c>
      <c r="H174" t="s">
        <v>24</v>
      </c>
      <c r="I174" t="s">
        <v>61</v>
      </c>
      <c r="J174" t="s">
        <v>84</v>
      </c>
      <c r="K174" t="s">
        <v>63</v>
      </c>
      <c r="L174" t="s">
        <v>469</v>
      </c>
      <c r="M174" t="s">
        <v>470</v>
      </c>
      <c r="N174">
        <v>8</v>
      </c>
      <c r="O174">
        <v>19703.14</v>
      </c>
      <c r="P174">
        <v>20</v>
      </c>
      <c r="Q174">
        <v>31525.02</v>
      </c>
      <c r="R174">
        <v>126100.1</v>
      </c>
      <c r="S174">
        <v>10281.11</v>
      </c>
    </row>
    <row r="175" spans="1:19" ht="15" customHeight="1" x14ac:dyDescent="0.25">
      <c r="A175" t="s">
        <v>733</v>
      </c>
      <c r="B175" s="8">
        <v>45643</v>
      </c>
      <c r="C175" s="8">
        <v>45648</v>
      </c>
      <c r="D175" t="s">
        <v>48</v>
      </c>
      <c r="E175" t="s">
        <v>734</v>
      </c>
      <c r="F175" t="s">
        <v>735</v>
      </c>
      <c r="G175">
        <v>7068060918</v>
      </c>
      <c r="H175" t="s">
        <v>391</v>
      </c>
      <c r="I175" t="s">
        <v>61</v>
      </c>
      <c r="J175" t="s">
        <v>204</v>
      </c>
      <c r="K175" t="s">
        <v>63</v>
      </c>
      <c r="L175" t="s">
        <v>312</v>
      </c>
      <c r="M175" t="s">
        <v>736</v>
      </c>
      <c r="N175">
        <v>3</v>
      </c>
      <c r="O175">
        <v>19186.79</v>
      </c>
      <c r="P175">
        <v>0</v>
      </c>
      <c r="Q175">
        <v>0</v>
      </c>
      <c r="R175">
        <v>57560.37</v>
      </c>
      <c r="S175">
        <v>11651.26</v>
      </c>
    </row>
    <row r="176" spans="1:19" ht="15" customHeight="1" x14ac:dyDescent="0.25">
      <c r="A176" t="s">
        <v>737</v>
      </c>
      <c r="B176" s="8">
        <v>44685</v>
      </c>
      <c r="C176" s="8">
        <v>44693</v>
      </c>
      <c r="D176" t="s">
        <v>48</v>
      </c>
      <c r="E176" t="s">
        <v>738</v>
      </c>
      <c r="F176" t="s">
        <v>739</v>
      </c>
      <c r="G176">
        <v>7067749095</v>
      </c>
      <c r="H176" t="s">
        <v>35</v>
      </c>
      <c r="I176" t="s">
        <v>25</v>
      </c>
      <c r="J176" t="s">
        <v>44</v>
      </c>
      <c r="K176" t="s">
        <v>96</v>
      </c>
      <c r="L176" t="s">
        <v>254</v>
      </c>
      <c r="M176" t="s">
        <v>452</v>
      </c>
      <c r="N176">
        <v>9</v>
      </c>
      <c r="O176">
        <v>282980.46999999997</v>
      </c>
      <c r="P176">
        <v>0</v>
      </c>
      <c r="Q176">
        <v>0</v>
      </c>
      <c r="R176">
        <v>2546824.23</v>
      </c>
      <c r="S176">
        <v>91543.38</v>
      </c>
    </row>
    <row r="177" spans="1:19" ht="15" customHeight="1" x14ac:dyDescent="0.25">
      <c r="A177" t="s">
        <v>740</v>
      </c>
      <c r="B177" s="8">
        <v>45362</v>
      </c>
      <c r="C177" s="8">
        <v>45364</v>
      </c>
      <c r="D177" t="s">
        <v>20</v>
      </c>
      <c r="E177" t="s">
        <v>741</v>
      </c>
      <c r="F177" t="s">
        <v>742</v>
      </c>
      <c r="G177">
        <v>9015003671</v>
      </c>
      <c r="H177" t="s">
        <v>24</v>
      </c>
      <c r="I177" t="s">
        <v>61</v>
      </c>
      <c r="J177" t="s">
        <v>62</v>
      </c>
      <c r="L177" t="s">
        <v>385</v>
      </c>
      <c r="M177" t="s">
        <v>743</v>
      </c>
      <c r="N177">
        <v>4</v>
      </c>
      <c r="O177">
        <v>417213.07</v>
      </c>
      <c r="P177">
        <v>20</v>
      </c>
      <c r="Q177">
        <v>333770.46000000002</v>
      </c>
      <c r="R177">
        <v>1335081.82</v>
      </c>
      <c r="S177">
        <v>290217.52</v>
      </c>
    </row>
    <row r="178" spans="1:19" ht="15" customHeight="1" x14ac:dyDescent="0.25">
      <c r="A178" t="s">
        <v>744</v>
      </c>
      <c r="B178" s="8">
        <v>44806</v>
      </c>
      <c r="C178" s="8">
        <v>44809</v>
      </c>
      <c r="D178" t="s">
        <v>73</v>
      </c>
      <c r="E178" t="s">
        <v>745</v>
      </c>
      <c r="F178" t="s">
        <v>746</v>
      </c>
      <c r="G178">
        <v>8109328426</v>
      </c>
      <c r="H178" t="s">
        <v>24</v>
      </c>
      <c r="I178" t="s">
        <v>25</v>
      </c>
      <c r="J178" t="s">
        <v>44</v>
      </c>
      <c r="K178" t="s">
        <v>63</v>
      </c>
      <c r="L178" t="s">
        <v>312</v>
      </c>
      <c r="M178" t="s">
        <v>686</v>
      </c>
      <c r="N178">
        <v>9</v>
      </c>
      <c r="O178">
        <v>19683.18</v>
      </c>
      <c r="P178">
        <v>0</v>
      </c>
      <c r="Q178">
        <v>0</v>
      </c>
      <c r="R178">
        <v>177148.62</v>
      </c>
      <c r="S178">
        <v>12953.4</v>
      </c>
    </row>
    <row r="179" spans="1:19" ht="15" customHeight="1" x14ac:dyDescent="0.25">
      <c r="A179" t="s">
        <v>747</v>
      </c>
      <c r="B179" s="8">
        <v>45441</v>
      </c>
      <c r="C179" s="8">
        <v>45444</v>
      </c>
      <c r="D179" t="s">
        <v>20</v>
      </c>
      <c r="E179" t="s">
        <v>748</v>
      </c>
      <c r="F179" t="s">
        <v>749</v>
      </c>
      <c r="G179">
        <v>9012293020</v>
      </c>
      <c r="H179" t="s">
        <v>750</v>
      </c>
      <c r="I179" t="s">
        <v>51</v>
      </c>
      <c r="J179" t="s">
        <v>52</v>
      </c>
      <c r="K179" t="s">
        <v>108</v>
      </c>
      <c r="L179" t="s">
        <v>183</v>
      </c>
      <c r="M179" t="s">
        <v>184</v>
      </c>
      <c r="N179">
        <v>16</v>
      </c>
      <c r="O179">
        <v>17485.330000000002</v>
      </c>
      <c r="P179">
        <v>0</v>
      </c>
      <c r="Q179">
        <v>0</v>
      </c>
      <c r="R179">
        <v>279765.28000000003</v>
      </c>
      <c r="S179">
        <v>19754.97</v>
      </c>
    </row>
    <row r="180" spans="1:19" ht="15" customHeight="1" x14ac:dyDescent="0.25">
      <c r="A180" t="s">
        <v>751</v>
      </c>
      <c r="B180" s="8">
        <v>45029</v>
      </c>
      <c r="C180" s="8">
        <v>45034</v>
      </c>
      <c r="D180" t="s">
        <v>48</v>
      </c>
      <c r="E180" t="s">
        <v>752</v>
      </c>
      <c r="G180">
        <v>8131771442</v>
      </c>
      <c r="H180" t="s">
        <v>24</v>
      </c>
      <c r="I180" t="s">
        <v>51</v>
      </c>
      <c r="J180" t="s">
        <v>52</v>
      </c>
      <c r="K180" t="s">
        <v>108</v>
      </c>
      <c r="L180" t="s">
        <v>38</v>
      </c>
      <c r="M180" t="s">
        <v>213</v>
      </c>
      <c r="N180">
        <v>6</v>
      </c>
      <c r="O180">
        <v>41569.74</v>
      </c>
      <c r="P180">
        <v>0</v>
      </c>
      <c r="Q180">
        <v>0</v>
      </c>
      <c r="R180">
        <v>249418.44</v>
      </c>
      <c r="S180">
        <v>45324.04</v>
      </c>
    </row>
    <row r="181" spans="1:19" ht="15" customHeight="1" x14ac:dyDescent="0.25">
      <c r="A181" t="s">
        <v>753</v>
      </c>
      <c r="B181" s="8">
        <v>45414</v>
      </c>
      <c r="C181" s="8">
        <v>45419</v>
      </c>
      <c r="D181" t="s">
        <v>73</v>
      </c>
      <c r="E181" t="s">
        <v>754</v>
      </c>
      <c r="F181" t="s">
        <v>755</v>
      </c>
      <c r="G181">
        <v>9057254683</v>
      </c>
      <c r="H181" t="s">
        <v>43</v>
      </c>
      <c r="I181" t="s">
        <v>69</v>
      </c>
      <c r="J181" t="s">
        <v>119</v>
      </c>
      <c r="K181" t="s">
        <v>96</v>
      </c>
      <c r="L181" t="s">
        <v>254</v>
      </c>
      <c r="M181" t="s">
        <v>756</v>
      </c>
      <c r="N181">
        <v>17</v>
      </c>
      <c r="O181">
        <v>93014.79</v>
      </c>
      <c r="P181">
        <v>0</v>
      </c>
      <c r="Q181">
        <v>0</v>
      </c>
      <c r="R181">
        <v>1581251.43</v>
      </c>
      <c r="S181">
        <v>667995.93999999994</v>
      </c>
    </row>
    <row r="182" spans="1:19" ht="15" customHeight="1" x14ac:dyDescent="0.25">
      <c r="A182" t="s">
        <v>757</v>
      </c>
      <c r="B182" s="8">
        <v>45232</v>
      </c>
      <c r="C182" s="8">
        <v>45234</v>
      </c>
      <c r="D182" t="s">
        <v>20</v>
      </c>
      <c r="E182" t="s">
        <v>758</v>
      </c>
      <c r="F182" t="s">
        <v>759</v>
      </c>
      <c r="G182">
        <v>7034366703</v>
      </c>
      <c r="H182" t="s">
        <v>43</v>
      </c>
      <c r="I182" t="s">
        <v>25</v>
      </c>
      <c r="J182" t="s">
        <v>168</v>
      </c>
      <c r="K182" t="s">
        <v>760</v>
      </c>
      <c r="L182" t="s">
        <v>312</v>
      </c>
      <c r="M182" t="s">
        <v>761</v>
      </c>
      <c r="N182">
        <v>8</v>
      </c>
      <c r="O182">
        <v>18619.61</v>
      </c>
      <c r="P182" t="s">
        <v>682</v>
      </c>
      <c r="Q182">
        <v>29791.38</v>
      </c>
      <c r="R182">
        <v>119165.5</v>
      </c>
      <c r="S182">
        <v>8456.48</v>
      </c>
    </row>
    <row r="183" spans="1:19" ht="15" customHeight="1" x14ac:dyDescent="0.25">
      <c r="A183" t="s">
        <v>762</v>
      </c>
      <c r="B183" s="8">
        <v>44870</v>
      </c>
      <c r="C183" s="8">
        <v>44865</v>
      </c>
      <c r="D183" t="s">
        <v>73</v>
      </c>
      <c r="E183" t="s">
        <v>763</v>
      </c>
      <c r="F183" t="s">
        <v>764</v>
      </c>
      <c r="G183">
        <v>8156812025</v>
      </c>
      <c r="H183" t="s">
        <v>24</v>
      </c>
      <c r="I183" t="s">
        <v>69</v>
      </c>
      <c r="J183" t="s">
        <v>119</v>
      </c>
      <c r="K183" t="s">
        <v>96</v>
      </c>
      <c r="L183" t="s">
        <v>97</v>
      </c>
      <c r="M183" t="s">
        <v>98</v>
      </c>
      <c r="N183">
        <v>13</v>
      </c>
      <c r="O183" t="s">
        <v>765</v>
      </c>
      <c r="P183">
        <v>10</v>
      </c>
      <c r="Q183">
        <v>448674.43</v>
      </c>
      <c r="R183">
        <v>4038069.91</v>
      </c>
      <c r="S183">
        <v>-353858.44</v>
      </c>
    </row>
    <row r="184" spans="1:19" ht="15" customHeight="1" x14ac:dyDescent="0.25">
      <c r="A184" t="s">
        <v>766</v>
      </c>
      <c r="B184" s="8">
        <v>44853</v>
      </c>
      <c r="C184" s="8">
        <v>44860</v>
      </c>
      <c r="D184" t="s">
        <v>48</v>
      </c>
      <c r="E184" t="s">
        <v>767</v>
      </c>
      <c r="F184" t="s">
        <v>768</v>
      </c>
      <c r="G184">
        <v>8039720112</v>
      </c>
      <c r="H184" t="s">
        <v>43</v>
      </c>
      <c r="I184" t="s">
        <v>61</v>
      </c>
      <c r="J184" t="s">
        <v>204</v>
      </c>
      <c r="K184" t="s">
        <v>108</v>
      </c>
      <c r="L184" t="s">
        <v>38</v>
      </c>
      <c r="M184" t="s">
        <v>213</v>
      </c>
      <c r="N184">
        <v>3</v>
      </c>
      <c r="O184">
        <v>43905.86</v>
      </c>
      <c r="P184">
        <v>0</v>
      </c>
      <c r="Q184">
        <v>0</v>
      </c>
      <c r="R184">
        <v>131717.57999999999</v>
      </c>
      <c r="S184">
        <v>20186.599999999999</v>
      </c>
    </row>
    <row r="185" spans="1:19" ht="15" customHeight="1" x14ac:dyDescent="0.25">
      <c r="A185" t="s">
        <v>769</v>
      </c>
      <c r="B185" s="8">
        <v>45452</v>
      </c>
      <c r="C185" s="8">
        <v>45458</v>
      </c>
      <c r="D185" t="s">
        <v>48</v>
      </c>
      <c r="E185" t="s">
        <v>770</v>
      </c>
      <c r="F185" t="s">
        <v>771</v>
      </c>
      <c r="G185">
        <v>8036284972</v>
      </c>
      <c r="H185" t="s">
        <v>24</v>
      </c>
      <c r="I185" t="s">
        <v>69</v>
      </c>
      <c r="J185" t="s">
        <v>307</v>
      </c>
      <c r="K185" t="s">
        <v>108</v>
      </c>
      <c r="L185" t="s">
        <v>38</v>
      </c>
      <c r="M185" t="s">
        <v>39</v>
      </c>
      <c r="N185">
        <v>8</v>
      </c>
      <c r="O185">
        <v>21468.59</v>
      </c>
      <c r="P185">
        <v>0</v>
      </c>
      <c r="Q185">
        <v>0</v>
      </c>
      <c r="R185">
        <v>171748.72</v>
      </c>
      <c r="S185">
        <v>71470.28</v>
      </c>
    </row>
    <row r="186" spans="1:19" ht="15" customHeight="1" x14ac:dyDescent="0.25">
      <c r="A186" t="s">
        <v>772</v>
      </c>
      <c r="B186" s="8">
        <v>44778</v>
      </c>
      <c r="C186" s="8">
        <v>44781</v>
      </c>
      <c r="D186" t="s">
        <v>73</v>
      </c>
      <c r="E186" t="s">
        <v>773</v>
      </c>
      <c r="F186" t="s">
        <v>774</v>
      </c>
      <c r="G186">
        <v>7063025626</v>
      </c>
      <c r="H186" t="s">
        <v>35</v>
      </c>
      <c r="I186" t="s">
        <v>61</v>
      </c>
      <c r="J186" t="s">
        <v>84</v>
      </c>
      <c r="K186" t="s">
        <v>27</v>
      </c>
      <c r="L186" t="s">
        <v>45</v>
      </c>
      <c r="M186" t="s">
        <v>523</v>
      </c>
      <c r="N186">
        <v>15</v>
      </c>
      <c r="O186">
        <v>3779.76</v>
      </c>
      <c r="P186">
        <v>10</v>
      </c>
      <c r="Q186">
        <v>5669.64</v>
      </c>
      <c r="R186">
        <v>51026.76</v>
      </c>
      <c r="S186">
        <v>18445.63</v>
      </c>
    </row>
    <row r="187" spans="1:19" ht="15" customHeight="1" x14ac:dyDescent="0.25">
      <c r="A187" t="s">
        <v>775</v>
      </c>
      <c r="B187" s="8">
        <v>44644</v>
      </c>
      <c r="C187" s="8">
        <v>44646</v>
      </c>
      <c r="D187" t="s">
        <v>20</v>
      </c>
      <c r="F187" t="s">
        <v>776</v>
      </c>
      <c r="G187">
        <v>9015164420</v>
      </c>
      <c r="H187" t="s">
        <v>24</v>
      </c>
      <c r="I187" t="s">
        <v>25</v>
      </c>
      <c r="J187" t="s">
        <v>126</v>
      </c>
      <c r="K187" t="s">
        <v>63</v>
      </c>
      <c r="L187" t="s">
        <v>64</v>
      </c>
      <c r="M187" t="s">
        <v>777</v>
      </c>
      <c r="N187">
        <v>10</v>
      </c>
      <c r="O187">
        <v>1699.29</v>
      </c>
      <c r="P187">
        <v>10</v>
      </c>
      <c r="Q187">
        <v>1699.29</v>
      </c>
      <c r="R187">
        <v>15293.61</v>
      </c>
      <c r="S187">
        <v>5231.24</v>
      </c>
    </row>
    <row r="188" spans="1:19" ht="15" customHeight="1" x14ac:dyDescent="0.25">
      <c r="A188" t="s">
        <v>778</v>
      </c>
      <c r="B188" s="8">
        <v>45073</v>
      </c>
      <c r="C188" s="8">
        <v>45073</v>
      </c>
      <c r="D188" t="s">
        <v>32</v>
      </c>
      <c r="E188" t="s">
        <v>779</v>
      </c>
      <c r="F188" t="s">
        <v>780</v>
      </c>
      <c r="G188">
        <v>8061200603</v>
      </c>
      <c r="H188" t="s">
        <v>43</v>
      </c>
      <c r="I188" t="s">
        <v>61</v>
      </c>
      <c r="J188" t="s">
        <v>95</v>
      </c>
      <c r="K188" t="s">
        <v>96</v>
      </c>
      <c r="L188" t="s">
        <v>385</v>
      </c>
      <c r="M188" t="s">
        <v>781</v>
      </c>
      <c r="N188">
        <v>13</v>
      </c>
      <c r="O188">
        <v>101187.87</v>
      </c>
      <c r="P188">
        <v>10</v>
      </c>
      <c r="Q188">
        <v>131544.23000000001</v>
      </c>
      <c r="R188">
        <v>1183898.08</v>
      </c>
      <c r="S188">
        <v>309910.37</v>
      </c>
    </row>
    <row r="189" spans="1:19" ht="15" customHeight="1" x14ac:dyDescent="0.25">
      <c r="A189" t="s">
        <v>513</v>
      </c>
      <c r="B189" s="8">
        <v>44715</v>
      </c>
      <c r="C189" s="8">
        <v>44717</v>
      </c>
      <c r="D189" t="s">
        <v>20</v>
      </c>
      <c r="E189" t="s">
        <v>514</v>
      </c>
      <c r="F189" t="s">
        <v>515</v>
      </c>
      <c r="G189">
        <v>9023160763</v>
      </c>
      <c r="H189" t="s">
        <v>24</v>
      </c>
      <c r="I189" t="s">
        <v>25</v>
      </c>
      <c r="J189" t="s">
        <v>36</v>
      </c>
      <c r="K189" t="s">
        <v>96</v>
      </c>
      <c r="L189" t="s">
        <v>97</v>
      </c>
      <c r="M189" t="s">
        <v>98</v>
      </c>
      <c r="N189">
        <v>15</v>
      </c>
      <c r="O189">
        <v>33572.9</v>
      </c>
      <c r="P189">
        <v>0</v>
      </c>
      <c r="Q189">
        <v>0</v>
      </c>
      <c r="R189">
        <v>503593.5</v>
      </c>
      <c r="S189">
        <v>-24780.06</v>
      </c>
    </row>
    <row r="190" spans="1:19" ht="15" customHeight="1" x14ac:dyDescent="0.25">
      <c r="A190" t="s">
        <v>782</v>
      </c>
      <c r="B190" s="8">
        <v>45345</v>
      </c>
      <c r="C190" s="8">
        <v>45353</v>
      </c>
      <c r="D190" t="s">
        <v>48</v>
      </c>
      <c r="E190" t="s">
        <v>783</v>
      </c>
      <c r="F190" t="s">
        <v>784</v>
      </c>
      <c r="G190">
        <v>8105613428</v>
      </c>
      <c r="H190" t="s">
        <v>785</v>
      </c>
      <c r="I190" t="s">
        <v>69</v>
      </c>
      <c r="J190" t="s">
        <v>70</v>
      </c>
      <c r="K190" t="s">
        <v>63</v>
      </c>
      <c r="L190" t="s">
        <v>64</v>
      </c>
      <c r="M190" t="s">
        <v>501</v>
      </c>
      <c r="N190">
        <v>20</v>
      </c>
      <c r="O190">
        <v>1348.91</v>
      </c>
      <c r="P190">
        <v>5</v>
      </c>
      <c r="Q190">
        <v>1348.91</v>
      </c>
      <c r="R190">
        <v>25629.29</v>
      </c>
      <c r="S190">
        <v>6109.18</v>
      </c>
    </row>
    <row r="191" spans="1:19" ht="15" customHeight="1" x14ac:dyDescent="0.25">
      <c r="A191" t="s">
        <v>786</v>
      </c>
      <c r="B191" s="8">
        <v>44686</v>
      </c>
      <c r="C191" s="8">
        <v>44686</v>
      </c>
      <c r="D191" t="s">
        <v>32</v>
      </c>
      <c r="E191" t="s">
        <v>787</v>
      </c>
      <c r="F191" t="s">
        <v>788</v>
      </c>
      <c r="G191">
        <v>7064346346</v>
      </c>
      <c r="H191" t="s">
        <v>24</v>
      </c>
      <c r="J191" t="s">
        <v>70</v>
      </c>
      <c r="K191" t="s">
        <v>27</v>
      </c>
      <c r="L191" t="s">
        <v>354</v>
      </c>
      <c r="M191" t="s">
        <v>789</v>
      </c>
      <c r="N191">
        <v>13</v>
      </c>
      <c r="O191">
        <v>6420.32</v>
      </c>
      <c r="P191">
        <v>10</v>
      </c>
      <c r="Q191">
        <v>8346.42</v>
      </c>
      <c r="R191" t="s">
        <v>790</v>
      </c>
      <c r="S191">
        <v>10352.030000000001</v>
      </c>
    </row>
    <row r="192" spans="1:19" ht="15" customHeight="1" x14ac:dyDescent="0.25">
      <c r="A192" t="s">
        <v>791</v>
      </c>
      <c r="B192" s="8">
        <v>45357</v>
      </c>
      <c r="C192" s="8">
        <v>45360</v>
      </c>
      <c r="D192" t="s">
        <v>20</v>
      </c>
      <c r="E192" t="s">
        <v>792</v>
      </c>
      <c r="F192" t="s">
        <v>793</v>
      </c>
      <c r="G192">
        <v>9054674549</v>
      </c>
      <c r="H192" t="s">
        <v>24</v>
      </c>
      <c r="I192" t="s">
        <v>69</v>
      </c>
      <c r="J192" t="s">
        <v>144</v>
      </c>
      <c r="K192" t="s">
        <v>96</v>
      </c>
      <c r="L192" t="s">
        <v>97</v>
      </c>
      <c r="M192" t="s">
        <v>98</v>
      </c>
      <c r="N192">
        <v>16</v>
      </c>
      <c r="O192">
        <v>366764.44</v>
      </c>
      <c r="P192">
        <v>25</v>
      </c>
      <c r="Q192">
        <v>1467057.76</v>
      </c>
      <c r="R192">
        <v>4401173.28</v>
      </c>
      <c r="S192">
        <v>283698.46999999997</v>
      </c>
    </row>
    <row r="193" spans="1:19" ht="15" customHeight="1" x14ac:dyDescent="0.25">
      <c r="A193" t="s">
        <v>794</v>
      </c>
      <c r="B193" s="8">
        <v>45055</v>
      </c>
      <c r="C193" s="8">
        <v>45059</v>
      </c>
      <c r="D193" t="s">
        <v>73</v>
      </c>
      <c r="E193" t="s">
        <v>795</v>
      </c>
      <c r="F193" t="s">
        <v>796</v>
      </c>
      <c r="G193">
        <v>9024681115</v>
      </c>
      <c r="H193" t="s">
        <v>35</v>
      </c>
      <c r="I193" t="s">
        <v>61</v>
      </c>
      <c r="J193" t="s">
        <v>62</v>
      </c>
      <c r="K193" t="s">
        <v>27</v>
      </c>
      <c r="L193" t="s">
        <v>28</v>
      </c>
      <c r="M193" t="s">
        <v>71</v>
      </c>
      <c r="N193">
        <v>6</v>
      </c>
      <c r="O193">
        <v>7501.09</v>
      </c>
      <c r="P193">
        <v>0</v>
      </c>
      <c r="Q193">
        <v>0</v>
      </c>
      <c r="S193">
        <v>-363.17</v>
      </c>
    </row>
    <row r="194" spans="1:19" ht="15" customHeight="1" x14ac:dyDescent="0.25">
      <c r="A194" t="s">
        <v>797</v>
      </c>
      <c r="B194" s="8">
        <v>45282</v>
      </c>
      <c r="C194" s="8">
        <v>45288</v>
      </c>
      <c r="D194" t="s">
        <v>48</v>
      </c>
      <c r="E194" t="s">
        <v>798</v>
      </c>
      <c r="F194" t="s">
        <v>799</v>
      </c>
      <c r="G194">
        <v>8156185050</v>
      </c>
      <c r="H194" t="s">
        <v>24</v>
      </c>
      <c r="I194" t="s">
        <v>51</v>
      </c>
      <c r="J194" t="s">
        <v>223</v>
      </c>
      <c r="K194" t="s">
        <v>85</v>
      </c>
      <c r="L194" t="s">
        <v>486</v>
      </c>
      <c r="M194" t="s">
        <v>487</v>
      </c>
      <c r="N194">
        <v>8</v>
      </c>
      <c r="O194">
        <v>23524.27</v>
      </c>
      <c r="P194">
        <v>5</v>
      </c>
      <c r="Q194">
        <v>9409.7099999999991</v>
      </c>
      <c r="R194">
        <v>178784.45</v>
      </c>
      <c r="S194">
        <v>-24679.98</v>
      </c>
    </row>
    <row r="195" spans="1:19" ht="15" customHeight="1" x14ac:dyDescent="0.25">
      <c r="A195" t="s">
        <v>800</v>
      </c>
      <c r="B195" s="8">
        <v>44829</v>
      </c>
      <c r="C195" s="8">
        <v>44833</v>
      </c>
      <c r="D195" t="s">
        <v>73</v>
      </c>
      <c r="E195" t="s">
        <v>801</v>
      </c>
      <c r="F195" t="s">
        <v>802</v>
      </c>
      <c r="G195">
        <v>8031367637</v>
      </c>
      <c r="H195" t="s">
        <v>43</v>
      </c>
      <c r="I195" t="s">
        <v>69</v>
      </c>
      <c r="J195" t="s">
        <v>307</v>
      </c>
      <c r="K195" t="s">
        <v>85</v>
      </c>
      <c r="L195" t="s">
        <v>266</v>
      </c>
      <c r="M195" t="s">
        <v>803</v>
      </c>
      <c r="N195">
        <v>17</v>
      </c>
      <c r="O195">
        <v>141191.04000000001</v>
      </c>
      <c r="P195">
        <v>10</v>
      </c>
      <c r="Q195">
        <v>240024.77</v>
      </c>
      <c r="R195" t="s">
        <v>804</v>
      </c>
      <c r="S195">
        <v>920979.17</v>
      </c>
    </row>
    <row r="196" spans="1:19" ht="15" customHeight="1" x14ac:dyDescent="0.25">
      <c r="A196" t="s">
        <v>805</v>
      </c>
      <c r="B196" s="8">
        <v>45251</v>
      </c>
      <c r="C196" s="8">
        <v>45258</v>
      </c>
      <c r="D196" t="s">
        <v>48</v>
      </c>
      <c r="E196" t="s">
        <v>806</v>
      </c>
      <c r="F196" t="s">
        <v>807</v>
      </c>
      <c r="G196">
        <v>9018329435</v>
      </c>
      <c r="H196" t="s">
        <v>24</v>
      </c>
      <c r="I196" t="s">
        <v>51</v>
      </c>
      <c r="J196" t="s">
        <v>316</v>
      </c>
      <c r="L196" t="s">
        <v>38</v>
      </c>
      <c r="M196" t="s">
        <v>303</v>
      </c>
      <c r="N196">
        <v>18</v>
      </c>
      <c r="O196">
        <v>32408.87</v>
      </c>
      <c r="P196">
        <v>10</v>
      </c>
      <c r="Q196">
        <v>58335.97</v>
      </c>
      <c r="R196" t="s">
        <v>808</v>
      </c>
      <c r="S196">
        <v>-8430.66</v>
      </c>
    </row>
    <row r="197" spans="1:19" ht="15" customHeight="1" x14ac:dyDescent="0.25">
      <c r="A197" t="s">
        <v>809</v>
      </c>
      <c r="B197" s="8">
        <v>44822</v>
      </c>
      <c r="C197" s="8">
        <v>44824</v>
      </c>
      <c r="D197" t="s">
        <v>20</v>
      </c>
      <c r="E197" t="s">
        <v>810</v>
      </c>
      <c r="F197" t="s">
        <v>811</v>
      </c>
      <c r="G197">
        <v>8031543292</v>
      </c>
      <c r="H197" t="s">
        <v>43</v>
      </c>
      <c r="I197" t="s">
        <v>61</v>
      </c>
      <c r="J197" t="s">
        <v>204</v>
      </c>
      <c r="K197" t="s">
        <v>85</v>
      </c>
      <c r="L197" t="s">
        <v>266</v>
      </c>
      <c r="M197" t="s">
        <v>593</v>
      </c>
      <c r="N197">
        <v>20</v>
      </c>
      <c r="O197">
        <v>166418.57</v>
      </c>
      <c r="P197">
        <v>5</v>
      </c>
      <c r="Q197">
        <v>166418.57</v>
      </c>
      <c r="R197">
        <v>3161952.83</v>
      </c>
      <c r="S197">
        <v>739226.83</v>
      </c>
    </row>
    <row r="198" spans="1:19" ht="15" customHeight="1" x14ac:dyDescent="0.25">
      <c r="A198" t="s">
        <v>812</v>
      </c>
      <c r="B198" s="8">
        <v>44721</v>
      </c>
      <c r="C198" s="8">
        <v>44723</v>
      </c>
      <c r="D198" t="s">
        <v>20</v>
      </c>
      <c r="E198" t="s">
        <v>813</v>
      </c>
      <c r="F198" t="s">
        <v>814</v>
      </c>
      <c r="G198">
        <v>9072488575</v>
      </c>
      <c r="H198" t="s">
        <v>35</v>
      </c>
      <c r="I198" t="s">
        <v>25</v>
      </c>
      <c r="J198" t="s">
        <v>168</v>
      </c>
      <c r="K198" t="s">
        <v>63</v>
      </c>
      <c r="L198" t="s">
        <v>64</v>
      </c>
      <c r="M198" t="s">
        <v>815</v>
      </c>
      <c r="N198">
        <v>8</v>
      </c>
      <c r="O198">
        <v>6997.7</v>
      </c>
      <c r="P198">
        <v>0</v>
      </c>
      <c r="Q198">
        <v>0</v>
      </c>
      <c r="R198">
        <v>55981.599999999999</v>
      </c>
      <c r="S198">
        <v>3375.06</v>
      </c>
    </row>
    <row r="199" spans="1:19" ht="15" customHeight="1" x14ac:dyDescent="0.25">
      <c r="A199" t="s">
        <v>816</v>
      </c>
      <c r="B199" s="8">
        <v>45459</v>
      </c>
      <c r="C199" s="8">
        <v>45460</v>
      </c>
      <c r="D199" t="s">
        <v>32</v>
      </c>
      <c r="E199" t="s">
        <v>817</v>
      </c>
      <c r="F199" t="s">
        <v>818</v>
      </c>
      <c r="G199">
        <v>7066892681</v>
      </c>
      <c r="H199" t="s">
        <v>35</v>
      </c>
      <c r="I199" t="s">
        <v>25</v>
      </c>
      <c r="J199" t="s">
        <v>26</v>
      </c>
      <c r="K199" t="s">
        <v>27</v>
      </c>
      <c r="L199" t="s">
        <v>28</v>
      </c>
      <c r="M199" t="s">
        <v>29</v>
      </c>
      <c r="N199">
        <v>19</v>
      </c>
      <c r="O199">
        <v>6681.81</v>
      </c>
      <c r="P199">
        <v>5</v>
      </c>
      <c r="Q199">
        <v>6347.72</v>
      </c>
      <c r="S199">
        <v>-6320.52</v>
      </c>
    </row>
    <row r="200" spans="1:19" ht="15" customHeight="1" x14ac:dyDescent="0.25">
      <c r="A200" t="s">
        <v>819</v>
      </c>
      <c r="B200" s="8">
        <v>45214</v>
      </c>
      <c r="C200" s="8">
        <v>45221</v>
      </c>
      <c r="D200" t="s">
        <v>48</v>
      </c>
      <c r="E200" t="s">
        <v>820</v>
      </c>
      <c r="F200" t="s">
        <v>821</v>
      </c>
      <c r="G200">
        <v>8107299138</v>
      </c>
      <c r="H200" t="s">
        <v>43</v>
      </c>
      <c r="I200" t="s">
        <v>25</v>
      </c>
      <c r="J200" t="s">
        <v>26</v>
      </c>
      <c r="K200" t="s">
        <v>85</v>
      </c>
      <c r="L200" t="s">
        <v>86</v>
      </c>
      <c r="M200" t="s">
        <v>238</v>
      </c>
      <c r="N200">
        <v>3</v>
      </c>
      <c r="O200">
        <v>169995.47</v>
      </c>
      <c r="P200">
        <v>10</v>
      </c>
      <c r="Q200">
        <v>50998.64</v>
      </c>
      <c r="R200">
        <v>458987.77</v>
      </c>
      <c r="S200">
        <v>94743.49</v>
      </c>
    </row>
    <row r="201" spans="1:19" ht="15" customHeight="1" x14ac:dyDescent="0.25">
      <c r="A201" t="s">
        <v>822</v>
      </c>
      <c r="B201" s="8">
        <v>45451</v>
      </c>
      <c r="C201" s="8">
        <v>45454</v>
      </c>
      <c r="D201" t="s">
        <v>73</v>
      </c>
      <c r="E201" t="s">
        <v>823</v>
      </c>
      <c r="F201" t="s">
        <v>824</v>
      </c>
      <c r="G201" t="s">
        <v>23</v>
      </c>
      <c r="H201" t="s">
        <v>43</v>
      </c>
      <c r="I201" t="s">
        <v>69</v>
      </c>
      <c r="J201" t="s">
        <v>307</v>
      </c>
      <c r="K201" t="s">
        <v>108</v>
      </c>
      <c r="L201" t="s">
        <v>189</v>
      </c>
      <c r="M201" t="s">
        <v>205</v>
      </c>
      <c r="N201">
        <v>10</v>
      </c>
      <c r="O201">
        <v>13406.39</v>
      </c>
      <c r="P201">
        <v>10</v>
      </c>
      <c r="Q201">
        <v>13406.39</v>
      </c>
      <c r="R201">
        <v>120657.51</v>
      </c>
      <c r="S201">
        <v>-901.44</v>
      </c>
    </row>
    <row r="202" spans="1:19" ht="15" customHeight="1" x14ac:dyDescent="0.25">
      <c r="A202" t="s">
        <v>825</v>
      </c>
      <c r="B202" s="8">
        <v>44876</v>
      </c>
      <c r="C202" s="8">
        <v>44876</v>
      </c>
      <c r="D202" t="s">
        <v>32</v>
      </c>
      <c r="E202" t="s">
        <v>826</v>
      </c>
      <c r="F202" t="s">
        <v>827</v>
      </c>
      <c r="G202">
        <v>8065941719</v>
      </c>
      <c r="H202" t="s">
        <v>24</v>
      </c>
      <c r="I202" t="s">
        <v>25</v>
      </c>
      <c r="J202" t="s">
        <v>168</v>
      </c>
      <c r="K202" t="s">
        <v>27</v>
      </c>
      <c r="L202" t="s">
        <v>28</v>
      </c>
      <c r="M202" t="s">
        <v>508</v>
      </c>
      <c r="N202">
        <v>7</v>
      </c>
      <c r="O202">
        <v>1046.8</v>
      </c>
      <c r="P202">
        <v>0</v>
      </c>
      <c r="Q202">
        <v>0</v>
      </c>
      <c r="R202" t="s">
        <v>828</v>
      </c>
      <c r="S202">
        <v>1706.7</v>
      </c>
    </row>
    <row r="203" spans="1:19" ht="15" customHeight="1" x14ac:dyDescent="0.25">
      <c r="A203" t="s">
        <v>829</v>
      </c>
      <c r="B203" s="8">
        <v>45376</v>
      </c>
      <c r="C203" s="8">
        <v>45379</v>
      </c>
      <c r="D203" t="s">
        <v>20</v>
      </c>
      <c r="E203" t="s">
        <v>830</v>
      </c>
      <c r="F203" t="s">
        <v>831</v>
      </c>
      <c r="G203">
        <v>8067501626</v>
      </c>
      <c r="H203" t="s">
        <v>35</v>
      </c>
      <c r="I203" t="s">
        <v>25</v>
      </c>
      <c r="J203" t="s">
        <v>168</v>
      </c>
      <c r="K203" t="s">
        <v>85</v>
      </c>
      <c r="L203" t="s">
        <v>243</v>
      </c>
      <c r="M203" t="s">
        <v>439</v>
      </c>
      <c r="N203">
        <v>15</v>
      </c>
      <c r="O203">
        <v>71537.09</v>
      </c>
      <c r="P203">
        <v>0</v>
      </c>
      <c r="Q203">
        <v>0</v>
      </c>
      <c r="R203">
        <v>1073056.3500000001</v>
      </c>
      <c r="S203">
        <v>8560.39</v>
      </c>
    </row>
    <row r="204" spans="1:19" ht="15" customHeight="1" x14ac:dyDescent="0.25">
      <c r="A204" t="s">
        <v>832</v>
      </c>
      <c r="B204" s="8">
        <v>44688</v>
      </c>
      <c r="C204" s="8">
        <v>44690</v>
      </c>
      <c r="D204" t="s">
        <v>20</v>
      </c>
      <c r="E204" t="s">
        <v>820</v>
      </c>
      <c r="F204" t="s">
        <v>821</v>
      </c>
      <c r="G204">
        <v>9027945543</v>
      </c>
      <c r="H204" t="s">
        <v>35</v>
      </c>
      <c r="I204" t="s">
        <v>69</v>
      </c>
      <c r="J204" t="s">
        <v>144</v>
      </c>
      <c r="K204" t="s">
        <v>27</v>
      </c>
      <c r="L204" t="s">
        <v>354</v>
      </c>
      <c r="M204" t="s">
        <v>789</v>
      </c>
      <c r="N204" t="s">
        <v>185</v>
      </c>
      <c r="O204">
        <v>769.57</v>
      </c>
      <c r="P204">
        <v>25</v>
      </c>
      <c r="Q204">
        <v>2501.1</v>
      </c>
      <c r="R204">
        <v>7503.31</v>
      </c>
      <c r="S204">
        <v>759.18</v>
      </c>
    </row>
    <row r="205" spans="1:19" ht="15" customHeight="1" x14ac:dyDescent="0.25">
      <c r="A205" t="s">
        <v>833</v>
      </c>
      <c r="B205" s="8">
        <v>45174</v>
      </c>
      <c r="C205" s="8">
        <v>45174</v>
      </c>
      <c r="D205" t="s">
        <v>32</v>
      </c>
      <c r="E205" t="s">
        <v>338</v>
      </c>
      <c r="F205" t="s">
        <v>834</v>
      </c>
      <c r="G205">
        <v>8159670757</v>
      </c>
      <c r="H205" t="s">
        <v>35</v>
      </c>
      <c r="I205" t="s">
        <v>69</v>
      </c>
      <c r="J205" t="s">
        <v>155</v>
      </c>
      <c r="K205" t="s">
        <v>27</v>
      </c>
      <c r="L205" t="s">
        <v>173</v>
      </c>
      <c r="M205" t="s">
        <v>380</v>
      </c>
      <c r="N205">
        <v>15</v>
      </c>
      <c r="O205">
        <v>1226.17</v>
      </c>
      <c r="P205">
        <v>0</v>
      </c>
      <c r="Q205">
        <v>0</v>
      </c>
      <c r="R205">
        <v>18392.55</v>
      </c>
      <c r="S205">
        <v>7714.51</v>
      </c>
    </row>
    <row r="206" spans="1:19" ht="15" customHeight="1" x14ac:dyDescent="0.25">
      <c r="A206" t="s">
        <v>835</v>
      </c>
      <c r="B206" s="8">
        <v>44649</v>
      </c>
      <c r="C206" s="8">
        <v>44653</v>
      </c>
      <c r="D206" t="s">
        <v>73</v>
      </c>
      <c r="E206" t="s">
        <v>836</v>
      </c>
      <c r="F206" t="s">
        <v>837</v>
      </c>
      <c r="G206">
        <v>8133480985</v>
      </c>
      <c r="H206" t="s">
        <v>35</v>
      </c>
      <c r="I206" t="s">
        <v>61</v>
      </c>
      <c r="J206" t="s">
        <v>62</v>
      </c>
      <c r="K206" t="s">
        <v>27</v>
      </c>
      <c r="L206" t="s">
        <v>45</v>
      </c>
      <c r="M206" t="s">
        <v>838</v>
      </c>
      <c r="N206">
        <v>3</v>
      </c>
      <c r="O206">
        <v>7313.19</v>
      </c>
      <c r="P206">
        <v>0</v>
      </c>
      <c r="Q206">
        <v>0</v>
      </c>
      <c r="R206">
        <v>21939.57</v>
      </c>
      <c r="S206">
        <v>1817.9</v>
      </c>
    </row>
    <row r="207" spans="1:19" ht="15" customHeight="1" x14ac:dyDescent="0.25">
      <c r="A207" t="s">
        <v>839</v>
      </c>
      <c r="B207" s="8">
        <v>45626</v>
      </c>
      <c r="C207" s="8">
        <v>45629</v>
      </c>
      <c r="D207" t="s">
        <v>20</v>
      </c>
      <c r="E207" t="s">
        <v>840</v>
      </c>
      <c r="F207" t="s">
        <v>324</v>
      </c>
      <c r="G207">
        <v>8067953189</v>
      </c>
      <c r="H207" t="s">
        <v>43</v>
      </c>
      <c r="I207" t="s">
        <v>69</v>
      </c>
      <c r="J207" t="s">
        <v>155</v>
      </c>
      <c r="K207" t="s">
        <v>841</v>
      </c>
      <c r="L207" t="s">
        <v>218</v>
      </c>
      <c r="M207" t="s">
        <v>842</v>
      </c>
      <c r="N207">
        <v>4</v>
      </c>
      <c r="O207">
        <v>109124.67</v>
      </c>
      <c r="P207">
        <v>0</v>
      </c>
      <c r="Q207">
        <v>0</v>
      </c>
      <c r="R207">
        <v>436498.68</v>
      </c>
      <c r="S207">
        <v>81891.63</v>
      </c>
    </row>
    <row r="208" spans="1:19" ht="15" customHeight="1" x14ac:dyDescent="0.25">
      <c r="A208" t="s">
        <v>843</v>
      </c>
      <c r="B208" s="8">
        <v>45403</v>
      </c>
      <c r="C208" s="8">
        <v>45406</v>
      </c>
      <c r="D208" t="s">
        <v>20</v>
      </c>
      <c r="F208" t="s">
        <v>844</v>
      </c>
      <c r="G208">
        <v>9058936405</v>
      </c>
      <c r="H208" t="s">
        <v>24</v>
      </c>
      <c r="I208" t="s">
        <v>25</v>
      </c>
      <c r="J208" t="s">
        <v>44</v>
      </c>
      <c r="K208" t="s">
        <v>96</v>
      </c>
      <c r="L208" t="s">
        <v>385</v>
      </c>
      <c r="M208" t="s">
        <v>386</v>
      </c>
      <c r="N208">
        <v>20</v>
      </c>
      <c r="O208">
        <v>190293.67</v>
      </c>
      <c r="P208">
        <v>15</v>
      </c>
      <c r="Q208">
        <v>570881.01</v>
      </c>
      <c r="R208">
        <v>3234992.39</v>
      </c>
      <c r="S208">
        <v>-409972.14</v>
      </c>
    </row>
    <row r="209" spans="1:19" ht="15" customHeight="1" x14ac:dyDescent="0.25">
      <c r="A209" t="s">
        <v>845</v>
      </c>
      <c r="B209" s="8">
        <v>45112</v>
      </c>
      <c r="C209" s="8">
        <v>45113</v>
      </c>
      <c r="D209" t="s">
        <v>32</v>
      </c>
      <c r="E209" t="s">
        <v>846</v>
      </c>
      <c r="F209" t="s">
        <v>847</v>
      </c>
      <c r="G209">
        <v>8165703436</v>
      </c>
      <c r="H209" t="s">
        <v>35</v>
      </c>
      <c r="I209" t="s">
        <v>51</v>
      </c>
      <c r="J209" t="s">
        <v>131</v>
      </c>
      <c r="K209" t="s">
        <v>534</v>
      </c>
      <c r="L209" t="s">
        <v>114</v>
      </c>
      <c r="M209" t="s">
        <v>848</v>
      </c>
      <c r="N209">
        <v>15</v>
      </c>
      <c r="O209">
        <v>7778.58</v>
      </c>
      <c r="P209">
        <v>10</v>
      </c>
      <c r="Q209">
        <v>11667.87</v>
      </c>
      <c r="R209">
        <v>105010.83</v>
      </c>
      <c r="S209">
        <v>1223.58</v>
      </c>
    </row>
    <row r="210" spans="1:19" ht="15" customHeight="1" x14ac:dyDescent="0.25">
      <c r="A210" t="s">
        <v>849</v>
      </c>
      <c r="B210" s="8">
        <v>44946</v>
      </c>
      <c r="C210" s="8">
        <v>44954</v>
      </c>
      <c r="D210" t="s">
        <v>48</v>
      </c>
      <c r="E210" t="s">
        <v>850</v>
      </c>
      <c r="G210">
        <v>9019127895</v>
      </c>
      <c r="H210" t="s">
        <v>24</v>
      </c>
      <c r="I210" t="s">
        <v>69</v>
      </c>
      <c r="J210" t="s">
        <v>155</v>
      </c>
      <c r="K210" t="s">
        <v>27</v>
      </c>
      <c r="L210" t="s">
        <v>45</v>
      </c>
      <c r="M210" t="s">
        <v>308</v>
      </c>
      <c r="N210">
        <v>6</v>
      </c>
      <c r="O210">
        <v>4267.58</v>
      </c>
      <c r="P210">
        <v>110</v>
      </c>
      <c r="Q210">
        <v>0</v>
      </c>
      <c r="R210">
        <v>25605.48</v>
      </c>
      <c r="S210">
        <v>939.05</v>
      </c>
    </row>
    <row r="211" spans="1:19" ht="15" customHeight="1" x14ac:dyDescent="0.25">
      <c r="A211" t="s">
        <v>851</v>
      </c>
      <c r="B211" s="8">
        <v>44917</v>
      </c>
      <c r="C211" s="8">
        <v>44923</v>
      </c>
      <c r="D211" t="s">
        <v>48</v>
      </c>
      <c r="E211" t="s">
        <v>852</v>
      </c>
      <c r="F211" t="s">
        <v>853</v>
      </c>
      <c r="G211">
        <v>8131554840</v>
      </c>
      <c r="H211" t="s">
        <v>24</v>
      </c>
      <c r="I211" t="s">
        <v>69</v>
      </c>
      <c r="J211" t="s">
        <v>119</v>
      </c>
      <c r="K211" t="s">
        <v>108</v>
      </c>
      <c r="L211" t="s">
        <v>114</v>
      </c>
      <c r="M211" t="s">
        <v>482</v>
      </c>
      <c r="N211">
        <v>9</v>
      </c>
      <c r="O211">
        <v>32299.26</v>
      </c>
      <c r="P211">
        <v>10</v>
      </c>
      <c r="Q211">
        <v>29069.33</v>
      </c>
      <c r="R211">
        <v>261624.01</v>
      </c>
      <c r="S211">
        <v>90025.81</v>
      </c>
    </row>
    <row r="212" spans="1:19" ht="15" customHeight="1" x14ac:dyDescent="0.25">
      <c r="A212" t="s">
        <v>854</v>
      </c>
      <c r="B212" s="8">
        <v>45057</v>
      </c>
      <c r="C212" s="8">
        <v>45064</v>
      </c>
      <c r="D212" t="s">
        <v>48</v>
      </c>
      <c r="E212" t="s">
        <v>855</v>
      </c>
      <c r="F212" t="s">
        <v>856</v>
      </c>
      <c r="G212">
        <v>8108962169</v>
      </c>
      <c r="H212" t="s">
        <v>24</v>
      </c>
      <c r="I212" t="s">
        <v>69</v>
      </c>
      <c r="J212" t="s">
        <v>307</v>
      </c>
      <c r="K212" t="s">
        <v>857</v>
      </c>
      <c r="L212" t="s">
        <v>173</v>
      </c>
      <c r="M212" t="s">
        <v>174</v>
      </c>
      <c r="N212">
        <v>9</v>
      </c>
      <c r="O212">
        <v>2950.72</v>
      </c>
      <c r="P212">
        <v>0</v>
      </c>
      <c r="Q212">
        <v>0</v>
      </c>
      <c r="R212">
        <v>26556.48</v>
      </c>
      <c r="S212">
        <v>558.79</v>
      </c>
    </row>
    <row r="213" spans="1:19" ht="15" customHeight="1" x14ac:dyDescent="0.25">
      <c r="A213" t="s">
        <v>858</v>
      </c>
      <c r="B213" s="8">
        <v>45015</v>
      </c>
      <c r="C213" s="8">
        <v>45020</v>
      </c>
      <c r="D213" t="s">
        <v>73</v>
      </c>
      <c r="E213" t="s">
        <v>859</v>
      </c>
      <c r="G213">
        <v>8167870390</v>
      </c>
      <c r="H213" t="s">
        <v>35</v>
      </c>
      <c r="I213" t="s">
        <v>69</v>
      </c>
      <c r="J213" t="s">
        <v>307</v>
      </c>
      <c r="K213" t="s">
        <v>27</v>
      </c>
      <c r="L213" t="s">
        <v>79</v>
      </c>
      <c r="M213" t="s">
        <v>145</v>
      </c>
      <c r="N213">
        <v>5</v>
      </c>
      <c r="O213">
        <v>3950.55</v>
      </c>
      <c r="P213">
        <v>0</v>
      </c>
      <c r="Q213">
        <v>0</v>
      </c>
      <c r="R213">
        <v>19752.75</v>
      </c>
      <c r="S213">
        <v>4161.6099999999997</v>
      </c>
    </row>
    <row r="214" spans="1:19" ht="15" customHeight="1" x14ac:dyDescent="0.25">
      <c r="A214" t="s">
        <v>860</v>
      </c>
      <c r="B214" s="8">
        <v>45125</v>
      </c>
      <c r="C214" s="8">
        <v>45128</v>
      </c>
      <c r="D214" t="s">
        <v>20</v>
      </c>
      <c r="E214" t="s">
        <v>861</v>
      </c>
      <c r="F214" t="s">
        <v>862</v>
      </c>
      <c r="G214">
        <v>8145227836</v>
      </c>
      <c r="H214" t="s">
        <v>43</v>
      </c>
      <c r="I214" t="s">
        <v>25</v>
      </c>
      <c r="J214" t="s">
        <v>126</v>
      </c>
      <c r="K214" t="s">
        <v>85</v>
      </c>
      <c r="L214" t="s">
        <v>486</v>
      </c>
      <c r="M214" t="s">
        <v>543</v>
      </c>
      <c r="N214">
        <v>20</v>
      </c>
      <c r="O214">
        <v>124477.74</v>
      </c>
      <c r="P214">
        <v>15</v>
      </c>
      <c r="Q214">
        <v>373433.22</v>
      </c>
      <c r="R214">
        <v>2116121.58</v>
      </c>
      <c r="S214">
        <v>424689.29</v>
      </c>
    </row>
    <row r="215" spans="1:19" ht="15" customHeight="1" x14ac:dyDescent="0.25">
      <c r="A215" t="s">
        <v>863</v>
      </c>
      <c r="B215" s="8">
        <v>45140</v>
      </c>
      <c r="C215" s="8">
        <v>45143</v>
      </c>
      <c r="D215" t="s">
        <v>20</v>
      </c>
      <c r="E215" t="s">
        <v>864</v>
      </c>
      <c r="F215" t="s">
        <v>865</v>
      </c>
      <c r="G215">
        <v>7035638619</v>
      </c>
      <c r="H215" t="s">
        <v>24</v>
      </c>
      <c r="I215" t="s">
        <v>25</v>
      </c>
      <c r="J215" t="s">
        <v>36</v>
      </c>
      <c r="K215" t="s">
        <v>63</v>
      </c>
      <c r="L215" t="s">
        <v>194</v>
      </c>
      <c r="M215" t="s">
        <v>716</v>
      </c>
      <c r="N215">
        <v>10</v>
      </c>
      <c r="O215">
        <v>6898.1</v>
      </c>
      <c r="P215">
        <v>5</v>
      </c>
      <c r="Q215">
        <v>3449.05</v>
      </c>
      <c r="R215">
        <v>65531.95</v>
      </c>
      <c r="S215">
        <v>-3934.7</v>
      </c>
    </row>
    <row r="216" spans="1:19" ht="15" customHeight="1" x14ac:dyDescent="0.25">
      <c r="A216" t="s">
        <v>866</v>
      </c>
      <c r="B216" s="8">
        <v>45216</v>
      </c>
      <c r="C216" s="8">
        <v>45216</v>
      </c>
      <c r="D216" t="s">
        <v>32</v>
      </c>
      <c r="E216" t="s">
        <v>867</v>
      </c>
      <c r="F216" t="s">
        <v>868</v>
      </c>
      <c r="G216">
        <v>8165352450</v>
      </c>
      <c r="H216" t="s">
        <v>24</v>
      </c>
      <c r="I216" t="s">
        <v>61</v>
      </c>
      <c r="J216" t="s">
        <v>95</v>
      </c>
      <c r="K216" t="s">
        <v>108</v>
      </c>
      <c r="L216" t="s">
        <v>183</v>
      </c>
      <c r="M216" t="s">
        <v>869</v>
      </c>
      <c r="N216">
        <v>19</v>
      </c>
      <c r="O216">
        <v>33679.480000000003</v>
      </c>
      <c r="P216">
        <v>5</v>
      </c>
      <c r="Q216">
        <v>31995.51</v>
      </c>
      <c r="R216">
        <v>607914.61</v>
      </c>
      <c r="S216">
        <v>33982.57</v>
      </c>
    </row>
    <row r="217" spans="1:19" ht="15" customHeight="1" x14ac:dyDescent="0.25">
      <c r="A217" t="s">
        <v>870</v>
      </c>
      <c r="B217" s="8">
        <v>45296</v>
      </c>
      <c r="C217" s="8">
        <v>45297</v>
      </c>
      <c r="D217" t="s">
        <v>32</v>
      </c>
      <c r="E217" t="s">
        <v>207</v>
      </c>
      <c r="F217" t="s">
        <v>871</v>
      </c>
      <c r="G217">
        <v>8162637507</v>
      </c>
      <c r="H217" t="s">
        <v>24</v>
      </c>
      <c r="I217" t="s">
        <v>61</v>
      </c>
      <c r="J217" t="s">
        <v>84</v>
      </c>
      <c r="K217" t="s">
        <v>108</v>
      </c>
      <c r="L217" t="s">
        <v>109</v>
      </c>
      <c r="M217" t="s">
        <v>157</v>
      </c>
      <c r="N217">
        <v>18</v>
      </c>
      <c r="O217">
        <v>33183.03</v>
      </c>
      <c r="P217">
        <v>0</v>
      </c>
      <c r="Q217">
        <v>0</v>
      </c>
      <c r="R217">
        <v>597294.54</v>
      </c>
      <c r="S217">
        <v>249761.12</v>
      </c>
    </row>
    <row r="218" spans="1:19" ht="15" customHeight="1" x14ac:dyDescent="0.25">
      <c r="A218" t="s">
        <v>872</v>
      </c>
      <c r="B218" s="8">
        <v>45019</v>
      </c>
      <c r="C218" s="8">
        <v>45022</v>
      </c>
      <c r="D218" t="s">
        <v>20</v>
      </c>
      <c r="E218" t="s">
        <v>873</v>
      </c>
      <c r="F218" t="s">
        <v>874</v>
      </c>
      <c r="G218">
        <v>7035371458</v>
      </c>
      <c r="H218" t="s">
        <v>35</v>
      </c>
      <c r="I218" t="s">
        <v>51</v>
      </c>
      <c r="J218" t="s">
        <v>52</v>
      </c>
      <c r="L218" t="s">
        <v>45</v>
      </c>
      <c r="M218" t="s">
        <v>875</v>
      </c>
      <c r="N218">
        <v>16</v>
      </c>
      <c r="O218">
        <v>6854.35</v>
      </c>
      <c r="P218" t="s">
        <v>376</v>
      </c>
      <c r="Q218">
        <v>0</v>
      </c>
      <c r="R218">
        <v>109669.6</v>
      </c>
      <c r="S218">
        <v>40559.769999999997</v>
      </c>
    </row>
    <row r="219" spans="1:19" ht="15" customHeight="1" x14ac:dyDescent="0.25">
      <c r="A219" t="s">
        <v>876</v>
      </c>
      <c r="B219" s="8">
        <v>45343</v>
      </c>
      <c r="C219" s="8">
        <v>45350</v>
      </c>
      <c r="D219" t="s">
        <v>48</v>
      </c>
      <c r="E219" t="s">
        <v>877</v>
      </c>
      <c r="F219" t="s">
        <v>878</v>
      </c>
      <c r="G219">
        <v>8104360419</v>
      </c>
      <c r="H219" t="s">
        <v>35</v>
      </c>
      <c r="I219" t="s">
        <v>25</v>
      </c>
      <c r="J219" t="s">
        <v>168</v>
      </c>
      <c r="K219" t="s">
        <v>63</v>
      </c>
      <c r="L219" t="s">
        <v>64</v>
      </c>
      <c r="M219" t="s">
        <v>777</v>
      </c>
      <c r="N219">
        <v>15</v>
      </c>
      <c r="O219">
        <v>22374.71</v>
      </c>
      <c r="P219">
        <v>0</v>
      </c>
      <c r="Q219">
        <v>0</v>
      </c>
      <c r="R219" t="s">
        <v>879</v>
      </c>
      <c r="S219">
        <v>13367.8</v>
      </c>
    </row>
    <row r="220" spans="1:19" ht="15" customHeight="1" x14ac:dyDescent="0.25">
      <c r="A220" t="s">
        <v>880</v>
      </c>
      <c r="B220" s="8">
        <v>44924</v>
      </c>
      <c r="C220" s="8">
        <v>44927</v>
      </c>
      <c r="D220" t="s">
        <v>20</v>
      </c>
      <c r="E220" t="s">
        <v>881</v>
      </c>
      <c r="F220" t="s">
        <v>882</v>
      </c>
      <c r="G220">
        <v>8164512853</v>
      </c>
      <c r="H220" t="s">
        <v>43</v>
      </c>
      <c r="I220" t="s">
        <v>61</v>
      </c>
      <c r="K220" t="s">
        <v>85</v>
      </c>
      <c r="L220" t="s">
        <v>266</v>
      </c>
      <c r="M220" t="s">
        <v>803</v>
      </c>
      <c r="N220">
        <v>3</v>
      </c>
      <c r="O220">
        <v>92207.26</v>
      </c>
      <c r="P220">
        <v>0</v>
      </c>
      <c r="Q220">
        <v>0</v>
      </c>
      <c r="R220">
        <v>276621.78000000003</v>
      </c>
      <c r="S220">
        <v>60493.82</v>
      </c>
    </row>
    <row r="221" spans="1:19" ht="15" customHeight="1" x14ac:dyDescent="0.25">
      <c r="A221" t="s">
        <v>883</v>
      </c>
      <c r="B221" s="8">
        <v>45347</v>
      </c>
      <c r="C221" s="8">
        <v>45347</v>
      </c>
      <c r="D221" t="s">
        <v>32</v>
      </c>
      <c r="E221" t="s">
        <v>884</v>
      </c>
      <c r="F221" t="s">
        <v>885</v>
      </c>
      <c r="G221">
        <v>9017259602</v>
      </c>
      <c r="H221" t="s">
        <v>43</v>
      </c>
      <c r="I221" t="s">
        <v>69</v>
      </c>
      <c r="J221" t="s">
        <v>70</v>
      </c>
      <c r="K221" t="s">
        <v>96</v>
      </c>
      <c r="L221" t="s">
        <v>97</v>
      </c>
      <c r="M221" t="s">
        <v>169</v>
      </c>
      <c r="N221">
        <v>1</v>
      </c>
      <c r="O221">
        <v>97900.87</v>
      </c>
      <c r="P221">
        <v>5</v>
      </c>
      <c r="Q221">
        <v>4895.04</v>
      </c>
      <c r="R221">
        <v>93005.83</v>
      </c>
      <c r="S221">
        <v>-1324.46</v>
      </c>
    </row>
    <row r="222" spans="1:19" ht="15" customHeight="1" x14ac:dyDescent="0.25">
      <c r="A222" t="s">
        <v>886</v>
      </c>
      <c r="B222" s="8">
        <v>45347</v>
      </c>
      <c r="C222" s="8">
        <v>45354</v>
      </c>
      <c r="D222" t="s">
        <v>48</v>
      </c>
      <c r="E222" t="s">
        <v>402</v>
      </c>
      <c r="F222" t="s">
        <v>403</v>
      </c>
      <c r="G222">
        <v>8165879280</v>
      </c>
      <c r="H222" t="s">
        <v>35</v>
      </c>
      <c r="I222" t="s">
        <v>51</v>
      </c>
      <c r="J222" t="s">
        <v>223</v>
      </c>
      <c r="K222" t="s">
        <v>108</v>
      </c>
      <c r="L222" t="s">
        <v>189</v>
      </c>
      <c r="M222" t="s">
        <v>205</v>
      </c>
      <c r="N222">
        <v>14</v>
      </c>
      <c r="O222">
        <v>24537.06</v>
      </c>
      <c r="P222">
        <v>0</v>
      </c>
      <c r="Q222">
        <v>0</v>
      </c>
      <c r="R222">
        <v>343518.84</v>
      </c>
      <c r="S222">
        <v>19113.29</v>
      </c>
    </row>
    <row r="223" spans="1:19" ht="15" customHeight="1" x14ac:dyDescent="0.25">
      <c r="A223" t="s">
        <v>887</v>
      </c>
      <c r="B223" s="8">
        <v>45388</v>
      </c>
      <c r="C223" s="8">
        <v>45391</v>
      </c>
      <c r="D223" t="s">
        <v>73</v>
      </c>
      <c r="E223" t="s">
        <v>159</v>
      </c>
      <c r="F223" t="s">
        <v>888</v>
      </c>
      <c r="G223">
        <v>8131367643</v>
      </c>
      <c r="H223" t="s">
        <v>35</v>
      </c>
      <c r="I223" t="s">
        <v>69</v>
      </c>
      <c r="J223" t="s">
        <v>144</v>
      </c>
      <c r="K223" t="s">
        <v>27</v>
      </c>
      <c r="L223" t="s">
        <v>173</v>
      </c>
      <c r="M223" t="s">
        <v>380</v>
      </c>
      <c r="N223">
        <v>2</v>
      </c>
      <c r="O223">
        <v>1248.3499999999999</v>
      </c>
      <c r="P223">
        <v>15</v>
      </c>
      <c r="Q223">
        <v>374.5</v>
      </c>
      <c r="R223">
        <v>2122.1999999999998</v>
      </c>
      <c r="S223">
        <v>797.79</v>
      </c>
    </row>
    <row r="224" spans="1:19" ht="15" customHeight="1" x14ac:dyDescent="0.25">
      <c r="A224" t="s">
        <v>889</v>
      </c>
      <c r="B224" s="8">
        <v>44660</v>
      </c>
      <c r="C224" s="8">
        <v>44665</v>
      </c>
      <c r="D224" t="s">
        <v>48</v>
      </c>
      <c r="E224" t="s">
        <v>890</v>
      </c>
      <c r="F224" t="s">
        <v>422</v>
      </c>
      <c r="G224">
        <v>7068454356</v>
      </c>
      <c r="H224" t="s">
        <v>24</v>
      </c>
      <c r="I224" t="s">
        <v>51</v>
      </c>
      <c r="J224" t="s">
        <v>227</v>
      </c>
      <c r="K224" t="s">
        <v>108</v>
      </c>
      <c r="L224" t="s">
        <v>114</v>
      </c>
      <c r="M224" t="s">
        <v>891</v>
      </c>
      <c r="N224">
        <v>5</v>
      </c>
      <c r="O224">
        <v>12867.75</v>
      </c>
      <c r="P224">
        <v>5</v>
      </c>
      <c r="Q224">
        <v>3216.94</v>
      </c>
      <c r="R224">
        <v>61121.81</v>
      </c>
      <c r="S224">
        <v>16326.57</v>
      </c>
    </row>
    <row r="225" spans="1:19" ht="15" customHeight="1" x14ac:dyDescent="0.25">
      <c r="A225" t="s">
        <v>892</v>
      </c>
      <c r="B225" s="8">
        <v>45627</v>
      </c>
      <c r="C225" s="8">
        <v>45634</v>
      </c>
      <c r="D225" t="s">
        <v>48</v>
      </c>
      <c r="E225" t="s">
        <v>893</v>
      </c>
      <c r="F225" t="s">
        <v>894</v>
      </c>
      <c r="G225">
        <v>7062760168</v>
      </c>
      <c r="H225" t="s">
        <v>43</v>
      </c>
      <c r="I225" t="s">
        <v>895</v>
      </c>
      <c r="J225" t="s">
        <v>44</v>
      </c>
      <c r="K225" t="s">
        <v>27</v>
      </c>
      <c r="L225" t="s">
        <v>173</v>
      </c>
      <c r="M225" t="s">
        <v>279</v>
      </c>
      <c r="N225">
        <v>4</v>
      </c>
      <c r="O225">
        <v>2476.84</v>
      </c>
      <c r="P225">
        <v>110</v>
      </c>
      <c r="Q225">
        <v>1981.47</v>
      </c>
      <c r="R225">
        <v>7925.89</v>
      </c>
      <c r="S225">
        <v>-244.21</v>
      </c>
    </row>
    <row r="226" spans="1:19" ht="15" customHeight="1" x14ac:dyDescent="0.25">
      <c r="A226" t="s">
        <v>896</v>
      </c>
      <c r="B226" s="8" t="s">
        <v>897</v>
      </c>
      <c r="C226" s="8">
        <v>45300</v>
      </c>
      <c r="D226" t="s">
        <v>73</v>
      </c>
      <c r="E226" t="s">
        <v>595</v>
      </c>
      <c r="F226" t="s">
        <v>898</v>
      </c>
      <c r="G226">
        <v>8039327450</v>
      </c>
      <c r="H226" t="s">
        <v>24</v>
      </c>
      <c r="J226" t="s">
        <v>182</v>
      </c>
      <c r="K226" t="s">
        <v>85</v>
      </c>
      <c r="L226" t="s">
        <v>486</v>
      </c>
      <c r="M226" t="s">
        <v>543</v>
      </c>
      <c r="N226">
        <v>1</v>
      </c>
      <c r="O226">
        <v>48334.91</v>
      </c>
      <c r="P226">
        <v>0</v>
      </c>
      <c r="Q226">
        <v>0</v>
      </c>
      <c r="R226">
        <v>48334.91</v>
      </c>
      <c r="S226">
        <v>19050.14</v>
      </c>
    </row>
    <row r="227" spans="1:19" ht="15" customHeight="1" x14ac:dyDescent="0.25">
      <c r="A227" t="s">
        <v>899</v>
      </c>
      <c r="B227" s="8">
        <v>44769</v>
      </c>
      <c r="C227" s="8">
        <v>44776</v>
      </c>
      <c r="D227" t="s">
        <v>48</v>
      </c>
      <c r="E227" t="s">
        <v>900</v>
      </c>
      <c r="F227" t="s">
        <v>901</v>
      </c>
      <c r="G227">
        <v>8168789281</v>
      </c>
      <c r="H227" t="s">
        <v>35</v>
      </c>
      <c r="I227" t="s">
        <v>69</v>
      </c>
      <c r="J227" t="s">
        <v>119</v>
      </c>
      <c r="K227" t="s">
        <v>96</v>
      </c>
      <c r="L227" t="s">
        <v>120</v>
      </c>
      <c r="M227" t="s">
        <v>359</v>
      </c>
      <c r="N227">
        <v>10</v>
      </c>
      <c r="O227">
        <v>395251.1</v>
      </c>
      <c r="P227">
        <v>10</v>
      </c>
      <c r="Q227">
        <v>395251.1</v>
      </c>
      <c r="R227">
        <v>3557259.9</v>
      </c>
      <c r="S227">
        <v>1177302.42</v>
      </c>
    </row>
    <row r="228" spans="1:19" ht="15" customHeight="1" x14ac:dyDescent="0.25">
      <c r="A228" t="s">
        <v>456</v>
      </c>
      <c r="B228" s="8">
        <v>44935</v>
      </c>
      <c r="C228" s="8">
        <v>44935</v>
      </c>
      <c r="D228" t="s">
        <v>32</v>
      </c>
      <c r="E228" t="s">
        <v>457</v>
      </c>
      <c r="F228" t="s">
        <v>458</v>
      </c>
      <c r="G228">
        <v>8035923149</v>
      </c>
      <c r="H228" t="s">
        <v>24</v>
      </c>
      <c r="I228" t="s">
        <v>61</v>
      </c>
      <c r="J228" t="s">
        <v>204</v>
      </c>
      <c r="K228" t="s">
        <v>85</v>
      </c>
      <c r="L228" t="s">
        <v>86</v>
      </c>
      <c r="M228" t="s">
        <v>87</v>
      </c>
      <c r="N228">
        <v>11</v>
      </c>
      <c r="O228">
        <v>160355.95000000001</v>
      </c>
      <c r="P228">
        <v>10</v>
      </c>
      <c r="Q228">
        <v>176391.55</v>
      </c>
      <c r="R228">
        <v>1587523.9</v>
      </c>
      <c r="S228">
        <v>252781.67</v>
      </c>
    </row>
    <row r="229" spans="1:19" ht="15" customHeight="1" x14ac:dyDescent="0.25">
      <c r="A229" t="s">
        <v>902</v>
      </c>
      <c r="B229" s="8">
        <v>44756</v>
      </c>
      <c r="C229" s="8">
        <v>44761</v>
      </c>
      <c r="D229" t="s">
        <v>48</v>
      </c>
      <c r="E229" t="s">
        <v>903</v>
      </c>
      <c r="F229" t="s">
        <v>904</v>
      </c>
      <c r="G229">
        <v>9073860721</v>
      </c>
      <c r="H229" t="s">
        <v>24</v>
      </c>
      <c r="I229" t="s">
        <v>51</v>
      </c>
      <c r="J229" t="s">
        <v>316</v>
      </c>
      <c r="K229" t="s">
        <v>63</v>
      </c>
      <c r="L229" t="s">
        <v>558</v>
      </c>
      <c r="M229" t="s">
        <v>905</v>
      </c>
      <c r="N229">
        <v>9</v>
      </c>
      <c r="O229">
        <v>23899.68</v>
      </c>
      <c r="P229" t="s">
        <v>376</v>
      </c>
      <c r="Q229">
        <v>0</v>
      </c>
      <c r="R229">
        <v>215097.12</v>
      </c>
      <c r="S229">
        <v>15825.4</v>
      </c>
    </row>
    <row r="230" spans="1:19" ht="15" customHeight="1" x14ac:dyDescent="0.25">
      <c r="A230" t="s">
        <v>906</v>
      </c>
      <c r="B230" s="8">
        <v>45381</v>
      </c>
      <c r="C230" s="8">
        <v>45382</v>
      </c>
      <c r="D230" t="s">
        <v>32</v>
      </c>
      <c r="E230" t="s">
        <v>907</v>
      </c>
      <c r="F230" t="s">
        <v>908</v>
      </c>
      <c r="G230">
        <v>9019023619</v>
      </c>
      <c r="H230" t="s">
        <v>35</v>
      </c>
      <c r="I230" t="s">
        <v>51</v>
      </c>
      <c r="J230" t="s">
        <v>131</v>
      </c>
      <c r="K230" t="s">
        <v>108</v>
      </c>
      <c r="L230" t="s">
        <v>109</v>
      </c>
      <c r="M230" t="s">
        <v>110</v>
      </c>
      <c r="N230">
        <v>2</v>
      </c>
      <c r="O230">
        <v>7698</v>
      </c>
      <c r="P230">
        <v>0</v>
      </c>
      <c r="Q230">
        <v>0</v>
      </c>
      <c r="R230">
        <v>15396</v>
      </c>
      <c r="S230">
        <v>-1351.34</v>
      </c>
    </row>
    <row r="231" spans="1:19" ht="15" customHeight="1" x14ac:dyDescent="0.25">
      <c r="A231" t="s">
        <v>909</v>
      </c>
      <c r="B231" s="8">
        <v>44933</v>
      </c>
      <c r="C231" s="8">
        <v>44934</v>
      </c>
      <c r="D231" t="s">
        <v>32</v>
      </c>
      <c r="E231" t="s">
        <v>910</v>
      </c>
      <c r="F231" t="s">
        <v>911</v>
      </c>
      <c r="G231">
        <v>8033192032</v>
      </c>
      <c r="H231" t="s">
        <v>24</v>
      </c>
      <c r="J231" t="s">
        <v>155</v>
      </c>
      <c r="K231" t="s">
        <v>108</v>
      </c>
      <c r="L231" t="s">
        <v>183</v>
      </c>
      <c r="M231" t="s">
        <v>719</v>
      </c>
      <c r="N231">
        <v>15</v>
      </c>
      <c r="O231">
        <v>40166.54</v>
      </c>
      <c r="P231">
        <v>0</v>
      </c>
      <c r="Q231">
        <v>0</v>
      </c>
      <c r="R231">
        <v>602498.1</v>
      </c>
      <c r="S231">
        <v>-67478.81</v>
      </c>
    </row>
    <row r="232" spans="1:19" ht="15" customHeight="1" x14ac:dyDescent="0.25">
      <c r="A232" t="s">
        <v>912</v>
      </c>
      <c r="B232" s="8">
        <v>45254</v>
      </c>
      <c r="C232" s="8">
        <v>45259</v>
      </c>
      <c r="D232" t="s">
        <v>73</v>
      </c>
      <c r="E232" t="s">
        <v>913</v>
      </c>
      <c r="F232" t="s">
        <v>914</v>
      </c>
      <c r="G232">
        <v>7065170429</v>
      </c>
      <c r="H232" t="s">
        <v>24</v>
      </c>
      <c r="I232" t="s">
        <v>51</v>
      </c>
      <c r="J232" t="s">
        <v>52</v>
      </c>
      <c r="K232" t="s">
        <v>108</v>
      </c>
      <c r="L232" t="s">
        <v>38</v>
      </c>
      <c r="M232" t="s">
        <v>213</v>
      </c>
      <c r="N232">
        <v>18</v>
      </c>
      <c r="O232">
        <v>8392.14</v>
      </c>
      <c r="P232">
        <v>0</v>
      </c>
      <c r="Q232">
        <v>0</v>
      </c>
      <c r="R232">
        <v>151058.51999999999</v>
      </c>
      <c r="S232">
        <v>-21603.34</v>
      </c>
    </row>
    <row r="233" spans="1:19" ht="15" customHeight="1" x14ac:dyDescent="0.25">
      <c r="A233" t="s">
        <v>915</v>
      </c>
      <c r="B233" s="8">
        <v>44900</v>
      </c>
      <c r="C233" s="8">
        <v>44900</v>
      </c>
      <c r="D233" t="s">
        <v>32</v>
      </c>
      <c r="E233" t="s">
        <v>916</v>
      </c>
      <c r="F233" t="s">
        <v>917</v>
      </c>
      <c r="G233">
        <v>7035666702</v>
      </c>
      <c r="H233" t="s">
        <v>43</v>
      </c>
      <c r="I233" t="s">
        <v>61</v>
      </c>
      <c r="J233" t="s">
        <v>84</v>
      </c>
      <c r="K233" t="s">
        <v>96</v>
      </c>
      <c r="L233" t="s">
        <v>254</v>
      </c>
      <c r="M233" t="s">
        <v>255</v>
      </c>
      <c r="N233">
        <v>13</v>
      </c>
      <c r="O233">
        <v>254465.57</v>
      </c>
      <c r="P233">
        <v>15</v>
      </c>
      <c r="Q233">
        <v>496207.86</v>
      </c>
      <c r="R233">
        <v>2811844.55</v>
      </c>
      <c r="S233">
        <v>956763.8</v>
      </c>
    </row>
    <row r="234" spans="1:19" ht="15" customHeight="1" x14ac:dyDescent="0.25">
      <c r="A234" t="s">
        <v>918</v>
      </c>
      <c r="B234" s="8">
        <v>44742</v>
      </c>
      <c r="C234" s="8">
        <v>44743</v>
      </c>
      <c r="D234" t="s">
        <v>32</v>
      </c>
      <c r="E234" t="s">
        <v>919</v>
      </c>
      <c r="F234" t="s">
        <v>920</v>
      </c>
      <c r="G234" t="s">
        <v>649</v>
      </c>
      <c r="H234" t="s">
        <v>43</v>
      </c>
      <c r="I234" t="s">
        <v>25</v>
      </c>
      <c r="J234" t="s">
        <v>168</v>
      </c>
      <c r="K234" t="s">
        <v>96</v>
      </c>
      <c r="L234" t="s">
        <v>189</v>
      </c>
      <c r="M234" t="s">
        <v>478</v>
      </c>
      <c r="N234">
        <v>18</v>
      </c>
      <c r="O234">
        <v>30586.89</v>
      </c>
      <c r="P234">
        <v>0</v>
      </c>
      <c r="Q234">
        <v>0</v>
      </c>
      <c r="R234">
        <v>550564.02</v>
      </c>
      <c r="S234">
        <v>190244.78</v>
      </c>
    </row>
    <row r="235" spans="1:19" ht="15" customHeight="1" x14ac:dyDescent="0.25">
      <c r="A235" t="s">
        <v>921</v>
      </c>
      <c r="B235" s="8">
        <v>45496</v>
      </c>
      <c r="C235" s="8">
        <v>45500</v>
      </c>
      <c r="D235" t="s">
        <v>73</v>
      </c>
      <c r="E235" t="s">
        <v>922</v>
      </c>
      <c r="F235" t="s">
        <v>923</v>
      </c>
      <c r="G235">
        <v>8034739945</v>
      </c>
      <c r="H235" t="s">
        <v>24</v>
      </c>
      <c r="I235" t="s">
        <v>51</v>
      </c>
      <c r="J235" t="s">
        <v>227</v>
      </c>
      <c r="K235" t="s">
        <v>108</v>
      </c>
      <c r="L235" t="s">
        <v>38</v>
      </c>
      <c r="M235" t="s">
        <v>296</v>
      </c>
      <c r="N235">
        <v>20</v>
      </c>
      <c r="O235">
        <v>34998.910000000003</v>
      </c>
      <c r="P235">
        <v>20</v>
      </c>
      <c r="Q235">
        <v>139995.64000000001</v>
      </c>
      <c r="R235">
        <v>559982.56000000006</v>
      </c>
      <c r="S235">
        <v>156792.23000000001</v>
      </c>
    </row>
    <row r="236" spans="1:19" ht="15" customHeight="1" x14ac:dyDescent="0.25">
      <c r="A236" t="s">
        <v>924</v>
      </c>
      <c r="B236" s="8">
        <v>45016</v>
      </c>
      <c r="C236" s="8">
        <v>45021</v>
      </c>
      <c r="D236" t="s">
        <v>48</v>
      </c>
      <c r="E236" t="s">
        <v>925</v>
      </c>
      <c r="F236" t="s">
        <v>926</v>
      </c>
      <c r="G236">
        <v>8159757456</v>
      </c>
      <c r="H236" t="s">
        <v>35</v>
      </c>
      <c r="I236" t="s">
        <v>51</v>
      </c>
      <c r="J236" t="s">
        <v>316</v>
      </c>
      <c r="K236" t="s">
        <v>63</v>
      </c>
      <c r="L236" t="s">
        <v>469</v>
      </c>
      <c r="M236" t="s">
        <v>470</v>
      </c>
      <c r="N236">
        <v>6</v>
      </c>
      <c r="O236">
        <v>1621.56</v>
      </c>
      <c r="P236">
        <v>20</v>
      </c>
      <c r="Q236">
        <v>1945.87</v>
      </c>
      <c r="R236">
        <v>7783.49</v>
      </c>
    </row>
    <row r="237" spans="1:19" ht="15" customHeight="1" x14ac:dyDescent="0.25">
      <c r="A237" t="s">
        <v>927</v>
      </c>
      <c r="B237" s="8">
        <v>45564</v>
      </c>
      <c r="C237" s="8">
        <v>45566</v>
      </c>
      <c r="D237" t="s">
        <v>20</v>
      </c>
      <c r="E237" t="s">
        <v>928</v>
      </c>
      <c r="F237" t="s">
        <v>929</v>
      </c>
      <c r="G237">
        <v>8155547530</v>
      </c>
      <c r="H237" t="s">
        <v>35</v>
      </c>
      <c r="I237" t="s">
        <v>25</v>
      </c>
      <c r="J237" t="s">
        <v>26</v>
      </c>
      <c r="K237" t="s">
        <v>27</v>
      </c>
      <c r="L237" t="s">
        <v>79</v>
      </c>
      <c r="M237" t="s">
        <v>145</v>
      </c>
      <c r="N237">
        <v>13</v>
      </c>
      <c r="O237">
        <v>1614.76</v>
      </c>
      <c r="P237">
        <v>0</v>
      </c>
      <c r="Q237">
        <v>0</v>
      </c>
      <c r="R237">
        <v>20991.88</v>
      </c>
      <c r="S237">
        <v>1198.71</v>
      </c>
    </row>
    <row r="238" spans="1:19" ht="15" customHeight="1" x14ac:dyDescent="0.25">
      <c r="A238" t="s">
        <v>930</v>
      </c>
      <c r="B238" s="8">
        <v>44946</v>
      </c>
      <c r="C238" s="8">
        <v>44949</v>
      </c>
      <c r="D238" t="s">
        <v>73</v>
      </c>
      <c r="E238" t="s">
        <v>931</v>
      </c>
      <c r="F238" t="s">
        <v>932</v>
      </c>
      <c r="G238">
        <v>8034197381</v>
      </c>
      <c r="H238" t="s">
        <v>43</v>
      </c>
      <c r="I238" t="s">
        <v>69</v>
      </c>
      <c r="J238" t="s">
        <v>307</v>
      </c>
      <c r="K238" t="s">
        <v>63</v>
      </c>
      <c r="L238" t="s">
        <v>249</v>
      </c>
      <c r="M238" t="s">
        <v>329</v>
      </c>
      <c r="N238">
        <v>19</v>
      </c>
      <c r="O238">
        <v>1639.26</v>
      </c>
      <c r="P238">
        <v>0</v>
      </c>
      <c r="Q238">
        <v>0</v>
      </c>
      <c r="R238">
        <v>31145.94</v>
      </c>
      <c r="S238">
        <v>9757.6200000000008</v>
      </c>
    </row>
    <row r="239" spans="1:19" ht="15" customHeight="1" x14ac:dyDescent="0.25">
      <c r="A239" t="s">
        <v>933</v>
      </c>
      <c r="B239" s="8">
        <v>45583</v>
      </c>
      <c r="D239" t="s">
        <v>73</v>
      </c>
      <c r="E239" t="s">
        <v>620</v>
      </c>
      <c r="F239" t="s">
        <v>934</v>
      </c>
      <c r="G239">
        <v>8158261353</v>
      </c>
      <c r="H239" t="s">
        <v>24</v>
      </c>
      <c r="I239" t="s">
        <v>69</v>
      </c>
      <c r="J239" t="s">
        <v>70</v>
      </c>
      <c r="K239" t="s">
        <v>27</v>
      </c>
      <c r="L239" t="s">
        <v>28</v>
      </c>
      <c r="M239" t="s">
        <v>347</v>
      </c>
      <c r="N239" t="s">
        <v>935</v>
      </c>
      <c r="O239">
        <v>6314.33</v>
      </c>
      <c r="P239">
        <v>0</v>
      </c>
      <c r="Q239">
        <v>0</v>
      </c>
      <c r="R239">
        <v>37885.980000000003</v>
      </c>
      <c r="S239">
        <v>10922.41</v>
      </c>
    </row>
    <row r="240" spans="1:19" ht="15" customHeight="1" x14ac:dyDescent="0.25">
      <c r="A240" t="s">
        <v>936</v>
      </c>
      <c r="B240" s="8">
        <v>45594</v>
      </c>
      <c r="C240" s="8">
        <v>45597</v>
      </c>
      <c r="D240" t="s">
        <v>20</v>
      </c>
      <c r="E240" t="s">
        <v>688</v>
      </c>
      <c r="F240" t="s">
        <v>689</v>
      </c>
      <c r="G240">
        <v>8167675150</v>
      </c>
      <c r="H240" t="s">
        <v>43</v>
      </c>
      <c r="I240" t="s">
        <v>61</v>
      </c>
      <c r="J240" t="s">
        <v>95</v>
      </c>
      <c r="K240" t="s">
        <v>63</v>
      </c>
      <c r="L240" t="s">
        <v>558</v>
      </c>
      <c r="M240" t="s">
        <v>559</v>
      </c>
      <c r="N240">
        <v>5</v>
      </c>
      <c r="O240">
        <v>20217.52</v>
      </c>
      <c r="P240">
        <v>15</v>
      </c>
      <c r="Q240">
        <v>15163.14</v>
      </c>
      <c r="R240">
        <v>85924.46</v>
      </c>
      <c r="S240">
        <v>18174.28</v>
      </c>
    </row>
    <row r="241" spans="1:19" ht="15" customHeight="1" x14ac:dyDescent="0.25">
      <c r="A241" t="s">
        <v>937</v>
      </c>
      <c r="B241" s="8">
        <v>44973</v>
      </c>
      <c r="C241" s="8">
        <v>44976</v>
      </c>
      <c r="D241" t="s">
        <v>73</v>
      </c>
      <c r="F241" t="s">
        <v>938</v>
      </c>
      <c r="G241">
        <v>9076793064</v>
      </c>
      <c r="H241" t="s">
        <v>43</v>
      </c>
      <c r="I241" t="s">
        <v>51</v>
      </c>
      <c r="J241" t="s">
        <v>227</v>
      </c>
      <c r="K241" t="s">
        <v>85</v>
      </c>
      <c r="L241" t="s">
        <v>218</v>
      </c>
      <c r="M241" t="s">
        <v>842</v>
      </c>
      <c r="N241">
        <v>11</v>
      </c>
      <c r="O241">
        <v>101308.53</v>
      </c>
      <c r="P241">
        <v>0</v>
      </c>
      <c r="Q241">
        <v>0</v>
      </c>
      <c r="R241">
        <v>1114393.83</v>
      </c>
      <c r="S241">
        <v>341522.72</v>
      </c>
    </row>
    <row r="242" spans="1:19" ht="15" customHeight="1" x14ac:dyDescent="0.25">
      <c r="A242" t="s">
        <v>939</v>
      </c>
      <c r="B242" s="8">
        <v>45588</v>
      </c>
      <c r="C242" s="8">
        <v>45588</v>
      </c>
      <c r="D242" t="s">
        <v>32</v>
      </c>
      <c r="E242" t="s">
        <v>940</v>
      </c>
      <c r="F242" t="s">
        <v>941</v>
      </c>
      <c r="G242">
        <v>8147176462</v>
      </c>
      <c r="H242" t="s">
        <v>43</v>
      </c>
      <c r="I242" t="s">
        <v>51</v>
      </c>
      <c r="J242" t="s">
        <v>223</v>
      </c>
      <c r="K242" t="s">
        <v>96</v>
      </c>
      <c r="L242" t="s">
        <v>385</v>
      </c>
      <c r="M242" t="s">
        <v>942</v>
      </c>
      <c r="N242">
        <v>13</v>
      </c>
      <c r="O242">
        <v>52979.31</v>
      </c>
      <c r="P242">
        <v>0</v>
      </c>
      <c r="Q242">
        <v>0</v>
      </c>
      <c r="R242">
        <v>688731.03</v>
      </c>
      <c r="S242">
        <v>15857.08</v>
      </c>
    </row>
    <row r="243" spans="1:19" ht="15" customHeight="1" x14ac:dyDescent="0.25">
      <c r="A243" t="s">
        <v>943</v>
      </c>
      <c r="B243" s="8">
        <v>45655</v>
      </c>
      <c r="C243" s="8">
        <v>45656</v>
      </c>
      <c r="D243" t="s">
        <v>32</v>
      </c>
      <c r="E243" t="s">
        <v>944</v>
      </c>
      <c r="F243" t="s">
        <v>945</v>
      </c>
      <c r="G243">
        <v>8152786278</v>
      </c>
      <c r="H243" t="s">
        <v>24</v>
      </c>
      <c r="I243" t="s">
        <v>69</v>
      </c>
      <c r="J243" t="s">
        <v>155</v>
      </c>
      <c r="K243" t="s">
        <v>96</v>
      </c>
      <c r="L243" t="s">
        <v>189</v>
      </c>
      <c r="M243" t="s">
        <v>190</v>
      </c>
      <c r="N243">
        <v>2</v>
      </c>
      <c r="O243">
        <v>38083.269999999997</v>
      </c>
      <c r="P243">
        <v>5</v>
      </c>
      <c r="Q243">
        <v>3808.33</v>
      </c>
      <c r="R243">
        <v>72358.210000000006</v>
      </c>
      <c r="S243">
        <v>737.11</v>
      </c>
    </row>
    <row r="244" spans="1:19" ht="15" customHeight="1" x14ac:dyDescent="0.25">
      <c r="A244" t="s">
        <v>946</v>
      </c>
      <c r="B244" s="8">
        <v>44861</v>
      </c>
      <c r="C244" s="8">
        <v>44863</v>
      </c>
      <c r="D244" t="s">
        <v>20</v>
      </c>
      <c r="E244" t="s">
        <v>947</v>
      </c>
      <c r="F244" t="s">
        <v>948</v>
      </c>
      <c r="G244">
        <v>7038593275</v>
      </c>
      <c r="H244" t="s">
        <v>24</v>
      </c>
      <c r="I244" t="s">
        <v>61</v>
      </c>
      <c r="J244" t="s">
        <v>182</v>
      </c>
      <c r="L244" t="s">
        <v>254</v>
      </c>
      <c r="M244" t="s">
        <v>452</v>
      </c>
      <c r="N244">
        <v>18</v>
      </c>
      <c r="O244">
        <v>391206.05</v>
      </c>
      <c r="P244">
        <v>15</v>
      </c>
      <c r="Q244">
        <v>1056256.33</v>
      </c>
      <c r="R244">
        <v>5985452.5700000003</v>
      </c>
      <c r="S244">
        <v>-44548.03</v>
      </c>
    </row>
    <row r="245" spans="1:19" ht="15" customHeight="1" x14ac:dyDescent="0.25">
      <c r="A245" t="s">
        <v>949</v>
      </c>
      <c r="B245" s="8">
        <v>45415</v>
      </c>
      <c r="C245" s="8">
        <v>45416</v>
      </c>
      <c r="D245" t="s">
        <v>32</v>
      </c>
      <c r="E245" t="s">
        <v>950</v>
      </c>
      <c r="F245" t="s">
        <v>951</v>
      </c>
      <c r="G245">
        <v>9015216804</v>
      </c>
      <c r="H245" t="s">
        <v>43</v>
      </c>
      <c r="I245" t="s">
        <v>51</v>
      </c>
      <c r="J245" t="s">
        <v>52</v>
      </c>
      <c r="K245" t="s">
        <v>85</v>
      </c>
      <c r="L245" t="s">
        <v>266</v>
      </c>
      <c r="M245" t="s">
        <v>952</v>
      </c>
      <c r="N245">
        <v>12</v>
      </c>
      <c r="O245">
        <v>150757.16</v>
      </c>
      <c r="P245">
        <v>25</v>
      </c>
      <c r="Q245">
        <v>452271.48</v>
      </c>
      <c r="R245">
        <v>1356814.44</v>
      </c>
      <c r="S245">
        <v>397641.63</v>
      </c>
    </row>
    <row r="246" spans="1:19" ht="15" customHeight="1" x14ac:dyDescent="0.25">
      <c r="A246" t="s">
        <v>953</v>
      </c>
      <c r="B246" s="8">
        <v>44925</v>
      </c>
      <c r="C246" s="8">
        <v>44925</v>
      </c>
      <c r="D246" t="s">
        <v>32</v>
      </c>
      <c r="E246" t="s">
        <v>954</v>
      </c>
      <c r="F246" t="s">
        <v>955</v>
      </c>
      <c r="G246">
        <v>7061681729</v>
      </c>
      <c r="H246" t="s">
        <v>43</v>
      </c>
      <c r="I246" t="s">
        <v>61</v>
      </c>
      <c r="J246" t="s">
        <v>62</v>
      </c>
      <c r="K246" t="s">
        <v>108</v>
      </c>
      <c r="L246" t="s">
        <v>38</v>
      </c>
      <c r="M246" t="s">
        <v>296</v>
      </c>
      <c r="N246">
        <v>6</v>
      </c>
      <c r="O246">
        <v>13362.3</v>
      </c>
      <c r="P246">
        <v>10</v>
      </c>
      <c r="Q246">
        <v>8017.38</v>
      </c>
      <c r="R246">
        <v>72156.42</v>
      </c>
      <c r="S246">
        <v>-10579.06</v>
      </c>
    </row>
    <row r="247" spans="1:19" ht="15" customHeight="1" x14ac:dyDescent="0.25">
      <c r="A247" t="s">
        <v>956</v>
      </c>
      <c r="B247" s="8">
        <v>45222</v>
      </c>
      <c r="C247" s="8">
        <v>45227</v>
      </c>
      <c r="D247" t="s">
        <v>73</v>
      </c>
      <c r="E247" t="s">
        <v>957</v>
      </c>
      <c r="F247" t="s">
        <v>958</v>
      </c>
      <c r="G247">
        <v>8147007679</v>
      </c>
      <c r="H247" t="s">
        <v>959</v>
      </c>
      <c r="I247" t="s">
        <v>69</v>
      </c>
      <c r="J247" t="s">
        <v>119</v>
      </c>
      <c r="K247" t="s">
        <v>96</v>
      </c>
      <c r="L247" t="s">
        <v>97</v>
      </c>
      <c r="M247" t="s">
        <v>169</v>
      </c>
      <c r="N247">
        <v>6</v>
      </c>
      <c r="O247">
        <v>110683.48</v>
      </c>
      <c r="P247">
        <v>25</v>
      </c>
      <c r="Q247">
        <v>166025.22</v>
      </c>
      <c r="R247">
        <v>498075.66</v>
      </c>
      <c r="S247">
        <v>-54337.13</v>
      </c>
    </row>
    <row r="248" spans="1:19" ht="15" customHeight="1" x14ac:dyDescent="0.25">
      <c r="A248" t="s">
        <v>960</v>
      </c>
      <c r="B248" s="8">
        <v>44750</v>
      </c>
      <c r="C248" s="8">
        <v>44751</v>
      </c>
      <c r="D248" t="s">
        <v>32</v>
      </c>
      <c r="E248" t="s">
        <v>961</v>
      </c>
      <c r="F248" t="s">
        <v>962</v>
      </c>
      <c r="G248">
        <v>7037053183</v>
      </c>
      <c r="H248" t="s">
        <v>24</v>
      </c>
      <c r="I248" t="s">
        <v>61</v>
      </c>
      <c r="J248" t="s">
        <v>204</v>
      </c>
      <c r="K248" t="s">
        <v>63</v>
      </c>
      <c r="L248" t="s">
        <v>54</v>
      </c>
      <c r="M248" t="s">
        <v>963</v>
      </c>
      <c r="N248">
        <v>18</v>
      </c>
      <c r="O248">
        <v>13497.22</v>
      </c>
      <c r="P248">
        <v>0</v>
      </c>
      <c r="Q248">
        <v>0</v>
      </c>
      <c r="R248">
        <v>242949.96</v>
      </c>
      <c r="S248">
        <v>-19719.48</v>
      </c>
    </row>
    <row r="249" spans="1:19" ht="15" customHeight="1" x14ac:dyDescent="0.25">
      <c r="A249" t="s">
        <v>964</v>
      </c>
      <c r="B249" s="8">
        <v>44643</v>
      </c>
      <c r="C249" s="8">
        <v>44648</v>
      </c>
      <c r="D249" t="s">
        <v>73</v>
      </c>
      <c r="E249" t="s">
        <v>965</v>
      </c>
      <c r="F249" t="s">
        <v>966</v>
      </c>
      <c r="G249">
        <v>7065304875</v>
      </c>
      <c r="H249" t="s">
        <v>35</v>
      </c>
      <c r="I249" t="s">
        <v>51</v>
      </c>
      <c r="J249" t="s">
        <v>316</v>
      </c>
      <c r="K249" t="s">
        <v>27</v>
      </c>
      <c r="L249" t="s">
        <v>45</v>
      </c>
      <c r="M249" t="s">
        <v>308</v>
      </c>
      <c r="N249">
        <v>12</v>
      </c>
      <c r="O249">
        <v>7317.29</v>
      </c>
      <c r="P249">
        <v>25</v>
      </c>
      <c r="Q249">
        <v>21951.87</v>
      </c>
      <c r="R249">
        <v>65855.61</v>
      </c>
      <c r="S249">
        <v>21843.65</v>
      </c>
    </row>
    <row r="250" spans="1:19" ht="15" customHeight="1" x14ac:dyDescent="0.25">
      <c r="A250" t="s">
        <v>967</v>
      </c>
      <c r="B250" s="8">
        <v>44956</v>
      </c>
      <c r="C250" s="8">
        <v>44959</v>
      </c>
      <c r="D250" t="s">
        <v>20</v>
      </c>
      <c r="E250" t="s">
        <v>968</v>
      </c>
      <c r="F250" t="s">
        <v>969</v>
      </c>
      <c r="G250">
        <v>8109945709</v>
      </c>
      <c r="H250" t="s">
        <v>35</v>
      </c>
      <c r="I250" t="s">
        <v>69</v>
      </c>
      <c r="J250" t="s">
        <v>70</v>
      </c>
      <c r="K250" t="s">
        <v>96</v>
      </c>
      <c r="L250" t="s">
        <v>120</v>
      </c>
      <c r="M250" t="s">
        <v>359</v>
      </c>
      <c r="N250">
        <v>7</v>
      </c>
      <c r="O250">
        <v>306595.78000000003</v>
      </c>
      <c r="P250">
        <v>15</v>
      </c>
      <c r="Q250">
        <v>321925.57</v>
      </c>
      <c r="R250">
        <v>1824244.89</v>
      </c>
      <c r="S250">
        <v>641037.92000000004</v>
      </c>
    </row>
    <row r="251" spans="1:19" ht="15" customHeight="1" x14ac:dyDescent="0.25">
      <c r="A251" t="s">
        <v>970</v>
      </c>
      <c r="B251" s="8" t="s">
        <v>971</v>
      </c>
      <c r="C251" s="8">
        <v>44709</v>
      </c>
      <c r="D251" t="s">
        <v>32</v>
      </c>
      <c r="E251" t="s">
        <v>972</v>
      </c>
      <c r="F251" t="s">
        <v>973</v>
      </c>
      <c r="G251">
        <v>8032468357</v>
      </c>
      <c r="H251" t="s">
        <v>24</v>
      </c>
      <c r="I251" t="s">
        <v>61</v>
      </c>
      <c r="J251" t="s">
        <v>84</v>
      </c>
      <c r="K251" t="s">
        <v>96</v>
      </c>
      <c r="L251" t="s">
        <v>120</v>
      </c>
      <c r="M251" t="s">
        <v>359</v>
      </c>
      <c r="N251">
        <v>18</v>
      </c>
      <c r="O251">
        <v>360483.43</v>
      </c>
      <c r="P251">
        <v>0</v>
      </c>
      <c r="Q251">
        <v>0</v>
      </c>
      <c r="R251">
        <v>6488701.7400000002</v>
      </c>
      <c r="S251">
        <v>1265150.04</v>
      </c>
    </row>
    <row r="252" spans="1:19" ht="15" customHeight="1" x14ac:dyDescent="0.25">
      <c r="A252" t="s">
        <v>974</v>
      </c>
      <c r="B252" s="8">
        <v>45485</v>
      </c>
      <c r="C252" s="8">
        <v>45486</v>
      </c>
      <c r="D252" t="s">
        <v>32</v>
      </c>
      <c r="E252" t="s">
        <v>975</v>
      </c>
      <c r="F252" t="s">
        <v>976</v>
      </c>
      <c r="G252">
        <v>7062984841</v>
      </c>
      <c r="H252" t="s">
        <v>43</v>
      </c>
      <c r="I252" t="s">
        <v>61</v>
      </c>
      <c r="J252" t="s">
        <v>182</v>
      </c>
      <c r="K252" t="s">
        <v>27</v>
      </c>
      <c r="L252" t="s">
        <v>79</v>
      </c>
      <c r="M252" t="s">
        <v>234</v>
      </c>
      <c r="N252">
        <v>19</v>
      </c>
      <c r="O252">
        <v>786.93</v>
      </c>
      <c r="P252" t="s">
        <v>376</v>
      </c>
      <c r="Q252">
        <v>0</v>
      </c>
      <c r="R252">
        <v>14951.67</v>
      </c>
      <c r="S252">
        <v>4044.86</v>
      </c>
    </row>
    <row r="253" spans="1:19" ht="15" customHeight="1" x14ac:dyDescent="0.25">
      <c r="A253" t="s">
        <v>977</v>
      </c>
      <c r="B253" s="8">
        <v>45155</v>
      </c>
      <c r="C253" s="8">
        <v>45162</v>
      </c>
      <c r="D253" t="s">
        <v>48</v>
      </c>
      <c r="E253" t="s">
        <v>978</v>
      </c>
      <c r="F253" t="s">
        <v>979</v>
      </c>
      <c r="G253">
        <v>9028342987</v>
      </c>
      <c r="H253" t="s">
        <v>24</v>
      </c>
      <c r="I253" t="s">
        <v>25</v>
      </c>
      <c r="J253" t="s">
        <v>44</v>
      </c>
      <c r="K253" t="s">
        <v>108</v>
      </c>
      <c r="L253" t="s">
        <v>183</v>
      </c>
      <c r="M253" t="s">
        <v>719</v>
      </c>
      <c r="N253">
        <v>18</v>
      </c>
      <c r="O253">
        <v>22381.47</v>
      </c>
      <c r="P253">
        <v>5</v>
      </c>
      <c r="Q253">
        <v>20143.32</v>
      </c>
      <c r="R253">
        <v>382723.14</v>
      </c>
      <c r="S253">
        <v>-26090.67</v>
      </c>
    </row>
    <row r="254" spans="1:19" ht="15" customHeight="1" x14ac:dyDescent="0.25">
      <c r="A254" t="s">
        <v>980</v>
      </c>
      <c r="B254" s="8">
        <v>45172</v>
      </c>
      <c r="C254" s="8">
        <v>45177</v>
      </c>
      <c r="D254" t="s">
        <v>73</v>
      </c>
      <c r="E254" t="s">
        <v>826</v>
      </c>
      <c r="G254">
        <v>8061700837</v>
      </c>
      <c r="H254" t="s">
        <v>43</v>
      </c>
      <c r="I254" t="s">
        <v>69</v>
      </c>
      <c r="J254" t="s">
        <v>155</v>
      </c>
      <c r="K254" t="s">
        <v>96</v>
      </c>
      <c r="L254" t="s">
        <v>254</v>
      </c>
      <c r="M254" t="s">
        <v>452</v>
      </c>
      <c r="N254">
        <v>18</v>
      </c>
      <c r="O254">
        <v>186425.54</v>
      </c>
      <c r="P254">
        <v>0</v>
      </c>
      <c r="Q254">
        <v>0</v>
      </c>
      <c r="R254">
        <v>3355659.72</v>
      </c>
      <c r="S254">
        <v>110114.94</v>
      </c>
    </row>
    <row r="255" spans="1:19" ht="15" customHeight="1" x14ac:dyDescent="0.25">
      <c r="A255" t="s">
        <v>981</v>
      </c>
      <c r="B255" s="8">
        <v>44891</v>
      </c>
      <c r="C255" s="8">
        <v>44894</v>
      </c>
      <c r="D255" t="s">
        <v>73</v>
      </c>
      <c r="E255" t="s">
        <v>982</v>
      </c>
      <c r="F255" t="s">
        <v>983</v>
      </c>
      <c r="G255">
        <v>8132923047</v>
      </c>
      <c r="H255" t="s">
        <v>43</v>
      </c>
      <c r="I255" t="s">
        <v>51</v>
      </c>
      <c r="J255" t="s">
        <v>131</v>
      </c>
      <c r="K255" t="s">
        <v>85</v>
      </c>
      <c r="L255" t="s">
        <v>266</v>
      </c>
      <c r="M255" t="s">
        <v>267</v>
      </c>
      <c r="N255">
        <v>18</v>
      </c>
      <c r="O255">
        <v>154438.69</v>
      </c>
      <c r="P255">
        <v>20</v>
      </c>
      <c r="Q255">
        <v>555979.28</v>
      </c>
      <c r="R255">
        <v>2223917.14</v>
      </c>
      <c r="S255">
        <v>526634.05000000005</v>
      </c>
    </row>
    <row r="256" spans="1:19" ht="15" customHeight="1" x14ac:dyDescent="0.25">
      <c r="A256" t="s">
        <v>984</v>
      </c>
      <c r="B256" s="8">
        <v>45075</v>
      </c>
      <c r="C256" s="8">
        <v>45080</v>
      </c>
      <c r="D256" t="s">
        <v>48</v>
      </c>
      <c r="E256" t="s">
        <v>985</v>
      </c>
      <c r="F256" t="s">
        <v>986</v>
      </c>
      <c r="G256">
        <v>7036991787</v>
      </c>
      <c r="H256" t="s">
        <v>24</v>
      </c>
      <c r="I256" t="s">
        <v>25</v>
      </c>
      <c r="J256" t="s">
        <v>44</v>
      </c>
      <c r="K256" t="s">
        <v>85</v>
      </c>
      <c r="L256" t="s">
        <v>218</v>
      </c>
      <c r="M256" t="s">
        <v>321</v>
      </c>
      <c r="O256">
        <v>57043.59</v>
      </c>
      <c r="P256">
        <v>5</v>
      </c>
      <c r="Q256">
        <v>8556.5400000000009</v>
      </c>
      <c r="R256">
        <v>162574.23000000001</v>
      </c>
      <c r="S256">
        <v>6612.15</v>
      </c>
    </row>
    <row r="257" spans="1:19" ht="15" customHeight="1" x14ac:dyDescent="0.25">
      <c r="A257" t="s">
        <v>987</v>
      </c>
      <c r="B257" s="8">
        <v>44874</v>
      </c>
      <c r="C257" s="8">
        <v>44877</v>
      </c>
      <c r="D257" t="s">
        <v>20</v>
      </c>
      <c r="E257" t="s">
        <v>988</v>
      </c>
      <c r="F257" t="s">
        <v>989</v>
      </c>
      <c r="G257">
        <v>8036254872</v>
      </c>
      <c r="H257" t="s">
        <v>24</v>
      </c>
      <c r="I257" t="s">
        <v>69</v>
      </c>
      <c r="J257" t="s">
        <v>144</v>
      </c>
      <c r="K257" t="s">
        <v>85</v>
      </c>
      <c r="L257" t="s">
        <v>218</v>
      </c>
      <c r="M257" t="s">
        <v>219</v>
      </c>
      <c r="N257">
        <v>12</v>
      </c>
      <c r="O257">
        <v>55588.93</v>
      </c>
      <c r="P257">
        <v>0</v>
      </c>
      <c r="Q257">
        <v>0</v>
      </c>
      <c r="R257">
        <v>667067.16</v>
      </c>
      <c r="S257">
        <v>171935.3</v>
      </c>
    </row>
    <row r="258" spans="1:19" ht="15" customHeight="1" x14ac:dyDescent="0.25">
      <c r="A258" t="s">
        <v>990</v>
      </c>
      <c r="B258" s="8">
        <v>45296</v>
      </c>
      <c r="C258" s="8">
        <v>45297</v>
      </c>
      <c r="D258" t="s">
        <v>32</v>
      </c>
      <c r="E258" t="s">
        <v>991</v>
      </c>
      <c r="G258">
        <v>8102375290</v>
      </c>
      <c r="H258" t="s">
        <v>43</v>
      </c>
      <c r="I258" t="s">
        <v>51</v>
      </c>
      <c r="J258" t="s">
        <v>316</v>
      </c>
      <c r="K258" t="s">
        <v>63</v>
      </c>
      <c r="L258" t="s">
        <v>194</v>
      </c>
      <c r="M258" t="s">
        <v>336</v>
      </c>
      <c r="N258">
        <v>7</v>
      </c>
      <c r="O258">
        <v>22336.78</v>
      </c>
      <c r="P258">
        <v>10</v>
      </c>
      <c r="Q258">
        <v>15635.75</v>
      </c>
      <c r="R258">
        <v>140721.71</v>
      </c>
      <c r="S258">
        <v>40827.14</v>
      </c>
    </row>
    <row r="259" spans="1:19" ht="15" customHeight="1" x14ac:dyDescent="0.25">
      <c r="A259" t="s">
        <v>992</v>
      </c>
      <c r="B259" s="8">
        <v>45391</v>
      </c>
      <c r="C259" s="8">
        <v>45397</v>
      </c>
      <c r="D259" t="s">
        <v>48</v>
      </c>
      <c r="E259" t="s">
        <v>884</v>
      </c>
      <c r="F259" t="s">
        <v>993</v>
      </c>
      <c r="G259">
        <v>8158920589</v>
      </c>
      <c r="H259" t="s">
        <v>35</v>
      </c>
      <c r="I259" t="s">
        <v>25</v>
      </c>
      <c r="J259" t="s">
        <v>26</v>
      </c>
      <c r="K259" t="s">
        <v>85</v>
      </c>
      <c r="L259" t="s">
        <v>243</v>
      </c>
      <c r="M259" t="s">
        <v>439</v>
      </c>
      <c r="N259">
        <v>19</v>
      </c>
      <c r="O259">
        <v>46408.74</v>
      </c>
      <c r="P259">
        <v>10</v>
      </c>
      <c r="Q259">
        <v>88176.61</v>
      </c>
      <c r="R259">
        <v>793589.45</v>
      </c>
      <c r="S259">
        <v>-55290.36</v>
      </c>
    </row>
    <row r="260" spans="1:19" ht="15" customHeight="1" x14ac:dyDescent="0.25">
      <c r="A260" t="s">
        <v>994</v>
      </c>
      <c r="B260" s="8">
        <v>45051</v>
      </c>
      <c r="C260" s="8">
        <v>45057</v>
      </c>
      <c r="D260" t="s">
        <v>48</v>
      </c>
      <c r="E260" t="s">
        <v>995</v>
      </c>
      <c r="F260" t="s">
        <v>996</v>
      </c>
      <c r="G260">
        <v>8104005557</v>
      </c>
      <c r="H260" t="s">
        <v>43</v>
      </c>
      <c r="I260" t="s">
        <v>25</v>
      </c>
      <c r="J260" t="s">
        <v>168</v>
      </c>
      <c r="K260" t="s">
        <v>27</v>
      </c>
      <c r="L260" t="s">
        <v>173</v>
      </c>
      <c r="M260" t="s">
        <v>380</v>
      </c>
      <c r="N260">
        <v>16</v>
      </c>
      <c r="O260">
        <v>5966.58</v>
      </c>
      <c r="P260">
        <v>10</v>
      </c>
      <c r="Q260">
        <v>9546.5300000000007</v>
      </c>
      <c r="R260">
        <v>85918.75</v>
      </c>
      <c r="S260">
        <v>-10804.12</v>
      </c>
    </row>
    <row r="261" spans="1:19" ht="15" customHeight="1" x14ac:dyDescent="0.25">
      <c r="A261" t="s">
        <v>997</v>
      </c>
      <c r="B261" s="8">
        <v>45318</v>
      </c>
      <c r="C261" s="8">
        <v>45320</v>
      </c>
      <c r="D261" t="s">
        <v>20</v>
      </c>
      <c r="F261" t="s">
        <v>998</v>
      </c>
      <c r="G261">
        <v>8157060792</v>
      </c>
      <c r="H261" t="s">
        <v>35</v>
      </c>
      <c r="I261" t="s">
        <v>69</v>
      </c>
      <c r="J261" t="s">
        <v>119</v>
      </c>
      <c r="K261" t="s">
        <v>108</v>
      </c>
      <c r="L261" t="s">
        <v>183</v>
      </c>
      <c r="M261" t="s">
        <v>869</v>
      </c>
      <c r="N261">
        <v>2</v>
      </c>
      <c r="O261">
        <v>39906.74</v>
      </c>
      <c r="P261">
        <v>10</v>
      </c>
      <c r="Q261">
        <v>7981.35</v>
      </c>
      <c r="R261">
        <v>71832.13</v>
      </c>
      <c r="S261">
        <v>-6325.9</v>
      </c>
    </row>
    <row r="262" spans="1:19" ht="15" customHeight="1" x14ac:dyDescent="0.25">
      <c r="A262" t="s">
        <v>999</v>
      </c>
      <c r="B262" s="8">
        <v>45333</v>
      </c>
      <c r="C262" s="8">
        <v>45338</v>
      </c>
      <c r="D262" t="s">
        <v>73</v>
      </c>
      <c r="E262" t="s">
        <v>1000</v>
      </c>
      <c r="F262" t="s">
        <v>1001</v>
      </c>
      <c r="G262">
        <v>8155220919</v>
      </c>
      <c r="H262" t="s">
        <v>24</v>
      </c>
      <c r="I262" t="s">
        <v>51</v>
      </c>
      <c r="J262" t="s">
        <v>223</v>
      </c>
      <c r="K262" t="s">
        <v>108</v>
      </c>
      <c r="L262" t="s">
        <v>109</v>
      </c>
      <c r="M262" t="s">
        <v>426</v>
      </c>
      <c r="N262">
        <v>12</v>
      </c>
      <c r="O262">
        <v>19451.21</v>
      </c>
      <c r="P262">
        <v>20</v>
      </c>
      <c r="Q262">
        <v>46682.9</v>
      </c>
      <c r="R262">
        <v>186731.62</v>
      </c>
      <c r="S262">
        <v>60798.78</v>
      </c>
    </row>
    <row r="263" spans="1:19" ht="15" customHeight="1" x14ac:dyDescent="0.25">
      <c r="A263" t="s">
        <v>1002</v>
      </c>
      <c r="B263" s="8">
        <v>44901</v>
      </c>
      <c r="C263" s="8">
        <v>44901</v>
      </c>
      <c r="D263" t="s">
        <v>32</v>
      </c>
      <c r="E263" t="s">
        <v>1003</v>
      </c>
      <c r="F263" t="s">
        <v>1004</v>
      </c>
      <c r="G263">
        <v>8133520615</v>
      </c>
      <c r="H263" t="s">
        <v>35</v>
      </c>
      <c r="I263" t="s">
        <v>25</v>
      </c>
      <c r="J263" t="s">
        <v>36</v>
      </c>
      <c r="K263" t="s">
        <v>85</v>
      </c>
      <c r="L263" t="s">
        <v>218</v>
      </c>
      <c r="M263" t="s">
        <v>1005</v>
      </c>
      <c r="N263">
        <v>4</v>
      </c>
      <c r="O263">
        <v>111547.49</v>
      </c>
      <c r="P263">
        <v>5</v>
      </c>
      <c r="Q263">
        <v>22309.5</v>
      </c>
      <c r="R263" t="s">
        <v>1006</v>
      </c>
      <c r="S263">
        <v>41865.910000000003</v>
      </c>
    </row>
    <row r="264" spans="1:19" ht="15" customHeight="1" x14ac:dyDescent="0.25">
      <c r="A264" t="s">
        <v>1007</v>
      </c>
      <c r="B264" s="8">
        <v>45543</v>
      </c>
      <c r="C264" s="8">
        <v>45543</v>
      </c>
      <c r="D264" t="s">
        <v>32</v>
      </c>
      <c r="F264" t="s">
        <v>1008</v>
      </c>
      <c r="G264">
        <v>8035088109</v>
      </c>
      <c r="H264" t="s">
        <v>43</v>
      </c>
      <c r="I264" t="s">
        <v>1009</v>
      </c>
      <c r="J264" t="s">
        <v>52</v>
      </c>
      <c r="K264" t="s">
        <v>96</v>
      </c>
      <c r="L264" t="s">
        <v>385</v>
      </c>
      <c r="M264" t="s">
        <v>1010</v>
      </c>
      <c r="N264">
        <v>5</v>
      </c>
      <c r="O264">
        <v>272671.23</v>
      </c>
      <c r="P264" t="s">
        <v>1011</v>
      </c>
      <c r="Q264">
        <v>340839.04</v>
      </c>
      <c r="R264">
        <v>1022517.11</v>
      </c>
      <c r="S264">
        <v>-129333.57</v>
      </c>
    </row>
    <row r="265" spans="1:19" ht="15" customHeight="1" x14ac:dyDescent="0.25">
      <c r="A265" t="s">
        <v>1012</v>
      </c>
      <c r="B265" s="8">
        <v>44930</v>
      </c>
      <c r="C265" s="8">
        <v>44933</v>
      </c>
      <c r="D265" t="s">
        <v>20</v>
      </c>
      <c r="E265" t="s">
        <v>1013</v>
      </c>
      <c r="F265" t="s">
        <v>1014</v>
      </c>
      <c r="G265">
        <v>9015755579</v>
      </c>
      <c r="H265" t="s">
        <v>35</v>
      </c>
      <c r="I265" t="s">
        <v>61</v>
      </c>
      <c r="J265" t="s">
        <v>95</v>
      </c>
      <c r="K265" t="s">
        <v>96</v>
      </c>
      <c r="L265" t="s">
        <v>385</v>
      </c>
      <c r="M265" t="s">
        <v>942</v>
      </c>
      <c r="N265">
        <v>16</v>
      </c>
      <c r="O265">
        <v>278838.77</v>
      </c>
      <c r="P265">
        <v>20</v>
      </c>
      <c r="Q265">
        <v>892284.06</v>
      </c>
      <c r="R265">
        <v>3569136.26</v>
      </c>
      <c r="S265">
        <v>-170104.78</v>
      </c>
    </row>
    <row r="266" spans="1:19" ht="15" customHeight="1" x14ac:dyDescent="0.25">
      <c r="A266" t="s">
        <v>1015</v>
      </c>
      <c r="B266" s="8">
        <v>45608</v>
      </c>
      <c r="C266" s="8">
        <v>45612</v>
      </c>
      <c r="D266" t="s">
        <v>73</v>
      </c>
      <c r="E266" t="s">
        <v>1016</v>
      </c>
      <c r="F266" t="s">
        <v>1017</v>
      </c>
      <c r="G266">
        <v>8142154992</v>
      </c>
      <c r="H266" t="s">
        <v>35</v>
      </c>
      <c r="I266" t="s">
        <v>69</v>
      </c>
      <c r="J266" t="s">
        <v>155</v>
      </c>
      <c r="K266" t="s">
        <v>85</v>
      </c>
      <c r="L266" t="s">
        <v>486</v>
      </c>
      <c r="M266" t="s">
        <v>1018</v>
      </c>
      <c r="N266">
        <v>1</v>
      </c>
      <c r="O266">
        <v>30740.67</v>
      </c>
      <c r="P266">
        <v>5</v>
      </c>
      <c r="Q266">
        <v>1537.03</v>
      </c>
      <c r="R266">
        <v>29203.64</v>
      </c>
      <c r="S266">
        <v>4778.5</v>
      </c>
    </row>
    <row r="267" spans="1:19" ht="15" customHeight="1" x14ac:dyDescent="0.25">
      <c r="A267" t="s">
        <v>1019</v>
      </c>
      <c r="B267" s="8">
        <v>44925</v>
      </c>
      <c r="C267" s="8">
        <v>44933</v>
      </c>
      <c r="D267" t="s">
        <v>48</v>
      </c>
      <c r="E267" t="s">
        <v>893</v>
      </c>
      <c r="F267" t="s">
        <v>1020</v>
      </c>
      <c r="G267">
        <v>9029915915</v>
      </c>
      <c r="H267" t="s">
        <v>24</v>
      </c>
      <c r="I267" t="s">
        <v>69</v>
      </c>
      <c r="J267" t="s">
        <v>119</v>
      </c>
      <c r="K267" t="s">
        <v>27</v>
      </c>
      <c r="L267" t="s">
        <v>79</v>
      </c>
      <c r="M267" t="s">
        <v>145</v>
      </c>
      <c r="N267">
        <v>5</v>
      </c>
      <c r="O267">
        <v>4013.26</v>
      </c>
      <c r="P267">
        <v>25</v>
      </c>
      <c r="Q267">
        <v>5016.58</v>
      </c>
      <c r="R267">
        <v>15049.72</v>
      </c>
      <c r="S267">
        <v>5214.92</v>
      </c>
    </row>
    <row r="268" spans="1:19" ht="15" customHeight="1" x14ac:dyDescent="0.25">
      <c r="A268" t="s">
        <v>1021</v>
      </c>
      <c r="B268" s="8">
        <v>44650</v>
      </c>
      <c r="C268" s="8">
        <v>44653</v>
      </c>
      <c r="D268" t="s">
        <v>20</v>
      </c>
      <c r="E268" t="s">
        <v>1022</v>
      </c>
      <c r="F268" t="s">
        <v>1023</v>
      </c>
      <c r="G268">
        <v>9027396087</v>
      </c>
      <c r="H268" t="s">
        <v>43</v>
      </c>
      <c r="I268" t="s">
        <v>69</v>
      </c>
      <c r="J268" t="s">
        <v>155</v>
      </c>
      <c r="K268" t="s">
        <v>63</v>
      </c>
      <c r="L268" t="s">
        <v>312</v>
      </c>
      <c r="M268" t="s">
        <v>686</v>
      </c>
      <c r="N268" t="s">
        <v>405</v>
      </c>
      <c r="O268">
        <v>2894.06</v>
      </c>
      <c r="P268">
        <v>10</v>
      </c>
      <c r="Q268">
        <v>1447.03</v>
      </c>
      <c r="R268">
        <v>13023.27</v>
      </c>
      <c r="S268">
        <v>1774.87</v>
      </c>
    </row>
    <row r="269" spans="1:19" ht="15" customHeight="1" x14ac:dyDescent="0.25">
      <c r="A269" t="s">
        <v>1024</v>
      </c>
      <c r="B269" s="8">
        <v>45089</v>
      </c>
      <c r="C269" s="8">
        <v>45089</v>
      </c>
      <c r="D269" t="s">
        <v>32</v>
      </c>
      <c r="E269" t="s">
        <v>810</v>
      </c>
      <c r="F269" t="s">
        <v>1025</v>
      </c>
      <c r="G269">
        <v>9059766777</v>
      </c>
      <c r="H269" t="s">
        <v>43</v>
      </c>
      <c r="I269" t="s">
        <v>61</v>
      </c>
      <c r="J269" t="s">
        <v>95</v>
      </c>
      <c r="K269" t="s">
        <v>96</v>
      </c>
      <c r="L269" t="s">
        <v>254</v>
      </c>
      <c r="M269" t="s">
        <v>756</v>
      </c>
      <c r="N269">
        <v>7</v>
      </c>
      <c r="O269">
        <v>178138</v>
      </c>
      <c r="P269">
        <v>10</v>
      </c>
      <c r="Q269">
        <v>124696.6</v>
      </c>
      <c r="R269">
        <v>1122269.3999999999</v>
      </c>
      <c r="S269">
        <v>106960.18</v>
      </c>
    </row>
    <row r="270" spans="1:19" ht="15" customHeight="1" x14ac:dyDescent="0.25">
      <c r="A270" t="s">
        <v>1026</v>
      </c>
      <c r="B270" s="8">
        <v>45097</v>
      </c>
      <c r="C270" s="8">
        <v>45100</v>
      </c>
      <c r="D270" t="s">
        <v>20</v>
      </c>
      <c r="E270" t="s">
        <v>1027</v>
      </c>
      <c r="F270" t="s">
        <v>1028</v>
      </c>
      <c r="G270">
        <v>9077668174</v>
      </c>
      <c r="H270" t="s">
        <v>43</v>
      </c>
      <c r="I270" t="s">
        <v>25</v>
      </c>
      <c r="J270" t="s">
        <v>126</v>
      </c>
      <c r="K270" t="s">
        <v>85</v>
      </c>
      <c r="L270" t="s">
        <v>486</v>
      </c>
      <c r="M270" t="s">
        <v>527</v>
      </c>
      <c r="N270">
        <v>16</v>
      </c>
      <c r="O270">
        <v>142811.60999999999</v>
      </c>
      <c r="P270">
        <v>0</v>
      </c>
      <c r="Q270">
        <v>0</v>
      </c>
      <c r="R270">
        <v>2284985.7599999998</v>
      </c>
      <c r="S270">
        <v>164810.95000000001</v>
      </c>
    </row>
    <row r="271" spans="1:19" ht="15" customHeight="1" x14ac:dyDescent="0.25">
      <c r="A271" t="s">
        <v>1029</v>
      </c>
      <c r="B271" s="8" t="s">
        <v>1030</v>
      </c>
      <c r="C271" s="8">
        <v>45379</v>
      </c>
      <c r="D271" t="s">
        <v>20</v>
      </c>
      <c r="E271" t="s">
        <v>1031</v>
      </c>
      <c r="F271" t="s">
        <v>1032</v>
      </c>
      <c r="G271">
        <v>8143714471</v>
      </c>
      <c r="H271" t="s">
        <v>43</v>
      </c>
      <c r="I271" t="s">
        <v>69</v>
      </c>
      <c r="J271" t="s">
        <v>144</v>
      </c>
      <c r="K271" t="s">
        <v>96</v>
      </c>
      <c r="L271" t="s">
        <v>385</v>
      </c>
      <c r="M271" t="s">
        <v>1010</v>
      </c>
      <c r="N271">
        <v>11</v>
      </c>
      <c r="O271">
        <v>189243.99</v>
      </c>
      <c r="P271">
        <v>25</v>
      </c>
      <c r="Q271">
        <v>520420.97</v>
      </c>
      <c r="R271">
        <v>1561262.92</v>
      </c>
      <c r="S271">
        <v>341003.58</v>
      </c>
    </row>
    <row r="272" spans="1:19" ht="15" customHeight="1" x14ac:dyDescent="0.25">
      <c r="A272" t="s">
        <v>1033</v>
      </c>
      <c r="B272" s="8">
        <v>44748</v>
      </c>
      <c r="C272" s="8">
        <v>44754</v>
      </c>
      <c r="D272" t="s">
        <v>48</v>
      </c>
      <c r="E272" t="s">
        <v>1034</v>
      </c>
      <c r="F272" t="s">
        <v>1035</v>
      </c>
      <c r="G272">
        <v>8062075091</v>
      </c>
      <c r="H272" t="s">
        <v>43</v>
      </c>
      <c r="I272" t="s">
        <v>25</v>
      </c>
      <c r="J272" t="s">
        <v>126</v>
      </c>
      <c r="K272" t="s">
        <v>53</v>
      </c>
      <c r="L272" t="s">
        <v>54</v>
      </c>
      <c r="M272" t="s">
        <v>55</v>
      </c>
      <c r="N272">
        <v>2</v>
      </c>
      <c r="O272">
        <v>2460.9699999999998</v>
      </c>
      <c r="P272">
        <v>15</v>
      </c>
      <c r="Q272">
        <v>738.29</v>
      </c>
      <c r="R272">
        <v>4183.6499999999996</v>
      </c>
      <c r="S272">
        <v>1708.65</v>
      </c>
    </row>
    <row r="273" spans="1:19" ht="15" customHeight="1" x14ac:dyDescent="0.25">
      <c r="A273" t="s">
        <v>1036</v>
      </c>
      <c r="B273" s="8">
        <v>44679</v>
      </c>
      <c r="C273" s="8">
        <v>44681</v>
      </c>
      <c r="D273" t="s">
        <v>20</v>
      </c>
      <c r="E273" t="s">
        <v>1037</v>
      </c>
      <c r="F273" t="s">
        <v>1038</v>
      </c>
      <c r="G273">
        <v>8139693169</v>
      </c>
      <c r="H273" t="s">
        <v>24</v>
      </c>
      <c r="I273" t="s">
        <v>69</v>
      </c>
      <c r="J273" t="s">
        <v>155</v>
      </c>
      <c r="K273" t="s">
        <v>63</v>
      </c>
      <c r="L273" t="s">
        <v>54</v>
      </c>
      <c r="M273" t="s">
        <v>1039</v>
      </c>
      <c r="N273">
        <v>17</v>
      </c>
      <c r="O273">
        <v>19707.009999999998</v>
      </c>
      <c r="P273">
        <v>25</v>
      </c>
      <c r="Q273">
        <v>83754.789999999994</v>
      </c>
      <c r="R273">
        <v>251264.38</v>
      </c>
      <c r="S273">
        <v>67607.67</v>
      </c>
    </row>
    <row r="274" spans="1:19" ht="15" customHeight="1" x14ac:dyDescent="0.25">
      <c r="A274" t="s">
        <v>1040</v>
      </c>
      <c r="B274" s="8">
        <v>44562</v>
      </c>
      <c r="C274" s="8">
        <v>44565</v>
      </c>
      <c r="D274" t="s">
        <v>73</v>
      </c>
      <c r="E274" t="s">
        <v>1041</v>
      </c>
      <c r="F274" t="s">
        <v>1042</v>
      </c>
      <c r="G274">
        <v>7037629401</v>
      </c>
      <c r="H274" t="s">
        <v>43</v>
      </c>
      <c r="I274" t="s">
        <v>61</v>
      </c>
      <c r="J274" t="s">
        <v>95</v>
      </c>
      <c r="K274" t="s">
        <v>108</v>
      </c>
      <c r="L274" t="s">
        <v>189</v>
      </c>
      <c r="M274" t="s">
        <v>190</v>
      </c>
      <c r="N274">
        <v>3</v>
      </c>
      <c r="O274">
        <v>24262.94</v>
      </c>
      <c r="P274">
        <v>0</v>
      </c>
      <c r="Q274">
        <v>0</v>
      </c>
      <c r="R274">
        <v>72788.820000000007</v>
      </c>
      <c r="S274">
        <v>13084.2</v>
      </c>
    </row>
    <row r="275" spans="1:19" ht="15" customHeight="1" x14ac:dyDescent="0.25">
      <c r="A275" t="s">
        <v>1043</v>
      </c>
      <c r="B275" s="8" t="s">
        <v>1044</v>
      </c>
      <c r="C275" s="8">
        <v>44964</v>
      </c>
      <c r="D275" t="s">
        <v>73</v>
      </c>
      <c r="E275" t="s">
        <v>1045</v>
      </c>
      <c r="F275" t="s">
        <v>1046</v>
      </c>
      <c r="G275">
        <v>8163936596</v>
      </c>
      <c r="H275" t="s">
        <v>43</v>
      </c>
      <c r="I275" t="s">
        <v>51</v>
      </c>
      <c r="J275" t="s">
        <v>223</v>
      </c>
      <c r="K275" t="s">
        <v>108</v>
      </c>
      <c r="L275" t="s">
        <v>189</v>
      </c>
      <c r="M275" t="s">
        <v>287</v>
      </c>
      <c r="N275">
        <v>17</v>
      </c>
      <c r="O275">
        <v>26021.119999999999</v>
      </c>
      <c r="P275">
        <v>10</v>
      </c>
      <c r="Q275">
        <v>44235.9</v>
      </c>
      <c r="R275">
        <v>398123.14</v>
      </c>
      <c r="S275">
        <v>21490.5</v>
      </c>
    </row>
    <row r="276" spans="1:19" ht="15" customHeight="1" x14ac:dyDescent="0.25">
      <c r="A276" t="s">
        <v>1047</v>
      </c>
      <c r="B276" s="8">
        <v>45468</v>
      </c>
      <c r="C276" s="8">
        <v>45471</v>
      </c>
      <c r="D276" t="s">
        <v>20</v>
      </c>
      <c r="E276" t="s">
        <v>1048</v>
      </c>
      <c r="F276" t="s">
        <v>1049</v>
      </c>
      <c r="G276">
        <v>9026698561</v>
      </c>
      <c r="H276" t="s">
        <v>43</v>
      </c>
      <c r="I276" t="s">
        <v>25</v>
      </c>
      <c r="J276" t="s">
        <v>36</v>
      </c>
      <c r="K276" t="s">
        <v>108</v>
      </c>
      <c r="L276" t="s">
        <v>183</v>
      </c>
      <c r="M276" t="s">
        <v>184</v>
      </c>
      <c r="N276">
        <v>16</v>
      </c>
      <c r="O276">
        <v>39067</v>
      </c>
      <c r="P276">
        <v>0</v>
      </c>
      <c r="Q276">
        <v>0</v>
      </c>
      <c r="R276" t="s">
        <v>1050</v>
      </c>
      <c r="S276">
        <v>2932.75</v>
      </c>
    </row>
    <row r="277" spans="1:19" ht="15" customHeight="1" x14ac:dyDescent="0.25">
      <c r="A277" t="s">
        <v>1051</v>
      </c>
      <c r="B277" s="8">
        <v>45208</v>
      </c>
      <c r="C277" s="8">
        <v>45212</v>
      </c>
      <c r="D277" t="s">
        <v>73</v>
      </c>
      <c r="E277" t="s">
        <v>1052</v>
      </c>
      <c r="F277" t="s">
        <v>1053</v>
      </c>
      <c r="G277">
        <v>9015418274</v>
      </c>
      <c r="H277" t="s">
        <v>24</v>
      </c>
      <c r="I277" t="s">
        <v>69</v>
      </c>
      <c r="J277" t="s">
        <v>119</v>
      </c>
      <c r="K277" t="s">
        <v>85</v>
      </c>
      <c r="L277" t="s">
        <v>243</v>
      </c>
      <c r="M277" t="s">
        <v>1054</v>
      </c>
      <c r="N277">
        <v>11</v>
      </c>
      <c r="O277">
        <v>76616.070000000007</v>
      </c>
      <c r="P277">
        <v>0</v>
      </c>
      <c r="Q277">
        <v>0</v>
      </c>
      <c r="R277">
        <v>842776.77</v>
      </c>
      <c r="S277">
        <v>154001.35999999999</v>
      </c>
    </row>
    <row r="278" spans="1:19" ht="15" customHeight="1" x14ac:dyDescent="0.25">
      <c r="A278" t="s">
        <v>1055</v>
      </c>
      <c r="B278" s="8">
        <v>45009</v>
      </c>
      <c r="C278" s="8">
        <v>45012</v>
      </c>
      <c r="D278" t="s">
        <v>20</v>
      </c>
      <c r="E278" t="s">
        <v>1056</v>
      </c>
      <c r="F278" t="s">
        <v>1057</v>
      </c>
      <c r="G278">
        <v>8144349848</v>
      </c>
      <c r="H278" t="s">
        <v>43</v>
      </c>
      <c r="I278" t="s">
        <v>61</v>
      </c>
      <c r="J278" t="s">
        <v>204</v>
      </c>
      <c r="K278" t="s">
        <v>85</v>
      </c>
      <c r="L278" t="s">
        <v>218</v>
      </c>
      <c r="M278" t="s">
        <v>1058</v>
      </c>
      <c r="N278">
        <v>7</v>
      </c>
      <c r="O278">
        <v>43565.919999999998</v>
      </c>
      <c r="P278">
        <v>5</v>
      </c>
      <c r="Q278">
        <v>15248.07</v>
      </c>
      <c r="R278">
        <v>289713.37</v>
      </c>
      <c r="S278">
        <v>101921.4</v>
      </c>
    </row>
    <row r="279" spans="1:19" ht="15" customHeight="1" x14ac:dyDescent="0.25">
      <c r="A279" t="s">
        <v>1059</v>
      </c>
      <c r="B279" s="8">
        <v>44722</v>
      </c>
      <c r="C279" s="8">
        <v>44730</v>
      </c>
      <c r="D279" t="s">
        <v>48</v>
      </c>
      <c r="E279" t="s">
        <v>1060</v>
      </c>
      <c r="F279" t="s">
        <v>1061</v>
      </c>
      <c r="G279">
        <v>8039091518</v>
      </c>
      <c r="H279" t="s">
        <v>35</v>
      </c>
      <c r="I279" t="s">
        <v>51</v>
      </c>
      <c r="J279" t="s">
        <v>131</v>
      </c>
      <c r="K279" t="s">
        <v>1062</v>
      </c>
      <c r="L279" t="s">
        <v>312</v>
      </c>
      <c r="M279" t="s">
        <v>761</v>
      </c>
      <c r="N279">
        <v>19</v>
      </c>
      <c r="O279">
        <v>12562.34</v>
      </c>
      <c r="P279">
        <v>10</v>
      </c>
      <c r="Q279">
        <v>23868.45</v>
      </c>
      <c r="R279">
        <v>214816.01</v>
      </c>
      <c r="S279">
        <v>31037.31</v>
      </c>
    </row>
    <row r="280" spans="1:19" ht="15" customHeight="1" x14ac:dyDescent="0.25">
      <c r="A280" t="s">
        <v>1063</v>
      </c>
      <c r="B280" s="8">
        <v>44672</v>
      </c>
      <c r="C280" s="8">
        <v>44677</v>
      </c>
      <c r="D280" t="s">
        <v>73</v>
      </c>
      <c r="E280" t="s">
        <v>1064</v>
      </c>
      <c r="F280" t="s">
        <v>1065</v>
      </c>
      <c r="G280">
        <v>8156826541</v>
      </c>
      <c r="H280" t="s">
        <v>35</v>
      </c>
      <c r="I280" t="s">
        <v>51</v>
      </c>
      <c r="J280" t="s">
        <v>316</v>
      </c>
      <c r="K280" t="s">
        <v>108</v>
      </c>
      <c r="L280" t="s">
        <v>109</v>
      </c>
      <c r="M280" t="s">
        <v>690</v>
      </c>
      <c r="N280">
        <v>17</v>
      </c>
      <c r="O280">
        <v>43989.81</v>
      </c>
      <c r="P280">
        <v>20</v>
      </c>
      <c r="Q280">
        <v>149565.35</v>
      </c>
      <c r="R280">
        <v>598261.42000000004</v>
      </c>
      <c r="S280">
        <v>23565.97</v>
      </c>
    </row>
    <row r="281" spans="1:19" ht="15" customHeight="1" x14ac:dyDescent="0.25">
      <c r="A281" t="s">
        <v>1066</v>
      </c>
      <c r="B281" s="8" t="s">
        <v>1067</v>
      </c>
      <c r="C281" s="8">
        <v>45344</v>
      </c>
      <c r="D281" t="s">
        <v>73</v>
      </c>
      <c r="E281" t="s">
        <v>1068</v>
      </c>
      <c r="F281" t="s">
        <v>1069</v>
      </c>
      <c r="G281">
        <v>9055357055</v>
      </c>
      <c r="H281" t="s">
        <v>24</v>
      </c>
      <c r="I281" t="s">
        <v>25</v>
      </c>
      <c r="J281" t="s">
        <v>26</v>
      </c>
      <c r="K281" t="s">
        <v>85</v>
      </c>
      <c r="L281" t="s">
        <v>266</v>
      </c>
      <c r="M281" t="s">
        <v>593</v>
      </c>
      <c r="N281">
        <v>16</v>
      </c>
      <c r="O281">
        <v>48787.93</v>
      </c>
      <c r="P281">
        <v>10</v>
      </c>
      <c r="Q281">
        <v>78060.69</v>
      </c>
      <c r="R281">
        <v>702546.19</v>
      </c>
      <c r="S281">
        <v>48865.24</v>
      </c>
    </row>
    <row r="282" spans="1:19" ht="15" customHeight="1" x14ac:dyDescent="0.25">
      <c r="A282" t="s">
        <v>1070</v>
      </c>
      <c r="B282" s="8">
        <v>45324</v>
      </c>
      <c r="C282" s="8">
        <v>45325</v>
      </c>
      <c r="D282" t="s">
        <v>32</v>
      </c>
      <c r="E282" t="s">
        <v>1071</v>
      </c>
      <c r="F282" t="s">
        <v>1072</v>
      </c>
      <c r="G282">
        <v>8103200150</v>
      </c>
      <c r="H282" t="s">
        <v>35</v>
      </c>
      <c r="I282" t="s">
        <v>69</v>
      </c>
      <c r="J282" t="s">
        <v>70</v>
      </c>
      <c r="K282" t="s">
        <v>27</v>
      </c>
      <c r="L282" t="s">
        <v>354</v>
      </c>
      <c r="M282" t="s">
        <v>355</v>
      </c>
      <c r="N282">
        <v>8</v>
      </c>
      <c r="O282">
        <v>5850.28</v>
      </c>
      <c r="P282">
        <v>25</v>
      </c>
      <c r="Q282">
        <v>11700.56</v>
      </c>
      <c r="R282">
        <v>35101.68</v>
      </c>
      <c r="S282">
        <v>3837.71</v>
      </c>
    </row>
    <row r="283" spans="1:19" ht="15" customHeight="1" x14ac:dyDescent="0.25">
      <c r="A283" t="s">
        <v>1073</v>
      </c>
      <c r="B283" s="8">
        <v>45530</v>
      </c>
      <c r="C283" s="8">
        <v>45533</v>
      </c>
      <c r="D283" t="s">
        <v>73</v>
      </c>
      <c r="E283" t="s">
        <v>152</v>
      </c>
      <c r="F283" t="s">
        <v>1074</v>
      </c>
      <c r="G283">
        <v>8109673937</v>
      </c>
      <c r="H283" t="s">
        <v>35</v>
      </c>
      <c r="I283" t="s">
        <v>69</v>
      </c>
      <c r="J283" t="s">
        <v>119</v>
      </c>
      <c r="K283" t="s">
        <v>27</v>
      </c>
      <c r="L283" t="s">
        <v>45</v>
      </c>
      <c r="M283" t="s">
        <v>875</v>
      </c>
      <c r="N283">
        <v>18</v>
      </c>
      <c r="O283">
        <v>2610.2600000000002</v>
      </c>
      <c r="P283">
        <v>0</v>
      </c>
      <c r="Q283">
        <v>0</v>
      </c>
      <c r="R283">
        <v>46984.68</v>
      </c>
      <c r="S283">
        <v>4183.57</v>
      </c>
    </row>
    <row r="284" spans="1:19" ht="15" customHeight="1" x14ac:dyDescent="0.25">
      <c r="A284" t="s">
        <v>1075</v>
      </c>
      <c r="B284" s="8">
        <v>45537</v>
      </c>
      <c r="C284" s="8">
        <v>45539</v>
      </c>
      <c r="D284" t="s">
        <v>20</v>
      </c>
      <c r="E284" t="s">
        <v>1076</v>
      </c>
      <c r="G284">
        <v>8167055937</v>
      </c>
      <c r="H284" t="s">
        <v>35</v>
      </c>
      <c r="I284" t="s">
        <v>61</v>
      </c>
      <c r="J284" t="s">
        <v>95</v>
      </c>
      <c r="K284" t="s">
        <v>63</v>
      </c>
      <c r="L284" t="s">
        <v>312</v>
      </c>
      <c r="M284" t="s">
        <v>686</v>
      </c>
      <c r="N284">
        <v>9</v>
      </c>
      <c r="O284">
        <v>23330.19</v>
      </c>
      <c r="P284">
        <v>10</v>
      </c>
      <c r="Q284">
        <v>20997.17</v>
      </c>
      <c r="R284">
        <v>188974.54</v>
      </c>
      <c r="S284">
        <v>-26097.16</v>
      </c>
    </row>
    <row r="285" spans="1:19" ht="15" customHeight="1" x14ac:dyDescent="0.25">
      <c r="A285" t="s">
        <v>1077</v>
      </c>
      <c r="B285" s="8">
        <v>44919</v>
      </c>
      <c r="C285" s="8">
        <v>44923</v>
      </c>
      <c r="D285" t="s">
        <v>73</v>
      </c>
      <c r="E285" t="s">
        <v>813</v>
      </c>
      <c r="F285" t="s">
        <v>1078</v>
      </c>
      <c r="G285">
        <v>9028498243</v>
      </c>
      <c r="H285" t="s">
        <v>24</v>
      </c>
      <c r="I285" t="s">
        <v>25</v>
      </c>
      <c r="J285" t="s">
        <v>44</v>
      </c>
      <c r="K285" t="s">
        <v>96</v>
      </c>
      <c r="L285" t="s">
        <v>189</v>
      </c>
      <c r="M285" t="s">
        <v>205</v>
      </c>
      <c r="N285">
        <v>5</v>
      </c>
      <c r="O285">
        <v>139637.76000000001</v>
      </c>
      <c r="P285">
        <v>0</v>
      </c>
      <c r="Q285">
        <v>0</v>
      </c>
      <c r="R285">
        <v>698188.80000000005</v>
      </c>
      <c r="S285">
        <v>163619.42000000001</v>
      </c>
    </row>
    <row r="286" spans="1:19" ht="15" customHeight="1" x14ac:dyDescent="0.25">
      <c r="A286" t="s">
        <v>1079</v>
      </c>
      <c r="B286" s="8">
        <v>44708</v>
      </c>
      <c r="C286" s="8">
        <v>44708</v>
      </c>
      <c r="D286" t="s">
        <v>32</v>
      </c>
      <c r="E286" t="s">
        <v>1080</v>
      </c>
      <c r="F286" t="s">
        <v>1081</v>
      </c>
      <c r="G286">
        <v>7036316334</v>
      </c>
      <c r="H286" t="s">
        <v>24</v>
      </c>
      <c r="I286" t="s">
        <v>51</v>
      </c>
      <c r="J286" t="s">
        <v>316</v>
      </c>
      <c r="K286" t="s">
        <v>63</v>
      </c>
      <c r="L286" t="s">
        <v>469</v>
      </c>
      <c r="M286" t="s">
        <v>1082</v>
      </c>
      <c r="N286">
        <v>13</v>
      </c>
      <c r="O286">
        <v>15331.93</v>
      </c>
      <c r="P286">
        <v>10</v>
      </c>
      <c r="Q286">
        <v>19931.509999999998</v>
      </c>
      <c r="R286">
        <v>179383.58</v>
      </c>
      <c r="S286">
        <v>68634.86</v>
      </c>
    </row>
    <row r="287" spans="1:19" ht="15" customHeight="1" x14ac:dyDescent="0.25">
      <c r="A287" t="s">
        <v>1083</v>
      </c>
      <c r="B287" s="8">
        <v>45409</v>
      </c>
      <c r="C287" s="8">
        <v>45409</v>
      </c>
      <c r="D287" t="s">
        <v>32</v>
      </c>
      <c r="E287" t="s">
        <v>630</v>
      </c>
      <c r="F287" t="s">
        <v>1084</v>
      </c>
      <c r="G287">
        <v>8104936391</v>
      </c>
      <c r="H287" t="s">
        <v>24</v>
      </c>
      <c r="I287" t="s">
        <v>51</v>
      </c>
      <c r="J287" t="s">
        <v>227</v>
      </c>
      <c r="K287" t="s">
        <v>63</v>
      </c>
      <c r="L287" t="s">
        <v>469</v>
      </c>
      <c r="M287" t="s">
        <v>470</v>
      </c>
      <c r="N287">
        <v>13</v>
      </c>
      <c r="O287">
        <v>5659</v>
      </c>
      <c r="P287">
        <v>0</v>
      </c>
      <c r="Q287">
        <v>0</v>
      </c>
      <c r="R287">
        <v>73567</v>
      </c>
      <c r="S287">
        <v>-6817.29</v>
      </c>
    </row>
    <row r="288" spans="1:19" ht="15" customHeight="1" x14ac:dyDescent="0.25">
      <c r="A288" t="s">
        <v>1085</v>
      </c>
      <c r="B288" s="8">
        <v>45375</v>
      </c>
      <c r="C288" s="8">
        <v>45380</v>
      </c>
      <c r="D288" t="s">
        <v>48</v>
      </c>
      <c r="E288" t="s">
        <v>1086</v>
      </c>
      <c r="F288" t="s">
        <v>1087</v>
      </c>
      <c r="G288">
        <v>8067540534</v>
      </c>
      <c r="H288" t="s">
        <v>35</v>
      </c>
      <c r="I288" t="s">
        <v>69</v>
      </c>
      <c r="J288" t="s">
        <v>155</v>
      </c>
      <c r="K288" t="s">
        <v>63</v>
      </c>
      <c r="L288" t="s">
        <v>54</v>
      </c>
      <c r="M288" t="s">
        <v>150</v>
      </c>
      <c r="N288">
        <v>15</v>
      </c>
      <c r="O288">
        <v>18571.03</v>
      </c>
      <c r="P288">
        <v>0</v>
      </c>
      <c r="Q288">
        <v>0</v>
      </c>
      <c r="R288">
        <v>278565.45</v>
      </c>
      <c r="S288">
        <v>-19843.259999999998</v>
      </c>
    </row>
    <row r="289" spans="1:19" ht="15" customHeight="1" x14ac:dyDescent="0.25">
      <c r="A289" t="s">
        <v>1088</v>
      </c>
      <c r="B289" s="8">
        <v>45228</v>
      </c>
      <c r="C289" s="8">
        <v>45231</v>
      </c>
      <c r="D289" t="s">
        <v>20</v>
      </c>
      <c r="E289" t="s">
        <v>1089</v>
      </c>
      <c r="F289" t="s">
        <v>1090</v>
      </c>
      <c r="G289">
        <v>8158463259</v>
      </c>
      <c r="H289" t="s">
        <v>35</v>
      </c>
      <c r="I289" t="s">
        <v>61</v>
      </c>
      <c r="J289" t="s">
        <v>95</v>
      </c>
      <c r="K289" t="s">
        <v>85</v>
      </c>
      <c r="L289" t="s">
        <v>266</v>
      </c>
      <c r="M289" t="s">
        <v>803</v>
      </c>
      <c r="N289">
        <v>15</v>
      </c>
      <c r="O289">
        <v>109622.92</v>
      </c>
      <c r="P289">
        <v>15</v>
      </c>
      <c r="Q289">
        <v>246651.57</v>
      </c>
      <c r="R289">
        <v>1397692.23</v>
      </c>
      <c r="S289">
        <v>229327.59</v>
      </c>
    </row>
    <row r="290" spans="1:19" ht="15" customHeight="1" x14ac:dyDescent="0.25">
      <c r="A290" t="s">
        <v>1091</v>
      </c>
      <c r="B290" s="8">
        <v>44745</v>
      </c>
      <c r="C290" s="8">
        <v>44749</v>
      </c>
      <c r="D290" t="s">
        <v>73</v>
      </c>
      <c r="E290" t="s">
        <v>1092</v>
      </c>
      <c r="F290" t="s">
        <v>1093</v>
      </c>
      <c r="G290">
        <v>8163612506</v>
      </c>
      <c r="H290" t="s">
        <v>43</v>
      </c>
      <c r="I290" t="s">
        <v>51</v>
      </c>
      <c r="J290" t="s">
        <v>223</v>
      </c>
      <c r="K290" t="s">
        <v>63</v>
      </c>
      <c r="L290" t="s">
        <v>249</v>
      </c>
      <c r="M290" t="s">
        <v>465</v>
      </c>
      <c r="N290">
        <v>5</v>
      </c>
      <c r="O290">
        <v>13321.25</v>
      </c>
      <c r="P290">
        <v>10</v>
      </c>
      <c r="Q290">
        <v>6660.62</v>
      </c>
      <c r="R290">
        <v>59945.63</v>
      </c>
      <c r="S290">
        <v>1322.24</v>
      </c>
    </row>
    <row r="291" spans="1:19" ht="15" customHeight="1" x14ac:dyDescent="0.25">
      <c r="A291" t="s">
        <v>1094</v>
      </c>
      <c r="B291" s="8">
        <v>44580</v>
      </c>
      <c r="C291" s="8">
        <v>44583</v>
      </c>
      <c r="D291" t="s">
        <v>20</v>
      </c>
      <c r="E291" t="s">
        <v>378</v>
      </c>
      <c r="F291" t="s">
        <v>1095</v>
      </c>
      <c r="G291">
        <v>9021121097</v>
      </c>
      <c r="H291" t="s">
        <v>43</v>
      </c>
      <c r="I291" t="s">
        <v>25</v>
      </c>
      <c r="J291" t="s">
        <v>168</v>
      </c>
      <c r="K291" t="s">
        <v>27</v>
      </c>
      <c r="L291" t="s">
        <v>45</v>
      </c>
      <c r="M291" t="s">
        <v>523</v>
      </c>
      <c r="N291">
        <v>18</v>
      </c>
      <c r="O291">
        <v>3470.37</v>
      </c>
      <c r="P291">
        <v>15</v>
      </c>
      <c r="Q291">
        <v>9370</v>
      </c>
      <c r="R291">
        <v>53096.66</v>
      </c>
      <c r="S291">
        <v>4611.51</v>
      </c>
    </row>
    <row r="292" spans="1:19" ht="15" customHeight="1" x14ac:dyDescent="0.25">
      <c r="A292" t="s">
        <v>1096</v>
      </c>
      <c r="B292" s="8">
        <v>45100</v>
      </c>
      <c r="C292" s="8">
        <v>45103</v>
      </c>
      <c r="D292" t="s">
        <v>73</v>
      </c>
      <c r="E292" t="s">
        <v>1097</v>
      </c>
      <c r="F292" t="s">
        <v>1098</v>
      </c>
      <c r="G292">
        <v>8155561139</v>
      </c>
      <c r="H292" t="s">
        <v>43</v>
      </c>
      <c r="I292" t="s">
        <v>61</v>
      </c>
      <c r="J292" t="s">
        <v>204</v>
      </c>
      <c r="K292" t="s">
        <v>63</v>
      </c>
      <c r="L292" t="s">
        <v>469</v>
      </c>
      <c r="M292" t="s">
        <v>1099</v>
      </c>
      <c r="N292">
        <v>14</v>
      </c>
      <c r="O292">
        <v>20315.810000000001</v>
      </c>
      <c r="P292">
        <v>5</v>
      </c>
      <c r="Q292">
        <v>14221.07</v>
      </c>
      <c r="R292">
        <v>270200.27</v>
      </c>
      <c r="S292">
        <v>97836.6</v>
      </c>
    </row>
    <row r="293" spans="1:19" ht="15" customHeight="1" x14ac:dyDescent="0.25">
      <c r="A293" t="s">
        <v>1100</v>
      </c>
      <c r="B293" s="8">
        <v>45494</v>
      </c>
      <c r="C293" s="8">
        <v>45502</v>
      </c>
      <c r="D293" t="s">
        <v>48</v>
      </c>
      <c r="E293" t="s">
        <v>1101</v>
      </c>
      <c r="F293" t="s">
        <v>1102</v>
      </c>
      <c r="G293">
        <v>8136379509</v>
      </c>
      <c r="H293" t="s">
        <v>43</v>
      </c>
      <c r="I293" t="s">
        <v>61</v>
      </c>
      <c r="J293" t="s">
        <v>62</v>
      </c>
      <c r="K293" t="s">
        <v>96</v>
      </c>
      <c r="L293" t="s">
        <v>385</v>
      </c>
      <c r="M293" t="s">
        <v>743</v>
      </c>
      <c r="N293">
        <v>1</v>
      </c>
      <c r="O293">
        <v>436826.55</v>
      </c>
      <c r="P293">
        <v>0</v>
      </c>
      <c r="Q293">
        <v>0</v>
      </c>
      <c r="R293">
        <v>436826.55</v>
      </c>
      <c r="S293">
        <v>189320.44</v>
      </c>
    </row>
    <row r="294" spans="1:19" ht="15" customHeight="1" x14ac:dyDescent="0.25">
      <c r="A294" t="s">
        <v>1103</v>
      </c>
      <c r="B294" s="8">
        <v>44578</v>
      </c>
      <c r="C294" s="8">
        <v>44578</v>
      </c>
      <c r="D294" t="s">
        <v>32</v>
      </c>
      <c r="E294" t="s">
        <v>1104</v>
      </c>
      <c r="F294" t="s">
        <v>1105</v>
      </c>
      <c r="G294">
        <v>8144643811</v>
      </c>
      <c r="H294" t="s">
        <v>35</v>
      </c>
      <c r="I294" t="s">
        <v>51</v>
      </c>
      <c r="J294" t="s">
        <v>223</v>
      </c>
      <c r="K294" t="s">
        <v>1062</v>
      </c>
      <c r="L294" t="s">
        <v>64</v>
      </c>
      <c r="M294" t="s">
        <v>65</v>
      </c>
      <c r="N294">
        <v>16</v>
      </c>
      <c r="O294">
        <v>19750.27</v>
      </c>
      <c r="P294">
        <v>10</v>
      </c>
      <c r="Q294">
        <v>31600.43</v>
      </c>
      <c r="R294">
        <v>284403.89</v>
      </c>
      <c r="S294">
        <v>36463.620000000003</v>
      </c>
    </row>
    <row r="295" spans="1:19" ht="15" customHeight="1" x14ac:dyDescent="0.25">
      <c r="A295" t="s">
        <v>1106</v>
      </c>
      <c r="B295" s="8">
        <v>44676</v>
      </c>
      <c r="C295" s="8">
        <v>44673</v>
      </c>
      <c r="D295" t="s">
        <v>73</v>
      </c>
      <c r="E295" t="s">
        <v>623</v>
      </c>
      <c r="F295" t="s">
        <v>1107</v>
      </c>
      <c r="G295">
        <v>8104224451</v>
      </c>
      <c r="H295" t="s">
        <v>35</v>
      </c>
      <c r="I295" t="s">
        <v>25</v>
      </c>
      <c r="K295" t="s">
        <v>63</v>
      </c>
      <c r="L295" t="s">
        <v>194</v>
      </c>
      <c r="M295" t="s">
        <v>257</v>
      </c>
      <c r="N295">
        <v>4</v>
      </c>
      <c r="O295">
        <v>20792.18</v>
      </c>
      <c r="P295">
        <v>5</v>
      </c>
      <c r="Q295">
        <v>4158.4399999999996</v>
      </c>
      <c r="R295">
        <v>79010.28</v>
      </c>
      <c r="S295">
        <v>6390.25</v>
      </c>
    </row>
    <row r="296" spans="1:19" ht="15" customHeight="1" x14ac:dyDescent="0.25">
      <c r="A296" t="s">
        <v>1108</v>
      </c>
      <c r="B296" s="8">
        <v>44969</v>
      </c>
      <c r="C296" s="8">
        <v>44977</v>
      </c>
      <c r="D296" t="s">
        <v>48</v>
      </c>
      <c r="E296" t="s">
        <v>1109</v>
      </c>
      <c r="F296" t="s">
        <v>1110</v>
      </c>
      <c r="G296">
        <v>8147528399</v>
      </c>
      <c r="H296" t="s">
        <v>24</v>
      </c>
      <c r="I296" t="s">
        <v>69</v>
      </c>
      <c r="J296" t="s">
        <v>119</v>
      </c>
      <c r="K296" t="s">
        <v>53</v>
      </c>
      <c r="L296" t="s">
        <v>558</v>
      </c>
      <c r="M296" t="s">
        <v>680</v>
      </c>
      <c r="N296">
        <v>2</v>
      </c>
      <c r="O296">
        <v>15914.52</v>
      </c>
      <c r="P296">
        <v>25</v>
      </c>
      <c r="Q296">
        <v>7957.26</v>
      </c>
      <c r="R296">
        <v>23871.78</v>
      </c>
      <c r="S296">
        <v>3880.5</v>
      </c>
    </row>
    <row r="297" spans="1:19" ht="15" customHeight="1" x14ac:dyDescent="0.25">
      <c r="A297" t="s">
        <v>1111</v>
      </c>
      <c r="B297" s="8">
        <v>44968</v>
      </c>
      <c r="C297" s="8">
        <v>44971</v>
      </c>
      <c r="D297" t="s">
        <v>20</v>
      </c>
      <c r="E297" t="s">
        <v>460</v>
      </c>
      <c r="F297" t="s">
        <v>1112</v>
      </c>
      <c r="G297">
        <v>8064958849</v>
      </c>
      <c r="H297" t="s">
        <v>24</v>
      </c>
      <c r="I297" t="s">
        <v>51</v>
      </c>
      <c r="J297" t="s">
        <v>316</v>
      </c>
      <c r="K297" t="s">
        <v>108</v>
      </c>
      <c r="L297" t="s">
        <v>38</v>
      </c>
      <c r="M297" t="s">
        <v>519</v>
      </c>
      <c r="N297">
        <v>9</v>
      </c>
      <c r="O297">
        <v>9196.5</v>
      </c>
      <c r="P297">
        <v>0</v>
      </c>
      <c r="Q297">
        <v>0</v>
      </c>
      <c r="R297">
        <v>82768.5</v>
      </c>
      <c r="S297">
        <v>7241</v>
      </c>
    </row>
    <row r="298" spans="1:19" ht="15" customHeight="1" x14ac:dyDescent="0.25">
      <c r="A298" t="s">
        <v>1113</v>
      </c>
      <c r="B298" s="8">
        <v>44879</v>
      </c>
      <c r="C298" s="8">
        <v>44880</v>
      </c>
      <c r="D298" t="s">
        <v>32</v>
      </c>
      <c r="E298" t="s">
        <v>1114</v>
      </c>
      <c r="F298" t="s">
        <v>1115</v>
      </c>
      <c r="G298">
        <v>8142533463</v>
      </c>
      <c r="H298" t="s">
        <v>35</v>
      </c>
      <c r="I298" t="s">
        <v>61</v>
      </c>
      <c r="J298" t="s">
        <v>95</v>
      </c>
      <c r="K298" t="s">
        <v>27</v>
      </c>
      <c r="L298" t="s">
        <v>45</v>
      </c>
      <c r="M298" t="s">
        <v>308</v>
      </c>
      <c r="N298">
        <v>5</v>
      </c>
      <c r="O298">
        <v>760.27</v>
      </c>
      <c r="P298">
        <v>25</v>
      </c>
      <c r="Q298">
        <v>950.34</v>
      </c>
      <c r="R298">
        <v>2851.01</v>
      </c>
      <c r="S298">
        <v>926.24</v>
      </c>
    </row>
    <row r="299" spans="1:19" ht="15" customHeight="1" x14ac:dyDescent="0.25">
      <c r="A299" t="s">
        <v>1116</v>
      </c>
      <c r="B299" s="8">
        <v>45273</v>
      </c>
      <c r="C299" s="8">
        <v>45276</v>
      </c>
      <c r="D299" t="s">
        <v>20</v>
      </c>
      <c r="E299" t="s">
        <v>1117</v>
      </c>
      <c r="F299" t="s">
        <v>422</v>
      </c>
      <c r="G299">
        <v>7033260430</v>
      </c>
      <c r="H299" t="s">
        <v>35</v>
      </c>
      <c r="I299" t="s">
        <v>1118</v>
      </c>
      <c r="J299" t="s">
        <v>204</v>
      </c>
      <c r="K299" t="s">
        <v>1119</v>
      </c>
      <c r="L299" t="s">
        <v>249</v>
      </c>
      <c r="M299" t="s">
        <v>329</v>
      </c>
      <c r="N299">
        <v>18</v>
      </c>
      <c r="O299">
        <v>17812.34</v>
      </c>
      <c r="P299">
        <v>10</v>
      </c>
      <c r="Q299">
        <v>32062.21</v>
      </c>
      <c r="R299">
        <v>288559.90999999997</v>
      </c>
      <c r="S299">
        <v>50682.79</v>
      </c>
    </row>
    <row r="300" spans="1:19" ht="15" customHeight="1" x14ac:dyDescent="0.25">
      <c r="A300" t="s">
        <v>1120</v>
      </c>
      <c r="B300" s="8">
        <v>45274</v>
      </c>
      <c r="C300" s="8">
        <v>45278</v>
      </c>
      <c r="D300" t="s">
        <v>73</v>
      </c>
      <c r="E300" t="s">
        <v>1121</v>
      </c>
      <c r="F300" t="s">
        <v>1122</v>
      </c>
      <c r="G300">
        <v>8069911007</v>
      </c>
      <c r="H300" t="s">
        <v>24</v>
      </c>
      <c r="I300" t="s">
        <v>69</v>
      </c>
      <c r="J300" t="s">
        <v>119</v>
      </c>
      <c r="K300" t="s">
        <v>85</v>
      </c>
      <c r="L300" t="s">
        <v>486</v>
      </c>
      <c r="M300" t="s">
        <v>543</v>
      </c>
      <c r="N300">
        <v>18</v>
      </c>
      <c r="O300">
        <v>148939.99</v>
      </c>
      <c r="P300">
        <v>10</v>
      </c>
      <c r="Q300">
        <v>268091.98</v>
      </c>
      <c r="R300">
        <v>2412827.84</v>
      </c>
      <c r="S300">
        <v>295444.46999999997</v>
      </c>
    </row>
    <row r="301" spans="1:19" ht="15" customHeight="1" x14ac:dyDescent="0.25">
      <c r="A301" t="s">
        <v>1123</v>
      </c>
      <c r="B301" s="8">
        <v>45051</v>
      </c>
      <c r="C301" s="8">
        <v>45054</v>
      </c>
      <c r="D301" t="s">
        <v>20</v>
      </c>
      <c r="E301" t="s">
        <v>1124</v>
      </c>
      <c r="F301" t="s">
        <v>1125</v>
      </c>
      <c r="G301">
        <v>8139792431</v>
      </c>
      <c r="H301" t="s">
        <v>1126</v>
      </c>
      <c r="I301" t="s">
        <v>69</v>
      </c>
      <c r="J301" t="s">
        <v>119</v>
      </c>
      <c r="K301" t="s">
        <v>108</v>
      </c>
      <c r="L301" t="s">
        <v>189</v>
      </c>
      <c r="M301" t="s">
        <v>190</v>
      </c>
      <c r="N301">
        <v>11</v>
      </c>
      <c r="O301">
        <v>28360.69</v>
      </c>
      <c r="P301">
        <v>15</v>
      </c>
      <c r="Q301">
        <v>46795.14</v>
      </c>
      <c r="R301" t="s">
        <v>1127</v>
      </c>
      <c r="S301">
        <v>62194.17</v>
      </c>
    </row>
    <row r="302" spans="1:19" ht="15" customHeight="1" x14ac:dyDescent="0.25">
      <c r="A302" t="s">
        <v>1128</v>
      </c>
      <c r="B302" s="8">
        <v>44651</v>
      </c>
      <c r="C302" s="8">
        <v>44657</v>
      </c>
      <c r="D302" t="s">
        <v>48</v>
      </c>
      <c r="E302" t="s">
        <v>630</v>
      </c>
      <c r="F302" t="s">
        <v>1084</v>
      </c>
      <c r="G302">
        <v>8132796087</v>
      </c>
      <c r="H302" t="s">
        <v>24</v>
      </c>
      <c r="I302" t="s">
        <v>414</v>
      </c>
      <c r="J302" t="s">
        <v>26</v>
      </c>
      <c r="K302" t="s">
        <v>108</v>
      </c>
      <c r="L302" t="s">
        <v>109</v>
      </c>
      <c r="M302" t="s">
        <v>110</v>
      </c>
      <c r="N302">
        <v>13</v>
      </c>
      <c r="O302">
        <v>3368.14</v>
      </c>
      <c r="P302">
        <v>20</v>
      </c>
      <c r="Q302">
        <v>8757.16</v>
      </c>
      <c r="R302">
        <v>35028.660000000003</v>
      </c>
      <c r="S302">
        <v>5796.99</v>
      </c>
    </row>
    <row r="303" spans="1:19" ht="15" customHeight="1" x14ac:dyDescent="0.25">
      <c r="A303" t="s">
        <v>1129</v>
      </c>
      <c r="B303" s="8">
        <v>44707</v>
      </c>
      <c r="C303" s="8">
        <v>44710</v>
      </c>
      <c r="D303" t="s">
        <v>73</v>
      </c>
      <c r="E303" t="s">
        <v>1130</v>
      </c>
      <c r="F303" t="s">
        <v>1131</v>
      </c>
      <c r="G303">
        <v>8032341452</v>
      </c>
      <c r="H303" t="s">
        <v>43</v>
      </c>
      <c r="I303" t="s">
        <v>51</v>
      </c>
      <c r="J303" t="s">
        <v>52</v>
      </c>
      <c r="K303" t="s">
        <v>108</v>
      </c>
      <c r="L303" t="s">
        <v>114</v>
      </c>
      <c r="M303" t="s">
        <v>482</v>
      </c>
      <c r="N303">
        <v>14</v>
      </c>
      <c r="O303">
        <v>25994.86</v>
      </c>
      <c r="P303">
        <v>10</v>
      </c>
      <c r="Q303">
        <v>36392.800000000003</v>
      </c>
      <c r="R303">
        <v>327535.24</v>
      </c>
      <c r="S303">
        <v>106956.55</v>
      </c>
    </row>
    <row r="304" spans="1:19" ht="15" customHeight="1" x14ac:dyDescent="0.25">
      <c r="A304" t="s">
        <v>1132</v>
      </c>
      <c r="B304" s="8">
        <v>44706</v>
      </c>
      <c r="C304" s="8">
        <v>44713</v>
      </c>
      <c r="D304" t="s">
        <v>48</v>
      </c>
      <c r="E304" t="s">
        <v>514</v>
      </c>
      <c r="F304" t="s">
        <v>1133</v>
      </c>
      <c r="G304">
        <v>8064875838</v>
      </c>
      <c r="H304" t="s">
        <v>43</v>
      </c>
      <c r="I304" t="s">
        <v>25</v>
      </c>
      <c r="J304" t="s">
        <v>1134</v>
      </c>
      <c r="K304" t="s">
        <v>27</v>
      </c>
      <c r="L304" t="s">
        <v>28</v>
      </c>
      <c r="M304" t="s">
        <v>508</v>
      </c>
      <c r="N304">
        <v>8</v>
      </c>
      <c r="O304">
        <v>1787.02</v>
      </c>
      <c r="P304">
        <v>0</v>
      </c>
      <c r="Q304">
        <v>0</v>
      </c>
      <c r="R304" t="s">
        <v>1135</v>
      </c>
      <c r="S304">
        <v>2645.56</v>
      </c>
    </row>
    <row r="305" spans="1:19" ht="15" customHeight="1" x14ac:dyDescent="0.25">
      <c r="A305" t="s">
        <v>1136</v>
      </c>
      <c r="B305" s="8">
        <v>45501</v>
      </c>
      <c r="C305" s="8">
        <v>45504</v>
      </c>
      <c r="D305" t="s">
        <v>20</v>
      </c>
      <c r="E305" t="s">
        <v>564</v>
      </c>
      <c r="F305" t="s">
        <v>565</v>
      </c>
      <c r="G305">
        <v>8157737011</v>
      </c>
      <c r="H305" t="s">
        <v>24</v>
      </c>
      <c r="I305" t="s">
        <v>69</v>
      </c>
      <c r="J305" t="s">
        <v>307</v>
      </c>
      <c r="K305" t="s">
        <v>27</v>
      </c>
      <c r="L305" t="s">
        <v>45</v>
      </c>
      <c r="M305" t="s">
        <v>523</v>
      </c>
      <c r="N305">
        <v>20</v>
      </c>
      <c r="O305">
        <v>4411.03</v>
      </c>
      <c r="P305">
        <v>20</v>
      </c>
      <c r="Q305">
        <v>17644.12</v>
      </c>
      <c r="R305">
        <v>70576.479999999996</v>
      </c>
      <c r="S305">
        <v>28944.26</v>
      </c>
    </row>
    <row r="306" spans="1:19" ht="15" customHeight="1" x14ac:dyDescent="0.25">
      <c r="A306" t="s">
        <v>1137</v>
      </c>
      <c r="B306" s="8">
        <v>45406</v>
      </c>
      <c r="C306" s="8">
        <v>45409</v>
      </c>
      <c r="D306" t="s">
        <v>20</v>
      </c>
      <c r="E306" t="s">
        <v>654</v>
      </c>
      <c r="F306" t="s">
        <v>655</v>
      </c>
      <c r="G306">
        <v>9054589118</v>
      </c>
      <c r="H306" t="s">
        <v>43</v>
      </c>
      <c r="I306" t="s">
        <v>51</v>
      </c>
      <c r="J306" t="s">
        <v>227</v>
      </c>
      <c r="K306" t="s">
        <v>108</v>
      </c>
      <c r="L306" t="s">
        <v>189</v>
      </c>
      <c r="M306" t="s">
        <v>325</v>
      </c>
      <c r="O306">
        <v>17480.37</v>
      </c>
      <c r="P306">
        <v>20</v>
      </c>
      <c r="Q306">
        <v>52441.11</v>
      </c>
      <c r="R306">
        <v>209764.44</v>
      </c>
      <c r="S306">
        <v>89337.55</v>
      </c>
    </row>
    <row r="307" spans="1:19" ht="15" customHeight="1" x14ac:dyDescent="0.25">
      <c r="A307" t="s">
        <v>1138</v>
      </c>
      <c r="B307" s="8">
        <v>45622</v>
      </c>
      <c r="C307" s="8">
        <v>45628</v>
      </c>
      <c r="D307" t="s">
        <v>48</v>
      </c>
      <c r="E307" t="s">
        <v>1139</v>
      </c>
      <c r="F307" t="s">
        <v>1140</v>
      </c>
      <c r="G307">
        <v>8134604128</v>
      </c>
      <c r="H307" t="s">
        <v>43</v>
      </c>
      <c r="I307" t="s">
        <v>25</v>
      </c>
      <c r="J307" t="s">
        <v>26</v>
      </c>
      <c r="K307" t="s">
        <v>63</v>
      </c>
      <c r="L307" t="s">
        <v>249</v>
      </c>
      <c r="M307" t="s">
        <v>1141</v>
      </c>
      <c r="N307">
        <v>17</v>
      </c>
      <c r="O307">
        <v>23018.25</v>
      </c>
      <c r="P307">
        <v>25</v>
      </c>
      <c r="Q307">
        <v>97827.56</v>
      </c>
      <c r="R307">
        <v>293482.69</v>
      </c>
      <c r="S307">
        <v>56466.34</v>
      </c>
    </row>
    <row r="308" spans="1:19" ht="15" customHeight="1" x14ac:dyDescent="0.25">
      <c r="A308" t="s">
        <v>1142</v>
      </c>
      <c r="B308" s="8">
        <v>45290</v>
      </c>
      <c r="C308" s="8">
        <v>45290</v>
      </c>
      <c r="D308" t="s">
        <v>32</v>
      </c>
      <c r="E308" t="s">
        <v>647</v>
      </c>
      <c r="F308" t="s">
        <v>648</v>
      </c>
      <c r="G308">
        <v>9055191903</v>
      </c>
      <c r="H308" t="s">
        <v>35</v>
      </c>
      <c r="I308" t="s">
        <v>61</v>
      </c>
      <c r="J308" t="s">
        <v>95</v>
      </c>
      <c r="K308" t="s">
        <v>85</v>
      </c>
      <c r="L308" t="s">
        <v>243</v>
      </c>
      <c r="M308" t="s">
        <v>1143</v>
      </c>
      <c r="N308">
        <v>13</v>
      </c>
      <c r="O308">
        <v>23807.68</v>
      </c>
      <c r="P308">
        <v>5</v>
      </c>
      <c r="Q308">
        <v>15474.99</v>
      </c>
      <c r="R308">
        <v>294024.84999999998</v>
      </c>
      <c r="S308">
        <v>85431.73</v>
      </c>
    </row>
    <row r="309" spans="1:19" ht="15" customHeight="1" x14ac:dyDescent="0.25">
      <c r="A309" t="s">
        <v>1144</v>
      </c>
      <c r="B309" s="8">
        <v>44757</v>
      </c>
      <c r="C309" s="8">
        <v>44758</v>
      </c>
      <c r="D309" t="s">
        <v>32</v>
      </c>
      <c r="E309" t="s">
        <v>1145</v>
      </c>
      <c r="F309" t="s">
        <v>1146</v>
      </c>
      <c r="G309">
        <v>8061938227</v>
      </c>
      <c r="H309" t="s">
        <v>35</v>
      </c>
      <c r="I309" t="s">
        <v>51</v>
      </c>
      <c r="J309" t="s">
        <v>316</v>
      </c>
      <c r="K309" t="s">
        <v>63</v>
      </c>
      <c r="L309" t="s">
        <v>558</v>
      </c>
      <c r="M309" t="s">
        <v>559</v>
      </c>
      <c r="N309">
        <v>4</v>
      </c>
      <c r="O309">
        <v>10704.78</v>
      </c>
      <c r="P309">
        <v>5</v>
      </c>
      <c r="Q309">
        <v>2140.96</v>
      </c>
      <c r="R309">
        <v>40678.160000000003</v>
      </c>
      <c r="S309">
        <v>12146.79</v>
      </c>
    </row>
    <row r="310" spans="1:19" ht="15" customHeight="1" x14ac:dyDescent="0.25">
      <c r="A310" t="s">
        <v>1147</v>
      </c>
      <c r="B310" s="8">
        <v>45635</v>
      </c>
      <c r="C310" s="8">
        <v>45637</v>
      </c>
      <c r="D310" t="s">
        <v>20</v>
      </c>
      <c r="E310" t="s">
        <v>1148</v>
      </c>
      <c r="F310" t="s">
        <v>1149</v>
      </c>
      <c r="G310">
        <v>7039428900</v>
      </c>
      <c r="H310" t="s">
        <v>35</v>
      </c>
      <c r="I310" t="s">
        <v>25</v>
      </c>
      <c r="J310" t="s">
        <v>168</v>
      </c>
      <c r="K310" t="s">
        <v>85</v>
      </c>
      <c r="L310" t="s">
        <v>218</v>
      </c>
      <c r="M310" t="s">
        <v>321</v>
      </c>
      <c r="N310">
        <v>13</v>
      </c>
      <c r="O310">
        <v>123865.26</v>
      </c>
      <c r="P310">
        <v>20</v>
      </c>
      <c r="Q310">
        <v>322049.68</v>
      </c>
      <c r="R310">
        <v>1288198.7</v>
      </c>
      <c r="S310">
        <v>388654.86</v>
      </c>
    </row>
    <row r="311" spans="1:19" ht="15" customHeight="1" x14ac:dyDescent="0.25">
      <c r="A311" t="s">
        <v>1150</v>
      </c>
      <c r="B311" s="8">
        <v>45369</v>
      </c>
      <c r="C311" s="8">
        <v>45371</v>
      </c>
      <c r="D311" t="s">
        <v>20</v>
      </c>
      <c r="E311" t="s">
        <v>1151</v>
      </c>
      <c r="F311" t="s">
        <v>1152</v>
      </c>
      <c r="G311">
        <v>8141827302</v>
      </c>
      <c r="H311" t="s">
        <v>43</v>
      </c>
      <c r="I311" t="s">
        <v>25</v>
      </c>
      <c r="J311" t="s">
        <v>126</v>
      </c>
      <c r="K311" t="s">
        <v>27</v>
      </c>
      <c r="L311" t="s">
        <v>28</v>
      </c>
      <c r="M311" t="s">
        <v>71</v>
      </c>
      <c r="N311">
        <v>17</v>
      </c>
      <c r="O311">
        <v>955.11</v>
      </c>
      <c r="P311">
        <v>15</v>
      </c>
      <c r="Q311">
        <v>2435.5300000000002</v>
      </c>
      <c r="R311">
        <v>13801.34</v>
      </c>
      <c r="S311">
        <v>4337.6899999999996</v>
      </c>
    </row>
    <row r="312" spans="1:19" ht="15" customHeight="1" x14ac:dyDescent="0.25">
      <c r="A312" t="s">
        <v>1153</v>
      </c>
      <c r="B312" s="8">
        <v>45561</v>
      </c>
      <c r="C312" s="8">
        <v>45565</v>
      </c>
      <c r="D312" t="s">
        <v>73</v>
      </c>
      <c r="E312" t="s">
        <v>798</v>
      </c>
      <c r="F312" t="s">
        <v>1154</v>
      </c>
      <c r="G312">
        <v>8132201986</v>
      </c>
      <c r="H312" t="s">
        <v>43</v>
      </c>
      <c r="I312" t="s">
        <v>61</v>
      </c>
      <c r="J312" t="s">
        <v>62</v>
      </c>
      <c r="K312" t="s">
        <v>63</v>
      </c>
      <c r="L312" t="s">
        <v>194</v>
      </c>
      <c r="M312" t="s">
        <v>257</v>
      </c>
      <c r="N312">
        <v>19</v>
      </c>
      <c r="O312">
        <v>8423.59</v>
      </c>
      <c r="P312">
        <v>0</v>
      </c>
      <c r="Q312">
        <v>0</v>
      </c>
      <c r="R312">
        <v>160048.21</v>
      </c>
      <c r="S312">
        <v>-13201.11</v>
      </c>
    </row>
    <row r="313" spans="1:19" ht="15" customHeight="1" x14ac:dyDescent="0.25">
      <c r="A313" t="s">
        <v>1155</v>
      </c>
      <c r="B313" s="8">
        <v>44952</v>
      </c>
      <c r="C313" s="8">
        <v>44955</v>
      </c>
      <c r="D313" t="s">
        <v>20</v>
      </c>
      <c r="E313" t="s">
        <v>910</v>
      </c>
      <c r="F313" t="s">
        <v>911</v>
      </c>
      <c r="G313">
        <v>9026114011</v>
      </c>
      <c r="H313" t="s">
        <v>43</v>
      </c>
      <c r="I313" t="s">
        <v>69</v>
      </c>
      <c r="J313" t="s">
        <v>70</v>
      </c>
      <c r="K313" t="s">
        <v>85</v>
      </c>
      <c r="L313" t="s">
        <v>243</v>
      </c>
      <c r="M313" t="s">
        <v>244</v>
      </c>
      <c r="N313">
        <v>15</v>
      </c>
      <c r="O313">
        <v>149312.46</v>
      </c>
      <c r="P313">
        <v>0</v>
      </c>
      <c r="Q313">
        <v>0</v>
      </c>
      <c r="R313">
        <v>2239686.9</v>
      </c>
      <c r="S313">
        <v>255947.06</v>
      </c>
    </row>
    <row r="314" spans="1:19" ht="15" customHeight="1" x14ac:dyDescent="0.25">
      <c r="A314" t="s">
        <v>1156</v>
      </c>
      <c r="B314" s="8">
        <v>44881</v>
      </c>
      <c r="C314" s="8">
        <v>44883</v>
      </c>
      <c r="D314" t="s">
        <v>20</v>
      </c>
      <c r="E314" t="s">
        <v>1031</v>
      </c>
      <c r="F314" t="s">
        <v>1157</v>
      </c>
      <c r="G314">
        <v>8133477610</v>
      </c>
      <c r="H314" t="s">
        <v>24</v>
      </c>
      <c r="I314" t="s">
        <v>61</v>
      </c>
      <c r="J314" t="s">
        <v>62</v>
      </c>
      <c r="K314" t="s">
        <v>63</v>
      </c>
      <c r="L314" t="s">
        <v>249</v>
      </c>
      <c r="M314" t="s">
        <v>1141</v>
      </c>
      <c r="N314" t="s">
        <v>1158</v>
      </c>
      <c r="O314">
        <v>17497.98</v>
      </c>
      <c r="P314">
        <v>10</v>
      </c>
      <c r="Q314">
        <v>6999.19</v>
      </c>
      <c r="R314">
        <v>62992.73</v>
      </c>
      <c r="S314">
        <v>7561.45</v>
      </c>
    </row>
    <row r="315" spans="1:19" ht="15" customHeight="1" x14ac:dyDescent="0.25">
      <c r="A315" t="s">
        <v>1159</v>
      </c>
      <c r="B315" s="8">
        <v>44979</v>
      </c>
      <c r="C315" s="8">
        <v>44984</v>
      </c>
      <c r="D315" t="s">
        <v>73</v>
      </c>
      <c r="E315" t="s">
        <v>1160</v>
      </c>
      <c r="F315" t="s">
        <v>422</v>
      </c>
      <c r="G315">
        <v>8159103837</v>
      </c>
      <c r="H315" t="s">
        <v>35</v>
      </c>
      <c r="I315" t="s">
        <v>25</v>
      </c>
      <c r="J315" t="s">
        <v>44</v>
      </c>
      <c r="K315" t="s">
        <v>27</v>
      </c>
      <c r="L315" t="s">
        <v>354</v>
      </c>
      <c r="M315" t="s">
        <v>355</v>
      </c>
      <c r="N315">
        <v>17</v>
      </c>
      <c r="O315">
        <v>3199.87</v>
      </c>
      <c r="P315">
        <v>0</v>
      </c>
      <c r="Q315">
        <v>0</v>
      </c>
      <c r="R315">
        <v>54397.79</v>
      </c>
      <c r="S315">
        <v>178.09</v>
      </c>
    </row>
    <row r="316" spans="1:19" ht="15" customHeight="1" x14ac:dyDescent="0.25">
      <c r="A316" t="s">
        <v>1161</v>
      </c>
      <c r="B316" s="8">
        <v>44670</v>
      </c>
      <c r="C316" s="8">
        <v>44673</v>
      </c>
      <c r="D316" t="s">
        <v>20</v>
      </c>
      <c r="E316" t="s">
        <v>92</v>
      </c>
      <c r="F316" t="s">
        <v>1162</v>
      </c>
      <c r="G316">
        <v>9075551832</v>
      </c>
      <c r="H316" t="s">
        <v>35</v>
      </c>
      <c r="I316" t="s">
        <v>25</v>
      </c>
      <c r="J316" t="s">
        <v>44</v>
      </c>
      <c r="K316" t="s">
        <v>1163</v>
      </c>
      <c r="L316" t="s">
        <v>194</v>
      </c>
      <c r="M316" t="s">
        <v>700</v>
      </c>
      <c r="N316">
        <v>13</v>
      </c>
      <c r="O316">
        <v>967.42</v>
      </c>
      <c r="P316">
        <v>5</v>
      </c>
      <c r="Q316">
        <v>628.82000000000005</v>
      </c>
      <c r="R316">
        <v>11947.64</v>
      </c>
      <c r="S316">
        <v>5231.58</v>
      </c>
    </row>
    <row r="317" spans="1:19" ht="15" customHeight="1" x14ac:dyDescent="0.25">
      <c r="A317" t="s">
        <v>1164</v>
      </c>
      <c r="B317" s="8">
        <v>44943</v>
      </c>
      <c r="C317" s="8">
        <v>44949</v>
      </c>
      <c r="D317" t="s">
        <v>48</v>
      </c>
      <c r="E317" t="s">
        <v>1165</v>
      </c>
      <c r="F317" t="s">
        <v>1166</v>
      </c>
      <c r="G317">
        <v>8035150551</v>
      </c>
      <c r="H317" t="s">
        <v>43</v>
      </c>
      <c r="I317" t="s">
        <v>25</v>
      </c>
      <c r="J317" t="s">
        <v>44</v>
      </c>
      <c r="K317" t="s">
        <v>27</v>
      </c>
      <c r="L317" t="s">
        <v>45</v>
      </c>
      <c r="M317" t="s">
        <v>838</v>
      </c>
      <c r="N317">
        <v>6</v>
      </c>
      <c r="O317">
        <v>4072.48</v>
      </c>
      <c r="P317">
        <v>0</v>
      </c>
      <c r="Q317">
        <v>0</v>
      </c>
      <c r="R317">
        <v>24434.880000000001</v>
      </c>
      <c r="S317">
        <v>1418.88</v>
      </c>
    </row>
    <row r="318" spans="1:19" ht="15" customHeight="1" x14ac:dyDescent="0.25">
      <c r="A318" t="s">
        <v>1167</v>
      </c>
      <c r="B318" s="8">
        <v>45045</v>
      </c>
      <c r="C318" s="8">
        <v>45048</v>
      </c>
      <c r="D318" t="s">
        <v>20</v>
      </c>
      <c r="E318" t="s">
        <v>1168</v>
      </c>
      <c r="F318" t="s">
        <v>1169</v>
      </c>
      <c r="G318">
        <v>7061494355</v>
      </c>
      <c r="H318" t="s">
        <v>24</v>
      </c>
      <c r="I318" t="s">
        <v>51</v>
      </c>
      <c r="J318" t="s">
        <v>223</v>
      </c>
      <c r="K318" t="s">
        <v>27</v>
      </c>
      <c r="L318" t="s">
        <v>45</v>
      </c>
      <c r="M318" t="s">
        <v>523</v>
      </c>
      <c r="N318">
        <v>13</v>
      </c>
      <c r="O318">
        <v>1468.15</v>
      </c>
      <c r="P318">
        <v>0</v>
      </c>
      <c r="Q318">
        <v>0</v>
      </c>
      <c r="R318">
        <v>19085.95</v>
      </c>
      <c r="S318">
        <v>-1857.5</v>
      </c>
    </row>
    <row r="319" spans="1:19" ht="15" customHeight="1" x14ac:dyDescent="0.25">
      <c r="A319" t="s">
        <v>1170</v>
      </c>
      <c r="B319" s="8">
        <v>45416</v>
      </c>
      <c r="C319" s="8">
        <v>45413</v>
      </c>
      <c r="D319" t="s">
        <v>73</v>
      </c>
      <c r="E319" t="s">
        <v>1171</v>
      </c>
      <c r="F319" t="s">
        <v>1172</v>
      </c>
      <c r="G319">
        <v>8166524481</v>
      </c>
      <c r="H319" t="s">
        <v>24</v>
      </c>
      <c r="I319" t="s">
        <v>69</v>
      </c>
      <c r="J319" t="s">
        <v>155</v>
      </c>
      <c r="K319" t="s">
        <v>37</v>
      </c>
      <c r="L319" t="s">
        <v>189</v>
      </c>
      <c r="M319" t="s">
        <v>190</v>
      </c>
      <c r="N319">
        <v>5</v>
      </c>
      <c r="O319">
        <v>10890.56</v>
      </c>
      <c r="P319">
        <v>25</v>
      </c>
      <c r="Q319">
        <v>13613.2</v>
      </c>
      <c r="R319">
        <v>40839.599999999999</v>
      </c>
      <c r="S319">
        <v>10635.82</v>
      </c>
    </row>
    <row r="320" spans="1:19" ht="15" customHeight="1" x14ac:dyDescent="0.25">
      <c r="A320" t="s">
        <v>1173</v>
      </c>
      <c r="B320" s="8">
        <v>45442</v>
      </c>
      <c r="C320" s="8">
        <v>45445</v>
      </c>
      <c r="D320" t="s">
        <v>73</v>
      </c>
      <c r="E320" t="s">
        <v>1174</v>
      </c>
      <c r="F320" t="s">
        <v>1175</v>
      </c>
      <c r="G320">
        <v>8069941610</v>
      </c>
      <c r="H320" t="s">
        <v>43</v>
      </c>
      <c r="I320" t="s">
        <v>61</v>
      </c>
      <c r="J320" t="s">
        <v>62</v>
      </c>
      <c r="K320" t="s">
        <v>96</v>
      </c>
      <c r="L320" t="s">
        <v>385</v>
      </c>
      <c r="M320" t="s">
        <v>386</v>
      </c>
      <c r="N320">
        <v>5</v>
      </c>
      <c r="O320">
        <v>380192.29</v>
      </c>
      <c r="P320">
        <v>0</v>
      </c>
      <c r="Q320">
        <v>0</v>
      </c>
      <c r="R320">
        <v>1900961.45</v>
      </c>
      <c r="S320">
        <v>587893.25</v>
      </c>
    </row>
    <row r="321" spans="1:19" ht="15" customHeight="1" x14ac:dyDescent="0.25">
      <c r="A321" t="s">
        <v>1176</v>
      </c>
      <c r="B321" s="8">
        <v>45122</v>
      </c>
      <c r="C321" s="8">
        <v>45122</v>
      </c>
      <c r="D321" t="s">
        <v>32</v>
      </c>
      <c r="E321" t="s">
        <v>1177</v>
      </c>
      <c r="F321" t="s">
        <v>1178</v>
      </c>
      <c r="G321">
        <v>8101439533</v>
      </c>
      <c r="H321" t="s">
        <v>43</v>
      </c>
      <c r="I321" t="s">
        <v>69</v>
      </c>
      <c r="J321" t="s">
        <v>70</v>
      </c>
      <c r="K321" t="s">
        <v>27</v>
      </c>
      <c r="L321" t="s">
        <v>173</v>
      </c>
      <c r="M321" t="s">
        <v>174</v>
      </c>
      <c r="N321">
        <v>20</v>
      </c>
      <c r="O321">
        <v>4963.1499999999996</v>
      </c>
      <c r="P321">
        <v>5</v>
      </c>
      <c r="Q321">
        <v>4963.1499999999996</v>
      </c>
      <c r="R321">
        <v>94299.85</v>
      </c>
      <c r="S321">
        <v>19597.060000000001</v>
      </c>
    </row>
    <row r="322" spans="1:19" ht="15" customHeight="1" x14ac:dyDescent="0.25">
      <c r="A322" t="s">
        <v>1179</v>
      </c>
      <c r="B322" s="8">
        <v>45538</v>
      </c>
      <c r="D322" t="s">
        <v>48</v>
      </c>
      <c r="E322" t="s">
        <v>492</v>
      </c>
      <c r="F322" t="s">
        <v>1180</v>
      </c>
      <c r="G322">
        <v>9017273997</v>
      </c>
      <c r="H322" t="s">
        <v>43</v>
      </c>
      <c r="I322" t="s">
        <v>61</v>
      </c>
      <c r="J322" t="s">
        <v>95</v>
      </c>
      <c r="K322" t="s">
        <v>85</v>
      </c>
      <c r="L322" t="s">
        <v>486</v>
      </c>
      <c r="M322" t="s">
        <v>1018</v>
      </c>
      <c r="N322">
        <v>6</v>
      </c>
      <c r="O322">
        <v>89501.67</v>
      </c>
      <c r="P322">
        <v>5</v>
      </c>
      <c r="Q322">
        <v>26850.5</v>
      </c>
      <c r="R322">
        <v>510159.52</v>
      </c>
      <c r="S322">
        <v>-7262.71</v>
      </c>
    </row>
    <row r="323" spans="1:19" ht="15" customHeight="1" x14ac:dyDescent="0.25">
      <c r="A323" t="s">
        <v>1181</v>
      </c>
      <c r="B323" s="8">
        <v>45017</v>
      </c>
      <c r="C323" s="8">
        <v>45017</v>
      </c>
      <c r="D323" t="s">
        <v>32</v>
      </c>
      <c r="E323" t="s">
        <v>1182</v>
      </c>
      <c r="F323" t="s">
        <v>1183</v>
      </c>
      <c r="G323">
        <v>8149219877</v>
      </c>
      <c r="H323" t="s">
        <v>43</v>
      </c>
      <c r="I323" t="s">
        <v>69</v>
      </c>
      <c r="J323" t="s">
        <v>307</v>
      </c>
      <c r="K323" t="s">
        <v>63</v>
      </c>
      <c r="L323" t="s">
        <v>194</v>
      </c>
      <c r="M323" t="s">
        <v>257</v>
      </c>
      <c r="N323">
        <v>14</v>
      </c>
      <c r="O323">
        <v>22245.88</v>
      </c>
      <c r="P323">
        <v>15</v>
      </c>
      <c r="Q323">
        <v>46716.35</v>
      </c>
      <c r="R323">
        <v>264725.96999999997</v>
      </c>
      <c r="S323">
        <v>83581.62</v>
      </c>
    </row>
    <row r="324" spans="1:19" ht="15" customHeight="1" x14ac:dyDescent="0.25">
      <c r="A324" t="s">
        <v>1184</v>
      </c>
      <c r="B324" s="8">
        <v>45628</v>
      </c>
      <c r="C324" s="8">
        <v>45633</v>
      </c>
      <c r="D324" t="s">
        <v>48</v>
      </c>
      <c r="E324" t="s">
        <v>773</v>
      </c>
      <c r="F324" t="s">
        <v>1185</v>
      </c>
      <c r="G324">
        <v>8139702386</v>
      </c>
      <c r="H324" t="s">
        <v>43</v>
      </c>
      <c r="I324" t="s">
        <v>69</v>
      </c>
      <c r="J324" t="s">
        <v>144</v>
      </c>
      <c r="K324" t="s">
        <v>27</v>
      </c>
      <c r="L324" t="s">
        <v>28</v>
      </c>
      <c r="M324" t="s">
        <v>29</v>
      </c>
      <c r="N324">
        <v>17</v>
      </c>
      <c r="O324">
        <v>4594.3</v>
      </c>
      <c r="P324">
        <v>0</v>
      </c>
      <c r="Q324">
        <v>0</v>
      </c>
      <c r="R324" t="s">
        <v>1186</v>
      </c>
      <c r="S324">
        <v>-2818.72</v>
      </c>
    </row>
    <row r="325" spans="1:19" ht="15" customHeight="1" x14ac:dyDescent="0.25">
      <c r="A325" t="s">
        <v>1187</v>
      </c>
      <c r="B325" s="8">
        <v>45506</v>
      </c>
      <c r="C325" s="8">
        <v>45508</v>
      </c>
      <c r="D325" t="s">
        <v>20</v>
      </c>
      <c r="E325" t="s">
        <v>1188</v>
      </c>
      <c r="F325" t="s">
        <v>1189</v>
      </c>
      <c r="G325">
        <v>9019673311</v>
      </c>
      <c r="H325" t="s">
        <v>43</v>
      </c>
      <c r="I325" t="s">
        <v>69</v>
      </c>
      <c r="J325" t="s">
        <v>70</v>
      </c>
      <c r="K325" t="s">
        <v>85</v>
      </c>
      <c r="L325" t="s">
        <v>486</v>
      </c>
      <c r="M325" t="s">
        <v>1018</v>
      </c>
      <c r="N325">
        <v>17</v>
      </c>
      <c r="O325">
        <v>23555.82</v>
      </c>
      <c r="P325">
        <v>0</v>
      </c>
      <c r="Q325">
        <v>0</v>
      </c>
      <c r="R325">
        <v>400448.94</v>
      </c>
      <c r="S325">
        <v>-16873.78</v>
      </c>
    </row>
    <row r="326" spans="1:19" ht="15" customHeight="1" x14ac:dyDescent="0.25">
      <c r="A326" t="s">
        <v>1190</v>
      </c>
      <c r="B326" s="8">
        <v>44992</v>
      </c>
      <c r="C326" s="8">
        <v>44995</v>
      </c>
      <c r="D326" t="s">
        <v>73</v>
      </c>
      <c r="E326" t="s">
        <v>1191</v>
      </c>
      <c r="F326" t="s">
        <v>1192</v>
      </c>
      <c r="G326">
        <v>9079880742</v>
      </c>
      <c r="H326" t="s">
        <v>43</v>
      </c>
      <c r="I326" t="s">
        <v>25</v>
      </c>
      <c r="J326" t="s">
        <v>26</v>
      </c>
      <c r="K326" t="s">
        <v>85</v>
      </c>
      <c r="L326" t="s">
        <v>486</v>
      </c>
      <c r="M326" t="s">
        <v>1193</v>
      </c>
      <c r="N326">
        <v>16</v>
      </c>
      <c r="O326">
        <v>129816.87</v>
      </c>
      <c r="P326">
        <v>0</v>
      </c>
      <c r="Q326">
        <v>0</v>
      </c>
      <c r="R326">
        <v>2077069.92</v>
      </c>
      <c r="S326">
        <v>273189.27</v>
      </c>
    </row>
    <row r="327" spans="1:19" ht="15" customHeight="1" x14ac:dyDescent="0.25">
      <c r="A327" t="s">
        <v>1194</v>
      </c>
      <c r="B327" s="8">
        <v>45485</v>
      </c>
      <c r="C327" s="8">
        <v>45487</v>
      </c>
      <c r="D327" t="s">
        <v>20</v>
      </c>
      <c r="E327" t="s">
        <v>1195</v>
      </c>
      <c r="F327" t="s">
        <v>1196</v>
      </c>
      <c r="G327">
        <v>8142512963</v>
      </c>
      <c r="H327" t="s">
        <v>43</v>
      </c>
      <c r="I327" t="s">
        <v>61</v>
      </c>
      <c r="J327" t="s">
        <v>204</v>
      </c>
      <c r="K327" t="s">
        <v>63</v>
      </c>
      <c r="L327" t="s">
        <v>558</v>
      </c>
      <c r="M327" t="s">
        <v>680</v>
      </c>
      <c r="N327" t="s">
        <v>1158</v>
      </c>
      <c r="O327">
        <v>18100.18</v>
      </c>
      <c r="P327">
        <v>0</v>
      </c>
      <c r="Q327">
        <v>0</v>
      </c>
      <c r="R327">
        <v>72400.72</v>
      </c>
      <c r="S327">
        <v>-5900.73</v>
      </c>
    </row>
    <row r="328" spans="1:19" ht="15" customHeight="1" x14ac:dyDescent="0.25">
      <c r="A328" t="s">
        <v>1197</v>
      </c>
      <c r="B328" s="8">
        <v>45609</v>
      </c>
      <c r="C328" s="8">
        <v>45609</v>
      </c>
      <c r="D328" t="s">
        <v>32</v>
      </c>
      <c r="E328" t="s">
        <v>1198</v>
      </c>
      <c r="F328" t="s">
        <v>1199</v>
      </c>
      <c r="G328">
        <v>8033866974</v>
      </c>
      <c r="H328" t="s">
        <v>35</v>
      </c>
      <c r="I328" t="s">
        <v>69</v>
      </c>
      <c r="J328" t="s">
        <v>144</v>
      </c>
      <c r="K328" t="s">
        <v>63</v>
      </c>
      <c r="L328" t="s">
        <v>312</v>
      </c>
      <c r="M328" t="s">
        <v>736</v>
      </c>
      <c r="N328">
        <v>5</v>
      </c>
      <c r="O328">
        <v>4472.04</v>
      </c>
      <c r="P328">
        <v>0</v>
      </c>
      <c r="Q328">
        <v>0</v>
      </c>
      <c r="R328">
        <v>22360.2</v>
      </c>
      <c r="S328">
        <v>6965.07</v>
      </c>
    </row>
    <row r="329" spans="1:19" ht="15" customHeight="1" x14ac:dyDescent="0.25">
      <c r="A329" t="s">
        <v>1200</v>
      </c>
      <c r="B329" s="8">
        <v>45475</v>
      </c>
      <c r="C329" s="8">
        <v>45478</v>
      </c>
      <c r="D329" t="s">
        <v>20</v>
      </c>
      <c r="E329" t="s">
        <v>1201</v>
      </c>
      <c r="F329" t="s">
        <v>1202</v>
      </c>
      <c r="G329">
        <v>8131059272</v>
      </c>
      <c r="H329" t="s">
        <v>43</v>
      </c>
      <c r="I329" t="s">
        <v>1203</v>
      </c>
      <c r="J329" t="s">
        <v>168</v>
      </c>
      <c r="K329" t="s">
        <v>27</v>
      </c>
      <c r="L329" t="s">
        <v>45</v>
      </c>
      <c r="M329" t="s">
        <v>308</v>
      </c>
      <c r="N329">
        <v>16</v>
      </c>
      <c r="O329">
        <v>3831.55</v>
      </c>
      <c r="P329">
        <v>25</v>
      </c>
      <c r="Q329">
        <v>15326.2</v>
      </c>
      <c r="R329">
        <v>45978.6</v>
      </c>
      <c r="S329">
        <v>15378.59</v>
      </c>
    </row>
    <row r="330" spans="1:19" ht="15" customHeight="1" x14ac:dyDescent="0.25">
      <c r="A330" t="s">
        <v>1204</v>
      </c>
      <c r="B330" s="8">
        <v>45098</v>
      </c>
      <c r="C330" s="8">
        <v>45103</v>
      </c>
      <c r="D330" t="s">
        <v>73</v>
      </c>
      <c r="E330" t="s">
        <v>1205</v>
      </c>
      <c r="F330" t="s">
        <v>1206</v>
      </c>
      <c r="G330">
        <v>9058195804</v>
      </c>
      <c r="H330" t="s">
        <v>43</v>
      </c>
      <c r="I330" t="s">
        <v>61</v>
      </c>
      <c r="J330" t="s">
        <v>95</v>
      </c>
      <c r="K330" t="s">
        <v>27</v>
      </c>
      <c r="L330" t="s">
        <v>45</v>
      </c>
      <c r="M330" t="s">
        <v>523</v>
      </c>
      <c r="N330">
        <v>12</v>
      </c>
      <c r="O330">
        <v>985.77</v>
      </c>
      <c r="P330">
        <v>0</v>
      </c>
      <c r="Q330">
        <v>0</v>
      </c>
      <c r="R330">
        <v>11829.24</v>
      </c>
      <c r="S330">
        <v>4948.72</v>
      </c>
    </row>
    <row r="331" spans="1:19" ht="15" customHeight="1" x14ac:dyDescent="0.25">
      <c r="A331" t="s">
        <v>1207</v>
      </c>
      <c r="B331" s="8">
        <v>45491</v>
      </c>
      <c r="C331" s="8">
        <v>45492</v>
      </c>
      <c r="D331" t="s">
        <v>32</v>
      </c>
      <c r="E331" t="s">
        <v>710</v>
      </c>
      <c r="F331" t="s">
        <v>711</v>
      </c>
      <c r="G331">
        <v>8135665960</v>
      </c>
      <c r="H331" t="s">
        <v>35</v>
      </c>
      <c r="I331" t="s">
        <v>69</v>
      </c>
      <c r="J331" t="s">
        <v>119</v>
      </c>
      <c r="K331" t="s">
        <v>27</v>
      </c>
      <c r="L331" t="s">
        <v>173</v>
      </c>
      <c r="M331" t="s">
        <v>1208</v>
      </c>
      <c r="N331">
        <v>5</v>
      </c>
      <c r="O331">
        <v>676.67</v>
      </c>
      <c r="P331">
        <v>0</v>
      </c>
      <c r="Q331">
        <v>0</v>
      </c>
      <c r="R331">
        <v>3383.35</v>
      </c>
      <c r="S331">
        <v>818.66</v>
      </c>
    </row>
    <row r="332" spans="1:19" ht="15" customHeight="1" x14ac:dyDescent="0.25">
      <c r="A332" t="s">
        <v>1209</v>
      </c>
      <c r="B332" s="8">
        <v>45240</v>
      </c>
      <c r="C332" s="8">
        <v>45242</v>
      </c>
      <c r="D332" t="s">
        <v>20</v>
      </c>
      <c r="E332" t="s">
        <v>823</v>
      </c>
      <c r="F332" t="s">
        <v>1210</v>
      </c>
      <c r="G332">
        <v>8103706755</v>
      </c>
      <c r="H332" t="s">
        <v>35</v>
      </c>
      <c r="I332" t="s">
        <v>25</v>
      </c>
      <c r="J332" t="s">
        <v>126</v>
      </c>
      <c r="K332" t="s">
        <v>63</v>
      </c>
      <c r="L332" t="s">
        <v>312</v>
      </c>
      <c r="M332" t="s">
        <v>686</v>
      </c>
      <c r="N332">
        <v>18</v>
      </c>
      <c r="O332">
        <v>14520.92</v>
      </c>
      <c r="P332">
        <v>0</v>
      </c>
      <c r="Q332">
        <v>0</v>
      </c>
      <c r="R332">
        <v>261376.56</v>
      </c>
      <c r="S332">
        <v>112333.36</v>
      </c>
    </row>
    <row r="333" spans="1:19" ht="15" customHeight="1" x14ac:dyDescent="0.25">
      <c r="A333" t="s">
        <v>1211</v>
      </c>
      <c r="B333" s="8">
        <v>45223</v>
      </c>
      <c r="C333" s="8">
        <v>45226</v>
      </c>
      <c r="D333" t="s">
        <v>20</v>
      </c>
      <c r="E333" t="s">
        <v>1212</v>
      </c>
      <c r="F333" t="s">
        <v>1213</v>
      </c>
      <c r="G333">
        <v>9028169304</v>
      </c>
      <c r="H333" t="s">
        <v>35</v>
      </c>
      <c r="I333" t="s">
        <v>51</v>
      </c>
      <c r="J333" t="s">
        <v>52</v>
      </c>
      <c r="K333" t="s">
        <v>27</v>
      </c>
      <c r="L333" t="s">
        <v>79</v>
      </c>
      <c r="M333" t="s">
        <v>80</v>
      </c>
      <c r="N333">
        <v>4</v>
      </c>
      <c r="O333">
        <v>3925.29</v>
      </c>
      <c r="P333">
        <v>10</v>
      </c>
      <c r="Q333">
        <v>1570.12</v>
      </c>
      <c r="R333">
        <v>14131.04</v>
      </c>
      <c r="S333">
        <v>671.58</v>
      </c>
    </row>
    <row r="334" spans="1:19" ht="15" customHeight="1" x14ac:dyDescent="0.25">
      <c r="A334" t="s">
        <v>1214</v>
      </c>
      <c r="B334" s="8">
        <v>44681</v>
      </c>
      <c r="C334" s="8">
        <v>44684</v>
      </c>
      <c r="D334" t="s">
        <v>73</v>
      </c>
      <c r="E334" t="s">
        <v>1215</v>
      </c>
      <c r="F334" t="s">
        <v>1216</v>
      </c>
      <c r="G334">
        <v>8145818203</v>
      </c>
      <c r="H334" t="s">
        <v>1217</v>
      </c>
      <c r="I334" t="s">
        <v>69</v>
      </c>
      <c r="J334" t="s">
        <v>155</v>
      </c>
      <c r="K334" t="s">
        <v>108</v>
      </c>
      <c r="L334" t="s">
        <v>189</v>
      </c>
      <c r="M334" t="s">
        <v>325</v>
      </c>
      <c r="N334">
        <v>19</v>
      </c>
      <c r="O334">
        <v>13165.38</v>
      </c>
      <c r="P334">
        <v>10</v>
      </c>
      <c r="Q334">
        <v>25014.22</v>
      </c>
      <c r="R334">
        <v>225128</v>
      </c>
      <c r="S334">
        <v>91461.23</v>
      </c>
    </row>
    <row r="335" spans="1:19" ht="15" customHeight="1" x14ac:dyDescent="0.25">
      <c r="A335" t="s">
        <v>1218</v>
      </c>
      <c r="B335" s="8" t="s">
        <v>1219</v>
      </c>
      <c r="C335" s="8">
        <v>45570</v>
      </c>
      <c r="D335" t="s">
        <v>32</v>
      </c>
      <c r="E335" t="s">
        <v>1220</v>
      </c>
      <c r="F335" t="s">
        <v>1221</v>
      </c>
      <c r="G335">
        <v>8131026523</v>
      </c>
      <c r="H335" t="s">
        <v>24</v>
      </c>
      <c r="I335" t="s">
        <v>69</v>
      </c>
      <c r="J335" t="s">
        <v>155</v>
      </c>
      <c r="K335" t="s">
        <v>96</v>
      </c>
      <c r="L335" t="s">
        <v>120</v>
      </c>
      <c r="M335" t="s">
        <v>133</v>
      </c>
      <c r="N335">
        <v>4</v>
      </c>
      <c r="O335">
        <v>287075.42</v>
      </c>
      <c r="P335">
        <v>5</v>
      </c>
      <c r="Q335">
        <v>57415.08</v>
      </c>
      <c r="R335">
        <v>1090886.6000000001</v>
      </c>
      <c r="S335">
        <v>359707.43</v>
      </c>
    </row>
    <row r="336" spans="1:19" ht="15" customHeight="1" x14ac:dyDescent="0.25">
      <c r="A336" t="s">
        <v>1222</v>
      </c>
      <c r="B336" s="8" t="s">
        <v>1223</v>
      </c>
      <c r="C336" s="8">
        <v>45280</v>
      </c>
      <c r="D336" t="s">
        <v>20</v>
      </c>
      <c r="E336" t="s">
        <v>1224</v>
      </c>
      <c r="F336" t="s">
        <v>1225</v>
      </c>
      <c r="G336">
        <v>9015724912</v>
      </c>
      <c r="H336" t="s">
        <v>35</v>
      </c>
      <c r="I336" t="s">
        <v>69</v>
      </c>
      <c r="J336" t="s">
        <v>70</v>
      </c>
      <c r="K336" t="s">
        <v>63</v>
      </c>
      <c r="L336" t="s">
        <v>194</v>
      </c>
      <c r="M336" t="s">
        <v>1226</v>
      </c>
      <c r="N336">
        <v>17</v>
      </c>
      <c r="O336">
        <v>8040.43</v>
      </c>
      <c r="P336">
        <v>25</v>
      </c>
      <c r="Q336">
        <v>34171.83</v>
      </c>
      <c r="R336">
        <v>102515.48</v>
      </c>
      <c r="S336">
        <v>4547</v>
      </c>
    </row>
    <row r="337" spans="1:19" ht="15" customHeight="1" x14ac:dyDescent="0.25">
      <c r="A337" t="s">
        <v>1227</v>
      </c>
      <c r="B337" s="8">
        <v>45261</v>
      </c>
      <c r="C337" s="8">
        <v>45264</v>
      </c>
      <c r="D337" t="s">
        <v>20</v>
      </c>
      <c r="E337" t="s">
        <v>1228</v>
      </c>
      <c r="F337" t="s">
        <v>1229</v>
      </c>
      <c r="G337">
        <v>8033946567</v>
      </c>
      <c r="H337" t="s">
        <v>24</v>
      </c>
      <c r="I337" t="s">
        <v>25</v>
      </c>
      <c r="J337" t="s">
        <v>26</v>
      </c>
      <c r="K337" t="s">
        <v>85</v>
      </c>
      <c r="L337" t="s">
        <v>243</v>
      </c>
      <c r="M337" t="s">
        <v>404</v>
      </c>
      <c r="N337">
        <v>16</v>
      </c>
      <c r="O337" t="s">
        <v>1230</v>
      </c>
      <c r="P337">
        <v>20</v>
      </c>
      <c r="Q337">
        <v>533222.78</v>
      </c>
      <c r="R337">
        <v>2132891.14</v>
      </c>
      <c r="S337">
        <v>700340.42</v>
      </c>
    </row>
    <row r="338" spans="1:19" ht="15" customHeight="1" x14ac:dyDescent="0.25">
      <c r="A338" t="s">
        <v>1231</v>
      </c>
      <c r="B338" s="8">
        <v>45248</v>
      </c>
      <c r="C338" s="8">
        <v>45249</v>
      </c>
      <c r="D338" t="s">
        <v>32</v>
      </c>
      <c r="E338" t="s">
        <v>1232</v>
      </c>
      <c r="F338" t="s">
        <v>1233</v>
      </c>
      <c r="G338">
        <v>8039742158</v>
      </c>
      <c r="H338" t="s">
        <v>35</v>
      </c>
      <c r="I338" t="s">
        <v>1234</v>
      </c>
      <c r="J338" t="s">
        <v>204</v>
      </c>
      <c r="K338" t="s">
        <v>63</v>
      </c>
      <c r="L338" t="s">
        <v>312</v>
      </c>
      <c r="M338" t="s">
        <v>761</v>
      </c>
      <c r="N338">
        <v>1</v>
      </c>
      <c r="O338">
        <v>14101.84</v>
      </c>
      <c r="P338">
        <v>5</v>
      </c>
      <c r="Q338">
        <v>705.09</v>
      </c>
      <c r="R338">
        <v>13396.75</v>
      </c>
      <c r="S338">
        <v>2631.64</v>
      </c>
    </row>
    <row r="339" spans="1:19" ht="15" customHeight="1" x14ac:dyDescent="0.25">
      <c r="A339" t="s">
        <v>1235</v>
      </c>
      <c r="B339" s="8">
        <v>45136</v>
      </c>
      <c r="C339" s="8">
        <v>45139</v>
      </c>
      <c r="D339" t="s">
        <v>73</v>
      </c>
      <c r="E339" t="s">
        <v>1236</v>
      </c>
      <c r="F339" t="s">
        <v>1237</v>
      </c>
      <c r="G339">
        <v>9057535837</v>
      </c>
      <c r="H339" t="s">
        <v>125</v>
      </c>
      <c r="I339" t="s">
        <v>51</v>
      </c>
      <c r="J339" t="s">
        <v>223</v>
      </c>
      <c r="K339" t="s">
        <v>85</v>
      </c>
      <c r="L339" t="s">
        <v>266</v>
      </c>
      <c r="M339" t="s">
        <v>267</v>
      </c>
      <c r="N339">
        <v>10</v>
      </c>
      <c r="O339">
        <v>156710.10999999999</v>
      </c>
      <c r="P339">
        <v>10</v>
      </c>
      <c r="Q339">
        <v>156710.10999999999</v>
      </c>
      <c r="R339">
        <v>1410390.99</v>
      </c>
      <c r="S339">
        <v>389132.53</v>
      </c>
    </row>
    <row r="340" spans="1:19" ht="15" customHeight="1" x14ac:dyDescent="0.25">
      <c r="A340" t="s">
        <v>1238</v>
      </c>
      <c r="B340" s="8">
        <v>45048</v>
      </c>
      <c r="C340" s="8">
        <v>45049</v>
      </c>
      <c r="D340" t="s">
        <v>32</v>
      </c>
      <c r="E340" t="s">
        <v>1239</v>
      </c>
      <c r="F340" t="s">
        <v>1240</v>
      </c>
      <c r="G340">
        <v>8139809723</v>
      </c>
      <c r="H340" t="s">
        <v>35</v>
      </c>
      <c r="I340" t="s">
        <v>51</v>
      </c>
      <c r="J340" t="s">
        <v>316</v>
      </c>
      <c r="K340" t="s">
        <v>63</v>
      </c>
      <c r="L340" t="s">
        <v>54</v>
      </c>
      <c r="M340" t="s">
        <v>1039</v>
      </c>
      <c r="N340">
        <v>2</v>
      </c>
      <c r="O340">
        <v>9668.2800000000007</v>
      </c>
      <c r="P340">
        <v>5</v>
      </c>
      <c r="Q340">
        <v>966.83</v>
      </c>
      <c r="R340">
        <v>18369.73</v>
      </c>
      <c r="S340">
        <v>7311.38</v>
      </c>
    </row>
    <row r="341" spans="1:19" ht="15" customHeight="1" x14ac:dyDescent="0.25">
      <c r="A341" t="s">
        <v>1241</v>
      </c>
      <c r="B341" s="8">
        <v>45586</v>
      </c>
      <c r="C341" s="8">
        <v>45586</v>
      </c>
      <c r="D341" t="s">
        <v>32</v>
      </c>
      <c r="E341" t="s">
        <v>1242</v>
      </c>
      <c r="F341" t="s">
        <v>1243</v>
      </c>
      <c r="G341">
        <v>9019785019</v>
      </c>
      <c r="H341" t="s">
        <v>35</v>
      </c>
      <c r="I341" t="s">
        <v>69</v>
      </c>
      <c r="J341" t="s">
        <v>155</v>
      </c>
      <c r="K341" t="s">
        <v>63</v>
      </c>
      <c r="L341" t="s">
        <v>194</v>
      </c>
      <c r="M341" t="s">
        <v>716</v>
      </c>
      <c r="N341">
        <v>4</v>
      </c>
      <c r="O341">
        <v>4010.73</v>
      </c>
      <c r="P341">
        <v>25</v>
      </c>
      <c r="Q341">
        <v>4010.73</v>
      </c>
      <c r="R341">
        <v>12032.19</v>
      </c>
      <c r="S341">
        <v>3080.61</v>
      </c>
    </row>
    <row r="342" spans="1:19" ht="15" customHeight="1" x14ac:dyDescent="0.25">
      <c r="A342" t="s">
        <v>1244</v>
      </c>
      <c r="B342" s="8">
        <v>45502</v>
      </c>
      <c r="C342" s="8">
        <v>45510</v>
      </c>
      <c r="D342" t="s">
        <v>48</v>
      </c>
      <c r="E342" t="s">
        <v>1245</v>
      </c>
      <c r="F342" t="s">
        <v>1246</v>
      </c>
      <c r="G342">
        <v>8161738700</v>
      </c>
      <c r="H342" t="s">
        <v>24</v>
      </c>
      <c r="I342" t="s">
        <v>61</v>
      </c>
      <c r="J342" t="s">
        <v>62</v>
      </c>
      <c r="K342" t="s">
        <v>27</v>
      </c>
      <c r="L342" t="s">
        <v>79</v>
      </c>
      <c r="M342" t="s">
        <v>80</v>
      </c>
      <c r="N342">
        <v>2</v>
      </c>
      <c r="O342">
        <v>3894.94</v>
      </c>
      <c r="P342">
        <v>0</v>
      </c>
      <c r="Q342">
        <v>0</v>
      </c>
      <c r="R342">
        <v>7789.88</v>
      </c>
      <c r="S342">
        <v>1264.6600000000001</v>
      </c>
    </row>
    <row r="343" spans="1:19" ht="15" customHeight="1" x14ac:dyDescent="0.25">
      <c r="A343" t="s">
        <v>1247</v>
      </c>
      <c r="B343" s="8">
        <v>44991</v>
      </c>
      <c r="C343" s="8">
        <v>44994</v>
      </c>
      <c r="D343" t="s">
        <v>20</v>
      </c>
      <c r="E343" t="s">
        <v>1248</v>
      </c>
      <c r="F343" t="s">
        <v>1249</v>
      </c>
      <c r="G343">
        <v>8169930106</v>
      </c>
      <c r="H343" t="s">
        <v>24</v>
      </c>
      <c r="I343" t="s">
        <v>51</v>
      </c>
      <c r="J343" t="s">
        <v>52</v>
      </c>
      <c r="K343" t="s">
        <v>63</v>
      </c>
      <c r="L343" t="s">
        <v>194</v>
      </c>
      <c r="M343" t="s">
        <v>257</v>
      </c>
      <c r="N343">
        <v>9</v>
      </c>
      <c r="O343">
        <v>16942.54</v>
      </c>
      <c r="P343">
        <v>0</v>
      </c>
      <c r="Q343">
        <v>0</v>
      </c>
      <c r="R343">
        <v>152482.85999999999</v>
      </c>
      <c r="S343">
        <v>-8463.16</v>
      </c>
    </row>
    <row r="344" spans="1:19" ht="15" customHeight="1" x14ac:dyDescent="0.25">
      <c r="A344" t="s">
        <v>1250</v>
      </c>
      <c r="B344" s="8">
        <v>44985</v>
      </c>
      <c r="C344" s="8">
        <v>44992</v>
      </c>
      <c r="D344" t="s">
        <v>48</v>
      </c>
      <c r="E344" t="s">
        <v>537</v>
      </c>
      <c r="F344" t="s">
        <v>1251</v>
      </c>
      <c r="G344">
        <v>8105752443</v>
      </c>
      <c r="H344" t="s">
        <v>24</v>
      </c>
      <c r="I344" t="s">
        <v>25</v>
      </c>
      <c r="J344" t="s">
        <v>606</v>
      </c>
      <c r="K344" t="s">
        <v>27</v>
      </c>
      <c r="L344" t="s">
        <v>354</v>
      </c>
      <c r="M344" t="s">
        <v>625</v>
      </c>
      <c r="N344">
        <v>20</v>
      </c>
      <c r="O344">
        <v>848.57</v>
      </c>
      <c r="P344">
        <v>10</v>
      </c>
      <c r="Q344">
        <v>1697.14</v>
      </c>
      <c r="R344">
        <v>15274.26</v>
      </c>
      <c r="S344">
        <v>2663.01</v>
      </c>
    </row>
    <row r="345" spans="1:19" ht="15" customHeight="1" x14ac:dyDescent="0.25">
      <c r="A345" t="s">
        <v>1252</v>
      </c>
      <c r="B345" s="8">
        <v>44665</v>
      </c>
      <c r="C345" s="8">
        <v>44665</v>
      </c>
      <c r="D345" t="s">
        <v>32</v>
      </c>
      <c r="E345" t="s">
        <v>1253</v>
      </c>
      <c r="F345" t="s">
        <v>1254</v>
      </c>
      <c r="G345">
        <v>7067575272</v>
      </c>
      <c r="H345" t="s">
        <v>125</v>
      </c>
      <c r="I345" t="s">
        <v>25</v>
      </c>
      <c r="K345" t="s">
        <v>85</v>
      </c>
      <c r="L345" t="s">
        <v>266</v>
      </c>
      <c r="M345" t="s">
        <v>1255</v>
      </c>
      <c r="N345">
        <v>15</v>
      </c>
      <c r="O345">
        <v>116268.96</v>
      </c>
      <c r="P345">
        <v>10</v>
      </c>
      <c r="Q345">
        <v>174403.44</v>
      </c>
      <c r="R345">
        <v>1569630.96</v>
      </c>
      <c r="S345">
        <v>58805.27</v>
      </c>
    </row>
    <row r="346" spans="1:19" ht="15" customHeight="1" x14ac:dyDescent="0.25">
      <c r="A346" t="s">
        <v>1256</v>
      </c>
      <c r="B346" s="8">
        <v>44831</v>
      </c>
      <c r="C346" s="8">
        <v>44831</v>
      </c>
      <c r="D346" t="s">
        <v>32</v>
      </c>
      <c r="E346" t="s">
        <v>779</v>
      </c>
      <c r="F346" t="s">
        <v>1257</v>
      </c>
      <c r="G346">
        <v>8168808058</v>
      </c>
      <c r="H346" t="s">
        <v>35</v>
      </c>
      <c r="I346" t="s">
        <v>61</v>
      </c>
      <c r="J346" t="s">
        <v>84</v>
      </c>
      <c r="K346" t="s">
        <v>108</v>
      </c>
      <c r="L346" t="s">
        <v>109</v>
      </c>
      <c r="M346" t="s">
        <v>1258</v>
      </c>
      <c r="N346">
        <v>20</v>
      </c>
      <c r="O346">
        <v>8180.03</v>
      </c>
      <c r="P346">
        <v>10</v>
      </c>
      <c r="Q346">
        <v>16360.06</v>
      </c>
      <c r="R346">
        <v>147240.54</v>
      </c>
      <c r="S346">
        <v>58560.06</v>
      </c>
    </row>
    <row r="347" spans="1:19" ht="15" customHeight="1" x14ac:dyDescent="0.25">
      <c r="A347" t="s">
        <v>1259</v>
      </c>
      <c r="B347" s="8">
        <v>45227</v>
      </c>
      <c r="C347" s="8">
        <v>45230</v>
      </c>
      <c r="D347" t="s">
        <v>20</v>
      </c>
      <c r="E347" t="s">
        <v>1260</v>
      </c>
      <c r="F347" t="s">
        <v>1261</v>
      </c>
      <c r="G347" t="s">
        <v>23</v>
      </c>
      <c r="H347" t="s">
        <v>24</v>
      </c>
      <c r="I347" t="s">
        <v>69</v>
      </c>
      <c r="J347" t="s">
        <v>119</v>
      </c>
      <c r="K347" t="s">
        <v>63</v>
      </c>
      <c r="L347" t="s">
        <v>64</v>
      </c>
      <c r="M347" t="s">
        <v>104</v>
      </c>
      <c r="N347">
        <v>10</v>
      </c>
      <c r="O347">
        <v>21221.27</v>
      </c>
      <c r="P347">
        <v>10</v>
      </c>
      <c r="Q347">
        <v>21221.27</v>
      </c>
      <c r="R347">
        <v>190991.43</v>
      </c>
      <c r="S347">
        <v>40617.03</v>
      </c>
    </row>
    <row r="348" spans="1:19" ht="15" customHeight="1" x14ac:dyDescent="0.25">
      <c r="A348" t="s">
        <v>1262</v>
      </c>
      <c r="B348" s="8">
        <v>44781</v>
      </c>
      <c r="C348" s="8">
        <v>44782</v>
      </c>
      <c r="D348" t="s">
        <v>32</v>
      </c>
      <c r="E348" t="s">
        <v>1263</v>
      </c>
      <c r="F348" t="s">
        <v>1264</v>
      </c>
      <c r="G348">
        <v>9026068701</v>
      </c>
      <c r="H348" t="s">
        <v>35</v>
      </c>
      <c r="I348" t="s">
        <v>61</v>
      </c>
      <c r="J348" t="s">
        <v>84</v>
      </c>
      <c r="K348" t="s">
        <v>27</v>
      </c>
      <c r="L348" t="s">
        <v>28</v>
      </c>
      <c r="M348" t="s">
        <v>262</v>
      </c>
      <c r="N348">
        <v>-2</v>
      </c>
      <c r="O348">
        <v>4847.13</v>
      </c>
      <c r="P348">
        <v>5</v>
      </c>
      <c r="Q348">
        <v>1938.85</v>
      </c>
      <c r="R348">
        <v>36838.19</v>
      </c>
      <c r="S348">
        <v>6585.54</v>
      </c>
    </row>
    <row r="349" spans="1:19" ht="15" customHeight="1" x14ac:dyDescent="0.25">
      <c r="A349" t="s">
        <v>1265</v>
      </c>
      <c r="B349" s="8">
        <v>44988</v>
      </c>
      <c r="C349" s="8">
        <v>44991</v>
      </c>
      <c r="D349" t="s">
        <v>20</v>
      </c>
      <c r="E349" t="s">
        <v>1266</v>
      </c>
      <c r="F349" t="s">
        <v>1267</v>
      </c>
      <c r="G349">
        <v>8154962012</v>
      </c>
      <c r="H349" t="s">
        <v>35</v>
      </c>
      <c r="I349" t="s">
        <v>69</v>
      </c>
      <c r="J349" t="s">
        <v>70</v>
      </c>
      <c r="K349" t="s">
        <v>85</v>
      </c>
      <c r="L349" t="s">
        <v>86</v>
      </c>
      <c r="M349" t="s">
        <v>238</v>
      </c>
      <c r="N349">
        <v>4</v>
      </c>
      <c r="O349">
        <v>151920.69</v>
      </c>
      <c r="P349">
        <v>20</v>
      </c>
      <c r="Q349">
        <v>121536.55</v>
      </c>
      <c r="R349">
        <v>486146.21</v>
      </c>
      <c r="S349">
        <v>21986.86</v>
      </c>
    </row>
    <row r="350" spans="1:19" ht="15" customHeight="1" x14ac:dyDescent="0.25">
      <c r="A350" t="s">
        <v>1268</v>
      </c>
      <c r="B350" s="8">
        <v>45393</v>
      </c>
      <c r="C350" s="8">
        <v>45395</v>
      </c>
      <c r="D350" t="s">
        <v>20</v>
      </c>
      <c r="E350" t="s">
        <v>1269</v>
      </c>
      <c r="F350" t="s">
        <v>1270</v>
      </c>
      <c r="G350">
        <v>7039292896</v>
      </c>
      <c r="H350" t="s">
        <v>35</v>
      </c>
      <c r="I350" t="s">
        <v>25</v>
      </c>
      <c r="J350" t="s">
        <v>168</v>
      </c>
      <c r="K350" t="s">
        <v>96</v>
      </c>
      <c r="L350" t="s">
        <v>120</v>
      </c>
      <c r="M350" t="s">
        <v>359</v>
      </c>
      <c r="N350">
        <v>19</v>
      </c>
      <c r="O350">
        <v>370409.61</v>
      </c>
      <c r="P350">
        <v>0</v>
      </c>
      <c r="Q350">
        <v>0</v>
      </c>
      <c r="R350">
        <v>7037782.5899999999</v>
      </c>
      <c r="S350">
        <v>2141221.64</v>
      </c>
    </row>
    <row r="351" spans="1:19" ht="15" customHeight="1" x14ac:dyDescent="0.25">
      <c r="A351" t="s">
        <v>1271</v>
      </c>
      <c r="B351" s="8">
        <v>45360</v>
      </c>
      <c r="C351" s="8">
        <v>45363</v>
      </c>
      <c r="D351" t="s">
        <v>20</v>
      </c>
      <c r="E351" t="s">
        <v>1248</v>
      </c>
      <c r="F351" t="s">
        <v>1249</v>
      </c>
      <c r="G351">
        <v>8166109503</v>
      </c>
      <c r="H351" t="s">
        <v>24</v>
      </c>
      <c r="I351" t="s">
        <v>61</v>
      </c>
      <c r="J351" t="s">
        <v>204</v>
      </c>
      <c r="K351" t="s">
        <v>108</v>
      </c>
      <c r="L351" t="s">
        <v>38</v>
      </c>
      <c r="M351" t="s">
        <v>519</v>
      </c>
      <c r="N351">
        <v>20</v>
      </c>
      <c r="O351">
        <v>27057.26</v>
      </c>
      <c r="P351">
        <v>25</v>
      </c>
      <c r="Q351">
        <v>135286.29999999999</v>
      </c>
      <c r="R351">
        <v>405858.9</v>
      </c>
      <c r="S351">
        <v>37549.440000000002</v>
      </c>
    </row>
    <row r="352" spans="1:19" ht="15" customHeight="1" x14ac:dyDescent="0.25">
      <c r="A352" t="s">
        <v>1272</v>
      </c>
      <c r="B352" s="8">
        <v>44670</v>
      </c>
      <c r="C352" s="8">
        <v>44672</v>
      </c>
      <c r="D352" t="s">
        <v>20</v>
      </c>
      <c r="E352" t="s">
        <v>1273</v>
      </c>
      <c r="F352" t="s">
        <v>1274</v>
      </c>
      <c r="G352">
        <v>8065734685</v>
      </c>
      <c r="H352" t="s">
        <v>35</v>
      </c>
      <c r="I352" t="s">
        <v>61</v>
      </c>
      <c r="J352" t="s">
        <v>182</v>
      </c>
      <c r="K352" t="s">
        <v>96</v>
      </c>
      <c r="L352" t="s">
        <v>385</v>
      </c>
      <c r="M352" t="s">
        <v>942</v>
      </c>
      <c r="N352">
        <v>13</v>
      </c>
      <c r="O352">
        <v>320466.52</v>
      </c>
      <c r="P352">
        <v>10</v>
      </c>
      <c r="Q352">
        <v>416606.48</v>
      </c>
      <c r="R352">
        <v>3749458.28</v>
      </c>
      <c r="S352">
        <v>1038840.63</v>
      </c>
    </row>
    <row r="353" spans="1:19" ht="15" customHeight="1" x14ac:dyDescent="0.25">
      <c r="A353" t="s">
        <v>1275</v>
      </c>
      <c r="B353" s="8">
        <v>44917</v>
      </c>
      <c r="C353" s="8">
        <v>44921</v>
      </c>
      <c r="D353" t="s">
        <v>73</v>
      </c>
      <c r="E353" t="s">
        <v>1276</v>
      </c>
      <c r="G353">
        <v>8037044627</v>
      </c>
      <c r="H353" t="s">
        <v>43</v>
      </c>
      <c r="I353" t="s">
        <v>69</v>
      </c>
      <c r="J353" t="s">
        <v>70</v>
      </c>
      <c r="K353" t="s">
        <v>108</v>
      </c>
      <c r="L353" t="s">
        <v>109</v>
      </c>
      <c r="M353" t="s">
        <v>157</v>
      </c>
      <c r="N353">
        <v>5</v>
      </c>
      <c r="O353">
        <v>44890.61</v>
      </c>
      <c r="P353" t="s">
        <v>376</v>
      </c>
      <c r="Q353">
        <v>0</v>
      </c>
      <c r="R353">
        <v>224453.05</v>
      </c>
      <c r="S353">
        <v>-32105.39</v>
      </c>
    </row>
    <row r="354" spans="1:19" ht="15" customHeight="1" x14ac:dyDescent="0.25">
      <c r="A354" t="s">
        <v>1277</v>
      </c>
      <c r="B354" s="8">
        <v>45456</v>
      </c>
      <c r="C354" s="8">
        <v>45456</v>
      </c>
      <c r="D354" t="s">
        <v>32</v>
      </c>
      <c r="E354" t="s">
        <v>1104</v>
      </c>
      <c r="F354" t="s">
        <v>1278</v>
      </c>
      <c r="G354">
        <v>8038650891</v>
      </c>
      <c r="H354" t="s">
        <v>24</v>
      </c>
      <c r="I354" t="s">
        <v>25</v>
      </c>
      <c r="J354" t="s">
        <v>126</v>
      </c>
      <c r="K354" t="s">
        <v>27</v>
      </c>
      <c r="L354" t="s">
        <v>28</v>
      </c>
      <c r="M354" t="s">
        <v>347</v>
      </c>
      <c r="N354" t="s">
        <v>1279</v>
      </c>
      <c r="O354">
        <v>1684.44</v>
      </c>
      <c r="P354">
        <v>15</v>
      </c>
      <c r="Q354">
        <v>4295.32</v>
      </c>
      <c r="R354">
        <v>24340.16</v>
      </c>
      <c r="S354">
        <v>4411.17</v>
      </c>
    </row>
    <row r="355" spans="1:19" ht="15" customHeight="1" x14ac:dyDescent="0.25">
      <c r="A355" t="s">
        <v>1280</v>
      </c>
      <c r="B355" s="8" t="s">
        <v>1281</v>
      </c>
      <c r="C355" s="8">
        <v>44946</v>
      </c>
      <c r="D355" t="s">
        <v>73</v>
      </c>
      <c r="E355" t="s">
        <v>1282</v>
      </c>
      <c r="F355" t="s">
        <v>1283</v>
      </c>
      <c r="G355">
        <v>8034972005</v>
      </c>
      <c r="H355" t="s">
        <v>43</v>
      </c>
      <c r="I355" t="s">
        <v>69</v>
      </c>
      <c r="J355" t="s">
        <v>70</v>
      </c>
      <c r="K355" t="s">
        <v>27</v>
      </c>
      <c r="L355" t="s">
        <v>45</v>
      </c>
      <c r="M355" t="s">
        <v>875</v>
      </c>
      <c r="N355">
        <v>19</v>
      </c>
      <c r="O355">
        <v>7434.55</v>
      </c>
      <c r="P355">
        <v>10</v>
      </c>
      <c r="Q355">
        <v>14125.65</v>
      </c>
      <c r="R355">
        <v>127130.8</v>
      </c>
      <c r="S355">
        <v>-16517.2</v>
      </c>
    </row>
    <row r="356" spans="1:19" ht="15" customHeight="1" x14ac:dyDescent="0.25">
      <c r="A356" t="s">
        <v>1284</v>
      </c>
      <c r="B356" s="8">
        <v>44793</v>
      </c>
      <c r="C356" s="8">
        <v>44796</v>
      </c>
      <c r="D356" t="s">
        <v>20</v>
      </c>
      <c r="E356" t="s">
        <v>1104</v>
      </c>
      <c r="F356" t="s">
        <v>1285</v>
      </c>
      <c r="G356">
        <v>8149672974</v>
      </c>
      <c r="H356" t="s">
        <v>43</v>
      </c>
      <c r="I356" t="s">
        <v>25</v>
      </c>
      <c r="J356" t="s">
        <v>36</v>
      </c>
      <c r="K356" t="s">
        <v>96</v>
      </c>
      <c r="L356" t="s">
        <v>254</v>
      </c>
      <c r="M356" t="s">
        <v>452</v>
      </c>
      <c r="N356">
        <v>16</v>
      </c>
      <c r="O356">
        <v>53474.16</v>
      </c>
      <c r="P356">
        <v>0</v>
      </c>
      <c r="Q356">
        <v>0</v>
      </c>
      <c r="R356">
        <v>855586.56</v>
      </c>
      <c r="S356">
        <v>222832.74</v>
      </c>
    </row>
    <row r="357" spans="1:19" ht="15" customHeight="1" x14ac:dyDescent="0.25">
      <c r="A357" t="s">
        <v>1286</v>
      </c>
      <c r="B357" s="8">
        <v>45657</v>
      </c>
      <c r="C357" s="8">
        <v>45659</v>
      </c>
      <c r="D357" t="s">
        <v>1287</v>
      </c>
      <c r="E357" t="s">
        <v>192</v>
      </c>
      <c r="F357" t="s">
        <v>1288</v>
      </c>
      <c r="G357">
        <v>9056561881</v>
      </c>
      <c r="H357" t="s">
        <v>35</v>
      </c>
      <c r="I357" t="s">
        <v>51</v>
      </c>
      <c r="J357" t="s">
        <v>227</v>
      </c>
      <c r="K357" t="s">
        <v>108</v>
      </c>
      <c r="L357" t="s">
        <v>38</v>
      </c>
      <c r="M357" t="s">
        <v>39</v>
      </c>
      <c r="N357">
        <v>2</v>
      </c>
      <c r="O357">
        <v>14435.96</v>
      </c>
      <c r="P357">
        <v>10</v>
      </c>
      <c r="Q357">
        <v>2887.19</v>
      </c>
      <c r="R357">
        <v>25984.73</v>
      </c>
      <c r="S357">
        <v>7436.39</v>
      </c>
    </row>
    <row r="358" spans="1:19" ht="15" customHeight="1" x14ac:dyDescent="0.25">
      <c r="A358" t="s">
        <v>1289</v>
      </c>
      <c r="B358" s="8">
        <v>44908</v>
      </c>
      <c r="C358" s="8">
        <v>44908</v>
      </c>
      <c r="D358" t="s">
        <v>32</v>
      </c>
      <c r="E358" t="s">
        <v>1290</v>
      </c>
      <c r="F358" t="s">
        <v>1291</v>
      </c>
      <c r="G358">
        <v>8169132926</v>
      </c>
      <c r="H358" t="s">
        <v>24</v>
      </c>
      <c r="I358" t="s">
        <v>1292</v>
      </c>
      <c r="J358" t="s">
        <v>52</v>
      </c>
      <c r="K358" t="s">
        <v>96</v>
      </c>
      <c r="L358" t="s">
        <v>385</v>
      </c>
      <c r="M358" t="s">
        <v>1010</v>
      </c>
      <c r="N358">
        <v>9</v>
      </c>
      <c r="O358">
        <v>48435.08</v>
      </c>
      <c r="P358">
        <v>10</v>
      </c>
      <c r="Q358">
        <v>43591.57</v>
      </c>
      <c r="R358">
        <v>392324.15</v>
      </c>
    </row>
    <row r="359" spans="1:19" ht="15" customHeight="1" x14ac:dyDescent="0.25">
      <c r="A359" t="s">
        <v>1293</v>
      </c>
      <c r="B359" s="8">
        <v>44790</v>
      </c>
      <c r="C359" s="8">
        <v>44796</v>
      </c>
      <c r="D359" t="s">
        <v>1294</v>
      </c>
      <c r="E359" t="s">
        <v>117</v>
      </c>
      <c r="F359" t="s">
        <v>1295</v>
      </c>
      <c r="G359">
        <v>9078493596</v>
      </c>
      <c r="H359" t="s">
        <v>43</v>
      </c>
      <c r="I359" t="s">
        <v>51</v>
      </c>
      <c r="J359" t="s">
        <v>223</v>
      </c>
      <c r="K359" t="s">
        <v>63</v>
      </c>
      <c r="L359" t="s">
        <v>194</v>
      </c>
      <c r="M359" t="s">
        <v>336</v>
      </c>
      <c r="N359">
        <v>8</v>
      </c>
      <c r="O359">
        <v>6900.69</v>
      </c>
      <c r="P359">
        <v>20</v>
      </c>
      <c r="Q359">
        <v>11041.1</v>
      </c>
      <c r="R359">
        <v>44164.42</v>
      </c>
      <c r="S359">
        <v>-1833.46</v>
      </c>
    </row>
    <row r="360" spans="1:19" ht="15" customHeight="1" x14ac:dyDescent="0.25">
      <c r="A360" t="s">
        <v>1296</v>
      </c>
      <c r="B360" s="8">
        <v>44877</v>
      </c>
      <c r="C360" s="8">
        <v>44881</v>
      </c>
      <c r="D360" t="s">
        <v>73</v>
      </c>
      <c r="E360" t="s">
        <v>1297</v>
      </c>
      <c r="F360" t="s">
        <v>1298</v>
      </c>
      <c r="G360">
        <v>8138385078</v>
      </c>
      <c r="H360" t="s">
        <v>35</v>
      </c>
      <c r="I360" t="s">
        <v>25</v>
      </c>
      <c r="J360" t="s">
        <v>44</v>
      </c>
      <c r="K360" t="s">
        <v>85</v>
      </c>
      <c r="L360" t="s">
        <v>218</v>
      </c>
      <c r="M360" t="s">
        <v>842</v>
      </c>
      <c r="N360">
        <v>12</v>
      </c>
      <c r="O360">
        <v>134310.10999999999</v>
      </c>
      <c r="P360">
        <v>0</v>
      </c>
      <c r="Q360">
        <v>0</v>
      </c>
      <c r="R360">
        <v>1611721.32</v>
      </c>
      <c r="S360">
        <v>379329.34</v>
      </c>
    </row>
    <row r="361" spans="1:19" ht="15" customHeight="1" x14ac:dyDescent="0.25">
      <c r="A361" t="s">
        <v>1299</v>
      </c>
      <c r="B361" s="8">
        <v>45378</v>
      </c>
      <c r="C361" s="8">
        <v>45379</v>
      </c>
      <c r="D361" t="s">
        <v>32</v>
      </c>
      <c r="E361" t="s">
        <v>1300</v>
      </c>
      <c r="F361" t="s">
        <v>1301</v>
      </c>
      <c r="G361">
        <v>7067544296</v>
      </c>
      <c r="H361" t="s">
        <v>35</v>
      </c>
      <c r="I361" t="s">
        <v>25</v>
      </c>
      <c r="J361" t="s">
        <v>26</v>
      </c>
      <c r="K361" t="s">
        <v>108</v>
      </c>
      <c r="L361" t="s">
        <v>38</v>
      </c>
      <c r="M361" t="s">
        <v>303</v>
      </c>
      <c r="N361">
        <v>14</v>
      </c>
      <c r="O361">
        <v>24809.01</v>
      </c>
      <c r="P361">
        <v>0</v>
      </c>
      <c r="Q361">
        <v>0</v>
      </c>
      <c r="R361">
        <v>347326.14</v>
      </c>
      <c r="S361">
        <v>8084.13</v>
      </c>
    </row>
    <row r="362" spans="1:19" ht="15" customHeight="1" x14ac:dyDescent="0.25">
      <c r="A362" t="s">
        <v>1302</v>
      </c>
      <c r="B362" s="8">
        <v>45647</v>
      </c>
      <c r="C362" s="8">
        <v>45649</v>
      </c>
      <c r="D362" t="s">
        <v>20</v>
      </c>
      <c r="E362" t="s">
        <v>1303</v>
      </c>
      <c r="F362" t="s">
        <v>1304</v>
      </c>
      <c r="G362">
        <v>8038244164</v>
      </c>
      <c r="H362" t="s">
        <v>24</v>
      </c>
      <c r="I362" t="s">
        <v>69</v>
      </c>
      <c r="J362" t="s">
        <v>70</v>
      </c>
      <c r="K362" t="s">
        <v>27</v>
      </c>
      <c r="L362" t="s">
        <v>45</v>
      </c>
      <c r="M362" t="s">
        <v>838</v>
      </c>
      <c r="N362">
        <v>4</v>
      </c>
      <c r="O362">
        <v>2381.5100000000002</v>
      </c>
      <c r="P362">
        <v>10</v>
      </c>
      <c r="Q362">
        <v>952.6</v>
      </c>
      <c r="R362">
        <v>8573.44</v>
      </c>
      <c r="S362">
        <v>2079.9699999999998</v>
      </c>
    </row>
    <row r="363" spans="1:19" ht="15" customHeight="1" x14ac:dyDescent="0.25">
      <c r="A363" t="s">
        <v>1305</v>
      </c>
      <c r="B363" s="8">
        <v>44961</v>
      </c>
      <c r="C363" s="8">
        <v>44966</v>
      </c>
      <c r="D363" t="s">
        <v>73</v>
      </c>
      <c r="E363" t="s">
        <v>529</v>
      </c>
      <c r="F363" t="s">
        <v>1306</v>
      </c>
      <c r="G363">
        <v>7031177469</v>
      </c>
      <c r="H363" t="s">
        <v>24</v>
      </c>
      <c r="J363" t="s">
        <v>70</v>
      </c>
      <c r="K363" t="s">
        <v>96</v>
      </c>
      <c r="L363" t="s">
        <v>120</v>
      </c>
      <c r="M363" t="s">
        <v>1307</v>
      </c>
      <c r="N363">
        <v>17</v>
      </c>
      <c r="O363">
        <v>193893.21</v>
      </c>
      <c r="P363">
        <v>0</v>
      </c>
      <c r="Q363">
        <v>0</v>
      </c>
      <c r="R363">
        <v>3296184.57</v>
      </c>
      <c r="S363">
        <v>861292.14</v>
      </c>
    </row>
    <row r="364" spans="1:19" ht="15" customHeight="1" x14ac:dyDescent="0.25">
      <c r="A364" t="s">
        <v>1308</v>
      </c>
      <c r="B364" s="8">
        <v>45077</v>
      </c>
      <c r="C364" s="8">
        <v>45079</v>
      </c>
      <c r="D364" t="s">
        <v>1309</v>
      </c>
      <c r="E364" t="s">
        <v>556</v>
      </c>
      <c r="F364" t="s">
        <v>1310</v>
      </c>
      <c r="G364">
        <v>8034637715</v>
      </c>
      <c r="H364" t="s">
        <v>24</v>
      </c>
      <c r="I364" t="s">
        <v>51</v>
      </c>
      <c r="J364" t="s">
        <v>1311</v>
      </c>
      <c r="K364" t="s">
        <v>27</v>
      </c>
      <c r="L364" t="s">
        <v>79</v>
      </c>
      <c r="M364" t="s">
        <v>145</v>
      </c>
      <c r="N364">
        <v>20</v>
      </c>
      <c r="O364">
        <v>965.18</v>
      </c>
      <c r="P364">
        <v>0</v>
      </c>
      <c r="Q364">
        <v>0</v>
      </c>
      <c r="R364">
        <v>19303.599999999999</v>
      </c>
      <c r="S364">
        <v>1458.87</v>
      </c>
    </row>
    <row r="365" spans="1:19" ht="15" customHeight="1" x14ac:dyDescent="0.25">
      <c r="A365" t="s">
        <v>1312</v>
      </c>
      <c r="B365" s="8">
        <v>45080</v>
      </c>
      <c r="C365" s="8">
        <v>45084</v>
      </c>
      <c r="D365" t="s">
        <v>73</v>
      </c>
      <c r="E365" t="s">
        <v>1313</v>
      </c>
      <c r="F365" t="s">
        <v>1314</v>
      </c>
      <c r="G365">
        <v>9078607523</v>
      </c>
      <c r="H365" t="s">
        <v>24</v>
      </c>
      <c r="I365" t="s">
        <v>61</v>
      </c>
      <c r="J365" t="s">
        <v>95</v>
      </c>
      <c r="K365" t="s">
        <v>63</v>
      </c>
      <c r="L365" t="s">
        <v>194</v>
      </c>
      <c r="M365" t="s">
        <v>257</v>
      </c>
      <c r="N365" t="s">
        <v>1315</v>
      </c>
      <c r="O365">
        <v>17459.43</v>
      </c>
      <c r="P365">
        <v>10</v>
      </c>
      <c r="Q365">
        <v>19205.37</v>
      </c>
      <c r="R365">
        <v>172848.36</v>
      </c>
      <c r="S365">
        <v>-9129.92</v>
      </c>
    </row>
    <row r="366" spans="1:19" ht="15" customHeight="1" x14ac:dyDescent="0.25">
      <c r="A366" t="s">
        <v>1316</v>
      </c>
      <c r="B366" s="8">
        <v>45357</v>
      </c>
      <c r="C366" s="8">
        <v>45358</v>
      </c>
      <c r="D366" t="s">
        <v>32</v>
      </c>
      <c r="E366" t="s">
        <v>1317</v>
      </c>
      <c r="F366" t="s">
        <v>1318</v>
      </c>
      <c r="G366">
        <v>8108391619</v>
      </c>
      <c r="H366" t="s">
        <v>35</v>
      </c>
      <c r="I366" t="s">
        <v>25</v>
      </c>
      <c r="J366" t="s">
        <v>44</v>
      </c>
      <c r="K366" t="s">
        <v>96</v>
      </c>
      <c r="L366" t="s">
        <v>189</v>
      </c>
      <c r="M366" t="s">
        <v>190</v>
      </c>
      <c r="N366">
        <v>6</v>
      </c>
      <c r="O366">
        <v>280481.32</v>
      </c>
      <c r="P366">
        <v>20</v>
      </c>
      <c r="Q366">
        <v>336577.58</v>
      </c>
      <c r="R366">
        <v>1346310.34</v>
      </c>
      <c r="S366">
        <v>-114357.91</v>
      </c>
    </row>
    <row r="367" spans="1:19" ht="15" customHeight="1" x14ac:dyDescent="0.25">
      <c r="A367" t="s">
        <v>1319</v>
      </c>
      <c r="B367" s="8">
        <v>45466</v>
      </c>
      <c r="C367" s="8">
        <v>45473</v>
      </c>
      <c r="D367" t="s">
        <v>48</v>
      </c>
      <c r="E367" t="s">
        <v>1320</v>
      </c>
      <c r="F367" t="s">
        <v>1321</v>
      </c>
      <c r="G367">
        <v>8065204309</v>
      </c>
      <c r="H367" t="s">
        <v>24</v>
      </c>
      <c r="I367" t="s">
        <v>69</v>
      </c>
      <c r="J367" t="s">
        <v>119</v>
      </c>
      <c r="K367" t="s">
        <v>108</v>
      </c>
      <c r="L367" t="s">
        <v>114</v>
      </c>
      <c r="M367" t="s">
        <v>115</v>
      </c>
      <c r="N367">
        <v>1</v>
      </c>
      <c r="O367">
        <v>8400.73</v>
      </c>
      <c r="P367">
        <v>0</v>
      </c>
      <c r="Q367">
        <v>0</v>
      </c>
      <c r="R367">
        <v>8400.73</v>
      </c>
      <c r="S367">
        <v>2089.8000000000002</v>
      </c>
    </row>
    <row r="368" spans="1:19" ht="15" customHeight="1" x14ac:dyDescent="0.25">
      <c r="A368" t="s">
        <v>1322</v>
      </c>
      <c r="B368" s="8">
        <v>45363</v>
      </c>
      <c r="C368" s="8">
        <v>45365</v>
      </c>
      <c r="D368" t="s">
        <v>20</v>
      </c>
      <c r="E368" t="s">
        <v>1323</v>
      </c>
      <c r="F368" t="s">
        <v>1324</v>
      </c>
      <c r="G368">
        <v>8148315833</v>
      </c>
      <c r="H368" t="s">
        <v>24</v>
      </c>
      <c r="I368" t="s">
        <v>51</v>
      </c>
      <c r="J368" t="s">
        <v>131</v>
      </c>
      <c r="K368" t="s">
        <v>108</v>
      </c>
      <c r="L368" t="s">
        <v>114</v>
      </c>
      <c r="M368" t="s">
        <v>891</v>
      </c>
      <c r="N368">
        <v>13</v>
      </c>
      <c r="O368">
        <v>11711.41</v>
      </c>
      <c r="P368">
        <v>20</v>
      </c>
      <c r="Q368">
        <v>30449.67</v>
      </c>
      <c r="R368">
        <v>121798.66</v>
      </c>
      <c r="S368">
        <v>-9412.33</v>
      </c>
    </row>
    <row r="369" spans="1:19" ht="15" customHeight="1" x14ac:dyDescent="0.25">
      <c r="A369" t="s">
        <v>1325</v>
      </c>
      <c r="B369" s="8">
        <v>45382</v>
      </c>
      <c r="C369" s="8">
        <v>45384</v>
      </c>
      <c r="D369" t="s">
        <v>20</v>
      </c>
      <c r="E369" t="s">
        <v>644</v>
      </c>
      <c r="F369" t="s">
        <v>1326</v>
      </c>
      <c r="G369">
        <v>8068711468</v>
      </c>
      <c r="H369" t="s">
        <v>24</v>
      </c>
      <c r="I369" t="s">
        <v>51</v>
      </c>
      <c r="J369" t="s">
        <v>223</v>
      </c>
      <c r="K369" t="s">
        <v>63</v>
      </c>
      <c r="L369" t="s">
        <v>469</v>
      </c>
      <c r="M369" t="s">
        <v>1327</v>
      </c>
      <c r="N369" t="s">
        <v>1328</v>
      </c>
      <c r="O369">
        <v>4827.1499999999996</v>
      </c>
      <c r="P369">
        <v>15</v>
      </c>
      <c r="Q369">
        <v>1448.14</v>
      </c>
      <c r="R369">
        <v>8206.16</v>
      </c>
      <c r="S369">
        <v>2022.33</v>
      </c>
    </row>
    <row r="370" spans="1:19" ht="15" customHeight="1" x14ac:dyDescent="0.25">
      <c r="A370" t="s">
        <v>1329</v>
      </c>
      <c r="B370" s="8">
        <v>45558</v>
      </c>
      <c r="C370" s="8">
        <v>45560</v>
      </c>
      <c r="D370" t="s">
        <v>20</v>
      </c>
      <c r="E370" t="s">
        <v>1076</v>
      </c>
      <c r="F370" t="s">
        <v>1330</v>
      </c>
      <c r="G370">
        <v>8101598917</v>
      </c>
      <c r="H370" t="s">
        <v>35</v>
      </c>
      <c r="I370" t="s">
        <v>51</v>
      </c>
      <c r="J370" t="s">
        <v>316</v>
      </c>
      <c r="K370" t="s">
        <v>85</v>
      </c>
      <c r="L370" t="s">
        <v>86</v>
      </c>
      <c r="M370" t="s">
        <v>238</v>
      </c>
      <c r="N370">
        <v>13</v>
      </c>
      <c r="O370">
        <v>49019.44</v>
      </c>
      <c r="P370">
        <v>0</v>
      </c>
      <c r="Q370">
        <v>0</v>
      </c>
      <c r="R370">
        <v>637252.72</v>
      </c>
      <c r="S370">
        <v>207517.21</v>
      </c>
    </row>
    <row r="371" spans="1:19" ht="15" customHeight="1" x14ac:dyDescent="0.25">
      <c r="A371" t="s">
        <v>1331</v>
      </c>
      <c r="B371" s="8">
        <v>44595</v>
      </c>
      <c r="C371" s="8">
        <v>44595</v>
      </c>
      <c r="D371" t="s">
        <v>32</v>
      </c>
      <c r="E371" t="s">
        <v>1332</v>
      </c>
      <c r="F371" t="s">
        <v>1333</v>
      </c>
      <c r="G371">
        <v>9021718308</v>
      </c>
      <c r="H371" t="s">
        <v>24</v>
      </c>
      <c r="I371" t="s">
        <v>51</v>
      </c>
      <c r="J371" t="s">
        <v>316</v>
      </c>
      <c r="K371" t="s">
        <v>108</v>
      </c>
      <c r="L371" t="s">
        <v>114</v>
      </c>
      <c r="M371" t="s">
        <v>848</v>
      </c>
      <c r="N371">
        <v>17</v>
      </c>
      <c r="O371">
        <v>36705.46</v>
      </c>
      <c r="P371">
        <v>20</v>
      </c>
      <c r="Q371">
        <v>124798.56</v>
      </c>
      <c r="R371">
        <v>499194.26</v>
      </c>
      <c r="S371">
        <v>206693.32</v>
      </c>
    </row>
    <row r="372" spans="1:19" ht="15" customHeight="1" x14ac:dyDescent="0.25">
      <c r="A372" t="s">
        <v>1334</v>
      </c>
      <c r="B372" s="8">
        <v>44637</v>
      </c>
      <c r="C372" s="8">
        <v>44643</v>
      </c>
      <c r="D372" t="s">
        <v>48</v>
      </c>
      <c r="E372" t="s">
        <v>1335</v>
      </c>
      <c r="F372" t="s">
        <v>1336</v>
      </c>
      <c r="G372">
        <v>8141768424</v>
      </c>
      <c r="H372" t="s">
        <v>35</v>
      </c>
      <c r="I372" t="s">
        <v>61</v>
      </c>
      <c r="J372" t="s">
        <v>84</v>
      </c>
      <c r="K372" t="s">
        <v>85</v>
      </c>
      <c r="L372" t="s">
        <v>218</v>
      </c>
      <c r="M372" t="s">
        <v>321</v>
      </c>
      <c r="N372">
        <v>2</v>
      </c>
      <c r="O372">
        <v>37626.83</v>
      </c>
      <c r="P372">
        <v>10</v>
      </c>
      <c r="Q372">
        <v>7525.37</v>
      </c>
      <c r="R372">
        <v>67728.289999999994</v>
      </c>
      <c r="S372">
        <v>23193.11</v>
      </c>
    </row>
    <row r="373" spans="1:19" ht="15" customHeight="1" x14ac:dyDescent="0.25">
      <c r="A373" t="s">
        <v>1337</v>
      </c>
      <c r="B373" s="8">
        <v>44692</v>
      </c>
      <c r="C373" s="8">
        <v>44695</v>
      </c>
      <c r="D373" t="s">
        <v>73</v>
      </c>
      <c r="E373" t="s">
        <v>1338</v>
      </c>
      <c r="F373" t="s">
        <v>1339</v>
      </c>
      <c r="G373">
        <v>8064399754</v>
      </c>
      <c r="H373" t="s">
        <v>24</v>
      </c>
      <c r="I373" t="s">
        <v>25</v>
      </c>
      <c r="J373" t="s">
        <v>168</v>
      </c>
      <c r="K373" t="s">
        <v>108</v>
      </c>
      <c r="L373" t="s">
        <v>38</v>
      </c>
      <c r="M373" t="s">
        <v>213</v>
      </c>
      <c r="N373">
        <v>19</v>
      </c>
      <c r="O373">
        <v>15942.1</v>
      </c>
      <c r="P373">
        <v>25</v>
      </c>
      <c r="Q373">
        <v>75724.98</v>
      </c>
      <c r="R373">
        <v>227174.92</v>
      </c>
      <c r="S373">
        <v>-15357.56</v>
      </c>
    </row>
    <row r="374" spans="1:19" ht="15" customHeight="1" x14ac:dyDescent="0.25">
      <c r="A374" t="s">
        <v>1340</v>
      </c>
      <c r="B374" s="8">
        <v>45249</v>
      </c>
      <c r="C374" s="8">
        <v>45252</v>
      </c>
      <c r="D374" t="s">
        <v>73</v>
      </c>
      <c r="E374" t="s">
        <v>1341</v>
      </c>
      <c r="F374" t="s">
        <v>1342</v>
      </c>
      <c r="G374">
        <v>9027965133</v>
      </c>
      <c r="H374" t="s">
        <v>24</v>
      </c>
      <c r="I374" t="s">
        <v>61</v>
      </c>
      <c r="J374" t="s">
        <v>95</v>
      </c>
      <c r="K374" t="s">
        <v>85</v>
      </c>
      <c r="L374" t="s">
        <v>243</v>
      </c>
      <c r="M374" t="s">
        <v>244</v>
      </c>
      <c r="N374">
        <v>8</v>
      </c>
      <c r="O374">
        <v>36381.050000000003</v>
      </c>
      <c r="P374">
        <v>0</v>
      </c>
      <c r="Q374">
        <v>0</v>
      </c>
      <c r="R374">
        <v>291048.40000000002</v>
      </c>
      <c r="S374">
        <v>-20366.830000000002</v>
      </c>
    </row>
    <row r="375" spans="1:19" ht="15" customHeight="1" x14ac:dyDescent="0.25">
      <c r="A375" t="s">
        <v>1343</v>
      </c>
      <c r="B375" s="8">
        <v>44727</v>
      </c>
      <c r="C375" s="8">
        <v>44727</v>
      </c>
      <c r="D375" t="s">
        <v>32</v>
      </c>
      <c r="E375" t="s">
        <v>1344</v>
      </c>
      <c r="F375" t="s">
        <v>1345</v>
      </c>
      <c r="G375">
        <v>9015760225</v>
      </c>
      <c r="H375" t="s">
        <v>35</v>
      </c>
      <c r="I375" t="s">
        <v>69</v>
      </c>
      <c r="J375" t="s">
        <v>119</v>
      </c>
      <c r="K375" t="s">
        <v>108</v>
      </c>
      <c r="L375" t="s">
        <v>183</v>
      </c>
      <c r="M375" t="s">
        <v>372</v>
      </c>
      <c r="N375">
        <v>9</v>
      </c>
      <c r="O375">
        <v>10864.89</v>
      </c>
      <c r="P375">
        <v>25</v>
      </c>
      <c r="Q375">
        <v>24446</v>
      </c>
      <c r="R375" t="s">
        <v>1346</v>
      </c>
      <c r="S375">
        <v>8819</v>
      </c>
    </row>
    <row r="376" spans="1:19" ht="15" customHeight="1" x14ac:dyDescent="0.25">
      <c r="A376" t="s">
        <v>1347</v>
      </c>
      <c r="B376" s="8">
        <v>44930</v>
      </c>
      <c r="C376" s="8">
        <v>44938</v>
      </c>
      <c r="D376" t="s">
        <v>48</v>
      </c>
      <c r="E376" t="s">
        <v>1348</v>
      </c>
      <c r="F376" t="s">
        <v>1349</v>
      </c>
      <c r="G376">
        <v>7038026061</v>
      </c>
      <c r="H376" t="s">
        <v>24</v>
      </c>
      <c r="I376" t="s">
        <v>61</v>
      </c>
      <c r="J376" t="s">
        <v>62</v>
      </c>
      <c r="K376" t="s">
        <v>96</v>
      </c>
      <c r="L376" t="s">
        <v>254</v>
      </c>
      <c r="M376" t="s">
        <v>255</v>
      </c>
      <c r="N376">
        <v>17</v>
      </c>
      <c r="O376">
        <v>98477.74</v>
      </c>
      <c r="P376">
        <v>0</v>
      </c>
      <c r="Q376">
        <v>0</v>
      </c>
      <c r="R376">
        <v>1674121.58</v>
      </c>
      <c r="S376">
        <v>370571.1</v>
      </c>
    </row>
    <row r="377" spans="1:19" ht="15" customHeight="1" x14ac:dyDescent="0.25">
      <c r="A377" t="s">
        <v>1350</v>
      </c>
      <c r="B377" s="8">
        <v>45128</v>
      </c>
      <c r="C377" s="8">
        <v>45131</v>
      </c>
      <c r="D377" t="s">
        <v>73</v>
      </c>
      <c r="E377" t="s">
        <v>1177</v>
      </c>
      <c r="F377" t="s">
        <v>1178</v>
      </c>
      <c r="G377">
        <v>9078959326</v>
      </c>
      <c r="H377" t="s">
        <v>24</v>
      </c>
      <c r="I377" t="s">
        <v>61</v>
      </c>
      <c r="J377" t="s">
        <v>204</v>
      </c>
      <c r="K377" t="s">
        <v>108</v>
      </c>
      <c r="L377" t="s">
        <v>109</v>
      </c>
      <c r="M377" t="s">
        <v>1258</v>
      </c>
      <c r="N377">
        <v>2</v>
      </c>
      <c r="O377">
        <v>30816.13</v>
      </c>
      <c r="P377">
        <v>0</v>
      </c>
      <c r="Q377">
        <v>0</v>
      </c>
      <c r="R377">
        <v>61632.26</v>
      </c>
      <c r="S377">
        <v>14601.7</v>
      </c>
    </row>
    <row r="378" spans="1:19" ht="15" customHeight="1" x14ac:dyDescent="0.25">
      <c r="A378" t="s">
        <v>1351</v>
      </c>
      <c r="B378" s="8">
        <v>45246</v>
      </c>
      <c r="C378" s="8">
        <v>45249</v>
      </c>
      <c r="D378" t="s">
        <v>20</v>
      </c>
      <c r="E378" t="s">
        <v>1352</v>
      </c>
      <c r="G378">
        <v>8153950904</v>
      </c>
      <c r="H378" t="s">
        <v>43</v>
      </c>
      <c r="I378" t="s">
        <v>51</v>
      </c>
      <c r="J378" t="s">
        <v>131</v>
      </c>
      <c r="K378" t="s">
        <v>85</v>
      </c>
      <c r="L378" t="s">
        <v>86</v>
      </c>
      <c r="M378" t="s">
        <v>199</v>
      </c>
      <c r="N378">
        <v>3</v>
      </c>
      <c r="O378">
        <v>96563.44</v>
      </c>
      <c r="P378">
        <v>5</v>
      </c>
      <c r="Q378">
        <v>14484.52</v>
      </c>
      <c r="R378">
        <v>275205.8</v>
      </c>
      <c r="S378">
        <v>77839.72</v>
      </c>
    </row>
    <row r="379" spans="1:19" ht="15" customHeight="1" x14ac:dyDescent="0.25">
      <c r="A379" t="s">
        <v>1353</v>
      </c>
      <c r="B379" s="8">
        <v>45033</v>
      </c>
      <c r="C379" s="8">
        <v>45035</v>
      </c>
      <c r="D379" t="s">
        <v>20</v>
      </c>
      <c r="E379" t="s">
        <v>1354</v>
      </c>
      <c r="F379" t="s">
        <v>1355</v>
      </c>
      <c r="G379">
        <v>8137922203</v>
      </c>
      <c r="H379" t="s">
        <v>35</v>
      </c>
      <c r="I379" t="s">
        <v>51</v>
      </c>
      <c r="J379" t="s">
        <v>316</v>
      </c>
      <c r="K379" t="s">
        <v>85</v>
      </c>
      <c r="L379" t="s">
        <v>486</v>
      </c>
      <c r="M379" t="s">
        <v>1193</v>
      </c>
      <c r="N379">
        <v>19</v>
      </c>
      <c r="O379">
        <v>20647.11</v>
      </c>
      <c r="P379">
        <v>20</v>
      </c>
      <c r="Q379">
        <v>78459.02</v>
      </c>
      <c r="R379">
        <v>313836.07</v>
      </c>
    </row>
    <row r="380" spans="1:19" ht="15" customHeight="1" x14ac:dyDescent="0.25">
      <c r="A380" t="s">
        <v>1356</v>
      </c>
      <c r="B380" s="8" t="s">
        <v>1357</v>
      </c>
      <c r="C380" s="8">
        <v>44927</v>
      </c>
      <c r="D380" t="s">
        <v>32</v>
      </c>
      <c r="E380" t="s">
        <v>1358</v>
      </c>
      <c r="F380" t="s">
        <v>1359</v>
      </c>
      <c r="G380">
        <v>9014257379</v>
      </c>
      <c r="H380" t="s">
        <v>35</v>
      </c>
      <c r="I380" t="s">
        <v>69</v>
      </c>
      <c r="J380" t="s">
        <v>119</v>
      </c>
      <c r="K380" t="s">
        <v>63</v>
      </c>
      <c r="L380" t="s">
        <v>558</v>
      </c>
      <c r="M380" t="s">
        <v>680</v>
      </c>
      <c r="N380">
        <v>2</v>
      </c>
      <c r="O380">
        <v>8729.34</v>
      </c>
      <c r="P380">
        <v>0</v>
      </c>
      <c r="Q380">
        <v>0</v>
      </c>
      <c r="R380">
        <v>17458.68</v>
      </c>
      <c r="S380">
        <v>320.58</v>
      </c>
    </row>
    <row r="381" spans="1:19" ht="15" customHeight="1" x14ac:dyDescent="0.25">
      <c r="A381" t="s">
        <v>1360</v>
      </c>
      <c r="B381" s="8">
        <v>44912</v>
      </c>
      <c r="C381" s="8">
        <v>44913</v>
      </c>
      <c r="D381" t="s">
        <v>32</v>
      </c>
      <c r="E381" t="s">
        <v>1361</v>
      </c>
      <c r="F381" t="s">
        <v>1362</v>
      </c>
      <c r="G381">
        <v>9023851044</v>
      </c>
      <c r="H381" t="s">
        <v>43</v>
      </c>
      <c r="I381" t="s">
        <v>25</v>
      </c>
      <c r="J381" t="s">
        <v>168</v>
      </c>
      <c r="K381" t="s">
        <v>27</v>
      </c>
      <c r="L381" t="s">
        <v>173</v>
      </c>
      <c r="M381" t="s">
        <v>380</v>
      </c>
      <c r="N381">
        <v>17</v>
      </c>
      <c r="O381">
        <v>965.85</v>
      </c>
      <c r="P381">
        <v>20</v>
      </c>
      <c r="Q381">
        <v>3283.89</v>
      </c>
      <c r="R381">
        <v>13135.56</v>
      </c>
      <c r="S381">
        <v>4824.95</v>
      </c>
    </row>
    <row r="382" spans="1:19" ht="15" customHeight="1" x14ac:dyDescent="0.25">
      <c r="A382" t="s">
        <v>1363</v>
      </c>
      <c r="B382" s="8">
        <v>45133</v>
      </c>
      <c r="C382" s="8">
        <v>45133</v>
      </c>
      <c r="D382" t="s">
        <v>32</v>
      </c>
      <c r="E382" t="s">
        <v>1364</v>
      </c>
      <c r="F382" t="s">
        <v>1365</v>
      </c>
      <c r="G382">
        <v>8136491114</v>
      </c>
      <c r="H382" t="s">
        <v>43</v>
      </c>
      <c r="I382" t="s">
        <v>61</v>
      </c>
      <c r="J382" t="s">
        <v>84</v>
      </c>
      <c r="K382" t="s">
        <v>108</v>
      </c>
      <c r="L382" t="s">
        <v>189</v>
      </c>
      <c r="M382" t="s">
        <v>190</v>
      </c>
      <c r="N382">
        <v>19</v>
      </c>
      <c r="O382">
        <v>40348.370000000003</v>
      </c>
      <c r="P382">
        <v>0</v>
      </c>
      <c r="Q382">
        <v>0</v>
      </c>
      <c r="R382">
        <v>766619.03</v>
      </c>
      <c r="S382">
        <v>305308.2</v>
      </c>
    </row>
    <row r="383" spans="1:19" ht="15" customHeight="1" x14ac:dyDescent="0.25">
      <c r="A383" t="s">
        <v>1366</v>
      </c>
      <c r="B383" s="8">
        <v>45525</v>
      </c>
      <c r="C383" s="8">
        <v>45530</v>
      </c>
      <c r="D383" t="s">
        <v>48</v>
      </c>
      <c r="E383" t="s">
        <v>1367</v>
      </c>
      <c r="F383" t="s">
        <v>1368</v>
      </c>
      <c r="G383">
        <v>8142644153</v>
      </c>
      <c r="H383" t="s">
        <v>35</v>
      </c>
      <c r="I383" t="s">
        <v>25</v>
      </c>
      <c r="J383" t="s">
        <v>168</v>
      </c>
      <c r="K383" t="s">
        <v>108</v>
      </c>
      <c r="L383" t="s">
        <v>183</v>
      </c>
      <c r="M383" t="s">
        <v>372</v>
      </c>
      <c r="N383">
        <v>1</v>
      </c>
      <c r="O383">
        <v>5572.94</v>
      </c>
      <c r="P383">
        <v>15</v>
      </c>
      <c r="Q383">
        <v>835.94</v>
      </c>
      <c r="R383">
        <v>4737</v>
      </c>
      <c r="S383">
        <v>1989.35</v>
      </c>
    </row>
    <row r="384" spans="1:19" ht="15" customHeight="1" x14ac:dyDescent="0.25">
      <c r="A384" t="s">
        <v>1369</v>
      </c>
      <c r="B384" s="8">
        <v>44747</v>
      </c>
      <c r="C384" s="8">
        <v>44750</v>
      </c>
      <c r="D384" t="s">
        <v>73</v>
      </c>
      <c r="E384" t="s">
        <v>1370</v>
      </c>
      <c r="F384" t="s">
        <v>1371</v>
      </c>
      <c r="G384">
        <v>8108705487</v>
      </c>
      <c r="H384" t="s">
        <v>43</v>
      </c>
      <c r="I384" t="s">
        <v>61</v>
      </c>
      <c r="J384" t="s">
        <v>182</v>
      </c>
      <c r="K384" t="s">
        <v>27</v>
      </c>
      <c r="L384" t="s">
        <v>173</v>
      </c>
      <c r="M384" t="s">
        <v>279</v>
      </c>
      <c r="N384">
        <v>15</v>
      </c>
      <c r="O384">
        <v>7818.44</v>
      </c>
      <c r="P384">
        <v>0</v>
      </c>
      <c r="Q384">
        <v>0</v>
      </c>
      <c r="R384">
        <v>117276.6</v>
      </c>
      <c r="S384">
        <v>43922.36</v>
      </c>
    </row>
    <row r="385" spans="1:19" ht="15" customHeight="1" x14ac:dyDescent="0.25">
      <c r="A385" t="s">
        <v>1372</v>
      </c>
      <c r="B385" s="8">
        <v>44564</v>
      </c>
      <c r="C385" s="8">
        <v>44564</v>
      </c>
      <c r="D385" t="s">
        <v>32</v>
      </c>
      <c r="E385" t="s">
        <v>1373</v>
      </c>
      <c r="F385" t="s">
        <v>1374</v>
      </c>
      <c r="G385">
        <v>8151548852</v>
      </c>
      <c r="H385" t="s">
        <v>43</v>
      </c>
      <c r="I385" t="s">
        <v>69</v>
      </c>
      <c r="J385" t="s">
        <v>119</v>
      </c>
      <c r="K385" t="s">
        <v>63</v>
      </c>
      <c r="L385" t="s">
        <v>64</v>
      </c>
      <c r="M385" t="s">
        <v>65</v>
      </c>
      <c r="N385">
        <v>20</v>
      </c>
      <c r="O385">
        <v>17602.349999999999</v>
      </c>
      <c r="P385">
        <v>25</v>
      </c>
      <c r="Q385">
        <v>88011.75</v>
      </c>
      <c r="R385">
        <v>264035.25</v>
      </c>
      <c r="S385">
        <v>51523.21</v>
      </c>
    </row>
    <row r="386" spans="1:19" ht="15" customHeight="1" x14ac:dyDescent="0.25">
      <c r="A386" t="s">
        <v>1375</v>
      </c>
      <c r="B386" s="8" t="s">
        <v>1376</v>
      </c>
      <c r="C386" s="8">
        <v>44677</v>
      </c>
      <c r="D386" t="s">
        <v>20</v>
      </c>
      <c r="E386" t="s">
        <v>823</v>
      </c>
      <c r="F386" t="s">
        <v>1210</v>
      </c>
      <c r="G386">
        <v>7038807325</v>
      </c>
      <c r="H386" t="s">
        <v>24</v>
      </c>
      <c r="I386" t="s">
        <v>61</v>
      </c>
      <c r="J386" t="s">
        <v>95</v>
      </c>
      <c r="K386" t="s">
        <v>27</v>
      </c>
      <c r="L386" t="s">
        <v>79</v>
      </c>
      <c r="M386" t="s">
        <v>80</v>
      </c>
      <c r="N386">
        <v>18</v>
      </c>
      <c r="O386">
        <v>3121.53</v>
      </c>
      <c r="P386" t="s">
        <v>376</v>
      </c>
      <c r="Q386">
        <v>0</v>
      </c>
      <c r="R386">
        <v>56187.54</v>
      </c>
      <c r="S386">
        <v>10476.44</v>
      </c>
    </row>
    <row r="387" spans="1:19" ht="15" customHeight="1" x14ac:dyDescent="0.25">
      <c r="A387" t="s">
        <v>1377</v>
      </c>
      <c r="B387" s="8">
        <v>44794</v>
      </c>
      <c r="C387" s="8">
        <v>44799</v>
      </c>
      <c r="D387" t="s">
        <v>73</v>
      </c>
      <c r="E387" t="s">
        <v>1378</v>
      </c>
      <c r="F387" t="s">
        <v>1379</v>
      </c>
      <c r="G387">
        <v>9024782209</v>
      </c>
      <c r="H387" t="s">
        <v>43</v>
      </c>
      <c r="I387" t="s">
        <v>61</v>
      </c>
      <c r="J387" t="s">
        <v>62</v>
      </c>
      <c r="K387" t="s">
        <v>63</v>
      </c>
      <c r="L387" t="s">
        <v>558</v>
      </c>
      <c r="M387" t="s">
        <v>1380</v>
      </c>
      <c r="N387">
        <v>14</v>
      </c>
      <c r="O387">
        <v>12837.37</v>
      </c>
      <c r="P387">
        <v>10</v>
      </c>
      <c r="Q387">
        <v>17972.32</v>
      </c>
      <c r="R387">
        <v>161750.85999999999</v>
      </c>
      <c r="S387">
        <v>-18977.259999999998</v>
      </c>
    </row>
    <row r="388" spans="1:19" ht="15" customHeight="1" x14ac:dyDescent="0.25">
      <c r="A388" t="s">
        <v>939</v>
      </c>
      <c r="B388" s="8">
        <v>45588</v>
      </c>
      <c r="C388" s="8">
        <v>45588</v>
      </c>
      <c r="D388" t="s">
        <v>32</v>
      </c>
      <c r="E388" t="s">
        <v>940</v>
      </c>
      <c r="F388" t="s">
        <v>941</v>
      </c>
      <c r="G388">
        <v>8147176462</v>
      </c>
      <c r="H388" t="s">
        <v>43</v>
      </c>
      <c r="I388" t="s">
        <v>51</v>
      </c>
      <c r="J388" t="s">
        <v>223</v>
      </c>
      <c r="K388" t="s">
        <v>96</v>
      </c>
      <c r="L388" t="s">
        <v>385</v>
      </c>
      <c r="M388" t="s">
        <v>942</v>
      </c>
      <c r="N388">
        <v>13</v>
      </c>
      <c r="O388">
        <v>52979.31</v>
      </c>
      <c r="P388">
        <v>0</v>
      </c>
      <c r="Q388">
        <v>0</v>
      </c>
      <c r="R388">
        <v>688731.03</v>
      </c>
      <c r="S388">
        <v>15857.08</v>
      </c>
    </row>
    <row r="389" spans="1:19" ht="15" customHeight="1" x14ac:dyDescent="0.25">
      <c r="A389" t="s">
        <v>1381</v>
      </c>
      <c r="B389" s="8">
        <v>44791</v>
      </c>
      <c r="C389" s="8">
        <v>44793</v>
      </c>
      <c r="D389" t="s">
        <v>20</v>
      </c>
      <c r="E389" t="s">
        <v>1382</v>
      </c>
      <c r="F389" t="s">
        <v>1383</v>
      </c>
      <c r="G389">
        <v>8151380679</v>
      </c>
      <c r="H389" t="s">
        <v>35</v>
      </c>
      <c r="I389" t="s">
        <v>25</v>
      </c>
      <c r="J389" t="s">
        <v>26</v>
      </c>
      <c r="K389" t="s">
        <v>63</v>
      </c>
      <c r="L389" t="s">
        <v>64</v>
      </c>
      <c r="M389" t="s">
        <v>777</v>
      </c>
      <c r="N389">
        <v>16</v>
      </c>
      <c r="O389">
        <v>23327.18</v>
      </c>
      <c r="P389">
        <v>10</v>
      </c>
      <c r="Q389">
        <v>37323.49</v>
      </c>
      <c r="R389">
        <v>335911.39</v>
      </c>
      <c r="S389">
        <v>34289.160000000003</v>
      </c>
    </row>
    <row r="390" spans="1:19" ht="15" customHeight="1" x14ac:dyDescent="0.25">
      <c r="A390" t="s">
        <v>1384</v>
      </c>
      <c r="B390" s="8">
        <v>44607</v>
      </c>
      <c r="C390" s="8">
        <v>44613</v>
      </c>
      <c r="D390" t="s">
        <v>210</v>
      </c>
      <c r="E390" t="s">
        <v>1385</v>
      </c>
      <c r="F390" t="s">
        <v>1386</v>
      </c>
      <c r="G390">
        <v>7066751103</v>
      </c>
      <c r="H390" t="s">
        <v>35</v>
      </c>
      <c r="I390" t="s">
        <v>25</v>
      </c>
      <c r="J390" t="s">
        <v>44</v>
      </c>
      <c r="K390" t="s">
        <v>63</v>
      </c>
      <c r="L390" t="s">
        <v>64</v>
      </c>
      <c r="M390" t="s">
        <v>777</v>
      </c>
      <c r="N390" t="s">
        <v>1279</v>
      </c>
      <c r="O390">
        <v>16813.46</v>
      </c>
      <c r="P390">
        <v>25</v>
      </c>
      <c r="Q390">
        <v>71457.210000000006</v>
      </c>
      <c r="R390">
        <v>214371.61</v>
      </c>
      <c r="S390">
        <v>25114.44</v>
      </c>
    </row>
    <row r="391" spans="1:19" ht="15" customHeight="1" x14ac:dyDescent="0.25">
      <c r="A391" t="s">
        <v>1387</v>
      </c>
      <c r="B391" s="8">
        <v>45544</v>
      </c>
      <c r="C391" s="8">
        <v>45551</v>
      </c>
      <c r="D391" t="s">
        <v>48</v>
      </c>
      <c r="E391" t="s">
        <v>741</v>
      </c>
      <c r="F391" t="s">
        <v>1388</v>
      </c>
      <c r="G391">
        <v>8108414487</v>
      </c>
      <c r="H391" t="s">
        <v>35</v>
      </c>
      <c r="I391" t="s">
        <v>25</v>
      </c>
      <c r="J391" t="s">
        <v>26</v>
      </c>
      <c r="K391" t="s">
        <v>27</v>
      </c>
      <c r="L391" t="s">
        <v>173</v>
      </c>
      <c r="M391" t="s">
        <v>174</v>
      </c>
      <c r="N391">
        <v>10</v>
      </c>
      <c r="O391">
        <v>1626</v>
      </c>
      <c r="P391">
        <v>0</v>
      </c>
      <c r="Q391">
        <v>0</v>
      </c>
      <c r="R391">
        <v>16260</v>
      </c>
      <c r="S391">
        <v>4823.95</v>
      </c>
    </row>
    <row r="392" spans="1:19" ht="15" customHeight="1" x14ac:dyDescent="0.25">
      <c r="A392" t="s">
        <v>1389</v>
      </c>
      <c r="B392" s="8">
        <v>44913</v>
      </c>
      <c r="C392" s="8">
        <v>44916</v>
      </c>
      <c r="D392" t="s">
        <v>20</v>
      </c>
      <c r="E392" t="s">
        <v>1390</v>
      </c>
      <c r="F392" t="s">
        <v>1391</v>
      </c>
      <c r="G392">
        <v>8161793880</v>
      </c>
      <c r="H392" t="s">
        <v>35</v>
      </c>
      <c r="I392" t="s">
        <v>51</v>
      </c>
      <c r="J392" t="s">
        <v>227</v>
      </c>
      <c r="K392" t="s">
        <v>85</v>
      </c>
      <c r="L392" t="s">
        <v>243</v>
      </c>
      <c r="M392" t="s">
        <v>404</v>
      </c>
      <c r="N392">
        <v>6</v>
      </c>
      <c r="O392">
        <v>86419.36</v>
      </c>
      <c r="P392">
        <v>0</v>
      </c>
      <c r="Q392">
        <v>0</v>
      </c>
      <c r="R392">
        <v>518516.16</v>
      </c>
      <c r="S392">
        <v>143674.23999999999</v>
      </c>
    </row>
    <row r="393" spans="1:19" ht="15" customHeight="1" x14ac:dyDescent="0.25">
      <c r="A393" t="s">
        <v>1392</v>
      </c>
      <c r="B393" s="8">
        <v>44892</v>
      </c>
      <c r="C393" s="8">
        <v>44895</v>
      </c>
      <c r="D393" t="s">
        <v>73</v>
      </c>
      <c r="E393" t="s">
        <v>1393</v>
      </c>
      <c r="F393" t="s">
        <v>1394</v>
      </c>
      <c r="G393">
        <v>9053121873</v>
      </c>
      <c r="H393" t="s">
        <v>959</v>
      </c>
      <c r="I393" t="s">
        <v>51</v>
      </c>
      <c r="J393" t="s">
        <v>131</v>
      </c>
      <c r="K393" t="s">
        <v>108</v>
      </c>
      <c r="L393" t="s">
        <v>38</v>
      </c>
      <c r="M393" t="s">
        <v>39</v>
      </c>
      <c r="N393">
        <v>18</v>
      </c>
      <c r="O393">
        <v>9933.35</v>
      </c>
      <c r="P393">
        <v>0</v>
      </c>
      <c r="Q393">
        <v>0</v>
      </c>
      <c r="R393">
        <v>178800.3</v>
      </c>
      <c r="S393">
        <v>44580.63</v>
      </c>
    </row>
    <row r="394" spans="1:19" ht="15" customHeight="1" x14ac:dyDescent="0.25">
      <c r="A394" t="s">
        <v>1395</v>
      </c>
      <c r="B394" s="8">
        <v>44894</v>
      </c>
      <c r="C394" s="8">
        <v>44895</v>
      </c>
      <c r="D394" t="s">
        <v>32</v>
      </c>
      <c r="E394" t="s">
        <v>1396</v>
      </c>
      <c r="F394" t="s">
        <v>1397</v>
      </c>
      <c r="G394">
        <v>8143439136</v>
      </c>
      <c r="H394" t="s">
        <v>43</v>
      </c>
      <c r="I394" t="s">
        <v>51</v>
      </c>
      <c r="J394" t="s">
        <v>131</v>
      </c>
      <c r="K394" t="s">
        <v>108</v>
      </c>
      <c r="L394" t="s">
        <v>38</v>
      </c>
      <c r="M394" t="s">
        <v>303</v>
      </c>
      <c r="N394">
        <v>18</v>
      </c>
      <c r="O394">
        <v>2184.66</v>
      </c>
      <c r="P394">
        <v>25</v>
      </c>
      <c r="Q394">
        <v>9830.9699999999993</v>
      </c>
      <c r="R394">
        <v>29492.91</v>
      </c>
      <c r="S394">
        <v>1438.32</v>
      </c>
    </row>
    <row r="395" spans="1:19" ht="15" customHeight="1" x14ac:dyDescent="0.25">
      <c r="A395" t="s">
        <v>1398</v>
      </c>
      <c r="B395" s="8">
        <v>45467</v>
      </c>
      <c r="C395" s="8">
        <v>45471</v>
      </c>
      <c r="D395" t="s">
        <v>73</v>
      </c>
      <c r="E395" t="s">
        <v>1031</v>
      </c>
      <c r="F395" t="s">
        <v>1399</v>
      </c>
      <c r="G395">
        <v>8033339134</v>
      </c>
      <c r="H395" t="s">
        <v>43</v>
      </c>
      <c r="I395" t="s">
        <v>51</v>
      </c>
      <c r="K395" t="s">
        <v>27</v>
      </c>
      <c r="L395" t="s">
        <v>79</v>
      </c>
      <c r="M395" t="s">
        <v>80</v>
      </c>
      <c r="N395">
        <v>20</v>
      </c>
      <c r="O395">
        <v>490.93</v>
      </c>
      <c r="P395">
        <v>5</v>
      </c>
      <c r="Q395">
        <v>490.93</v>
      </c>
      <c r="R395">
        <v>9327.67</v>
      </c>
      <c r="S395">
        <v>1096.78</v>
      </c>
    </row>
    <row r="396" spans="1:19" ht="15" customHeight="1" x14ac:dyDescent="0.25">
      <c r="A396" t="s">
        <v>1400</v>
      </c>
      <c r="B396" s="8">
        <v>45640</v>
      </c>
      <c r="C396" s="8">
        <v>45643</v>
      </c>
      <c r="D396" t="s">
        <v>73</v>
      </c>
      <c r="E396" t="s">
        <v>586</v>
      </c>
      <c r="F396" t="s">
        <v>587</v>
      </c>
      <c r="G396">
        <v>8068473546</v>
      </c>
      <c r="H396" t="s">
        <v>35</v>
      </c>
      <c r="I396" t="s">
        <v>25</v>
      </c>
      <c r="J396" t="s">
        <v>44</v>
      </c>
      <c r="K396" t="s">
        <v>96</v>
      </c>
      <c r="L396" t="s">
        <v>254</v>
      </c>
      <c r="M396" t="s">
        <v>530</v>
      </c>
      <c r="N396">
        <v>11</v>
      </c>
      <c r="O396">
        <v>99585.77</v>
      </c>
      <c r="P396">
        <v>25</v>
      </c>
      <c r="Q396">
        <v>273860.87</v>
      </c>
      <c r="R396">
        <v>821582.6</v>
      </c>
      <c r="S396">
        <v>341812.29</v>
      </c>
    </row>
    <row r="397" spans="1:19" ht="15" customHeight="1" x14ac:dyDescent="0.25">
      <c r="A397" t="s">
        <v>1401</v>
      </c>
      <c r="B397" s="8">
        <v>45319</v>
      </c>
      <c r="C397" s="8">
        <v>45320</v>
      </c>
      <c r="D397" t="s">
        <v>32</v>
      </c>
      <c r="E397" t="s">
        <v>826</v>
      </c>
      <c r="F397" t="s">
        <v>1402</v>
      </c>
      <c r="G397">
        <v>7036894759</v>
      </c>
      <c r="H397" t="s">
        <v>35</v>
      </c>
      <c r="I397" t="s">
        <v>51</v>
      </c>
      <c r="J397" t="s">
        <v>316</v>
      </c>
      <c r="K397" t="s">
        <v>63</v>
      </c>
      <c r="L397" t="s">
        <v>64</v>
      </c>
      <c r="M397" t="s">
        <v>777</v>
      </c>
      <c r="N397">
        <v>15</v>
      </c>
      <c r="O397">
        <v>2646.17</v>
      </c>
      <c r="P397">
        <v>15</v>
      </c>
      <c r="Q397">
        <v>5953.88</v>
      </c>
      <c r="R397">
        <v>33738.67</v>
      </c>
      <c r="S397">
        <v>11208.37</v>
      </c>
    </row>
    <row r="398" spans="1:19" ht="15" customHeight="1" x14ac:dyDescent="0.25">
      <c r="A398" t="s">
        <v>1403</v>
      </c>
      <c r="B398" s="8">
        <v>45410</v>
      </c>
      <c r="C398" s="8">
        <v>45410</v>
      </c>
      <c r="D398" t="s">
        <v>32</v>
      </c>
      <c r="E398" t="s">
        <v>1404</v>
      </c>
      <c r="F398" t="s">
        <v>1405</v>
      </c>
      <c r="G398">
        <v>8104486033</v>
      </c>
      <c r="H398" t="s">
        <v>24</v>
      </c>
      <c r="I398" t="s">
        <v>51</v>
      </c>
      <c r="J398" t="s">
        <v>131</v>
      </c>
      <c r="L398" t="s">
        <v>64</v>
      </c>
      <c r="M398" t="s">
        <v>777</v>
      </c>
      <c r="N398">
        <v>3</v>
      </c>
      <c r="O398">
        <v>24672.639999999999</v>
      </c>
      <c r="P398">
        <v>15</v>
      </c>
      <c r="Q398">
        <v>11102.69</v>
      </c>
      <c r="R398">
        <v>62915.23</v>
      </c>
      <c r="S398">
        <v>-6098.44</v>
      </c>
    </row>
    <row r="399" spans="1:19" ht="15" customHeight="1" x14ac:dyDescent="0.25">
      <c r="A399" t="s">
        <v>1406</v>
      </c>
      <c r="B399" s="8">
        <v>45508</v>
      </c>
      <c r="C399" s="8">
        <v>45513</v>
      </c>
      <c r="D399" t="s">
        <v>73</v>
      </c>
      <c r="F399" t="s">
        <v>1407</v>
      </c>
      <c r="G399">
        <v>8134120669</v>
      </c>
      <c r="H399" t="s">
        <v>43</v>
      </c>
      <c r="I399" t="s">
        <v>69</v>
      </c>
      <c r="J399" t="s">
        <v>144</v>
      </c>
      <c r="K399" t="s">
        <v>108</v>
      </c>
      <c r="L399" t="s">
        <v>38</v>
      </c>
      <c r="M399" t="s">
        <v>296</v>
      </c>
      <c r="N399">
        <v>10</v>
      </c>
      <c r="O399">
        <v>23095.18</v>
      </c>
      <c r="P399">
        <v>10</v>
      </c>
      <c r="Q399">
        <v>23095.18</v>
      </c>
      <c r="R399">
        <v>207856.62</v>
      </c>
      <c r="S399">
        <v>30442.74</v>
      </c>
    </row>
    <row r="400" spans="1:19" ht="15" customHeight="1" x14ac:dyDescent="0.25">
      <c r="A400" t="s">
        <v>1408</v>
      </c>
      <c r="B400" s="8">
        <v>44877</v>
      </c>
      <c r="C400" s="8">
        <v>44884</v>
      </c>
      <c r="D400" t="s">
        <v>48</v>
      </c>
      <c r="E400" t="s">
        <v>1409</v>
      </c>
      <c r="F400" t="s">
        <v>1410</v>
      </c>
      <c r="G400">
        <v>8065826621</v>
      </c>
      <c r="H400" t="s">
        <v>35</v>
      </c>
      <c r="I400" t="s">
        <v>69</v>
      </c>
      <c r="J400" t="s">
        <v>119</v>
      </c>
      <c r="K400" t="s">
        <v>108</v>
      </c>
      <c r="L400" t="s">
        <v>109</v>
      </c>
      <c r="M400" t="s">
        <v>690</v>
      </c>
      <c r="N400" t="s">
        <v>1411</v>
      </c>
      <c r="O400">
        <v>40992.11</v>
      </c>
      <c r="P400">
        <v>0</v>
      </c>
      <c r="Q400">
        <v>0</v>
      </c>
      <c r="R400">
        <v>327936.88</v>
      </c>
      <c r="S400">
        <v>-25706.05</v>
      </c>
    </row>
    <row r="401" spans="1:19" ht="15" customHeight="1" x14ac:dyDescent="0.25">
      <c r="A401" t="s">
        <v>1412</v>
      </c>
      <c r="B401" s="8">
        <v>45546</v>
      </c>
      <c r="C401" s="8">
        <v>45549</v>
      </c>
      <c r="D401" t="s">
        <v>20</v>
      </c>
      <c r="E401" t="s">
        <v>1413</v>
      </c>
      <c r="F401" t="s">
        <v>1414</v>
      </c>
      <c r="G401">
        <v>9013006281</v>
      </c>
      <c r="H401" t="s">
        <v>35</v>
      </c>
      <c r="J401" t="s">
        <v>316</v>
      </c>
      <c r="K401" t="s">
        <v>63</v>
      </c>
      <c r="L401" t="s">
        <v>312</v>
      </c>
      <c r="M401" t="s">
        <v>686</v>
      </c>
      <c r="N401">
        <v>9</v>
      </c>
      <c r="O401">
        <v>929.85</v>
      </c>
      <c r="P401">
        <v>0</v>
      </c>
      <c r="Q401">
        <v>0</v>
      </c>
      <c r="R401">
        <v>8368.65</v>
      </c>
      <c r="S401">
        <v>1665.3</v>
      </c>
    </row>
    <row r="402" spans="1:19" ht="15" customHeight="1" x14ac:dyDescent="0.25">
      <c r="A402" t="s">
        <v>1415</v>
      </c>
      <c r="B402" s="8">
        <v>45293</v>
      </c>
      <c r="C402" s="8">
        <v>45296</v>
      </c>
      <c r="D402" t="s">
        <v>73</v>
      </c>
      <c r="F402" t="s">
        <v>370</v>
      </c>
      <c r="G402">
        <v>7066972425</v>
      </c>
      <c r="H402" t="s">
        <v>43</v>
      </c>
      <c r="I402" t="s">
        <v>61</v>
      </c>
      <c r="J402" t="s">
        <v>182</v>
      </c>
      <c r="K402" t="s">
        <v>96</v>
      </c>
      <c r="L402" t="s">
        <v>97</v>
      </c>
      <c r="M402" t="s">
        <v>1416</v>
      </c>
      <c r="N402">
        <v>3</v>
      </c>
      <c r="O402">
        <v>245381.36</v>
      </c>
      <c r="P402">
        <v>25</v>
      </c>
      <c r="Q402">
        <v>184036.02</v>
      </c>
      <c r="R402">
        <v>552108.06000000006</v>
      </c>
      <c r="S402">
        <v>-18612.169999999998</v>
      </c>
    </row>
    <row r="403" spans="1:19" ht="15" customHeight="1" x14ac:dyDescent="0.25">
      <c r="A403" t="s">
        <v>1417</v>
      </c>
      <c r="B403" s="8">
        <v>45222</v>
      </c>
      <c r="C403" s="8">
        <v>45226</v>
      </c>
      <c r="D403" t="s">
        <v>73</v>
      </c>
      <c r="E403" t="s">
        <v>608</v>
      </c>
      <c r="F403" t="s">
        <v>609</v>
      </c>
      <c r="G403">
        <v>8069966085</v>
      </c>
      <c r="H403" t="s">
        <v>24</v>
      </c>
      <c r="I403" t="s">
        <v>61</v>
      </c>
      <c r="J403" t="s">
        <v>95</v>
      </c>
      <c r="K403" t="s">
        <v>27</v>
      </c>
      <c r="L403" t="s">
        <v>45</v>
      </c>
      <c r="M403" t="s">
        <v>523</v>
      </c>
      <c r="N403">
        <v>17</v>
      </c>
      <c r="O403">
        <v>399.31</v>
      </c>
      <c r="P403">
        <v>10</v>
      </c>
      <c r="Q403">
        <v>678.83</v>
      </c>
      <c r="R403">
        <v>6109.44</v>
      </c>
      <c r="S403">
        <v>450.93</v>
      </c>
    </row>
    <row r="404" spans="1:19" ht="15" customHeight="1" x14ac:dyDescent="0.25">
      <c r="A404" t="s">
        <v>1418</v>
      </c>
      <c r="B404" s="8">
        <v>44771</v>
      </c>
      <c r="C404" s="8">
        <v>44774</v>
      </c>
      <c r="D404" t="s">
        <v>73</v>
      </c>
      <c r="E404" t="s">
        <v>1419</v>
      </c>
      <c r="F404" t="s">
        <v>1420</v>
      </c>
      <c r="G404">
        <v>8034161109</v>
      </c>
      <c r="H404" t="s">
        <v>43</v>
      </c>
      <c r="I404" t="s">
        <v>69</v>
      </c>
      <c r="J404" t="s">
        <v>70</v>
      </c>
      <c r="K404" t="s">
        <v>27</v>
      </c>
      <c r="L404" t="s">
        <v>173</v>
      </c>
      <c r="M404" t="s">
        <v>1421</v>
      </c>
      <c r="N404">
        <v>18</v>
      </c>
      <c r="O404">
        <v>6814.74</v>
      </c>
      <c r="P404">
        <v>0</v>
      </c>
      <c r="Q404">
        <v>0</v>
      </c>
      <c r="R404">
        <v>122665.32</v>
      </c>
      <c r="S404">
        <v>12316.55</v>
      </c>
    </row>
    <row r="405" spans="1:19" ht="15" customHeight="1" x14ac:dyDescent="0.25">
      <c r="A405" t="s">
        <v>1387</v>
      </c>
      <c r="B405" s="8">
        <v>45544</v>
      </c>
      <c r="C405" s="8">
        <v>45551</v>
      </c>
      <c r="D405" t="s">
        <v>48</v>
      </c>
      <c r="E405" t="s">
        <v>741</v>
      </c>
      <c r="F405" t="s">
        <v>1388</v>
      </c>
      <c r="G405">
        <v>8108414487</v>
      </c>
      <c r="H405" t="s">
        <v>35</v>
      </c>
      <c r="I405" t="s">
        <v>25</v>
      </c>
      <c r="J405" t="s">
        <v>26</v>
      </c>
      <c r="K405" t="s">
        <v>27</v>
      </c>
      <c r="L405" t="s">
        <v>173</v>
      </c>
      <c r="M405" t="s">
        <v>174</v>
      </c>
      <c r="N405">
        <v>10</v>
      </c>
      <c r="O405">
        <v>1626</v>
      </c>
      <c r="P405">
        <v>0</v>
      </c>
      <c r="Q405">
        <v>0</v>
      </c>
      <c r="R405">
        <v>16260</v>
      </c>
      <c r="S405">
        <v>4823.95</v>
      </c>
    </row>
    <row r="406" spans="1:19" ht="15" customHeight="1" x14ac:dyDescent="0.25">
      <c r="A406" t="s">
        <v>1422</v>
      </c>
      <c r="B406" s="8">
        <v>45026</v>
      </c>
      <c r="C406" s="8">
        <v>45030</v>
      </c>
      <c r="D406" t="s">
        <v>73</v>
      </c>
      <c r="E406" t="s">
        <v>1276</v>
      </c>
      <c r="F406" t="s">
        <v>1423</v>
      </c>
      <c r="G406">
        <v>8068127046</v>
      </c>
      <c r="H406" t="s">
        <v>35</v>
      </c>
      <c r="I406" t="s">
        <v>25</v>
      </c>
      <c r="J406" t="s">
        <v>126</v>
      </c>
      <c r="K406" t="s">
        <v>96</v>
      </c>
      <c r="L406" t="s">
        <v>120</v>
      </c>
      <c r="M406" t="s">
        <v>1307</v>
      </c>
      <c r="N406">
        <v>14</v>
      </c>
      <c r="O406">
        <v>351991.15</v>
      </c>
      <c r="P406">
        <v>0</v>
      </c>
      <c r="Q406">
        <v>0</v>
      </c>
      <c r="R406">
        <v>4927876.0999999996</v>
      </c>
      <c r="S406">
        <v>-158625.4</v>
      </c>
    </row>
    <row r="407" spans="1:19" ht="15" customHeight="1" x14ac:dyDescent="0.25">
      <c r="A407" t="s">
        <v>1424</v>
      </c>
      <c r="B407" s="8">
        <v>45522</v>
      </c>
      <c r="C407" s="8">
        <v>45527</v>
      </c>
      <c r="D407" t="s">
        <v>48</v>
      </c>
      <c r="E407" t="s">
        <v>1425</v>
      </c>
      <c r="F407" t="s">
        <v>1426</v>
      </c>
      <c r="G407">
        <v>8161172342</v>
      </c>
      <c r="H407" t="s">
        <v>24</v>
      </c>
      <c r="I407" t="s">
        <v>25</v>
      </c>
      <c r="J407" t="s">
        <v>36</v>
      </c>
      <c r="K407" t="s">
        <v>96</v>
      </c>
      <c r="L407" t="s">
        <v>120</v>
      </c>
      <c r="M407" t="s">
        <v>121</v>
      </c>
      <c r="N407">
        <v>7</v>
      </c>
      <c r="O407">
        <v>104349.52</v>
      </c>
      <c r="P407">
        <v>0</v>
      </c>
      <c r="Q407">
        <v>0</v>
      </c>
      <c r="R407">
        <v>730446.64</v>
      </c>
      <c r="S407">
        <v>184335.8</v>
      </c>
    </row>
    <row r="408" spans="1:19" ht="15" customHeight="1" x14ac:dyDescent="0.25">
      <c r="A408" t="s">
        <v>1427</v>
      </c>
      <c r="B408" s="8">
        <v>45274</v>
      </c>
      <c r="C408" s="8">
        <v>45277</v>
      </c>
      <c r="D408" t="s">
        <v>20</v>
      </c>
      <c r="E408" t="s">
        <v>1428</v>
      </c>
      <c r="F408" t="s">
        <v>1429</v>
      </c>
      <c r="G408">
        <v>8152146505</v>
      </c>
      <c r="H408" t="s">
        <v>35</v>
      </c>
      <c r="I408" t="s">
        <v>25</v>
      </c>
      <c r="J408" t="s">
        <v>26</v>
      </c>
      <c r="K408" t="s">
        <v>1430</v>
      </c>
      <c r="L408" t="s">
        <v>254</v>
      </c>
      <c r="M408" t="s">
        <v>756</v>
      </c>
      <c r="N408">
        <v>7</v>
      </c>
      <c r="O408">
        <v>245044.85</v>
      </c>
      <c r="P408">
        <v>10</v>
      </c>
      <c r="Q408">
        <v>171531.39</v>
      </c>
      <c r="R408" t="s">
        <v>1431</v>
      </c>
      <c r="S408">
        <v>-72458.86</v>
      </c>
    </row>
    <row r="409" spans="1:19" ht="15" customHeight="1" x14ac:dyDescent="0.25">
      <c r="A409" t="s">
        <v>1432</v>
      </c>
      <c r="B409" s="8">
        <v>45312</v>
      </c>
      <c r="C409" s="8">
        <v>45312</v>
      </c>
      <c r="D409" t="s">
        <v>32</v>
      </c>
      <c r="E409" t="s">
        <v>176</v>
      </c>
      <c r="F409" t="s">
        <v>1433</v>
      </c>
      <c r="G409">
        <v>8106952931</v>
      </c>
      <c r="H409" t="s">
        <v>35</v>
      </c>
      <c r="I409" t="s">
        <v>25</v>
      </c>
      <c r="J409" t="s">
        <v>26</v>
      </c>
      <c r="K409" t="s">
        <v>108</v>
      </c>
      <c r="L409" t="s">
        <v>183</v>
      </c>
      <c r="M409" t="s">
        <v>372</v>
      </c>
      <c r="N409">
        <v>14</v>
      </c>
      <c r="O409">
        <v>24112.79</v>
      </c>
      <c r="P409">
        <v>0</v>
      </c>
      <c r="Q409">
        <v>0</v>
      </c>
      <c r="R409">
        <v>337579.06</v>
      </c>
      <c r="S409">
        <v>103584.67</v>
      </c>
    </row>
    <row r="410" spans="1:19" ht="15" customHeight="1" x14ac:dyDescent="0.25">
      <c r="A410" t="s">
        <v>1434</v>
      </c>
      <c r="B410" s="8">
        <v>45626</v>
      </c>
      <c r="C410" s="8">
        <v>45632</v>
      </c>
      <c r="D410" t="s">
        <v>48</v>
      </c>
      <c r="E410" t="s">
        <v>1435</v>
      </c>
      <c r="F410" t="s">
        <v>1436</v>
      </c>
      <c r="G410">
        <v>9015836389</v>
      </c>
      <c r="H410" t="s">
        <v>43</v>
      </c>
      <c r="I410" t="s">
        <v>51</v>
      </c>
      <c r="J410" t="s">
        <v>52</v>
      </c>
      <c r="K410" t="s">
        <v>27</v>
      </c>
      <c r="L410" t="s">
        <v>79</v>
      </c>
      <c r="M410" t="s">
        <v>145</v>
      </c>
      <c r="N410">
        <v>4</v>
      </c>
      <c r="O410" t="s">
        <v>1437</v>
      </c>
      <c r="P410">
        <v>15</v>
      </c>
      <c r="Q410">
        <v>1695.89</v>
      </c>
      <c r="R410">
        <v>9610.07</v>
      </c>
      <c r="S410">
        <v>193.8</v>
      </c>
    </row>
    <row r="411" spans="1:19" ht="15" customHeight="1" x14ac:dyDescent="0.25">
      <c r="A411" t="s">
        <v>1438</v>
      </c>
      <c r="B411" s="8">
        <v>45157</v>
      </c>
      <c r="C411" s="8">
        <v>45158</v>
      </c>
      <c r="D411" t="s">
        <v>32</v>
      </c>
      <c r="E411" t="s">
        <v>1439</v>
      </c>
      <c r="F411" t="s">
        <v>1440</v>
      </c>
      <c r="G411" t="s">
        <v>649</v>
      </c>
      <c r="H411" t="s">
        <v>35</v>
      </c>
      <c r="I411" t="s">
        <v>51</v>
      </c>
      <c r="J411" t="s">
        <v>316</v>
      </c>
      <c r="K411" t="s">
        <v>1441</v>
      </c>
      <c r="L411" t="s">
        <v>54</v>
      </c>
      <c r="M411" t="s">
        <v>1039</v>
      </c>
      <c r="N411">
        <v>16</v>
      </c>
      <c r="O411">
        <v>24968.720000000001</v>
      </c>
      <c r="P411">
        <v>0</v>
      </c>
      <c r="Q411">
        <v>0</v>
      </c>
      <c r="R411">
        <v>399499.52000000002</v>
      </c>
      <c r="S411">
        <v>35084.79</v>
      </c>
    </row>
    <row r="412" spans="1:19" ht="15" customHeight="1" x14ac:dyDescent="0.25">
      <c r="A412" t="s">
        <v>1442</v>
      </c>
      <c r="B412" s="8">
        <v>45382</v>
      </c>
      <c r="C412" s="8">
        <v>45382</v>
      </c>
      <c r="D412" t="s">
        <v>32</v>
      </c>
      <c r="E412" t="s">
        <v>402</v>
      </c>
      <c r="F412" t="s">
        <v>1443</v>
      </c>
      <c r="G412">
        <v>8136681296</v>
      </c>
      <c r="H412" t="s">
        <v>35</v>
      </c>
      <c r="I412" t="s">
        <v>25</v>
      </c>
      <c r="J412" t="s">
        <v>26</v>
      </c>
      <c r="K412" t="s">
        <v>85</v>
      </c>
      <c r="L412" t="s">
        <v>266</v>
      </c>
      <c r="M412" t="s">
        <v>1444</v>
      </c>
      <c r="N412">
        <v>14</v>
      </c>
      <c r="O412">
        <v>29115.09</v>
      </c>
      <c r="P412">
        <v>20</v>
      </c>
      <c r="Q412">
        <v>81522.25</v>
      </c>
      <c r="R412">
        <v>326089.01</v>
      </c>
      <c r="S412">
        <v>5579.71</v>
      </c>
    </row>
    <row r="413" spans="1:19" ht="15" customHeight="1" x14ac:dyDescent="0.25">
      <c r="A413" t="s">
        <v>1445</v>
      </c>
      <c r="B413" s="8">
        <v>45390</v>
      </c>
      <c r="C413" s="8">
        <v>45391</v>
      </c>
      <c r="D413" t="s">
        <v>32</v>
      </c>
      <c r="E413" t="s">
        <v>1446</v>
      </c>
      <c r="F413" t="s">
        <v>1447</v>
      </c>
      <c r="G413">
        <v>9028627505</v>
      </c>
      <c r="H413" t="s">
        <v>43</v>
      </c>
      <c r="I413" t="s">
        <v>51</v>
      </c>
      <c r="J413" t="s">
        <v>316</v>
      </c>
      <c r="K413" t="s">
        <v>96</v>
      </c>
      <c r="L413" t="s">
        <v>120</v>
      </c>
      <c r="M413" t="s">
        <v>367</v>
      </c>
      <c r="N413">
        <v>8</v>
      </c>
      <c r="O413">
        <v>227863.5</v>
      </c>
      <c r="P413">
        <v>0</v>
      </c>
      <c r="Q413">
        <v>0</v>
      </c>
      <c r="R413">
        <v>1822908</v>
      </c>
      <c r="S413">
        <v>-240926.26</v>
      </c>
    </row>
    <row r="414" spans="1:19" ht="15" customHeight="1" x14ac:dyDescent="0.25">
      <c r="A414" t="s">
        <v>1448</v>
      </c>
      <c r="B414" s="8">
        <v>44928</v>
      </c>
      <c r="C414" s="8">
        <v>44936</v>
      </c>
      <c r="D414" t="s">
        <v>48</v>
      </c>
      <c r="E414" t="s">
        <v>1449</v>
      </c>
      <c r="F414" t="s">
        <v>1450</v>
      </c>
      <c r="G414">
        <v>8106079345</v>
      </c>
      <c r="H414" t="s">
        <v>43</v>
      </c>
      <c r="I414" t="s">
        <v>25</v>
      </c>
      <c r="J414" t="s">
        <v>26</v>
      </c>
      <c r="K414" t="s">
        <v>27</v>
      </c>
      <c r="L414" t="s">
        <v>173</v>
      </c>
      <c r="M414" t="s">
        <v>279</v>
      </c>
      <c r="N414">
        <v>17</v>
      </c>
      <c r="O414">
        <v>6153.32</v>
      </c>
      <c r="P414">
        <v>20</v>
      </c>
      <c r="Q414">
        <v>20921.29</v>
      </c>
      <c r="R414">
        <v>83685.149999999994</v>
      </c>
      <c r="S414">
        <v>27251.14</v>
      </c>
    </row>
    <row r="415" spans="1:19" ht="15" customHeight="1" x14ac:dyDescent="0.25">
      <c r="A415" t="s">
        <v>1451</v>
      </c>
      <c r="B415" s="8">
        <v>45566</v>
      </c>
      <c r="C415" s="8">
        <v>45567</v>
      </c>
      <c r="D415" t="s">
        <v>32</v>
      </c>
      <c r="E415" t="s">
        <v>1452</v>
      </c>
      <c r="F415" t="s">
        <v>1453</v>
      </c>
      <c r="G415">
        <v>9021530135</v>
      </c>
      <c r="H415" t="s">
        <v>24</v>
      </c>
      <c r="I415" t="s">
        <v>61</v>
      </c>
      <c r="J415" t="s">
        <v>182</v>
      </c>
      <c r="K415" t="s">
        <v>108</v>
      </c>
      <c r="L415" t="s">
        <v>114</v>
      </c>
      <c r="M415" t="s">
        <v>115</v>
      </c>
      <c r="N415">
        <v>13</v>
      </c>
      <c r="O415">
        <v>21354.97</v>
      </c>
      <c r="P415">
        <v>20</v>
      </c>
      <c r="Q415">
        <v>55522.92</v>
      </c>
      <c r="R415">
        <v>222091.69</v>
      </c>
      <c r="S415">
        <v>27937.75</v>
      </c>
    </row>
    <row r="416" spans="1:19" ht="15" customHeight="1" x14ac:dyDescent="0.25">
      <c r="A416" t="s">
        <v>1454</v>
      </c>
      <c r="B416" s="8">
        <v>44898</v>
      </c>
      <c r="C416" s="8">
        <v>44901</v>
      </c>
      <c r="D416" t="s">
        <v>20</v>
      </c>
      <c r="E416" t="s">
        <v>1455</v>
      </c>
      <c r="F416" t="s">
        <v>1456</v>
      </c>
      <c r="G416">
        <v>9017527687</v>
      </c>
      <c r="H416" t="s">
        <v>24</v>
      </c>
      <c r="I416" t="s">
        <v>25</v>
      </c>
      <c r="J416" t="s">
        <v>126</v>
      </c>
      <c r="K416" t="s">
        <v>108</v>
      </c>
      <c r="L416" t="s">
        <v>114</v>
      </c>
      <c r="M416" t="s">
        <v>891</v>
      </c>
      <c r="N416">
        <v>18</v>
      </c>
      <c r="O416">
        <v>31026.06</v>
      </c>
      <c r="P416">
        <v>25</v>
      </c>
      <c r="Q416">
        <v>139617.26999999999</v>
      </c>
      <c r="R416">
        <v>418851.81</v>
      </c>
      <c r="S416">
        <v>80975</v>
      </c>
    </row>
    <row r="417" spans="1:19" ht="15" customHeight="1" x14ac:dyDescent="0.25">
      <c r="A417" t="s">
        <v>1457</v>
      </c>
      <c r="B417" s="8">
        <v>45363</v>
      </c>
      <c r="C417" s="8">
        <v>45370</v>
      </c>
      <c r="D417" t="s">
        <v>48</v>
      </c>
      <c r="E417" t="s">
        <v>1458</v>
      </c>
      <c r="F417" t="s">
        <v>1459</v>
      </c>
      <c r="G417">
        <v>9056918393</v>
      </c>
      <c r="H417" t="s">
        <v>35</v>
      </c>
      <c r="J417" t="s">
        <v>155</v>
      </c>
      <c r="K417" t="s">
        <v>63</v>
      </c>
      <c r="L417" t="s">
        <v>558</v>
      </c>
      <c r="M417" t="s">
        <v>1460</v>
      </c>
      <c r="N417">
        <v>2</v>
      </c>
      <c r="O417">
        <v>1189.5999999999999</v>
      </c>
      <c r="P417">
        <v>0</v>
      </c>
      <c r="Q417">
        <v>0</v>
      </c>
      <c r="R417">
        <v>2379.1999999999998</v>
      </c>
      <c r="S417">
        <v>837.86</v>
      </c>
    </row>
    <row r="418" spans="1:19" ht="15" customHeight="1" x14ac:dyDescent="0.25">
      <c r="A418" t="s">
        <v>1461</v>
      </c>
      <c r="B418" s="8">
        <v>45341</v>
      </c>
      <c r="C418" s="8">
        <v>45343</v>
      </c>
      <c r="D418" t="s">
        <v>20</v>
      </c>
      <c r="E418" t="s">
        <v>1462</v>
      </c>
      <c r="F418" t="s">
        <v>1463</v>
      </c>
      <c r="G418">
        <v>7066893320</v>
      </c>
      <c r="H418" t="s">
        <v>35</v>
      </c>
      <c r="I418" t="s">
        <v>51</v>
      </c>
      <c r="J418" t="s">
        <v>227</v>
      </c>
      <c r="K418" t="s">
        <v>96</v>
      </c>
      <c r="L418" t="s">
        <v>385</v>
      </c>
      <c r="M418" t="s">
        <v>781</v>
      </c>
      <c r="N418">
        <v>10</v>
      </c>
      <c r="O418">
        <v>117060.61</v>
      </c>
      <c r="P418">
        <v>0</v>
      </c>
      <c r="Q418">
        <v>0</v>
      </c>
      <c r="R418">
        <v>1170606.1000000001</v>
      </c>
      <c r="S418">
        <v>463833.25</v>
      </c>
    </row>
    <row r="419" spans="1:19" ht="15" customHeight="1" x14ac:dyDescent="0.25">
      <c r="A419" t="s">
        <v>1464</v>
      </c>
      <c r="B419" s="8">
        <v>44609</v>
      </c>
      <c r="C419" s="8">
        <v>44615</v>
      </c>
      <c r="D419" t="s">
        <v>48</v>
      </c>
      <c r="E419" t="s">
        <v>1465</v>
      </c>
      <c r="F419" t="s">
        <v>1466</v>
      </c>
      <c r="G419">
        <v>8107264416</v>
      </c>
      <c r="H419" t="s">
        <v>24</v>
      </c>
      <c r="J419" t="s">
        <v>44</v>
      </c>
      <c r="K419" t="s">
        <v>96</v>
      </c>
      <c r="L419" t="s">
        <v>385</v>
      </c>
      <c r="M419" t="s">
        <v>1010</v>
      </c>
      <c r="N419">
        <v>3</v>
      </c>
      <c r="O419">
        <v>363633.82</v>
      </c>
      <c r="P419">
        <v>0</v>
      </c>
      <c r="Q419">
        <v>0</v>
      </c>
      <c r="R419">
        <v>1090901.46</v>
      </c>
      <c r="S419">
        <v>-157322.01</v>
      </c>
    </row>
    <row r="420" spans="1:19" ht="15" customHeight="1" x14ac:dyDescent="0.25">
      <c r="A420" t="s">
        <v>1467</v>
      </c>
      <c r="B420" s="8">
        <v>44909</v>
      </c>
      <c r="C420" s="8">
        <v>44911</v>
      </c>
      <c r="D420" t="s">
        <v>20</v>
      </c>
      <c r="E420" t="s">
        <v>1452</v>
      </c>
      <c r="F420" t="s">
        <v>1453</v>
      </c>
      <c r="G420">
        <v>8148087921</v>
      </c>
      <c r="H420" t="s">
        <v>35</v>
      </c>
      <c r="I420" t="s">
        <v>25</v>
      </c>
      <c r="J420" t="s">
        <v>44</v>
      </c>
      <c r="K420" t="s">
        <v>27</v>
      </c>
      <c r="L420" t="s">
        <v>173</v>
      </c>
      <c r="M420" t="s">
        <v>662</v>
      </c>
      <c r="N420">
        <v>16</v>
      </c>
      <c r="O420">
        <v>2352.9699999999998</v>
      </c>
      <c r="P420">
        <v>0</v>
      </c>
      <c r="Q420">
        <v>0</v>
      </c>
      <c r="R420">
        <v>37647.519999999997</v>
      </c>
      <c r="S420">
        <v>16619.830000000002</v>
      </c>
    </row>
    <row r="421" spans="1:19" ht="15" customHeight="1" x14ac:dyDescent="0.25">
      <c r="A421" t="s">
        <v>1468</v>
      </c>
      <c r="B421" s="8">
        <v>44762</v>
      </c>
      <c r="C421" s="8">
        <v>44765</v>
      </c>
      <c r="D421" t="s">
        <v>20</v>
      </c>
      <c r="E421" t="s">
        <v>1469</v>
      </c>
      <c r="F421" t="s">
        <v>1470</v>
      </c>
      <c r="G421">
        <v>7039333769</v>
      </c>
      <c r="H421" t="s">
        <v>43</v>
      </c>
      <c r="I421" t="s">
        <v>588</v>
      </c>
      <c r="J421" t="s">
        <v>155</v>
      </c>
      <c r="K421" t="s">
        <v>27</v>
      </c>
      <c r="L421" t="s">
        <v>45</v>
      </c>
      <c r="M421" t="s">
        <v>523</v>
      </c>
      <c r="N421">
        <v>12</v>
      </c>
      <c r="O421">
        <v>5034.17</v>
      </c>
      <c r="P421">
        <v>15</v>
      </c>
      <c r="Q421">
        <v>9061.51</v>
      </c>
      <c r="R421">
        <v>51348.53</v>
      </c>
      <c r="S421">
        <v>-1486.27</v>
      </c>
    </row>
    <row r="422" spans="1:19" ht="15" customHeight="1" x14ac:dyDescent="0.25">
      <c r="A422" t="s">
        <v>1471</v>
      </c>
      <c r="B422" s="8">
        <v>45105</v>
      </c>
      <c r="C422" s="8">
        <v>45107</v>
      </c>
      <c r="D422" t="s">
        <v>20</v>
      </c>
      <c r="E422" t="s">
        <v>1472</v>
      </c>
      <c r="F422" t="s">
        <v>1473</v>
      </c>
      <c r="G422">
        <v>9024789737</v>
      </c>
      <c r="H422" t="s">
        <v>35</v>
      </c>
      <c r="I422" t="s">
        <v>25</v>
      </c>
      <c r="J422" t="s">
        <v>36</v>
      </c>
      <c r="K422" t="s">
        <v>27</v>
      </c>
      <c r="L422" t="s">
        <v>79</v>
      </c>
      <c r="M422" t="s">
        <v>234</v>
      </c>
      <c r="N422">
        <v>11</v>
      </c>
      <c r="O422">
        <v>1029.45</v>
      </c>
      <c r="P422">
        <v>10</v>
      </c>
      <c r="Q422">
        <v>1132.3900000000001</v>
      </c>
      <c r="R422">
        <v>10191.56</v>
      </c>
      <c r="S422">
        <v>-1117.3800000000001</v>
      </c>
    </row>
    <row r="423" spans="1:19" ht="15" customHeight="1" x14ac:dyDescent="0.25">
      <c r="A423" t="s">
        <v>1474</v>
      </c>
      <c r="B423" s="8">
        <v>44719</v>
      </c>
      <c r="C423" s="8">
        <v>44722</v>
      </c>
      <c r="D423" t="s">
        <v>20</v>
      </c>
      <c r="E423" t="s">
        <v>1475</v>
      </c>
      <c r="G423">
        <v>7066257190</v>
      </c>
      <c r="H423" t="s">
        <v>35</v>
      </c>
      <c r="I423" t="s">
        <v>69</v>
      </c>
      <c r="J423" t="s">
        <v>70</v>
      </c>
      <c r="K423" t="s">
        <v>85</v>
      </c>
      <c r="L423" t="s">
        <v>486</v>
      </c>
      <c r="M423" t="s">
        <v>1018</v>
      </c>
      <c r="N423">
        <v>17</v>
      </c>
      <c r="O423">
        <v>51217.54</v>
      </c>
      <c r="P423">
        <v>20</v>
      </c>
      <c r="Q423">
        <v>174139.64</v>
      </c>
      <c r="R423">
        <v>696558.54</v>
      </c>
      <c r="S423">
        <v>176184.83</v>
      </c>
    </row>
    <row r="424" spans="1:19" ht="15" customHeight="1" x14ac:dyDescent="0.25">
      <c r="A424" t="s">
        <v>1476</v>
      </c>
      <c r="B424" s="8">
        <v>45584</v>
      </c>
      <c r="C424" s="8">
        <v>45587</v>
      </c>
      <c r="D424" t="s">
        <v>73</v>
      </c>
      <c r="F424" t="s">
        <v>1477</v>
      </c>
      <c r="G424">
        <v>9052004647</v>
      </c>
      <c r="H424" t="s">
        <v>24</v>
      </c>
      <c r="I424" t="s">
        <v>61</v>
      </c>
      <c r="J424" t="s">
        <v>95</v>
      </c>
      <c r="K424" t="s">
        <v>27</v>
      </c>
      <c r="L424" t="s">
        <v>354</v>
      </c>
      <c r="M424" t="s">
        <v>494</v>
      </c>
      <c r="N424">
        <v>8</v>
      </c>
      <c r="O424">
        <v>3861.15</v>
      </c>
      <c r="P424">
        <v>0</v>
      </c>
      <c r="Q424">
        <v>0</v>
      </c>
      <c r="R424">
        <v>30889.200000000001</v>
      </c>
      <c r="S424">
        <v>9200.66</v>
      </c>
    </row>
    <row r="425" spans="1:19" ht="15" customHeight="1" x14ac:dyDescent="0.25">
      <c r="A425" t="s">
        <v>1478</v>
      </c>
      <c r="B425" s="8">
        <v>44693</v>
      </c>
      <c r="C425" s="8">
        <v>44695</v>
      </c>
      <c r="D425" t="s">
        <v>20</v>
      </c>
      <c r="E425" t="s">
        <v>1479</v>
      </c>
      <c r="F425" t="s">
        <v>1480</v>
      </c>
      <c r="G425">
        <v>9073694157</v>
      </c>
      <c r="H425" t="s">
        <v>43</v>
      </c>
      <c r="I425" t="s">
        <v>51</v>
      </c>
      <c r="J425" t="s">
        <v>316</v>
      </c>
      <c r="K425" t="s">
        <v>63</v>
      </c>
      <c r="L425" t="s">
        <v>469</v>
      </c>
      <c r="M425" t="s">
        <v>1099</v>
      </c>
      <c r="N425">
        <v>8</v>
      </c>
      <c r="O425">
        <v>6285.18</v>
      </c>
      <c r="P425">
        <v>0</v>
      </c>
      <c r="Q425">
        <v>0</v>
      </c>
      <c r="R425">
        <v>50281.440000000002</v>
      </c>
      <c r="S425">
        <v>-3018.03</v>
      </c>
    </row>
    <row r="426" spans="1:19" ht="15" customHeight="1" x14ac:dyDescent="0.25">
      <c r="A426" t="s">
        <v>1481</v>
      </c>
      <c r="B426" s="8">
        <v>45556</v>
      </c>
      <c r="C426" s="8">
        <v>45557</v>
      </c>
      <c r="D426" t="s">
        <v>32</v>
      </c>
      <c r="E426" t="s">
        <v>1482</v>
      </c>
      <c r="F426" t="s">
        <v>1483</v>
      </c>
      <c r="G426">
        <v>8133673591</v>
      </c>
      <c r="H426" t="s">
        <v>43</v>
      </c>
      <c r="I426" t="s">
        <v>25</v>
      </c>
      <c r="J426" t="s">
        <v>126</v>
      </c>
      <c r="K426" t="s">
        <v>63</v>
      </c>
      <c r="L426" t="s">
        <v>54</v>
      </c>
      <c r="M426" t="s">
        <v>1039</v>
      </c>
      <c r="N426">
        <v>9</v>
      </c>
      <c r="O426">
        <v>6830.72</v>
      </c>
      <c r="P426">
        <v>25</v>
      </c>
      <c r="Q426">
        <v>15369.12</v>
      </c>
      <c r="R426">
        <v>46107.360000000001</v>
      </c>
      <c r="S426">
        <v>-2047.58</v>
      </c>
    </row>
    <row r="427" spans="1:19" ht="15" customHeight="1" x14ac:dyDescent="0.25">
      <c r="A427" t="s">
        <v>1484</v>
      </c>
      <c r="B427" s="8">
        <v>44733</v>
      </c>
      <c r="C427" s="8">
        <v>44730</v>
      </c>
      <c r="D427" t="s">
        <v>48</v>
      </c>
      <c r="E427" t="s">
        <v>1485</v>
      </c>
      <c r="F427" t="s">
        <v>1486</v>
      </c>
      <c r="G427">
        <v>7067097414</v>
      </c>
      <c r="H427" t="s">
        <v>35</v>
      </c>
      <c r="I427" t="s">
        <v>25</v>
      </c>
      <c r="J427" t="s">
        <v>168</v>
      </c>
      <c r="K427" t="s">
        <v>96</v>
      </c>
      <c r="L427" t="s">
        <v>189</v>
      </c>
      <c r="M427" t="s">
        <v>190</v>
      </c>
      <c r="N427">
        <v>19</v>
      </c>
      <c r="O427">
        <v>117677.9</v>
      </c>
      <c r="P427">
        <v>25</v>
      </c>
      <c r="Q427">
        <v>558970.03</v>
      </c>
      <c r="R427">
        <v>1676910.07</v>
      </c>
      <c r="S427">
        <v>687132.8</v>
      </c>
    </row>
    <row r="428" spans="1:19" ht="15" customHeight="1" x14ac:dyDescent="0.25">
      <c r="A428" t="s">
        <v>1487</v>
      </c>
      <c r="B428" s="8">
        <v>44812</v>
      </c>
      <c r="C428" s="8">
        <v>44816</v>
      </c>
      <c r="D428" t="s">
        <v>73</v>
      </c>
      <c r="E428" t="s">
        <v>1488</v>
      </c>
      <c r="F428" t="s">
        <v>1489</v>
      </c>
      <c r="G428">
        <v>9024958384</v>
      </c>
      <c r="H428" t="s">
        <v>35</v>
      </c>
      <c r="I428" t="s">
        <v>51</v>
      </c>
      <c r="J428" t="s">
        <v>316</v>
      </c>
      <c r="K428" t="s">
        <v>37</v>
      </c>
      <c r="L428" t="s">
        <v>109</v>
      </c>
      <c r="M428" t="s">
        <v>1258</v>
      </c>
      <c r="N428">
        <v>7</v>
      </c>
      <c r="O428">
        <v>6593</v>
      </c>
      <c r="P428">
        <v>10</v>
      </c>
      <c r="Q428">
        <v>4615.1000000000004</v>
      </c>
      <c r="R428">
        <v>41535.9</v>
      </c>
      <c r="S428">
        <v>4722.0200000000004</v>
      </c>
    </row>
    <row r="429" spans="1:19" ht="15" customHeight="1" x14ac:dyDescent="0.25">
      <c r="A429" t="s">
        <v>1490</v>
      </c>
      <c r="B429" s="8">
        <v>45654</v>
      </c>
      <c r="C429" s="8">
        <v>45655</v>
      </c>
      <c r="D429" t="s">
        <v>32</v>
      </c>
      <c r="E429" t="s">
        <v>1491</v>
      </c>
      <c r="F429" t="s">
        <v>1492</v>
      </c>
      <c r="G429">
        <v>8145133011</v>
      </c>
      <c r="H429" t="s">
        <v>35</v>
      </c>
      <c r="I429" t="s">
        <v>51</v>
      </c>
      <c r="J429" t="s">
        <v>227</v>
      </c>
      <c r="K429" t="s">
        <v>63</v>
      </c>
      <c r="L429" t="s">
        <v>194</v>
      </c>
      <c r="M429" t="s">
        <v>336</v>
      </c>
      <c r="N429">
        <v>12</v>
      </c>
      <c r="O429">
        <v>9393.4500000000007</v>
      </c>
      <c r="P429">
        <v>10</v>
      </c>
      <c r="Q429">
        <v>11272.14</v>
      </c>
      <c r="R429">
        <v>101449.26</v>
      </c>
      <c r="S429">
        <v>-13934.61</v>
      </c>
    </row>
    <row r="430" spans="1:19" ht="15" customHeight="1" x14ac:dyDescent="0.25">
      <c r="A430" t="s">
        <v>1493</v>
      </c>
      <c r="B430" s="8">
        <v>45080</v>
      </c>
      <c r="C430" s="8">
        <v>45085</v>
      </c>
      <c r="D430" t="s">
        <v>73</v>
      </c>
      <c r="E430" t="s">
        <v>1494</v>
      </c>
      <c r="F430" t="s">
        <v>1495</v>
      </c>
      <c r="G430">
        <v>9023047722</v>
      </c>
      <c r="H430" t="s">
        <v>24</v>
      </c>
      <c r="I430" t="s">
        <v>25</v>
      </c>
      <c r="J430" t="s">
        <v>26</v>
      </c>
      <c r="K430" t="s">
        <v>27</v>
      </c>
      <c r="L430" t="s">
        <v>354</v>
      </c>
      <c r="M430" t="s">
        <v>433</v>
      </c>
      <c r="N430">
        <v>13</v>
      </c>
      <c r="O430">
        <v>3291.23</v>
      </c>
      <c r="P430">
        <v>10</v>
      </c>
      <c r="Q430">
        <v>4278.6000000000004</v>
      </c>
      <c r="R430">
        <v>38507.39</v>
      </c>
      <c r="S430">
        <v>1175.74</v>
      </c>
    </row>
    <row r="431" spans="1:19" ht="15" customHeight="1" x14ac:dyDescent="0.25">
      <c r="A431" t="s">
        <v>1496</v>
      </c>
      <c r="B431" s="8">
        <v>45460</v>
      </c>
      <c r="C431" s="8">
        <v>45465</v>
      </c>
      <c r="D431" t="s">
        <v>73</v>
      </c>
      <c r="E431" t="s">
        <v>1497</v>
      </c>
      <c r="F431" t="s">
        <v>1498</v>
      </c>
      <c r="G431">
        <v>9021568440</v>
      </c>
      <c r="H431" t="s">
        <v>35</v>
      </c>
      <c r="I431" t="s">
        <v>61</v>
      </c>
      <c r="J431" t="s">
        <v>182</v>
      </c>
      <c r="K431" t="s">
        <v>63</v>
      </c>
      <c r="L431" t="s">
        <v>194</v>
      </c>
      <c r="M431" t="s">
        <v>700</v>
      </c>
      <c r="N431">
        <v>16</v>
      </c>
      <c r="O431">
        <v>20668.349999999999</v>
      </c>
      <c r="P431">
        <v>20</v>
      </c>
      <c r="Q431">
        <v>66138.720000000001</v>
      </c>
      <c r="R431">
        <v>264554.88</v>
      </c>
      <c r="S431">
        <v>77293.72</v>
      </c>
    </row>
    <row r="432" spans="1:19" ht="15" customHeight="1" x14ac:dyDescent="0.25">
      <c r="A432" t="s">
        <v>1499</v>
      </c>
      <c r="B432" s="8">
        <v>45096</v>
      </c>
      <c r="C432" s="8">
        <v>45101</v>
      </c>
      <c r="D432" t="s">
        <v>73</v>
      </c>
      <c r="E432" t="s">
        <v>1500</v>
      </c>
      <c r="F432" t="s">
        <v>1501</v>
      </c>
      <c r="G432">
        <v>9056482263</v>
      </c>
      <c r="H432" t="s">
        <v>35</v>
      </c>
      <c r="I432" t="s">
        <v>51</v>
      </c>
      <c r="J432" t="s">
        <v>316</v>
      </c>
      <c r="K432" t="s">
        <v>108</v>
      </c>
      <c r="L432" t="s">
        <v>114</v>
      </c>
      <c r="M432" t="s">
        <v>291</v>
      </c>
      <c r="N432">
        <v>6</v>
      </c>
      <c r="O432">
        <v>29579.03</v>
      </c>
      <c r="P432">
        <v>20</v>
      </c>
      <c r="Q432">
        <v>35494.839999999997</v>
      </c>
      <c r="R432">
        <v>141979.34</v>
      </c>
      <c r="S432">
        <v>46088.14</v>
      </c>
    </row>
    <row r="433" spans="1:19" ht="15" customHeight="1" x14ac:dyDescent="0.25">
      <c r="A433" t="s">
        <v>1502</v>
      </c>
      <c r="B433" s="8">
        <v>45187</v>
      </c>
      <c r="C433" s="8">
        <v>45191</v>
      </c>
      <c r="D433" t="s">
        <v>73</v>
      </c>
      <c r="E433" t="s">
        <v>1503</v>
      </c>
      <c r="F433" t="s">
        <v>1504</v>
      </c>
      <c r="G433">
        <v>8105187652</v>
      </c>
      <c r="H433" t="s">
        <v>43</v>
      </c>
      <c r="I433" t="s">
        <v>1505</v>
      </c>
      <c r="J433" t="s">
        <v>95</v>
      </c>
      <c r="K433" t="s">
        <v>27</v>
      </c>
      <c r="L433" t="s">
        <v>354</v>
      </c>
      <c r="M433" t="s">
        <v>789</v>
      </c>
      <c r="N433">
        <v>11</v>
      </c>
      <c r="O433">
        <v>5580.3</v>
      </c>
      <c r="P433">
        <v>20</v>
      </c>
      <c r="Q433">
        <v>12276.66</v>
      </c>
      <c r="R433">
        <v>49106.64</v>
      </c>
      <c r="S433">
        <v>6728.56</v>
      </c>
    </row>
    <row r="434" spans="1:19" ht="15" customHeight="1" x14ac:dyDescent="0.25">
      <c r="A434" t="s">
        <v>1506</v>
      </c>
      <c r="B434" s="8">
        <v>45139</v>
      </c>
      <c r="C434" s="8">
        <v>45141</v>
      </c>
      <c r="D434" t="s">
        <v>20</v>
      </c>
      <c r="E434" t="s">
        <v>463</v>
      </c>
      <c r="F434" t="s">
        <v>1507</v>
      </c>
      <c r="G434" t="s">
        <v>1508</v>
      </c>
      <c r="H434" t="s">
        <v>35</v>
      </c>
      <c r="I434" t="s">
        <v>61</v>
      </c>
      <c r="J434" t="s">
        <v>182</v>
      </c>
      <c r="K434" t="s">
        <v>108</v>
      </c>
      <c r="L434" t="s">
        <v>189</v>
      </c>
      <c r="M434" t="s">
        <v>190</v>
      </c>
      <c r="N434">
        <v>1</v>
      </c>
      <c r="O434">
        <v>2891.59</v>
      </c>
      <c r="P434">
        <v>25</v>
      </c>
      <c r="Q434">
        <v>722.9</v>
      </c>
      <c r="R434">
        <v>2168.69</v>
      </c>
      <c r="S434">
        <v>516.72</v>
      </c>
    </row>
    <row r="435" spans="1:19" ht="15" customHeight="1" x14ac:dyDescent="0.25">
      <c r="A435" t="s">
        <v>1204</v>
      </c>
      <c r="B435" s="8" t="s">
        <v>1509</v>
      </c>
      <c r="C435" s="8">
        <v>45103</v>
      </c>
      <c r="D435" t="s">
        <v>73</v>
      </c>
      <c r="E435" t="s">
        <v>1205</v>
      </c>
      <c r="F435" t="s">
        <v>1206</v>
      </c>
      <c r="G435">
        <v>9058195804</v>
      </c>
      <c r="H435" t="s">
        <v>43</v>
      </c>
      <c r="I435" t="s">
        <v>61</v>
      </c>
      <c r="J435" t="s">
        <v>95</v>
      </c>
      <c r="K435" t="s">
        <v>27</v>
      </c>
      <c r="L435" t="s">
        <v>45</v>
      </c>
      <c r="M435" t="s">
        <v>523</v>
      </c>
      <c r="N435">
        <v>12</v>
      </c>
      <c r="O435">
        <v>985.77</v>
      </c>
      <c r="P435">
        <v>0</v>
      </c>
      <c r="Q435">
        <v>0</v>
      </c>
      <c r="R435">
        <v>11829.24</v>
      </c>
      <c r="S435">
        <v>4948.72</v>
      </c>
    </row>
    <row r="436" spans="1:19" ht="15" customHeight="1" x14ac:dyDescent="0.25">
      <c r="A436" t="s">
        <v>1510</v>
      </c>
      <c r="B436" s="8">
        <v>45491</v>
      </c>
      <c r="C436" s="8">
        <v>45492</v>
      </c>
      <c r="D436" t="s">
        <v>32</v>
      </c>
      <c r="E436" t="s">
        <v>1511</v>
      </c>
      <c r="F436" t="s">
        <v>1512</v>
      </c>
      <c r="G436">
        <v>8135466142</v>
      </c>
      <c r="H436" t="s">
        <v>24</v>
      </c>
      <c r="I436" t="s">
        <v>25</v>
      </c>
      <c r="J436" t="s">
        <v>26</v>
      </c>
      <c r="K436" t="s">
        <v>1163</v>
      </c>
      <c r="L436" t="s">
        <v>469</v>
      </c>
      <c r="M436" t="s">
        <v>546</v>
      </c>
      <c r="N436">
        <v>14</v>
      </c>
      <c r="O436">
        <v>9860.7999999999993</v>
      </c>
      <c r="P436">
        <v>5</v>
      </c>
      <c r="Q436">
        <v>6902.56</v>
      </c>
      <c r="R436">
        <v>131148.64000000001</v>
      </c>
      <c r="S436">
        <v>27547.73</v>
      </c>
    </row>
    <row r="437" spans="1:19" ht="15" customHeight="1" x14ac:dyDescent="0.25">
      <c r="A437" t="s">
        <v>1513</v>
      </c>
      <c r="B437" s="8">
        <v>45398</v>
      </c>
      <c r="C437" s="8">
        <v>45401</v>
      </c>
      <c r="D437" t="s">
        <v>73</v>
      </c>
      <c r="E437" t="s">
        <v>1514</v>
      </c>
      <c r="F437" t="s">
        <v>1515</v>
      </c>
      <c r="H437" t="s">
        <v>43</v>
      </c>
      <c r="I437" t="s">
        <v>51</v>
      </c>
      <c r="J437" t="s">
        <v>131</v>
      </c>
      <c r="K437" t="s">
        <v>85</v>
      </c>
      <c r="L437" t="s">
        <v>243</v>
      </c>
      <c r="M437" t="s">
        <v>244</v>
      </c>
      <c r="N437">
        <v>15</v>
      </c>
      <c r="O437">
        <v>125693.94</v>
      </c>
      <c r="P437">
        <v>0</v>
      </c>
      <c r="Q437">
        <v>0</v>
      </c>
      <c r="R437">
        <v>1885409.1</v>
      </c>
      <c r="S437">
        <v>-271136.64000000001</v>
      </c>
    </row>
    <row r="438" spans="1:19" ht="15" customHeight="1" x14ac:dyDescent="0.25">
      <c r="A438" t="s">
        <v>1516</v>
      </c>
      <c r="B438" s="8">
        <v>44996</v>
      </c>
      <c r="C438" s="8">
        <v>44997</v>
      </c>
      <c r="D438" t="s">
        <v>32</v>
      </c>
      <c r="E438" t="s">
        <v>1364</v>
      </c>
      <c r="F438" t="s">
        <v>1517</v>
      </c>
      <c r="G438">
        <v>8062598523</v>
      </c>
      <c r="H438" t="s">
        <v>24</v>
      </c>
      <c r="I438" t="s">
        <v>61</v>
      </c>
      <c r="J438" t="s">
        <v>182</v>
      </c>
      <c r="K438" t="s">
        <v>27</v>
      </c>
      <c r="L438" t="s">
        <v>79</v>
      </c>
      <c r="M438" t="s">
        <v>145</v>
      </c>
      <c r="N438">
        <v>8</v>
      </c>
      <c r="O438">
        <v>2863.04</v>
      </c>
      <c r="P438">
        <v>20</v>
      </c>
      <c r="Q438">
        <v>4580.8599999999997</v>
      </c>
      <c r="R438">
        <v>18323.46</v>
      </c>
      <c r="S438">
        <v>7236.59</v>
      </c>
    </row>
    <row r="439" spans="1:19" ht="15" customHeight="1" x14ac:dyDescent="0.25">
      <c r="A439" t="s">
        <v>1518</v>
      </c>
      <c r="B439" s="8">
        <v>45181</v>
      </c>
      <c r="C439" s="8">
        <v>45182</v>
      </c>
      <c r="D439" t="s">
        <v>32</v>
      </c>
      <c r="E439" t="s">
        <v>1519</v>
      </c>
      <c r="F439" t="s">
        <v>1520</v>
      </c>
      <c r="G439">
        <v>9054009366</v>
      </c>
      <c r="H439" t="s">
        <v>43</v>
      </c>
      <c r="I439" t="s">
        <v>25</v>
      </c>
      <c r="J439" t="s">
        <v>26</v>
      </c>
      <c r="K439" t="s">
        <v>63</v>
      </c>
      <c r="L439" t="s">
        <v>54</v>
      </c>
      <c r="M439" t="s">
        <v>963</v>
      </c>
      <c r="N439">
        <v>11</v>
      </c>
      <c r="O439">
        <v>12574.58</v>
      </c>
      <c r="P439">
        <v>20</v>
      </c>
      <c r="Q439">
        <v>27664.080000000002</v>
      </c>
      <c r="R439">
        <v>110656.3</v>
      </c>
      <c r="S439">
        <v>-7839.81</v>
      </c>
    </row>
    <row r="440" spans="1:19" ht="15" customHeight="1" x14ac:dyDescent="0.25">
      <c r="A440" t="s">
        <v>1521</v>
      </c>
      <c r="B440" s="8">
        <v>45095</v>
      </c>
      <c r="C440" s="8">
        <v>45098</v>
      </c>
      <c r="D440" t="s">
        <v>73</v>
      </c>
      <c r="E440" t="s">
        <v>1522</v>
      </c>
      <c r="F440" t="s">
        <v>1523</v>
      </c>
      <c r="G440">
        <v>8145714408</v>
      </c>
      <c r="H440" t="s">
        <v>43</v>
      </c>
      <c r="I440" t="s">
        <v>51</v>
      </c>
      <c r="J440" t="s">
        <v>227</v>
      </c>
      <c r="K440" t="s">
        <v>63</v>
      </c>
      <c r="L440" t="s">
        <v>64</v>
      </c>
      <c r="M440" t="s">
        <v>65</v>
      </c>
      <c r="N440">
        <v>9</v>
      </c>
      <c r="O440">
        <v>22618.42</v>
      </c>
      <c r="P440">
        <v>10</v>
      </c>
      <c r="Q440">
        <v>20356.580000000002</v>
      </c>
      <c r="R440">
        <v>183209.2</v>
      </c>
      <c r="S440">
        <v>29347.11</v>
      </c>
    </row>
    <row r="441" spans="1:19" ht="15" customHeight="1" x14ac:dyDescent="0.25">
      <c r="A441" t="s">
        <v>1524</v>
      </c>
      <c r="B441" s="8">
        <v>44871</v>
      </c>
      <c r="C441" s="8">
        <v>44872</v>
      </c>
      <c r="D441" t="s">
        <v>32</v>
      </c>
      <c r="E441" t="s">
        <v>1525</v>
      </c>
      <c r="F441" t="s">
        <v>1526</v>
      </c>
      <c r="G441">
        <v>8034856420</v>
      </c>
      <c r="H441" t="s">
        <v>43</v>
      </c>
      <c r="I441" t="s">
        <v>69</v>
      </c>
      <c r="J441" t="s">
        <v>119</v>
      </c>
      <c r="K441" t="s">
        <v>85</v>
      </c>
      <c r="L441" t="s">
        <v>86</v>
      </c>
      <c r="M441" t="s">
        <v>199</v>
      </c>
      <c r="N441">
        <v>15</v>
      </c>
      <c r="O441">
        <v>52758.52</v>
      </c>
      <c r="P441">
        <v>15</v>
      </c>
      <c r="Q441">
        <v>118706.67</v>
      </c>
      <c r="R441">
        <v>672671.13</v>
      </c>
    </row>
    <row r="442" spans="1:19" ht="15" customHeight="1" x14ac:dyDescent="0.25">
      <c r="A442" t="s">
        <v>1527</v>
      </c>
      <c r="B442" s="8">
        <v>45555</v>
      </c>
      <c r="C442" s="8">
        <v>45558</v>
      </c>
      <c r="D442" t="s">
        <v>20</v>
      </c>
      <c r="F442" t="s">
        <v>1528</v>
      </c>
      <c r="G442">
        <v>8066865386</v>
      </c>
      <c r="H442" t="s">
        <v>43</v>
      </c>
      <c r="I442" t="s">
        <v>69</v>
      </c>
      <c r="J442" t="s">
        <v>307</v>
      </c>
      <c r="K442" t="s">
        <v>96</v>
      </c>
      <c r="L442" t="s">
        <v>385</v>
      </c>
      <c r="M442" t="s">
        <v>386</v>
      </c>
      <c r="N442">
        <v>6</v>
      </c>
      <c r="O442">
        <v>93584.91</v>
      </c>
      <c r="P442">
        <v>25</v>
      </c>
      <c r="Q442">
        <v>140377.35999999999</v>
      </c>
      <c r="R442">
        <v>421132.1</v>
      </c>
      <c r="S442">
        <v>144677.01</v>
      </c>
    </row>
    <row r="443" spans="1:19" ht="15" customHeight="1" x14ac:dyDescent="0.25">
      <c r="A443" t="s">
        <v>1529</v>
      </c>
      <c r="B443" s="8">
        <v>45414</v>
      </c>
      <c r="C443" s="8">
        <v>45417</v>
      </c>
      <c r="D443" t="s">
        <v>73</v>
      </c>
      <c r="E443" t="s">
        <v>1530</v>
      </c>
      <c r="F443" t="s">
        <v>1531</v>
      </c>
      <c r="G443">
        <v>9072582179</v>
      </c>
      <c r="H443" t="s">
        <v>35</v>
      </c>
      <c r="I443" t="s">
        <v>61</v>
      </c>
      <c r="K443" t="s">
        <v>63</v>
      </c>
      <c r="L443" t="s">
        <v>249</v>
      </c>
      <c r="M443" t="s">
        <v>1141</v>
      </c>
      <c r="N443">
        <v>4</v>
      </c>
      <c r="O443">
        <v>17192.150000000001</v>
      </c>
      <c r="P443">
        <v>15</v>
      </c>
      <c r="Q443">
        <v>10315.290000000001</v>
      </c>
      <c r="R443">
        <v>58453.31</v>
      </c>
      <c r="S443">
        <v>4333.4399999999996</v>
      </c>
    </row>
    <row r="444" spans="1:19" ht="15" customHeight="1" x14ac:dyDescent="0.25">
      <c r="A444" t="s">
        <v>1532</v>
      </c>
      <c r="B444" s="8">
        <v>44728</v>
      </c>
      <c r="C444" s="8">
        <v>44736</v>
      </c>
      <c r="D444" t="s">
        <v>48</v>
      </c>
      <c r="E444" t="s">
        <v>192</v>
      </c>
      <c r="F444" t="s">
        <v>193</v>
      </c>
      <c r="G444">
        <v>9051097397</v>
      </c>
      <c r="H444" t="s">
        <v>35</v>
      </c>
      <c r="I444" t="s">
        <v>25</v>
      </c>
      <c r="J444" t="s">
        <v>44</v>
      </c>
      <c r="K444" t="s">
        <v>63</v>
      </c>
      <c r="L444" t="s">
        <v>249</v>
      </c>
      <c r="M444" t="s">
        <v>250</v>
      </c>
      <c r="N444">
        <v>11</v>
      </c>
      <c r="O444">
        <v>23796.95</v>
      </c>
      <c r="P444">
        <v>0</v>
      </c>
      <c r="Q444">
        <v>0</v>
      </c>
      <c r="R444">
        <v>261766.45</v>
      </c>
      <c r="S444">
        <v>-6067.72</v>
      </c>
    </row>
    <row r="445" spans="1:19" ht="15" customHeight="1" x14ac:dyDescent="0.25">
      <c r="A445" t="s">
        <v>1533</v>
      </c>
      <c r="B445" s="8">
        <v>44706</v>
      </c>
      <c r="C445" s="8">
        <v>44714</v>
      </c>
      <c r="D445" t="s">
        <v>48</v>
      </c>
      <c r="E445" t="s">
        <v>1191</v>
      </c>
      <c r="F445" t="s">
        <v>1192</v>
      </c>
      <c r="G445">
        <v>8105027876</v>
      </c>
      <c r="H445" t="s">
        <v>43</v>
      </c>
      <c r="I445" t="s">
        <v>25</v>
      </c>
      <c r="J445" t="s">
        <v>44</v>
      </c>
      <c r="K445" t="s">
        <v>108</v>
      </c>
      <c r="L445" t="s">
        <v>114</v>
      </c>
      <c r="M445" t="s">
        <v>291</v>
      </c>
      <c r="N445">
        <v>6</v>
      </c>
      <c r="O445">
        <v>38650.870000000003</v>
      </c>
      <c r="P445">
        <v>15</v>
      </c>
      <c r="Q445">
        <v>34785.78</v>
      </c>
      <c r="R445">
        <v>197119.44</v>
      </c>
      <c r="S445">
        <v>62623.96</v>
      </c>
    </row>
    <row r="446" spans="1:19" ht="15" customHeight="1" x14ac:dyDescent="0.25">
      <c r="A446" t="s">
        <v>1534</v>
      </c>
      <c r="B446" s="8" t="s">
        <v>1535</v>
      </c>
      <c r="C446" s="8">
        <v>45570</v>
      </c>
      <c r="D446" t="s">
        <v>20</v>
      </c>
      <c r="E446" t="s">
        <v>1536</v>
      </c>
      <c r="F446" t="s">
        <v>1537</v>
      </c>
      <c r="G446">
        <v>7032612483</v>
      </c>
      <c r="H446" t="s">
        <v>35</v>
      </c>
      <c r="I446" t="s">
        <v>51</v>
      </c>
      <c r="J446" t="s">
        <v>131</v>
      </c>
      <c r="K446" t="s">
        <v>63</v>
      </c>
      <c r="L446" t="s">
        <v>312</v>
      </c>
      <c r="M446" t="s">
        <v>736</v>
      </c>
      <c r="N446">
        <v>13</v>
      </c>
      <c r="O446">
        <v>12495.76</v>
      </c>
      <c r="P446">
        <v>20</v>
      </c>
      <c r="Q446">
        <v>32488.98</v>
      </c>
      <c r="R446">
        <v>129955.9</v>
      </c>
      <c r="S446">
        <v>1440.9</v>
      </c>
    </row>
    <row r="447" spans="1:19" ht="15" customHeight="1" x14ac:dyDescent="0.25">
      <c r="A447" t="s">
        <v>1538</v>
      </c>
      <c r="B447" s="8">
        <v>44943</v>
      </c>
      <c r="C447" s="8">
        <v>44946</v>
      </c>
      <c r="D447" t="s">
        <v>20</v>
      </c>
      <c r="E447" t="s">
        <v>1539</v>
      </c>
      <c r="F447" t="s">
        <v>1540</v>
      </c>
      <c r="G447" t="s">
        <v>23</v>
      </c>
      <c r="H447" t="s">
        <v>43</v>
      </c>
      <c r="I447" t="s">
        <v>69</v>
      </c>
      <c r="J447" t="s">
        <v>307</v>
      </c>
      <c r="K447" t="s">
        <v>108</v>
      </c>
      <c r="L447" t="s">
        <v>109</v>
      </c>
      <c r="M447" t="s">
        <v>1258</v>
      </c>
      <c r="N447">
        <v>17</v>
      </c>
      <c r="O447">
        <v>42018.71</v>
      </c>
      <c r="P447">
        <v>25</v>
      </c>
      <c r="Q447">
        <v>178579.52</v>
      </c>
      <c r="R447">
        <v>535738.55000000005</v>
      </c>
      <c r="S447">
        <v>-53369.17</v>
      </c>
    </row>
    <row r="448" spans="1:19" ht="15" customHeight="1" x14ac:dyDescent="0.25">
      <c r="A448" t="s">
        <v>1541</v>
      </c>
      <c r="B448" s="8" t="s">
        <v>1542</v>
      </c>
      <c r="C448" s="8">
        <v>45177</v>
      </c>
      <c r="D448" t="s">
        <v>32</v>
      </c>
      <c r="E448" t="s">
        <v>1543</v>
      </c>
      <c r="F448" t="s">
        <v>1544</v>
      </c>
      <c r="G448">
        <v>8035171713</v>
      </c>
      <c r="H448" t="s">
        <v>35</v>
      </c>
      <c r="I448" t="s">
        <v>69</v>
      </c>
      <c r="J448" t="s">
        <v>70</v>
      </c>
      <c r="K448" t="s">
        <v>1545</v>
      </c>
      <c r="L448" t="s">
        <v>28</v>
      </c>
      <c r="M448" t="s">
        <v>71</v>
      </c>
      <c r="N448">
        <v>18</v>
      </c>
      <c r="O448">
        <v>4677.72</v>
      </c>
      <c r="P448">
        <v>0</v>
      </c>
      <c r="Q448">
        <v>0</v>
      </c>
      <c r="R448">
        <v>84198.96</v>
      </c>
      <c r="S448">
        <v>33711.68</v>
      </c>
    </row>
    <row r="449" spans="1:19" ht="15" customHeight="1" x14ac:dyDescent="0.25">
      <c r="A449" t="s">
        <v>1546</v>
      </c>
      <c r="B449" s="8">
        <v>44755</v>
      </c>
      <c r="C449" s="8">
        <v>44756</v>
      </c>
      <c r="D449" t="s">
        <v>32</v>
      </c>
      <c r="E449" t="s">
        <v>1547</v>
      </c>
      <c r="F449" t="s">
        <v>1548</v>
      </c>
      <c r="G449">
        <v>7035275844</v>
      </c>
      <c r="H449" t="s">
        <v>43</v>
      </c>
      <c r="I449" t="s">
        <v>25</v>
      </c>
      <c r="J449" t="s">
        <v>36</v>
      </c>
      <c r="K449" t="s">
        <v>27</v>
      </c>
      <c r="L449" t="s">
        <v>79</v>
      </c>
      <c r="M449" t="s">
        <v>234</v>
      </c>
      <c r="N449">
        <v>15</v>
      </c>
      <c r="O449">
        <v>425.27</v>
      </c>
      <c r="P449">
        <v>0</v>
      </c>
      <c r="Q449">
        <v>0</v>
      </c>
      <c r="R449" t="s">
        <v>1549</v>
      </c>
      <c r="S449">
        <v>2052.1799999999998</v>
      </c>
    </row>
    <row r="450" spans="1:19" ht="15" customHeight="1" x14ac:dyDescent="0.25">
      <c r="A450" t="s">
        <v>1550</v>
      </c>
      <c r="B450" s="8">
        <v>45171</v>
      </c>
      <c r="D450" t="s">
        <v>32</v>
      </c>
      <c r="E450" t="s">
        <v>117</v>
      </c>
      <c r="F450" t="s">
        <v>1551</v>
      </c>
      <c r="G450">
        <v>9028548873</v>
      </c>
      <c r="H450" t="s">
        <v>35</v>
      </c>
      <c r="I450" t="s">
        <v>69</v>
      </c>
      <c r="J450" t="s">
        <v>307</v>
      </c>
      <c r="K450" t="s">
        <v>27</v>
      </c>
      <c r="L450" t="s">
        <v>45</v>
      </c>
      <c r="M450" t="s">
        <v>838</v>
      </c>
      <c r="N450">
        <v>6</v>
      </c>
      <c r="O450">
        <v>7743.74</v>
      </c>
      <c r="P450">
        <v>5</v>
      </c>
      <c r="Q450">
        <v>2323.12</v>
      </c>
      <c r="R450">
        <v>44139.32</v>
      </c>
      <c r="S450">
        <v>-1719.12</v>
      </c>
    </row>
    <row r="451" spans="1:19" ht="15" customHeight="1" x14ac:dyDescent="0.25">
      <c r="A451" t="s">
        <v>1552</v>
      </c>
      <c r="B451" s="8">
        <v>44573</v>
      </c>
      <c r="C451" s="8">
        <v>44581</v>
      </c>
      <c r="D451" t="s">
        <v>48</v>
      </c>
      <c r="E451" t="s">
        <v>1396</v>
      </c>
      <c r="F451" t="s">
        <v>1553</v>
      </c>
      <c r="G451">
        <v>9079004743</v>
      </c>
      <c r="H451" t="s">
        <v>43</v>
      </c>
      <c r="I451" t="s">
        <v>51</v>
      </c>
      <c r="J451" t="s">
        <v>52</v>
      </c>
      <c r="K451" t="s">
        <v>108</v>
      </c>
      <c r="L451" t="s">
        <v>183</v>
      </c>
      <c r="M451" t="s">
        <v>184</v>
      </c>
      <c r="N451">
        <v>10</v>
      </c>
      <c r="O451">
        <v>33214.19</v>
      </c>
      <c r="P451">
        <v>10</v>
      </c>
      <c r="Q451">
        <v>33214.19</v>
      </c>
      <c r="R451">
        <v>298927.71000000002</v>
      </c>
      <c r="S451">
        <v>79035.7</v>
      </c>
    </row>
    <row r="452" spans="1:19" ht="15" customHeight="1" x14ac:dyDescent="0.25">
      <c r="A452" t="s">
        <v>1554</v>
      </c>
      <c r="B452" s="8">
        <v>44838</v>
      </c>
      <c r="C452" s="8">
        <v>44841</v>
      </c>
      <c r="D452" t="s">
        <v>73</v>
      </c>
      <c r="E452" t="s">
        <v>1177</v>
      </c>
      <c r="F452" t="s">
        <v>1555</v>
      </c>
      <c r="G452">
        <v>9014157826</v>
      </c>
      <c r="H452" t="s">
        <v>35</v>
      </c>
      <c r="I452" t="s">
        <v>69</v>
      </c>
      <c r="J452" t="s">
        <v>144</v>
      </c>
      <c r="K452" t="s">
        <v>96</v>
      </c>
      <c r="L452" t="s">
        <v>385</v>
      </c>
      <c r="M452" t="s">
        <v>942</v>
      </c>
      <c r="N452">
        <v>8</v>
      </c>
      <c r="O452">
        <v>297151.09999999998</v>
      </c>
      <c r="P452">
        <v>15</v>
      </c>
      <c r="Q452">
        <v>356581.32</v>
      </c>
      <c r="R452">
        <v>2020627.48</v>
      </c>
      <c r="S452">
        <v>717835.64</v>
      </c>
    </row>
    <row r="453" spans="1:19" ht="15" customHeight="1" x14ac:dyDescent="0.25">
      <c r="A453" t="s">
        <v>1556</v>
      </c>
      <c r="B453" s="8">
        <v>44865</v>
      </c>
      <c r="C453" s="8">
        <v>44866</v>
      </c>
      <c r="D453" t="s">
        <v>32</v>
      </c>
      <c r="E453" t="s">
        <v>166</v>
      </c>
      <c r="F453" t="s">
        <v>1557</v>
      </c>
      <c r="G453">
        <v>8103557220</v>
      </c>
      <c r="H453" t="s">
        <v>43</v>
      </c>
      <c r="I453" t="s">
        <v>61</v>
      </c>
      <c r="J453" t="s">
        <v>95</v>
      </c>
      <c r="K453" t="s">
        <v>108</v>
      </c>
      <c r="L453" t="s">
        <v>183</v>
      </c>
      <c r="M453" t="s">
        <v>869</v>
      </c>
      <c r="N453">
        <v>15</v>
      </c>
      <c r="O453">
        <v>2843.99</v>
      </c>
      <c r="P453">
        <v>5</v>
      </c>
      <c r="Q453">
        <v>2132.9899999999998</v>
      </c>
      <c r="R453">
        <v>40526.86</v>
      </c>
      <c r="S453">
        <v>-1183.26</v>
      </c>
    </row>
    <row r="454" spans="1:19" ht="15" customHeight="1" x14ac:dyDescent="0.25">
      <c r="A454" t="s">
        <v>1558</v>
      </c>
      <c r="B454" s="8">
        <v>44772</v>
      </c>
      <c r="C454" s="8">
        <v>44780</v>
      </c>
      <c r="D454" t="s">
        <v>48</v>
      </c>
      <c r="E454" t="s">
        <v>1559</v>
      </c>
      <c r="F454" t="s">
        <v>1560</v>
      </c>
      <c r="G454">
        <v>9015878387</v>
      </c>
      <c r="H454" t="s">
        <v>43</v>
      </c>
      <c r="I454" t="s">
        <v>69</v>
      </c>
      <c r="J454" t="s">
        <v>307</v>
      </c>
      <c r="K454" t="s">
        <v>96</v>
      </c>
      <c r="L454" t="s">
        <v>189</v>
      </c>
      <c r="M454" t="s">
        <v>478</v>
      </c>
      <c r="N454">
        <v>19</v>
      </c>
      <c r="O454">
        <v>226453.92</v>
      </c>
      <c r="P454">
        <v>20</v>
      </c>
      <c r="Q454">
        <v>860524.9</v>
      </c>
      <c r="R454">
        <v>3442099.58</v>
      </c>
      <c r="S454">
        <v>-37369.25</v>
      </c>
    </row>
    <row r="455" spans="1:19" ht="15" customHeight="1" x14ac:dyDescent="0.25">
      <c r="A455" t="s">
        <v>1561</v>
      </c>
      <c r="B455" s="8">
        <v>45208</v>
      </c>
      <c r="C455" s="8">
        <v>45208</v>
      </c>
      <c r="D455" t="s">
        <v>32</v>
      </c>
      <c r="E455" t="s">
        <v>1562</v>
      </c>
      <c r="F455" t="s">
        <v>1563</v>
      </c>
      <c r="G455">
        <v>8142961940</v>
      </c>
      <c r="H455" t="s">
        <v>35</v>
      </c>
      <c r="I455" t="s">
        <v>25</v>
      </c>
      <c r="J455" t="s">
        <v>36</v>
      </c>
      <c r="K455" t="s">
        <v>108</v>
      </c>
      <c r="L455" t="s">
        <v>189</v>
      </c>
      <c r="M455" t="s">
        <v>325</v>
      </c>
      <c r="N455">
        <v>14</v>
      </c>
      <c r="O455">
        <v>21277.99</v>
      </c>
      <c r="P455">
        <v>0</v>
      </c>
      <c r="Q455">
        <v>0</v>
      </c>
      <c r="R455">
        <v>297891.86</v>
      </c>
      <c r="S455">
        <v>-15847.83</v>
      </c>
    </row>
    <row r="456" spans="1:19" ht="15" customHeight="1" x14ac:dyDescent="0.25">
      <c r="A456" t="s">
        <v>1564</v>
      </c>
      <c r="B456" s="8">
        <v>45037</v>
      </c>
      <c r="C456" s="8">
        <v>45037</v>
      </c>
      <c r="D456" t="s">
        <v>32</v>
      </c>
      <c r="E456" t="s">
        <v>424</v>
      </c>
      <c r="F456" t="s">
        <v>1565</v>
      </c>
      <c r="G456">
        <v>9058859576</v>
      </c>
      <c r="H456" t="s">
        <v>43</v>
      </c>
      <c r="I456" t="s">
        <v>61</v>
      </c>
      <c r="J456" t="s">
        <v>204</v>
      </c>
      <c r="K456" t="s">
        <v>1566</v>
      </c>
      <c r="L456" t="s">
        <v>243</v>
      </c>
      <c r="M456" t="s">
        <v>439</v>
      </c>
      <c r="N456">
        <v>12</v>
      </c>
      <c r="O456">
        <v>173086.18</v>
      </c>
      <c r="P456">
        <v>20</v>
      </c>
      <c r="Q456">
        <v>415406.83</v>
      </c>
      <c r="R456">
        <v>1661627.33</v>
      </c>
      <c r="S456">
        <v>548092.81999999995</v>
      </c>
    </row>
    <row r="457" spans="1:19" ht="15" customHeight="1" x14ac:dyDescent="0.25">
      <c r="A457" t="s">
        <v>1567</v>
      </c>
      <c r="B457" s="8">
        <v>44738</v>
      </c>
      <c r="C457" s="8">
        <v>44741</v>
      </c>
      <c r="D457" t="s">
        <v>20</v>
      </c>
      <c r="E457" t="s">
        <v>1568</v>
      </c>
      <c r="F457" t="s">
        <v>1569</v>
      </c>
      <c r="G457">
        <v>8109257506</v>
      </c>
      <c r="H457" t="s">
        <v>35</v>
      </c>
      <c r="I457" t="s">
        <v>61</v>
      </c>
      <c r="J457" t="s">
        <v>84</v>
      </c>
      <c r="K457" t="s">
        <v>96</v>
      </c>
      <c r="L457" t="s">
        <v>189</v>
      </c>
      <c r="M457" t="s">
        <v>478</v>
      </c>
      <c r="N457">
        <v>7</v>
      </c>
      <c r="O457">
        <v>147088.57</v>
      </c>
      <c r="P457">
        <v>25</v>
      </c>
      <c r="Q457">
        <v>257405</v>
      </c>
      <c r="R457">
        <v>772214.99</v>
      </c>
      <c r="S457">
        <v>-94032.93</v>
      </c>
    </row>
    <row r="458" spans="1:19" ht="15" customHeight="1" x14ac:dyDescent="0.25">
      <c r="A458" t="s">
        <v>1570</v>
      </c>
      <c r="B458" s="8">
        <v>44886</v>
      </c>
      <c r="C458" s="8">
        <v>44888</v>
      </c>
      <c r="D458" t="s">
        <v>20</v>
      </c>
      <c r="E458" t="s">
        <v>1571</v>
      </c>
      <c r="F458" t="s">
        <v>1572</v>
      </c>
      <c r="G458">
        <v>7038224612</v>
      </c>
      <c r="H458" t="s">
        <v>43</v>
      </c>
      <c r="I458" t="s">
        <v>25</v>
      </c>
      <c r="J458" t="s">
        <v>44</v>
      </c>
      <c r="K458" t="s">
        <v>96</v>
      </c>
      <c r="L458" t="s">
        <v>254</v>
      </c>
      <c r="M458" t="s">
        <v>255</v>
      </c>
      <c r="N458">
        <v>8</v>
      </c>
      <c r="O458">
        <v>67499.289999999994</v>
      </c>
      <c r="P458">
        <v>20</v>
      </c>
      <c r="Q458">
        <v>107998.86</v>
      </c>
      <c r="R458">
        <v>431995.46</v>
      </c>
      <c r="S458">
        <v>2027.48</v>
      </c>
    </row>
    <row r="459" spans="1:19" ht="15" customHeight="1" x14ac:dyDescent="0.25">
      <c r="A459" t="s">
        <v>1573</v>
      </c>
      <c r="B459" s="8">
        <v>44871</v>
      </c>
      <c r="C459" s="8">
        <v>44873</v>
      </c>
      <c r="D459" t="s">
        <v>20</v>
      </c>
      <c r="E459" t="s">
        <v>1574</v>
      </c>
      <c r="F459" t="s">
        <v>1575</v>
      </c>
      <c r="G459">
        <v>8032861110</v>
      </c>
      <c r="H459" t="s">
        <v>35</v>
      </c>
      <c r="I459" t="s">
        <v>51</v>
      </c>
      <c r="J459" t="s">
        <v>223</v>
      </c>
      <c r="K459" t="s">
        <v>96</v>
      </c>
      <c r="L459" t="s">
        <v>254</v>
      </c>
      <c r="M459" t="s">
        <v>452</v>
      </c>
      <c r="N459">
        <v>4</v>
      </c>
      <c r="O459">
        <v>355237.97</v>
      </c>
      <c r="P459">
        <v>25</v>
      </c>
      <c r="Q459">
        <v>355237.97</v>
      </c>
      <c r="R459">
        <v>1065713.9099999999</v>
      </c>
      <c r="S459">
        <v>-133020.64000000001</v>
      </c>
    </row>
    <row r="460" spans="1:19" ht="15" customHeight="1" x14ac:dyDescent="0.25">
      <c r="A460" t="s">
        <v>1576</v>
      </c>
      <c r="B460" s="8">
        <v>44982</v>
      </c>
      <c r="C460" s="8">
        <v>44989</v>
      </c>
      <c r="D460" t="s">
        <v>48</v>
      </c>
      <c r="E460" t="s">
        <v>1016</v>
      </c>
      <c r="F460" t="s">
        <v>1577</v>
      </c>
      <c r="G460">
        <v>9018407441</v>
      </c>
      <c r="H460" t="s">
        <v>24</v>
      </c>
      <c r="I460" t="s">
        <v>25</v>
      </c>
      <c r="J460" t="s">
        <v>126</v>
      </c>
      <c r="K460" t="s">
        <v>27</v>
      </c>
      <c r="L460" t="s">
        <v>28</v>
      </c>
      <c r="M460" t="s">
        <v>29</v>
      </c>
      <c r="N460">
        <v>12</v>
      </c>
      <c r="O460">
        <v>1488.08</v>
      </c>
      <c r="P460">
        <v>10</v>
      </c>
      <c r="Q460">
        <v>1785.7</v>
      </c>
      <c r="R460">
        <v>16071.26</v>
      </c>
      <c r="S460">
        <v>5488.28</v>
      </c>
    </row>
    <row r="461" spans="1:19" ht="15" customHeight="1" x14ac:dyDescent="0.25">
      <c r="A461" t="s">
        <v>1578</v>
      </c>
      <c r="B461" s="8">
        <v>44575</v>
      </c>
      <c r="C461" s="8">
        <v>44575</v>
      </c>
      <c r="D461" t="s">
        <v>32</v>
      </c>
      <c r="E461" t="s">
        <v>1579</v>
      </c>
      <c r="F461" t="s">
        <v>1580</v>
      </c>
      <c r="G461">
        <v>8153873296</v>
      </c>
      <c r="H461" t="s">
        <v>43</v>
      </c>
      <c r="I461" t="s">
        <v>25</v>
      </c>
      <c r="J461" t="s">
        <v>126</v>
      </c>
      <c r="K461" t="s">
        <v>96</v>
      </c>
      <c r="L461" t="s">
        <v>97</v>
      </c>
      <c r="M461" t="s">
        <v>1416</v>
      </c>
      <c r="N461">
        <v>14</v>
      </c>
      <c r="O461">
        <v>326111.89</v>
      </c>
      <c r="P461">
        <v>10</v>
      </c>
      <c r="Q461">
        <v>456556.65</v>
      </c>
      <c r="R461">
        <v>4109009.81</v>
      </c>
      <c r="S461">
        <v>935474.6</v>
      </c>
    </row>
    <row r="462" spans="1:19" ht="15" customHeight="1" x14ac:dyDescent="0.25">
      <c r="A462" t="s">
        <v>1581</v>
      </c>
      <c r="B462" s="8">
        <v>45029</v>
      </c>
      <c r="C462" s="8">
        <v>45029</v>
      </c>
      <c r="D462" t="s">
        <v>32</v>
      </c>
      <c r="E462" t="s">
        <v>1582</v>
      </c>
      <c r="F462" t="s">
        <v>1583</v>
      </c>
      <c r="G462">
        <v>8149659648</v>
      </c>
      <c r="H462" t="s">
        <v>24</v>
      </c>
      <c r="I462" t="s">
        <v>61</v>
      </c>
      <c r="J462" t="s">
        <v>62</v>
      </c>
      <c r="K462" t="s">
        <v>63</v>
      </c>
      <c r="L462" t="s">
        <v>249</v>
      </c>
      <c r="M462" t="s">
        <v>329</v>
      </c>
      <c r="N462">
        <v>1</v>
      </c>
      <c r="O462">
        <v>4066.82</v>
      </c>
      <c r="P462">
        <v>25</v>
      </c>
      <c r="Q462">
        <v>1016.71</v>
      </c>
      <c r="R462">
        <v>3050.11</v>
      </c>
      <c r="S462">
        <v>1269.4100000000001</v>
      </c>
    </row>
    <row r="463" spans="1:19" ht="15" customHeight="1" x14ac:dyDescent="0.25">
      <c r="A463" t="s">
        <v>1584</v>
      </c>
      <c r="B463" s="8">
        <v>44898</v>
      </c>
      <c r="C463" s="8">
        <v>44899</v>
      </c>
      <c r="D463" t="s">
        <v>32</v>
      </c>
      <c r="E463" t="s">
        <v>1585</v>
      </c>
      <c r="F463" t="s">
        <v>1586</v>
      </c>
      <c r="G463">
        <v>9073532555</v>
      </c>
      <c r="H463" t="s">
        <v>43</v>
      </c>
      <c r="I463" t="s">
        <v>25</v>
      </c>
      <c r="J463" t="s">
        <v>44</v>
      </c>
      <c r="K463" t="s">
        <v>27</v>
      </c>
      <c r="L463" t="s">
        <v>79</v>
      </c>
      <c r="M463" t="s">
        <v>234</v>
      </c>
      <c r="N463">
        <v>14</v>
      </c>
      <c r="O463">
        <v>7789.49</v>
      </c>
      <c r="P463">
        <v>15</v>
      </c>
      <c r="Q463">
        <v>16357.93</v>
      </c>
      <c r="R463">
        <v>92694.93</v>
      </c>
      <c r="S463">
        <v>35360.31</v>
      </c>
    </row>
    <row r="464" spans="1:19" ht="15" customHeight="1" x14ac:dyDescent="0.25">
      <c r="A464" t="s">
        <v>1587</v>
      </c>
      <c r="B464" s="8">
        <v>45134</v>
      </c>
      <c r="C464" s="8">
        <v>45140</v>
      </c>
      <c r="D464" t="s">
        <v>48</v>
      </c>
      <c r="E464" t="s">
        <v>1588</v>
      </c>
      <c r="F464" t="s">
        <v>1589</v>
      </c>
      <c r="G464">
        <v>8158417942</v>
      </c>
      <c r="H464" t="s">
        <v>43</v>
      </c>
      <c r="I464" t="s">
        <v>51</v>
      </c>
      <c r="J464" t="s">
        <v>223</v>
      </c>
      <c r="K464" t="s">
        <v>63</v>
      </c>
      <c r="L464" t="s">
        <v>194</v>
      </c>
      <c r="M464" t="s">
        <v>257</v>
      </c>
      <c r="N464">
        <v>10</v>
      </c>
      <c r="O464">
        <v>19497.310000000001</v>
      </c>
      <c r="P464">
        <v>0</v>
      </c>
      <c r="Q464">
        <v>0</v>
      </c>
      <c r="R464">
        <v>194973.1</v>
      </c>
      <c r="S464">
        <v>-24921.05</v>
      </c>
    </row>
    <row r="465" spans="1:19" ht="15" customHeight="1" x14ac:dyDescent="0.25">
      <c r="A465" t="s">
        <v>1590</v>
      </c>
      <c r="B465" s="8">
        <v>45627</v>
      </c>
      <c r="C465" s="8">
        <v>45632</v>
      </c>
      <c r="D465" t="s">
        <v>73</v>
      </c>
      <c r="E465" t="s">
        <v>947</v>
      </c>
      <c r="F465" t="s">
        <v>948</v>
      </c>
      <c r="G465">
        <v>8156238726</v>
      </c>
      <c r="H465" t="s">
        <v>24</v>
      </c>
      <c r="I465" t="s">
        <v>51</v>
      </c>
      <c r="J465" t="s">
        <v>316</v>
      </c>
      <c r="K465" t="s">
        <v>27</v>
      </c>
      <c r="L465" t="s">
        <v>45</v>
      </c>
      <c r="M465" t="s">
        <v>523</v>
      </c>
      <c r="N465" t="s">
        <v>1591</v>
      </c>
      <c r="O465">
        <v>480.35</v>
      </c>
      <c r="P465">
        <v>10</v>
      </c>
      <c r="Q465">
        <v>864.63</v>
      </c>
      <c r="R465">
        <v>7781.67</v>
      </c>
      <c r="S465">
        <v>-40.43</v>
      </c>
    </row>
    <row r="466" spans="1:19" ht="15" customHeight="1" x14ac:dyDescent="0.25">
      <c r="A466" t="s">
        <v>1592</v>
      </c>
      <c r="B466" s="8">
        <v>44691</v>
      </c>
      <c r="C466" s="8">
        <v>44691</v>
      </c>
      <c r="D466" t="s">
        <v>32</v>
      </c>
      <c r="E466" t="s">
        <v>1593</v>
      </c>
      <c r="F466" t="s">
        <v>1594</v>
      </c>
      <c r="G466">
        <v>8134514088</v>
      </c>
      <c r="H466" t="s">
        <v>24</v>
      </c>
      <c r="I466" t="s">
        <v>61</v>
      </c>
      <c r="J466" t="s">
        <v>182</v>
      </c>
      <c r="K466" t="s">
        <v>63</v>
      </c>
      <c r="L466" t="s">
        <v>469</v>
      </c>
      <c r="M466" t="s">
        <v>1595</v>
      </c>
      <c r="N466">
        <v>11</v>
      </c>
      <c r="O466">
        <v>22798.58</v>
      </c>
      <c r="P466">
        <v>20</v>
      </c>
      <c r="Q466">
        <v>50156.88</v>
      </c>
      <c r="R466">
        <v>200627.5</v>
      </c>
      <c r="S466">
        <v>64618.84</v>
      </c>
    </row>
    <row r="467" spans="1:19" ht="15" customHeight="1" x14ac:dyDescent="0.25">
      <c r="A467" t="s">
        <v>1596</v>
      </c>
      <c r="B467" s="8">
        <v>44684</v>
      </c>
      <c r="C467" s="8">
        <v>44691</v>
      </c>
      <c r="D467" t="s">
        <v>48</v>
      </c>
      <c r="E467" t="s">
        <v>1413</v>
      </c>
      <c r="F467" t="s">
        <v>1597</v>
      </c>
      <c r="G467">
        <v>8061800824</v>
      </c>
      <c r="H467" t="s">
        <v>24</v>
      </c>
      <c r="I467" t="s">
        <v>51</v>
      </c>
      <c r="K467" t="s">
        <v>96</v>
      </c>
      <c r="L467" t="s">
        <v>189</v>
      </c>
      <c r="M467" t="s">
        <v>325</v>
      </c>
      <c r="N467">
        <v>1</v>
      </c>
      <c r="O467">
        <v>264009.34999999998</v>
      </c>
      <c r="P467">
        <v>20</v>
      </c>
      <c r="Q467">
        <v>52801.87</v>
      </c>
      <c r="R467">
        <v>211207.48</v>
      </c>
      <c r="S467">
        <v>11275.98</v>
      </c>
    </row>
    <row r="468" spans="1:19" ht="15" customHeight="1" x14ac:dyDescent="0.25">
      <c r="A468" t="s">
        <v>1598</v>
      </c>
      <c r="B468" s="8">
        <v>45279</v>
      </c>
      <c r="C468" s="8">
        <v>45283</v>
      </c>
      <c r="D468" t="s">
        <v>73</v>
      </c>
      <c r="E468" t="s">
        <v>1599</v>
      </c>
      <c r="F468" t="s">
        <v>1600</v>
      </c>
      <c r="G468">
        <v>9017336179</v>
      </c>
      <c r="H468" t="s">
        <v>24</v>
      </c>
      <c r="I468" t="s">
        <v>61</v>
      </c>
      <c r="J468" t="s">
        <v>84</v>
      </c>
      <c r="K468" t="s">
        <v>27</v>
      </c>
      <c r="L468" t="s">
        <v>354</v>
      </c>
      <c r="M468" t="s">
        <v>355</v>
      </c>
      <c r="N468">
        <v>19</v>
      </c>
      <c r="O468">
        <v>2824.42</v>
      </c>
      <c r="P468">
        <v>5</v>
      </c>
      <c r="Q468">
        <v>2683.2</v>
      </c>
      <c r="R468">
        <v>50980.78</v>
      </c>
      <c r="S468">
        <v>17522.38</v>
      </c>
    </row>
    <row r="469" spans="1:19" ht="15" customHeight="1" x14ac:dyDescent="0.25">
      <c r="A469" t="s">
        <v>1601</v>
      </c>
      <c r="B469" s="8">
        <v>45433</v>
      </c>
      <c r="C469" s="8">
        <v>45437</v>
      </c>
      <c r="D469" t="s">
        <v>73</v>
      </c>
      <c r="E469" t="s">
        <v>1602</v>
      </c>
      <c r="F469" t="s">
        <v>1603</v>
      </c>
      <c r="G469">
        <v>7063182100</v>
      </c>
      <c r="H469" t="s">
        <v>35</v>
      </c>
      <c r="I469" t="s">
        <v>51</v>
      </c>
      <c r="J469" t="s">
        <v>316</v>
      </c>
      <c r="K469" t="s">
        <v>108</v>
      </c>
      <c r="L469" t="s">
        <v>109</v>
      </c>
      <c r="M469" t="s">
        <v>690</v>
      </c>
      <c r="N469">
        <v>17</v>
      </c>
      <c r="O469">
        <v>5357.13</v>
      </c>
      <c r="P469">
        <v>15</v>
      </c>
      <c r="Q469">
        <v>13660.68</v>
      </c>
      <c r="R469">
        <v>77410.53</v>
      </c>
      <c r="S469">
        <v>15709.98</v>
      </c>
    </row>
    <row r="470" spans="1:19" ht="15" customHeight="1" x14ac:dyDescent="0.25">
      <c r="A470" t="s">
        <v>1604</v>
      </c>
      <c r="B470" s="8">
        <v>45429</v>
      </c>
      <c r="C470" s="8">
        <v>45430</v>
      </c>
      <c r="D470" t="s">
        <v>32</v>
      </c>
      <c r="E470" t="s">
        <v>1605</v>
      </c>
      <c r="F470" t="s">
        <v>1606</v>
      </c>
      <c r="G470" t="s">
        <v>422</v>
      </c>
      <c r="H470" t="s">
        <v>24</v>
      </c>
      <c r="I470" t="s">
        <v>69</v>
      </c>
      <c r="J470" t="s">
        <v>144</v>
      </c>
      <c r="K470" t="s">
        <v>85</v>
      </c>
      <c r="L470" t="s">
        <v>266</v>
      </c>
      <c r="M470" t="s">
        <v>803</v>
      </c>
      <c r="N470">
        <v>15</v>
      </c>
      <c r="O470">
        <v>91379.48</v>
      </c>
      <c r="P470">
        <v>0</v>
      </c>
      <c r="Q470">
        <v>0</v>
      </c>
      <c r="R470">
        <v>1370692.2</v>
      </c>
    </row>
    <row r="471" spans="1:19" ht="15" customHeight="1" x14ac:dyDescent="0.25">
      <c r="A471" t="s">
        <v>1607</v>
      </c>
      <c r="B471" s="8">
        <v>44628</v>
      </c>
      <c r="C471" s="8">
        <v>44628</v>
      </c>
      <c r="D471" t="s">
        <v>32</v>
      </c>
      <c r="E471" t="s">
        <v>1608</v>
      </c>
      <c r="F471" t="s">
        <v>1609</v>
      </c>
      <c r="G471">
        <v>9057855503</v>
      </c>
      <c r="H471" t="s">
        <v>43</v>
      </c>
      <c r="I471" t="s">
        <v>25</v>
      </c>
      <c r="J471" t="s">
        <v>126</v>
      </c>
      <c r="K471" t="s">
        <v>96</v>
      </c>
      <c r="L471" t="s">
        <v>120</v>
      </c>
      <c r="M471" t="s">
        <v>367</v>
      </c>
      <c r="N471">
        <v>2</v>
      </c>
      <c r="O471">
        <v>263717.67</v>
      </c>
      <c r="P471">
        <v>25</v>
      </c>
      <c r="Q471">
        <v>131858.82999999999</v>
      </c>
      <c r="R471">
        <v>395576.51</v>
      </c>
      <c r="S471">
        <v>-22950.28</v>
      </c>
    </row>
    <row r="472" spans="1:19" ht="15" customHeight="1" x14ac:dyDescent="0.25">
      <c r="A472" t="s">
        <v>1610</v>
      </c>
      <c r="B472" s="8">
        <v>45164</v>
      </c>
      <c r="C472" s="8">
        <v>45167</v>
      </c>
      <c r="D472" t="s">
        <v>20</v>
      </c>
      <c r="E472" t="s">
        <v>1611</v>
      </c>
      <c r="F472" t="s">
        <v>1612</v>
      </c>
      <c r="G472">
        <v>8108075907</v>
      </c>
      <c r="H472" t="s">
        <v>785</v>
      </c>
      <c r="I472" t="s">
        <v>51</v>
      </c>
      <c r="J472" t="s">
        <v>223</v>
      </c>
      <c r="K472" t="s">
        <v>96</v>
      </c>
      <c r="L472" t="s">
        <v>97</v>
      </c>
      <c r="M472" t="s">
        <v>1416</v>
      </c>
      <c r="N472">
        <v>16</v>
      </c>
      <c r="O472">
        <v>108777.93</v>
      </c>
      <c r="P472">
        <v>0</v>
      </c>
      <c r="Q472">
        <v>0</v>
      </c>
      <c r="R472">
        <v>1740446.88</v>
      </c>
      <c r="S472">
        <v>-133323.9</v>
      </c>
    </row>
    <row r="473" spans="1:19" ht="15" customHeight="1" x14ac:dyDescent="0.25">
      <c r="A473" t="s">
        <v>1613</v>
      </c>
      <c r="B473" s="8">
        <v>45547</v>
      </c>
      <c r="C473" s="8">
        <v>45548</v>
      </c>
      <c r="D473" t="s">
        <v>32</v>
      </c>
      <c r="E473" t="s">
        <v>1614</v>
      </c>
      <c r="F473" t="s">
        <v>1615</v>
      </c>
      <c r="G473">
        <v>9027330138</v>
      </c>
      <c r="H473" t="s">
        <v>35</v>
      </c>
      <c r="I473" t="s">
        <v>51</v>
      </c>
      <c r="J473" t="s">
        <v>52</v>
      </c>
      <c r="K473" t="s">
        <v>108</v>
      </c>
      <c r="L473" t="s">
        <v>189</v>
      </c>
      <c r="M473" t="s">
        <v>190</v>
      </c>
      <c r="N473">
        <v>17</v>
      </c>
      <c r="O473">
        <v>34763.9</v>
      </c>
      <c r="P473">
        <v>20</v>
      </c>
      <c r="Q473">
        <v>118197.26</v>
      </c>
      <c r="R473">
        <v>472789.04</v>
      </c>
      <c r="S473">
        <v>145149.67000000001</v>
      </c>
    </row>
    <row r="474" spans="1:19" ht="15" customHeight="1" x14ac:dyDescent="0.25">
      <c r="A474" t="s">
        <v>1616</v>
      </c>
      <c r="B474" s="8">
        <v>44744</v>
      </c>
      <c r="C474" s="8">
        <v>44747</v>
      </c>
      <c r="D474" t="s">
        <v>20</v>
      </c>
      <c r="E474" t="s">
        <v>1617</v>
      </c>
      <c r="F474" t="s">
        <v>1618</v>
      </c>
      <c r="G474">
        <v>7031768727</v>
      </c>
      <c r="H474" t="s">
        <v>24</v>
      </c>
      <c r="I474" t="s">
        <v>69</v>
      </c>
      <c r="J474" t="s">
        <v>119</v>
      </c>
      <c r="K474" t="s">
        <v>108</v>
      </c>
      <c r="L474" t="s">
        <v>38</v>
      </c>
      <c r="M474" t="s">
        <v>519</v>
      </c>
      <c r="N474">
        <v>1</v>
      </c>
      <c r="O474">
        <v>39236</v>
      </c>
      <c r="P474">
        <v>10</v>
      </c>
      <c r="Q474">
        <v>3923.6</v>
      </c>
      <c r="R474">
        <v>35312.400000000001</v>
      </c>
      <c r="S474">
        <v>6590.23</v>
      </c>
    </row>
    <row r="475" spans="1:19" ht="15" customHeight="1" x14ac:dyDescent="0.25">
      <c r="A475" t="s">
        <v>1619</v>
      </c>
      <c r="B475" s="8">
        <v>44670</v>
      </c>
      <c r="C475" s="8">
        <v>44675</v>
      </c>
      <c r="D475" t="s">
        <v>73</v>
      </c>
      <c r="E475" t="s">
        <v>1620</v>
      </c>
      <c r="F475" t="s">
        <v>1621</v>
      </c>
      <c r="G475">
        <v>8151313131</v>
      </c>
      <c r="H475" t="s">
        <v>35</v>
      </c>
      <c r="I475" t="s">
        <v>25</v>
      </c>
      <c r="J475" t="s">
        <v>36</v>
      </c>
      <c r="K475" t="s">
        <v>96</v>
      </c>
      <c r="L475" t="s">
        <v>254</v>
      </c>
      <c r="M475" t="s">
        <v>255</v>
      </c>
      <c r="N475">
        <v>9</v>
      </c>
      <c r="O475">
        <v>433633.89</v>
      </c>
      <c r="P475">
        <v>5</v>
      </c>
      <c r="Q475">
        <v>195135.25</v>
      </c>
      <c r="R475">
        <v>3707569.76</v>
      </c>
      <c r="S475">
        <v>-10484.950000000001</v>
      </c>
    </row>
    <row r="476" spans="1:19" ht="15" customHeight="1" x14ac:dyDescent="0.25">
      <c r="A476" t="s">
        <v>1622</v>
      </c>
      <c r="B476" s="8">
        <v>45384</v>
      </c>
      <c r="C476" s="8">
        <v>45386</v>
      </c>
      <c r="D476" t="s">
        <v>20</v>
      </c>
      <c r="E476" t="s">
        <v>1623</v>
      </c>
      <c r="F476" t="s">
        <v>1624</v>
      </c>
      <c r="G476">
        <v>7038331935</v>
      </c>
      <c r="H476" t="s">
        <v>24</v>
      </c>
      <c r="I476" t="s">
        <v>69</v>
      </c>
      <c r="J476" t="s">
        <v>307</v>
      </c>
      <c r="K476" t="s">
        <v>85</v>
      </c>
      <c r="L476" t="s">
        <v>486</v>
      </c>
      <c r="M476" t="s">
        <v>487</v>
      </c>
      <c r="N476">
        <v>11</v>
      </c>
      <c r="O476">
        <v>155859.53</v>
      </c>
      <c r="P476">
        <v>15</v>
      </c>
      <c r="Q476">
        <v>257168.22</v>
      </c>
      <c r="R476">
        <v>1457286.61</v>
      </c>
      <c r="S476">
        <v>6276.06</v>
      </c>
    </row>
    <row r="477" spans="1:19" ht="15" customHeight="1" x14ac:dyDescent="0.25">
      <c r="A477" t="s">
        <v>1625</v>
      </c>
      <c r="B477" s="8">
        <v>45146</v>
      </c>
      <c r="C477" s="8">
        <v>45149</v>
      </c>
      <c r="D477" t="s">
        <v>73</v>
      </c>
      <c r="E477" t="s">
        <v>1626</v>
      </c>
      <c r="F477" t="s">
        <v>1627</v>
      </c>
      <c r="G477">
        <v>8106147152</v>
      </c>
      <c r="H477" t="s">
        <v>24</v>
      </c>
      <c r="I477" t="s">
        <v>25</v>
      </c>
      <c r="J477" t="s">
        <v>26</v>
      </c>
      <c r="K477" t="s">
        <v>108</v>
      </c>
      <c r="L477" t="s">
        <v>109</v>
      </c>
      <c r="M477" t="s">
        <v>110</v>
      </c>
      <c r="O477">
        <v>28422.44</v>
      </c>
      <c r="P477">
        <v>0</v>
      </c>
      <c r="Q477">
        <v>0</v>
      </c>
      <c r="R477">
        <v>312646.84000000003</v>
      </c>
      <c r="S477">
        <v>-41800.03</v>
      </c>
    </row>
    <row r="478" spans="1:19" ht="15" customHeight="1" x14ac:dyDescent="0.25">
      <c r="A478" t="s">
        <v>1628</v>
      </c>
      <c r="B478" s="8">
        <v>45217</v>
      </c>
      <c r="C478" s="8">
        <v>45223</v>
      </c>
      <c r="D478" t="s">
        <v>48</v>
      </c>
      <c r="E478" t="s">
        <v>1629</v>
      </c>
      <c r="F478" t="s">
        <v>1630</v>
      </c>
      <c r="G478">
        <v>7063029477</v>
      </c>
      <c r="H478" t="s">
        <v>43</v>
      </c>
      <c r="I478" t="s">
        <v>25</v>
      </c>
      <c r="J478" t="s">
        <v>44</v>
      </c>
      <c r="K478" t="s">
        <v>96</v>
      </c>
      <c r="L478" t="s">
        <v>385</v>
      </c>
      <c r="M478" t="s">
        <v>781</v>
      </c>
      <c r="N478">
        <v>19</v>
      </c>
      <c r="O478">
        <v>342178.18</v>
      </c>
      <c r="P478">
        <v>5</v>
      </c>
      <c r="Q478">
        <v>325069.27</v>
      </c>
      <c r="S478">
        <v>900430.71</v>
      </c>
    </row>
    <row r="479" spans="1:19" ht="15" customHeight="1" x14ac:dyDescent="0.25">
      <c r="A479" t="s">
        <v>1631</v>
      </c>
      <c r="B479" s="8">
        <v>45213</v>
      </c>
      <c r="C479" s="8">
        <v>45221</v>
      </c>
      <c r="D479" t="s">
        <v>48</v>
      </c>
      <c r="E479" t="s">
        <v>674</v>
      </c>
      <c r="F479" t="s">
        <v>1632</v>
      </c>
      <c r="G479">
        <v>8141484969</v>
      </c>
      <c r="H479" t="s">
        <v>43</v>
      </c>
      <c r="I479" t="s">
        <v>69</v>
      </c>
      <c r="J479" t="s">
        <v>307</v>
      </c>
      <c r="K479" t="s">
        <v>108</v>
      </c>
      <c r="L479" t="s">
        <v>109</v>
      </c>
      <c r="M479" t="s">
        <v>110</v>
      </c>
      <c r="N479">
        <v>19</v>
      </c>
      <c r="O479">
        <v>13573.87</v>
      </c>
      <c r="P479">
        <v>0</v>
      </c>
      <c r="Q479">
        <v>0</v>
      </c>
      <c r="R479">
        <v>257903.53</v>
      </c>
      <c r="S479">
        <v>-570.05999999999995</v>
      </c>
    </row>
    <row r="480" spans="1:19" ht="15" customHeight="1" x14ac:dyDescent="0.25">
      <c r="A480" t="s">
        <v>1633</v>
      </c>
      <c r="B480" s="8">
        <v>45475</v>
      </c>
      <c r="C480" s="8">
        <v>45475</v>
      </c>
      <c r="D480" t="s">
        <v>32</v>
      </c>
      <c r="E480" t="s">
        <v>1634</v>
      </c>
      <c r="F480" t="s">
        <v>1635</v>
      </c>
      <c r="G480">
        <v>7033821731</v>
      </c>
      <c r="H480" t="s">
        <v>24</v>
      </c>
      <c r="I480" t="s">
        <v>61</v>
      </c>
      <c r="J480" t="s">
        <v>182</v>
      </c>
      <c r="K480" t="s">
        <v>85</v>
      </c>
      <c r="L480" t="s">
        <v>266</v>
      </c>
      <c r="M480" t="s">
        <v>952</v>
      </c>
      <c r="N480">
        <v>18</v>
      </c>
      <c r="O480">
        <v>173352.56</v>
      </c>
      <c r="P480">
        <v>20</v>
      </c>
      <c r="Q480">
        <v>624069.22</v>
      </c>
      <c r="R480" t="s">
        <v>1636</v>
      </c>
      <c r="S480">
        <v>-311846.77</v>
      </c>
    </row>
    <row r="481" spans="1:19" ht="15" customHeight="1" x14ac:dyDescent="0.25">
      <c r="A481" t="s">
        <v>1637</v>
      </c>
      <c r="B481" s="8">
        <v>44563</v>
      </c>
      <c r="C481" s="8">
        <v>44566</v>
      </c>
      <c r="D481" t="s">
        <v>73</v>
      </c>
      <c r="E481" t="s">
        <v>1638</v>
      </c>
      <c r="F481" t="s">
        <v>1639</v>
      </c>
      <c r="G481">
        <v>8037377917</v>
      </c>
      <c r="H481" t="s">
        <v>43</v>
      </c>
      <c r="I481" t="s">
        <v>69</v>
      </c>
      <c r="J481" t="s">
        <v>155</v>
      </c>
      <c r="K481" t="s">
        <v>1640</v>
      </c>
      <c r="L481" t="s">
        <v>194</v>
      </c>
      <c r="M481" t="s">
        <v>336</v>
      </c>
      <c r="N481">
        <v>17</v>
      </c>
      <c r="O481">
        <v>14836.4</v>
      </c>
      <c r="P481">
        <v>10</v>
      </c>
      <c r="Q481">
        <v>25221.88</v>
      </c>
      <c r="R481">
        <v>226996.92</v>
      </c>
      <c r="S481">
        <v>-27854.6</v>
      </c>
    </row>
    <row r="482" spans="1:19" ht="15" customHeight="1" x14ac:dyDescent="0.25">
      <c r="A482" t="s">
        <v>1641</v>
      </c>
      <c r="B482" s="8">
        <v>44813</v>
      </c>
      <c r="C482" s="8">
        <v>44813</v>
      </c>
      <c r="D482" t="s">
        <v>32</v>
      </c>
      <c r="E482" t="s">
        <v>1642</v>
      </c>
      <c r="F482" t="s">
        <v>1643</v>
      </c>
      <c r="G482">
        <v>8139469478</v>
      </c>
      <c r="H482" t="s">
        <v>35</v>
      </c>
      <c r="I482" t="s">
        <v>25</v>
      </c>
      <c r="J482" t="s">
        <v>44</v>
      </c>
      <c r="K482" t="s">
        <v>63</v>
      </c>
      <c r="L482" t="s">
        <v>469</v>
      </c>
      <c r="M482" t="s">
        <v>1082</v>
      </c>
      <c r="N482">
        <v>15</v>
      </c>
      <c r="O482">
        <v>16061.66</v>
      </c>
      <c r="P482">
        <v>10</v>
      </c>
      <c r="Q482">
        <v>24092.49</v>
      </c>
      <c r="R482">
        <v>216832.41</v>
      </c>
      <c r="S482">
        <v>-529.73</v>
      </c>
    </row>
    <row r="483" spans="1:19" ht="15" customHeight="1" x14ac:dyDescent="0.25">
      <c r="A483" t="s">
        <v>1644</v>
      </c>
      <c r="B483" s="8">
        <v>45234</v>
      </c>
      <c r="C483" s="8">
        <v>45234</v>
      </c>
      <c r="D483" t="s">
        <v>32</v>
      </c>
      <c r="E483" t="s">
        <v>1645</v>
      </c>
      <c r="F483" t="s">
        <v>1646</v>
      </c>
      <c r="G483">
        <v>9058994829</v>
      </c>
      <c r="H483" t="s">
        <v>35</v>
      </c>
      <c r="I483" t="s">
        <v>51</v>
      </c>
      <c r="J483" t="s">
        <v>223</v>
      </c>
      <c r="K483" t="s">
        <v>96</v>
      </c>
      <c r="L483" t="s">
        <v>120</v>
      </c>
      <c r="M483" t="s">
        <v>359</v>
      </c>
      <c r="N483">
        <v>16</v>
      </c>
      <c r="O483">
        <v>194725.92</v>
      </c>
      <c r="P483">
        <v>15</v>
      </c>
      <c r="Q483">
        <v>467342.21</v>
      </c>
      <c r="R483">
        <v>2648272.5099999998</v>
      </c>
      <c r="S483">
        <v>457830.36</v>
      </c>
    </row>
    <row r="484" spans="1:19" ht="15" customHeight="1" x14ac:dyDescent="0.25">
      <c r="A484" t="s">
        <v>1647</v>
      </c>
      <c r="B484" s="8">
        <v>44814</v>
      </c>
      <c r="C484" s="8">
        <v>44815</v>
      </c>
      <c r="D484" t="s">
        <v>32</v>
      </c>
      <c r="E484" t="s">
        <v>1212</v>
      </c>
      <c r="F484" t="s">
        <v>1648</v>
      </c>
      <c r="G484">
        <v>7063972698</v>
      </c>
      <c r="H484" t="s">
        <v>35</v>
      </c>
      <c r="I484" t="s">
        <v>25</v>
      </c>
      <c r="J484" t="s">
        <v>36</v>
      </c>
      <c r="K484" t="s">
        <v>96</v>
      </c>
      <c r="L484" t="s">
        <v>120</v>
      </c>
      <c r="M484" t="s">
        <v>133</v>
      </c>
      <c r="N484">
        <v>7</v>
      </c>
      <c r="O484">
        <v>176159.08</v>
      </c>
      <c r="P484">
        <v>20</v>
      </c>
      <c r="Q484">
        <v>246622.71</v>
      </c>
      <c r="R484">
        <v>986490.85</v>
      </c>
      <c r="S484">
        <v>-142431.54</v>
      </c>
    </row>
    <row r="485" spans="1:19" ht="15" customHeight="1" x14ac:dyDescent="0.25">
      <c r="A485" t="s">
        <v>1649</v>
      </c>
      <c r="B485" s="8">
        <v>44954</v>
      </c>
      <c r="C485" s="8">
        <v>44956</v>
      </c>
      <c r="D485" t="s">
        <v>20</v>
      </c>
      <c r="E485" t="s">
        <v>1650</v>
      </c>
      <c r="F485" t="s">
        <v>1651</v>
      </c>
      <c r="G485">
        <v>9024710242</v>
      </c>
      <c r="H485" t="s">
        <v>24</v>
      </c>
      <c r="I485" t="s">
        <v>25</v>
      </c>
      <c r="J485" t="s">
        <v>44</v>
      </c>
      <c r="K485" t="s">
        <v>85</v>
      </c>
      <c r="L485" t="s">
        <v>486</v>
      </c>
      <c r="M485" t="s">
        <v>543</v>
      </c>
      <c r="N485">
        <v>16</v>
      </c>
      <c r="O485">
        <v>14328.92</v>
      </c>
      <c r="P485">
        <v>5</v>
      </c>
      <c r="Q485">
        <v>11463.14</v>
      </c>
      <c r="R485">
        <v>217799.58</v>
      </c>
      <c r="S485">
        <v>-31737.48</v>
      </c>
    </row>
    <row r="486" spans="1:19" ht="15" customHeight="1" x14ac:dyDescent="0.25">
      <c r="A486" t="s">
        <v>1652</v>
      </c>
      <c r="B486" s="8">
        <v>44911</v>
      </c>
      <c r="C486" s="8">
        <v>44911</v>
      </c>
      <c r="D486" t="s">
        <v>32</v>
      </c>
      <c r="E486" t="s">
        <v>1653</v>
      </c>
      <c r="F486" t="s">
        <v>222</v>
      </c>
      <c r="G486">
        <v>8063151617</v>
      </c>
      <c r="H486" t="s">
        <v>43</v>
      </c>
      <c r="I486" t="s">
        <v>69</v>
      </c>
      <c r="J486" t="s">
        <v>307</v>
      </c>
      <c r="K486" t="s">
        <v>96</v>
      </c>
      <c r="L486" t="s">
        <v>385</v>
      </c>
      <c r="M486" t="s">
        <v>386</v>
      </c>
      <c r="N486">
        <v>8</v>
      </c>
      <c r="O486">
        <v>421100.08</v>
      </c>
      <c r="P486">
        <v>25</v>
      </c>
      <c r="Q486">
        <v>842200.16</v>
      </c>
      <c r="R486">
        <v>2526600.48</v>
      </c>
      <c r="S486">
        <v>725991.66</v>
      </c>
    </row>
    <row r="487" spans="1:19" ht="15" customHeight="1" x14ac:dyDescent="0.25">
      <c r="A487" t="s">
        <v>1654</v>
      </c>
      <c r="B487" s="8">
        <v>45653</v>
      </c>
      <c r="C487" s="8">
        <v>45660</v>
      </c>
      <c r="D487" t="s">
        <v>48</v>
      </c>
      <c r="E487" t="s">
        <v>758</v>
      </c>
      <c r="F487" t="s">
        <v>759</v>
      </c>
      <c r="G487">
        <v>7061870113</v>
      </c>
      <c r="H487" t="s">
        <v>24</v>
      </c>
      <c r="I487" t="s">
        <v>51</v>
      </c>
      <c r="J487" t="s">
        <v>131</v>
      </c>
      <c r="K487" t="s">
        <v>63</v>
      </c>
      <c r="L487" t="s">
        <v>64</v>
      </c>
      <c r="M487" t="s">
        <v>104</v>
      </c>
      <c r="N487">
        <v>17</v>
      </c>
      <c r="O487">
        <v>7213.87</v>
      </c>
      <c r="P487">
        <v>20</v>
      </c>
      <c r="Q487">
        <v>24527.16</v>
      </c>
      <c r="R487">
        <v>98108.63</v>
      </c>
      <c r="S487">
        <v>14455.8</v>
      </c>
    </row>
    <row r="488" spans="1:19" ht="15" customHeight="1" x14ac:dyDescent="0.25">
      <c r="A488" t="s">
        <v>1655</v>
      </c>
      <c r="B488" s="8">
        <v>45422</v>
      </c>
      <c r="C488" s="8">
        <v>45425</v>
      </c>
      <c r="D488" t="s">
        <v>20</v>
      </c>
      <c r="E488" t="s">
        <v>1656</v>
      </c>
      <c r="G488">
        <v>8136615431</v>
      </c>
      <c r="H488" t="s">
        <v>35</v>
      </c>
      <c r="I488" t="s">
        <v>25</v>
      </c>
      <c r="J488" t="s">
        <v>126</v>
      </c>
      <c r="K488" t="s">
        <v>96</v>
      </c>
      <c r="L488" t="s">
        <v>254</v>
      </c>
      <c r="M488" t="s">
        <v>756</v>
      </c>
      <c r="N488">
        <v>8</v>
      </c>
      <c r="O488">
        <v>445765.12</v>
      </c>
      <c r="P488">
        <v>15</v>
      </c>
      <c r="Q488">
        <v>534918.14</v>
      </c>
      <c r="R488">
        <v>3031202.82</v>
      </c>
      <c r="S488">
        <v>1287246.99</v>
      </c>
    </row>
    <row r="489" spans="1:19" ht="15" customHeight="1" x14ac:dyDescent="0.25">
      <c r="A489" t="s">
        <v>1657</v>
      </c>
      <c r="B489" s="8">
        <v>45198</v>
      </c>
      <c r="C489" s="8">
        <v>45200</v>
      </c>
      <c r="D489" t="s">
        <v>1658</v>
      </c>
      <c r="E489" t="s">
        <v>1659</v>
      </c>
      <c r="G489">
        <v>7061403047</v>
      </c>
      <c r="H489" t="s">
        <v>959</v>
      </c>
      <c r="I489" t="s">
        <v>61</v>
      </c>
      <c r="J489" t="s">
        <v>62</v>
      </c>
      <c r="K489" t="s">
        <v>27</v>
      </c>
      <c r="L489" t="s">
        <v>45</v>
      </c>
      <c r="M489" t="s">
        <v>838</v>
      </c>
      <c r="N489">
        <v>16</v>
      </c>
      <c r="O489">
        <v>2203.08</v>
      </c>
      <c r="P489">
        <v>5</v>
      </c>
      <c r="Q489">
        <v>1762.46</v>
      </c>
      <c r="R489">
        <v>33486.82</v>
      </c>
      <c r="S489">
        <v>14241.33</v>
      </c>
    </row>
    <row r="490" spans="1:19" ht="15" customHeight="1" x14ac:dyDescent="0.25">
      <c r="A490" t="s">
        <v>1660</v>
      </c>
      <c r="B490" s="8">
        <v>44711</v>
      </c>
      <c r="C490" s="8">
        <v>44716</v>
      </c>
      <c r="D490" t="s">
        <v>73</v>
      </c>
      <c r="E490" t="s">
        <v>1661</v>
      </c>
      <c r="F490" t="s">
        <v>1662</v>
      </c>
      <c r="G490">
        <v>9078490291</v>
      </c>
      <c r="H490" t="s">
        <v>24</v>
      </c>
      <c r="I490" t="s">
        <v>1663</v>
      </c>
      <c r="J490" t="s">
        <v>44</v>
      </c>
      <c r="K490" t="s">
        <v>27</v>
      </c>
      <c r="L490" t="s">
        <v>79</v>
      </c>
      <c r="M490" t="s">
        <v>145</v>
      </c>
      <c r="N490">
        <v>2</v>
      </c>
      <c r="O490">
        <v>7803.85</v>
      </c>
      <c r="P490">
        <v>15</v>
      </c>
      <c r="Q490">
        <v>2341.16</v>
      </c>
      <c r="R490">
        <v>13266.54</v>
      </c>
      <c r="S490">
        <v>503.7</v>
      </c>
    </row>
    <row r="491" spans="1:19" ht="15" customHeight="1" x14ac:dyDescent="0.25">
      <c r="A491" t="s">
        <v>1664</v>
      </c>
      <c r="B491" s="8">
        <v>44674</v>
      </c>
      <c r="C491" s="8">
        <v>44675</v>
      </c>
      <c r="D491" t="s">
        <v>32</v>
      </c>
      <c r="E491" t="s">
        <v>1650</v>
      </c>
      <c r="F491" t="s">
        <v>1665</v>
      </c>
      <c r="G491">
        <v>8062708383</v>
      </c>
      <c r="H491" t="s">
        <v>35</v>
      </c>
      <c r="I491" t="s">
        <v>25</v>
      </c>
      <c r="J491" t="s">
        <v>126</v>
      </c>
      <c r="K491" t="s">
        <v>96</v>
      </c>
      <c r="L491" t="s">
        <v>254</v>
      </c>
      <c r="M491" t="s">
        <v>756</v>
      </c>
      <c r="N491">
        <v>13</v>
      </c>
      <c r="O491">
        <v>143288.79999999999</v>
      </c>
      <c r="P491">
        <v>15</v>
      </c>
      <c r="Q491">
        <v>279413.15999999997</v>
      </c>
      <c r="R491">
        <v>1583341.24</v>
      </c>
    </row>
    <row r="492" spans="1:19" ht="15" customHeight="1" x14ac:dyDescent="0.25">
      <c r="A492" t="s">
        <v>1666</v>
      </c>
      <c r="B492" s="8">
        <v>45490</v>
      </c>
      <c r="C492" s="8">
        <v>45498</v>
      </c>
      <c r="D492" t="s">
        <v>48</v>
      </c>
      <c r="E492" t="s">
        <v>1667</v>
      </c>
      <c r="F492" t="s">
        <v>1668</v>
      </c>
      <c r="G492">
        <v>9052699161</v>
      </c>
      <c r="H492" t="s">
        <v>1669</v>
      </c>
      <c r="I492" t="s">
        <v>69</v>
      </c>
      <c r="J492" t="s">
        <v>119</v>
      </c>
      <c r="K492" t="s">
        <v>63</v>
      </c>
      <c r="L492" t="s">
        <v>469</v>
      </c>
      <c r="M492" t="s">
        <v>470</v>
      </c>
      <c r="N492">
        <v>11</v>
      </c>
      <c r="O492">
        <v>11624.88</v>
      </c>
      <c r="P492">
        <v>5</v>
      </c>
      <c r="Q492">
        <v>6393.68</v>
      </c>
      <c r="R492">
        <v>121480</v>
      </c>
      <c r="S492">
        <v>-10349.620000000001</v>
      </c>
    </row>
    <row r="493" spans="1:19" ht="15" customHeight="1" x14ac:dyDescent="0.25">
      <c r="A493" t="s">
        <v>1670</v>
      </c>
      <c r="B493" s="8">
        <v>44958</v>
      </c>
      <c r="C493" s="8">
        <v>44964</v>
      </c>
      <c r="D493" t="s">
        <v>48</v>
      </c>
      <c r="E493" t="s">
        <v>1446</v>
      </c>
      <c r="F493" t="s">
        <v>1671</v>
      </c>
      <c r="G493">
        <v>7069076540</v>
      </c>
      <c r="H493" t="s">
        <v>24</v>
      </c>
      <c r="I493" t="s">
        <v>25</v>
      </c>
      <c r="J493" t="s">
        <v>36</v>
      </c>
      <c r="K493" t="s">
        <v>27</v>
      </c>
      <c r="L493" t="s">
        <v>28</v>
      </c>
      <c r="M493" t="s">
        <v>508</v>
      </c>
      <c r="N493">
        <v>2</v>
      </c>
      <c r="O493">
        <v>2172.27</v>
      </c>
      <c r="P493">
        <v>0</v>
      </c>
      <c r="Q493">
        <v>0</v>
      </c>
      <c r="R493">
        <v>4344.54</v>
      </c>
      <c r="S493">
        <v>-318.85000000000002</v>
      </c>
    </row>
    <row r="494" spans="1:19" ht="15" customHeight="1" x14ac:dyDescent="0.25">
      <c r="A494" t="s">
        <v>1672</v>
      </c>
      <c r="B494" s="8">
        <v>45199</v>
      </c>
      <c r="C494" s="8">
        <v>45201</v>
      </c>
      <c r="D494" t="s">
        <v>20</v>
      </c>
      <c r="E494" t="s">
        <v>305</v>
      </c>
      <c r="F494" t="s">
        <v>1673</v>
      </c>
      <c r="G494">
        <v>9056752912</v>
      </c>
      <c r="H494" t="s">
        <v>24</v>
      </c>
      <c r="I494" t="s">
        <v>69</v>
      </c>
      <c r="J494" t="s">
        <v>155</v>
      </c>
      <c r="L494" t="s">
        <v>558</v>
      </c>
      <c r="M494" t="s">
        <v>1460</v>
      </c>
      <c r="N494">
        <v>5</v>
      </c>
      <c r="O494">
        <v>13183.17</v>
      </c>
      <c r="P494">
        <v>0</v>
      </c>
      <c r="Q494">
        <v>0</v>
      </c>
      <c r="R494">
        <v>65915.850000000006</v>
      </c>
      <c r="S494">
        <v>-498.82</v>
      </c>
    </row>
    <row r="495" spans="1:19" ht="15" customHeight="1" x14ac:dyDescent="0.25">
      <c r="A495" t="s">
        <v>1674</v>
      </c>
      <c r="B495" s="8">
        <v>44972</v>
      </c>
      <c r="C495" s="8">
        <v>44977</v>
      </c>
      <c r="D495" t="s">
        <v>73</v>
      </c>
      <c r="E495" t="s">
        <v>1675</v>
      </c>
      <c r="F495" t="s">
        <v>1676</v>
      </c>
      <c r="G495">
        <v>7034176859</v>
      </c>
      <c r="H495" t="s">
        <v>43</v>
      </c>
      <c r="I495" t="s">
        <v>25</v>
      </c>
      <c r="J495" t="s">
        <v>168</v>
      </c>
      <c r="K495" t="s">
        <v>108</v>
      </c>
      <c r="L495" t="s">
        <v>183</v>
      </c>
      <c r="M495" t="s">
        <v>184</v>
      </c>
      <c r="N495">
        <v>19</v>
      </c>
      <c r="O495">
        <v>31773.8</v>
      </c>
      <c r="P495">
        <v>10</v>
      </c>
      <c r="Q495">
        <v>60370.22</v>
      </c>
      <c r="R495">
        <v>543331.98</v>
      </c>
      <c r="S495">
        <v>119349.33</v>
      </c>
    </row>
    <row r="496" spans="1:19" ht="15" customHeight="1" x14ac:dyDescent="0.25">
      <c r="A496" t="s">
        <v>1677</v>
      </c>
      <c r="B496" s="8">
        <v>45492</v>
      </c>
      <c r="C496" s="8">
        <v>45497</v>
      </c>
      <c r="D496" t="s">
        <v>48</v>
      </c>
      <c r="E496" t="s">
        <v>1678</v>
      </c>
      <c r="F496" t="s">
        <v>1679</v>
      </c>
      <c r="G496">
        <v>9074741740</v>
      </c>
      <c r="H496" t="s">
        <v>35</v>
      </c>
      <c r="J496" t="s">
        <v>144</v>
      </c>
      <c r="K496" t="s">
        <v>85</v>
      </c>
      <c r="L496" t="s">
        <v>486</v>
      </c>
      <c r="M496" t="s">
        <v>527</v>
      </c>
      <c r="N496">
        <v>16</v>
      </c>
      <c r="O496">
        <v>44659.82</v>
      </c>
      <c r="P496">
        <v>10</v>
      </c>
      <c r="Q496">
        <v>71455.710000000006</v>
      </c>
      <c r="R496">
        <v>643101.41</v>
      </c>
      <c r="S496">
        <v>215029.18</v>
      </c>
    </row>
    <row r="497" spans="1:19" ht="15" customHeight="1" x14ac:dyDescent="0.25">
      <c r="A497" t="s">
        <v>1680</v>
      </c>
      <c r="B497" s="8">
        <v>44575</v>
      </c>
      <c r="C497" s="8">
        <v>44579</v>
      </c>
      <c r="D497" t="s">
        <v>73</v>
      </c>
      <c r="E497" t="s">
        <v>92</v>
      </c>
      <c r="F497" t="s">
        <v>1681</v>
      </c>
      <c r="G497">
        <v>8032932555</v>
      </c>
      <c r="H497" t="s">
        <v>43</v>
      </c>
      <c r="I497" t="s">
        <v>69</v>
      </c>
      <c r="J497" t="s">
        <v>119</v>
      </c>
      <c r="K497" t="s">
        <v>85</v>
      </c>
      <c r="L497" t="s">
        <v>243</v>
      </c>
      <c r="M497" t="s">
        <v>439</v>
      </c>
      <c r="N497">
        <v>19</v>
      </c>
      <c r="O497">
        <v>41437.39</v>
      </c>
      <c r="P497">
        <v>10</v>
      </c>
      <c r="Q497">
        <v>78731.039999999994</v>
      </c>
      <c r="R497">
        <v>708579.37</v>
      </c>
      <c r="S497">
        <v>-87620.87</v>
      </c>
    </row>
    <row r="498" spans="1:19" ht="15" customHeight="1" x14ac:dyDescent="0.25">
      <c r="A498" t="s">
        <v>1682</v>
      </c>
      <c r="B498" s="8">
        <v>44918</v>
      </c>
      <c r="C498" s="8">
        <v>44920</v>
      </c>
      <c r="D498" t="s">
        <v>20</v>
      </c>
      <c r="E498" t="s">
        <v>1683</v>
      </c>
      <c r="F498" t="s">
        <v>1684</v>
      </c>
      <c r="G498">
        <v>7035126595</v>
      </c>
      <c r="H498" t="s">
        <v>35</v>
      </c>
      <c r="I498" t="s">
        <v>25</v>
      </c>
      <c r="J498" t="s">
        <v>126</v>
      </c>
      <c r="K498" t="s">
        <v>85</v>
      </c>
      <c r="L498" t="s">
        <v>218</v>
      </c>
      <c r="M498" t="s">
        <v>321</v>
      </c>
      <c r="N498">
        <v>9</v>
      </c>
      <c r="O498">
        <v>38285.32</v>
      </c>
      <c r="P498">
        <v>0</v>
      </c>
      <c r="Q498">
        <v>0</v>
      </c>
      <c r="R498">
        <v>344567.88</v>
      </c>
      <c r="S498">
        <v>-47344.92</v>
      </c>
    </row>
    <row r="499" spans="1:19" ht="15" customHeight="1" x14ac:dyDescent="0.25">
      <c r="A499" t="s">
        <v>1685</v>
      </c>
      <c r="B499" s="8">
        <v>45255</v>
      </c>
      <c r="C499" s="8">
        <v>45261</v>
      </c>
      <c r="D499" t="s">
        <v>48</v>
      </c>
      <c r="E499" t="s">
        <v>1686</v>
      </c>
      <c r="F499" t="s">
        <v>1687</v>
      </c>
      <c r="G499">
        <v>7037247000</v>
      </c>
      <c r="H499" t="s">
        <v>24</v>
      </c>
      <c r="I499" t="s">
        <v>61</v>
      </c>
      <c r="J499" t="s">
        <v>204</v>
      </c>
      <c r="K499" t="s">
        <v>85</v>
      </c>
      <c r="L499" t="s">
        <v>266</v>
      </c>
      <c r="M499" t="s">
        <v>1255</v>
      </c>
      <c r="N499">
        <v>3</v>
      </c>
      <c r="O499">
        <v>159646.17000000001</v>
      </c>
      <c r="P499">
        <v>0</v>
      </c>
      <c r="Q499">
        <v>0</v>
      </c>
      <c r="R499">
        <v>478938.51</v>
      </c>
      <c r="S499">
        <v>-30336.28</v>
      </c>
    </row>
    <row r="500" spans="1:19" ht="15" customHeight="1" x14ac:dyDescent="0.25">
      <c r="A500" t="s">
        <v>1688</v>
      </c>
      <c r="B500" s="8">
        <v>45328</v>
      </c>
      <c r="C500" s="8">
        <v>45329</v>
      </c>
      <c r="D500" t="s">
        <v>32</v>
      </c>
      <c r="E500" t="s">
        <v>1689</v>
      </c>
      <c r="F500" t="s">
        <v>1690</v>
      </c>
      <c r="G500">
        <v>8034172607</v>
      </c>
      <c r="H500" t="s">
        <v>35</v>
      </c>
      <c r="I500" t="s">
        <v>61</v>
      </c>
      <c r="J500" t="s">
        <v>62</v>
      </c>
      <c r="K500" t="s">
        <v>27</v>
      </c>
      <c r="L500" t="s">
        <v>45</v>
      </c>
      <c r="M500" t="s">
        <v>523</v>
      </c>
      <c r="N500">
        <v>2</v>
      </c>
      <c r="O500">
        <v>2823.14</v>
      </c>
      <c r="P500">
        <v>10</v>
      </c>
      <c r="Q500">
        <v>564.63</v>
      </c>
      <c r="R500">
        <v>5081.6499999999996</v>
      </c>
      <c r="S500">
        <v>1899.07</v>
      </c>
    </row>
    <row r="501" spans="1:19" ht="15" customHeight="1" x14ac:dyDescent="0.25">
      <c r="A501" t="s">
        <v>1691</v>
      </c>
      <c r="B501" s="8">
        <v>45525</v>
      </c>
      <c r="C501" s="8">
        <v>45530</v>
      </c>
      <c r="D501" t="s">
        <v>48</v>
      </c>
      <c r="E501" t="s">
        <v>236</v>
      </c>
      <c r="F501" t="s">
        <v>237</v>
      </c>
      <c r="G501">
        <v>9029542262</v>
      </c>
      <c r="H501" t="s">
        <v>24</v>
      </c>
      <c r="I501" t="s">
        <v>69</v>
      </c>
      <c r="J501" t="s">
        <v>119</v>
      </c>
      <c r="K501" t="s">
        <v>63</v>
      </c>
      <c r="L501" t="s">
        <v>64</v>
      </c>
      <c r="M501" t="s">
        <v>777</v>
      </c>
      <c r="N501">
        <v>11</v>
      </c>
      <c r="O501">
        <v>11874.55</v>
      </c>
      <c r="P501">
        <v>10</v>
      </c>
      <c r="Q501">
        <v>13062</v>
      </c>
      <c r="R501">
        <v>117558.05</v>
      </c>
      <c r="S501">
        <v>19430.63</v>
      </c>
    </row>
    <row r="502" spans="1:19" ht="15" customHeight="1" x14ac:dyDescent="0.25">
      <c r="A502" t="s">
        <v>1692</v>
      </c>
      <c r="B502" s="8">
        <v>45383</v>
      </c>
      <c r="C502" s="8">
        <v>45385</v>
      </c>
      <c r="D502" t="s">
        <v>20</v>
      </c>
      <c r="E502" t="s">
        <v>1693</v>
      </c>
      <c r="F502" t="s">
        <v>1694</v>
      </c>
      <c r="G502">
        <v>8144932320</v>
      </c>
      <c r="H502" t="s">
        <v>43</v>
      </c>
      <c r="I502" t="s">
        <v>69</v>
      </c>
      <c r="J502" t="s">
        <v>70</v>
      </c>
      <c r="K502" t="s">
        <v>108</v>
      </c>
      <c r="L502" t="s">
        <v>109</v>
      </c>
      <c r="M502" t="s">
        <v>157</v>
      </c>
      <c r="N502">
        <v>13</v>
      </c>
      <c r="O502">
        <v>20275.98</v>
      </c>
      <c r="P502">
        <v>0</v>
      </c>
      <c r="Q502">
        <v>0</v>
      </c>
      <c r="R502">
        <v>263587.74</v>
      </c>
      <c r="S502">
        <v>108413.46</v>
      </c>
    </row>
    <row r="503" spans="1:19" ht="15" customHeight="1" x14ac:dyDescent="0.25">
      <c r="A503" t="s">
        <v>1695</v>
      </c>
      <c r="B503" s="8">
        <v>44837</v>
      </c>
      <c r="C503" s="8">
        <v>44842</v>
      </c>
      <c r="D503" t="s">
        <v>48</v>
      </c>
      <c r="E503" t="s">
        <v>1696</v>
      </c>
      <c r="F503" t="s">
        <v>1697</v>
      </c>
      <c r="G503">
        <v>8131690263</v>
      </c>
      <c r="H503" t="s">
        <v>24</v>
      </c>
      <c r="I503" t="s">
        <v>51</v>
      </c>
      <c r="J503" t="s">
        <v>223</v>
      </c>
      <c r="K503" t="s">
        <v>108</v>
      </c>
      <c r="L503" t="s">
        <v>189</v>
      </c>
      <c r="M503" t="s">
        <v>205</v>
      </c>
      <c r="N503">
        <v>15</v>
      </c>
      <c r="O503">
        <v>16464.080000000002</v>
      </c>
      <c r="P503">
        <v>20</v>
      </c>
      <c r="Q503">
        <v>49392.24</v>
      </c>
      <c r="R503">
        <v>197568.96</v>
      </c>
      <c r="S503">
        <v>21634.47</v>
      </c>
    </row>
    <row r="504" spans="1:19" ht="15" customHeight="1" x14ac:dyDescent="0.25">
      <c r="A504" t="s">
        <v>1698</v>
      </c>
      <c r="B504" s="8">
        <v>45345</v>
      </c>
      <c r="C504" s="8">
        <v>45347</v>
      </c>
      <c r="D504" t="s">
        <v>20</v>
      </c>
      <c r="E504" t="s">
        <v>1195</v>
      </c>
      <c r="F504" t="s">
        <v>1196</v>
      </c>
      <c r="G504">
        <v>8162273196</v>
      </c>
      <c r="H504" t="s">
        <v>43</v>
      </c>
      <c r="I504" t="s">
        <v>51</v>
      </c>
      <c r="J504" t="s">
        <v>316</v>
      </c>
      <c r="K504" t="s">
        <v>63</v>
      </c>
      <c r="L504" t="s">
        <v>249</v>
      </c>
      <c r="M504" t="s">
        <v>1141</v>
      </c>
      <c r="N504">
        <v>17</v>
      </c>
      <c r="O504">
        <v>21143.78</v>
      </c>
      <c r="P504">
        <v>25</v>
      </c>
      <c r="Q504">
        <v>89861.07</v>
      </c>
      <c r="R504">
        <v>269583.19</v>
      </c>
      <c r="S504">
        <v>63673.57</v>
      </c>
    </row>
    <row r="505" spans="1:19" ht="15" customHeight="1" x14ac:dyDescent="0.25">
      <c r="A505" t="s">
        <v>1699</v>
      </c>
      <c r="B505" s="8">
        <v>44708</v>
      </c>
      <c r="C505" s="8">
        <v>44715</v>
      </c>
      <c r="D505" t="s">
        <v>48</v>
      </c>
      <c r="E505" t="s">
        <v>884</v>
      </c>
      <c r="F505" t="s">
        <v>885</v>
      </c>
      <c r="G505">
        <v>7034299177</v>
      </c>
      <c r="H505" t="s">
        <v>35</v>
      </c>
      <c r="I505" t="s">
        <v>51</v>
      </c>
      <c r="J505" t="s">
        <v>131</v>
      </c>
      <c r="K505" t="s">
        <v>63</v>
      </c>
      <c r="L505" t="s">
        <v>558</v>
      </c>
      <c r="M505" t="s">
        <v>1380</v>
      </c>
      <c r="N505">
        <v>9</v>
      </c>
      <c r="O505">
        <v>18757.68</v>
      </c>
      <c r="P505">
        <v>5</v>
      </c>
      <c r="Q505">
        <v>8440.9599999999991</v>
      </c>
      <c r="R505">
        <v>160378.16</v>
      </c>
      <c r="S505">
        <v>43845.08</v>
      </c>
    </row>
    <row r="506" spans="1:19" ht="15" customHeight="1" x14ac:dyDescent="0.25">
      <c r="A506" t="s">
        <v>1700</v>
      </c>
      <c r="B506" s="8">
        <v>45175</v>
      </c>
      <c r="C506" s="8">
        <v>45182</v>
      </c>
      <c r="D506" t="s">
        <v>48</v>
      </c>
      <c r="E506" t="s">
        <v>1701</v>
      </c>
      <c r="F506" t="s">
        <v>1702</v>
      </c>
      <c r="G506">
        <v>7061199493</v>
      </c>
      <c r="H506" t="s">
        <v>43</v>
      </c>
      <c r="I506" t="s">
        <v>61</v>
      </c>
      <c r="K506" t="s">
        <v>108</v>
      </c>
      <c r="L506" t="s">
        <v>189</v>
      </c>
      <c r="M506" t="s">
        <v>1703</v>
      </c>
      <c r="N506">
        <v>8</v>
      </c>
      <c r="O506">
        <v>39215.040000000001</v>
      </c>
      <c r="P506">
        <v>5</v>
      </c>
      <c r="Q506">
        <v>15686.02</v>
      </c>
      <c r="R506">
        <v>298034.3</v>
      </c>
      <c r="S506">
        <v>84642.2</v>
      </c>
    </row>
    <row r="507" spans="1:19" ht="15" customHeight="1" x14ac:dyDescent="0.25">
      <c r="A507" t="s">
        <v>1704</v>
      </c>
      <c r="B507" s="8">
        <v>45506</v>
      </c>
      <c r="C507" s="8">
        <v>45507</v>
      </c>
      <c r="D507" t="s">
        <v>32</v>
      </c>
      <c r="E507" t="s">
        <v>285</v>
      </c>
      <c r="F507" t="s">
        <v>1705</v>
      </c>
      <c r="G507">
        <v>7068007639</v>
      </c>
      <c r="H507" t="s">
        <v>959</v>
      </c>
      <c r="I507" t="s">
        <v>61</v>
      </c>
      <c r="J507" t="s">
        <v>204</v>
      </c>
      <c r="K507" t="s">
        <v>85</v>
      </c>
      <c r="L507" t="s">
        <v>486</v>
      </c>
      <c r="M507" t="s">
        <v>1018</v>
      </c>
      <c r="N507">
        <v>1</v>
      </c>
      <c r="O507">
        <v>154706.39000000001</v>
      </c>
      <c r="P507">
        <v>10</v>
      </c>
      <c r="Q507">
        <v>15470.64</v>
      </c>
      <c r="R507">
        <v>139235.75</v>
      </c>
      <c r="S507">
        <v>-9277.26</v>
      </c>
    </row>
    <row r="508" spans="1:19" ht="15" customHeight="1" x14ac:dyDescent="0.25">
      <c r="A508" t="s">
        <v>1706</v>
      </c>
      <c r="B508" s="8">
        <v>45585</v>
      </c>
      <c r="C508" s="8">
        <v>45592</v>
      </c>
      <c r="D508" t="s">
        <v>48</v>
      </c>
      <c r="E508" t="s">
        <v>1707</v>
      </c>
      <c r="F508" t="s">
        <v>1708</v>
      </c>
      <c r="G508">
        <v>7067767404</v>
      </c>
      <c r="H508" t="s">
        <v>24</v>
      </c>
      <c r="I508" t="s">
        <v>61</v>
      </c>
      <c r="J508" t="s">
        <v>182</v>
      </c>
      <c r="K508" t="s">
        <v>27</v>
      </c>
      <c r="L508" t="s">
        <v>45</v>
      </c>
      <c r="M508" t="s">
        <v>838</v>
      </c>
      <c r="N508">
        <v>19</v>
      </c>
      <c r="O508">
        <v>4819.55</v>
      </c>
      <c r="P508">
        <v>0</v>
      </c>
      <c r="Q508">
        <v>0</v>
      </c>
      <c r="R508">
        <v>91571.45</v>
      </c>
      <c r="S508">
        <v>36929.53</v>
      </c>
    </row>
    <row r="509" spans="1:19" ht="15" customHeight="1" x14ac:dyDescent="0.25">
      <c r="A509" t="s">
        <v>1709</v>
      </c>
      <c r="B509" s="8">
        <v>45342</v>
      </c>
      <c r="C509" s="8">
        <v>45342</v>
      </c>
      <c r="D509" t="s">
        <v>32</v>
      </c>
      <c r="E509" t="s">
        <v>623</v>
      </c>
      <c r="F509" t="s">
        <v>1107</v>
      </c>
      <c r="G509">
        <v>8138965447</v>
      </c>
      <c r="H509" t="s">
        <v>24</v>
      </c>
      <c r="I509" t="s">
        <v>61</v>
      </c>
      <c r="J509" t="s">
        <v>182</v>
      </c>
      <c r="K509" t="s">
        <v>96</v>
      </c>
      <c r="L509" t="s">
        <v>97</v>
      </c>
      <c r="M509" t="s">
        <v>169</v>
      </c>
      <c r="N509">
        <v>10</v>
      </c>
      <c r="O509">
        <v>433443.09</v>
      </c>
      <c r="P509">
        <v>0</v>
      </c>
      <c r="Q509">
        <v>0</v>
      </c>
      <c r="R509">
        <v>4334430.9000000004</v>
      </c>
      <c r="S509">
        <v>-204350.23</v>
      </c>
    </row>
    <row r="510" spans="1:19" ht="15" customHeight="1" x14ac:dyDescent="0.25">
      <c r="A510" t="s">
        <v>1710</v>
      </c>
      <c r="B510" s="8">
        <v>44616</v>
      </c>
      <c r="C510" s="8">
        <v>44616</v>
      </c>
      <c r="D510" t="s">
        <v>32</v>
      </c>
      <c r="E510" t="s">
        <v>1711</v>
      </c>
      <c r="F510" t="s">
        <v>1712</v>
      </c>
      <c r="G510">
        <v>8164454299</v>
      </c>
      <c r="H510" t="s">
        <v>24</v>
      </c>
      <c r="I510" t="s">
        <v>61</v>
      </c>
      <c r="J510" t="s">
        <v>95</v>
      </c>
      <c r="K510" t="s">
        <v>85</v>
      </c>
      <c r="L510" t="s">
        <v>243</v>
      </c>
      <c r="M510" t="s">
        <v>244</v>
      </c>
      <c r="N510">
        <v>2</v>
      </c>
      <c r="O510">
        <v>20036.46</v>
      </c>
      <c r="P510">
        <v>10</v>
      </c>
      <c r="Q510">
        <v>4007.29</v>
      </c>
      <c r="R510">
        <v>36065.629999999997</v>
      </c>
      <c r="S510">
        <v>5810.86</v>
      </c>
    </row>
    <row r="511" spans="1:19" ht="15" customHeight="1" x14ac:dyDescent="0.25">
      <c r="A511" t="s">
        <v>1713</v>
      </c>
      <c r="B511" s="8" t="s">
        <v>1714</v>
      </c>
      <c r="C511" s="8">
        <v>44883</v>
      </c>
      <c r="D511" t="s">
        <v>32</v>
      </c>
      <c r="E511" t="s">
        <v>357</v>
      </c>
      <c r="F511" t="s">
        <v>1715</v>
      </c>
      <c r="G511">
        <v>8142153651</v>
      </c>
      <c r="H511" t="s">
        <v>43</v>
      </c>
      <c r="I511" t="s">
        <v>61</v>
      </c>
      <c r="J511" t="s">
        <v>182</v>
      </c>
      <c r="K511" t="s">
        <v>108</v>
      </c>
      <c r="L511" t="s">
        <v>109</v>
      </c>
      <c r="M511" t="s">
        <v>1258</v>
      </c>
      <c r="N511">
        <v>10</v>
      </c>
      <c r="O511">
        <v>39429.31</v>
      </c>
      <c r="P511">
        <v>15</v>
      </c>
      <c r="Q511">
        <v>59143.96</v>
      </c>
      <c r="R511">
        <v>335149.14</v>
      </c>
      <c r="S511">
        <v>114197.93</v>
      </c>
    </row>
    <row r="512" spans="1:19" ht="15" customHeight="1" x14ac:dyDescent="0.25">
      <c r="A512" t="s">
        <v>1716</v>
      </c>
      <c r="B512" s="8">
        <v>44977</v>
      </c>
      <c r="C512" s="8">
        <v>44980</v>
      </c>
      <c r="D512" t="s">
        <v>20</v>
      </c>
      <c r="E512" t="s">
        <v>586</v>
      </c>
      <c r="F512" t="s">
        <v>587</v>
      </c>
      <c r="G512">
        <v>8108478135</v>
      </c>
      <c r="H512" t="s">
        <v>24</v>
      </c>
      <c r="I512" t="s">
        <v>69</v>
      </c>
      <c r="J512" t="s">
        <v>119</v>
      </c>
      <c r="K512" t="s">
        <v>96</v>
      </c>
      <c r="L512" t="s">
        <v>189</v>
      </c>
      <c r="M512" t="s">
        <v>205</v>
      </c>
      <c r="N512">
        <v>17</v>
      </c>
      <c r="O512">
        <v>366291.14</v>
      </c>
      <c r="P512">
        <v>10</v>
      </c>
      <c r="Q512">
        <v>622694.93999999994</v>
      </c>
      <c r="R512">
        <v>5604254.4400000004</v>
      </c>
      <c r="S512">
        <v>2220302.06</v>
      </c>
    </row>
    <row r="513" spans="1:19" ht="15" customHeight="1" x14ac:dyDescent="0.25">
      <c r="A513" t="s">
        <v>1717</v>
      </c>
      <c r="B513" s="8">
        <v>44748</v>
      </c>
      <c r="C513" s="8">
        <v>44755</v>
      </c>
      <c r="D513" t="s">
        <v>48</v>
      </c>
      <c r="F513" t="s">
        <v>1718</v>
      </c>
      <c r="G513">
        <v>7063938131</v>
      </c>
      <c r="H513" t="s">
        <v>43</v>
      </c>
      <c r="I513" t="s">
        <v>69</v>
      </c>
      <c r="J513" t="s">
        <v>70</v>
      </c>
      <c r="K513" t="s">
        <v>108</v>
      </c>
      <c r="L513" t="s">
        <v>109</v>
      </c>
      <c r="M513" t="s">
        <v>1258</v>
      </c>
      <c r="N513">
        <v>14</v>
      </c>
      <c r="O513">
        <v>40698.480000000003</v>
      </c>
      <c r="P513">
        <v>20</v>
      </c>
      <c r="Q513">
        <v>113955.74</v>
      </c>
      <c r="R513">
        <v>455822.98</v>
      </c>
      <c r="S513">
        <v>36830.04</v>
      </c>
    </row>
    <row r="514" spans="1:19" ht="15" customHeight="1" x14ac:dyDescent="0.25">
      <c r="A514" t="s">
        <v>1719</v>
      </c>
      <c r="B514" s="8">
        <v>44651</v>
      </c>
      <c r="C514" s="8">
        <v>44651</v>
      </c>
      <c r="D514" t="s">
        <v>32</v>
      </c>
      <c r="E514" t="s">
        <v>89</v>
      </c>
      <c r="F514" t="s">
        <v>1720</v>
      </c>
      <c r="G514">
        <v>9072119776</v>
      </c>
      <c r="H514" t="s">
        <v>35</v>
      </c>
      <c r="I514" t="s">
        <v>61</v>
      </c>
      <c r="K514" t="s">
        <v>85</v>
      </c>
      <c r="L514" t="s">
        <v>486</v>
      </c>
      <c r="M514" t="s">
        <v>1018</v>
      </c>
      <c r="N514">
        <v>18</v>
      </c>
      <c r="O514">
        <v>178691.03</v>
      </c>
      <c r="P514">
        <v>0</v>
      </c>
      <c r="Q514">
        <v>0</v>
      </c>
      <c r="R514" t="s">
        <v>1721</v>
      </c>
      <c r="S514">
        <v>1438358.6</v>
      </c>
    </row>
    <row r="515" spans="1:19" ht="15" customHeight="1" x14ac:dyDescent="0.25">
      <c r="A515" t="s">
        <v>1722</v>
      </c>
      <c r="B515" s="8">
        <v>45401</v>
      </c>
      <c r="C515" s="8">
        <v>45404</v>
      </c>
      <c r="D515" t="s">
        <v>20</v>
      </c>
      <c r="E515" t="s">
        <v>89</v>
      </c>
      <c r="F515" t="s">
        <v>1723</v>
      </c>
      <c r="G515">
        <v>8151748853</v>
      </c>
      <c r="H515" t="s">
        <v>24</v>
      </c>
      <c r="I515" t="s">
        <v>25</v>
      </c>
      <c r="J515" t="s">
        <v>26</v>
      </c>
      <c r="K515" t="s">
        <v>156</v>
      </c>
      <c r="L515" t="s">
        <v>114</v>
      </c>
      <c r="M515" t="s">
        <v>291</v>
      </c>
      <c r="N515">
        <v>15</v>
      </c>
      <c r="O515">
        <v>29471.26</v>
      </c>
      <c r="P515">
        <v>15</v>
      </c>
      <c r="Q515">
        <v>66310.33</v>
      </c>
      <c r="R515">
        <v>375758.57</v>
      </c>
      <c r="S515">
        <v>21115.61</v>
      </c>
    </row>
    <row r="516" spans="1:19" ht="15" customHeight="1" x14ac:dyDescent="0.25">
      <c r="A516" t="s">
        <v>1724</v>
      </c>
      <c r="B516" s="8">
        <v>44583</v>
      </c>
      <c r="C516" s="8">
        <v>44590</v>
      </c>
      <c r="D516" t="s">
        <v>48</v>
      </c>
      <c r="E516" t="s">
        <v>1725</v>
      </c>
      <c r="F516" t="s">
        <v>1726</v>
      </c>
      <c r="G516">
        <v>7038788747</v>
      </c>
      <c r="H516" t="s">
        <v>43</v>
      </c>
      <c r="I516" t="s">
        <v>69</v>
      </c>
      <c r="J516" t="s">
        <v>119</v>
      </c>
      <c r="K516" t="s">
        <v>108</v>
      </c>
      <c r="L516" t="s">
        <v>183</v>
      </c>
      <c r="M516" t="s">
        <v>719</v>
      </c>
      <c r="N516">
        <v>8</v>
      </c>
      <c r="O516">
        <v>5549.59</v>
      </c>
      <c r="P516">
        <v>20</v>
      </c>
      <c r="Q516">
        <v>8879.34</v>
      </c>
      <c r="R516">
        <v>35517.379999999997</v>
      </c>
      <c r="S516">
        <v>-2338.6999999999998</v>
      </c>
    </row>
    <row r="517" spans="1:19" ht="15" customHeight="1" x14ac:dyDescent="0.25">
      <c r="A517" t="s">
        <v>1727</v>
      </c>
      <c r="B517" s="8">
        <v>44767</v>
      </c>
      <c r="C517" s="8">
        <v>44773</v>
      </c>
      <c r="D517" t="s">
        <v>48</v>
      </c>
      <c r="E517" t="s">
        <v>1728</v>
      </c>
      <c r="F517" t="s">
        <v>1729</v>
      </c>
      <c r="G517">
        <v>8102301665</v>
      </c>
      <c r="H517" t="s">
        <v>35</v>
      </c>
      <c r="I517" t="s">
        <v>51</v>
      </c>
      <c r="J517" t="s">
        <v>131</v>
      </c>
      <c r="K517" t="s">
        <v>96</v>
      </c>
      <c r="L517" t="s">
        <v>97</v>
      </c>
      <c r="M517" t="s">
        <v>443</v>
      </c>
      <c r="N517">
        <v>6</v>
      </c>
      <c r="O517" t="s">
        <v>1730</v>
      </c>
      <c r="P517">
        <v>5</v>
      </c>
      <c r="Q517">
        <v>62005.87</v>
      </c>
      <c r="R517">
        <v>1178111.51</v>
      </c>
      <c r="S517">
        <v>328277.67</v>
      </c>
    </row>
    <row r="518" spans="1:19" ht="15" customHeight="1" x14ac:dyDescent="0.25">
      <c r="A518" t="s">
        <v>1731</v>
      </c>
      <c r="B518" s="8">
        <v>45632</v>
      </c>
      <c r="C518" s="8">
        <v>45637</v>
      </c>
      <c r="D518" t="s">
        <v>48</v>
      </c>
      <c r="E518" t="s">
        <v>1373</v>
      </c>
      <c r="F518" t="s">
        <v>1374</v>
      </c>
      <c r="G518">
        <v>8141879382</v>
      </c>
      <c r="H518" t="s">
        <v>24</v>
      </c>
      <c r="I518" t="s">
        <v>61</v>
      </c>
      <c r="J518" t="s">
        <v>204</v>
      </c>
      <c r="K518" t="s">
        <v>27</v>
      </c>
      <c r="L518" t="s">
        <v>79</v>
      </c>
      <c r="M518" t="s">
        <v>145</v>
      </c>
      <c r="N518">
        <v>7</v>
      </c>
      <c r="O518">
        <v>6247.55</v>
      </c>
      <c r="P518">
        <v>5</v>
      </c>
      <c r="Q518">
        <v>2186.64</v>
      </c>
      <c r="R518">
        <v>41546.21</v>
      </c>
      <c r="S518">
        <v>3107.11</v>
      </c>
    </row>
    <row r="519" spans="1:19" ht="15" customHeight="1" x14ac:dyDescent="0.25">
      <c r="A519" t="s">
        <v>1732</v>
      </c>
      <c r="B519" s="8">
        <v>45425</v>
      </c>
      <c r="C519" s="8">
        <v>45430</v>
      </c>
      <c r="D519" t="s">
        <v>48</v>
      </c>
      <c r="E519" t="s">
        <v>1733</v>
      </c>
      <c r="F519" t="s">
        <v>1734</v>
      </c>
      <c r="G519">
        <v>9072059841</v>
      </c>
      <c r="H519" t="s">
        <v>35</v>
      </c>
      <c r="I519" t="s">
        <v>61</v>
      </c>
      <c r="J519" t="s">
        <v>62</v>
      </c>
      <c r="L519" t="s">
        <v>86</v>
      </c>
      <c r="M519" t="s">
        <v>87</v>
      </c>
      <c r="N519">
        <v>2</v>
      </c>
      <c r="O519">
        <v>132529.98000000001</v>
      </c>
      <c r="P519">
        <v>15</v>
      </c>
      <c r="Q519">
        <v>39758.99</v>
      </c>
      <c r="R519">
        <v>225300.97</v>
      </c>
      <c r="S519">
        <v>35484.92</v>
      </c>
    </row>
    <row r="520" spans="1:19" ht="15" customHeight="1" x14ac:dyDescent="0.25">
      <c r="A520" t="s">
        <v>1735</v>
      </c>
      <c r="B520" s="8">
        <v>44986</v>
      </c>
      <c r="C520" s="8">
        <v>44991</v>
      </c>
      <c r="D520" t="s">
        <v>73</v>
      </c>
      <c r="E520" t="s">
        <v>365</v>
      </c>
      <c r="F520" t="s">
        <v>366</v>
      </c>
      <c r="G520">
        <v>8134586633</v>
      </c>
      <c r="H520" t="s">
        <v>24</v>
      </c>
      <c r="I520" t="s">
        <v>51</v>
      </c>
      <c r="J520" t="s">
        <v>223</v>
      </c>
      <c r="K520" t="s">
        <v>96</v>
      </c>
      <c r="L520" t="s">
        <v>97</v>
      </c>
      <c r="M520" t="s">
        <v>1416</v>
      </c>
      <c r="N520">
        <v>13</v>
      </c>
      <c r="O520">
        <v>90525.38</v>
      </c>
      <c r="P520">
        <v>10</v>
      </c>
      <c r="Q520">
        <v>117682.99</v>
      </c>
      <c r="R520">
        <v>1059146.95</v>
      </c>
      <c r="S520">
        <v>-151258.01999999999</v>
      </c>
    </row>
    <row r="521" spans="1:19" ht="15" customHeight="1" x14ac:dyDescent="0.25">
      <c r="A521" t="s">
        <v>1736</v>
      </c>
      <c r="B521" s="8">
        <v>45132</v>
      </c>
      <c r="C521" s="8">
        <v>45139</v>
      </c>
      <c r="D521" t="s">
        <v>48</v>
      </c>
      <c r="E521" t="s">
        <v>1737</v>
      </c>
      <c r="F521" t="s">
        <v>1738</v>
      </c>
      <c r="G521">
        <v>7066058905</v>
      </c>
      <c r="H521" t="s">
        <v>35</v>
      </c>
      <c r="I521" t="s">
        <v>61</v>
      </c>
      <c r="J521" t="s">
        <v>204</v>
      </c>
      <c r="K521" t="s">
        <v>27</v>
      </c>
      <c r="L521" t="s">
        <v>28</v>
      </c>
      <c r="M521" t="s">
        <v>29</v>
      </c>
      <c r="N521">
        <v>19</v>
      </c>
      <c r="O521">
        <v>5786.49</v>
      </c>
      <c r="P521">
        <v>0</v>
      </c>
      <c r="Q521">
        <v>0</v>
      </c>
      <c r="R521">
        <v>109943.31</v>
      </c>
      <c r="S521">
        <v>127.98</v>
      </c>
    </row>
    <row r="522" spans="1:19" ht="15" customHeight="1" x14ac:dyDescent="0.25">
      <c r="A522" t="s">
        <v>1739</v>
      </c>
      <c r="B522" s="8">
        <v>44834</v>
      </c>
      <c r="C522" s="8">
        <v>44835</v>
      </c>
      <c r="D522" t="s">
        <v>32</v>
      </c>
      <c r="E522" t="s">
        <v>1740</v>
      </c>
      <c r="F522" t="s">
        <v>1741</v>
      </c>
      <c r="G522">
        <v>8039088805</v>
      </c>
      <c r="H522" t="s">
        <v>43</v>
      </c>
      <c r="I522" t="s">
        <v>25</v>
      </c>
      <c r="J522" t="s">
        <v>36</v>
      </c>
      <c r="K522" t="s">
        <v>96</v>
      </c>
      <c r="L522" t="s">
        <v>97</v>
      </c>
      <c r="M522" t="s">
        <v>98</v>
      </c>
      <c r="N522">
        <v>19</v>
      </c>
      <c r="O522">
        <v>279712</v>
      </c>
      <c r="P522">
        <v>20</v>
      </c>
      <c r="Q522">
        <v>1062905.6000000001</v>
      </c>
      <c r="R522">
        <v>4251622.4000000004</v>
      </c>
      <c r="S522">
        <v>337675.92</v>
      </c>
    </row>
    <row r="523" spans="1:19" ht="15" customHeight="1" x14ac:dyDescent="0.25">
      <c r="A523" t="s">
        <v>1742</v>
      </c>
      <c r="B523" s="8">
        <v>45038</v>
      </c>
      <c r="C523" s="8">
        <v>45043</v>
      </c>
      <c r="D523" t="s">
        <v>48</v>
      </c>
      <c r="E523" t="s">
        <v>1743</v>
      </c>
      <c r="F523" t="s">
        <v>1744</v>
      </c>
      <c r="G523">
        <v>8164966072</v>
      </c>
      <c r="H523" t="s">
        <v>24</v>
      </c>
      <c r="I523" t="s">
        <v>61</v>
      </c>
      <c r="J523" t="s">
        <v>84</v>
      </c>
      <c r="K523" t="s">
        <v>108</v>
      </c>
      <c r="L523" t="s">
        <v>109</v>
      </c>
      <c r="M523" t="s">
        <v>426</v>
      </c>
      <c r="N523">
        <v>5</v>
      </c>
      <c r="O523">
        <v>5413.75</v>
      </c>
      <c r="P523">
        <v>10</v>
      </c>
      <c r="Q523">
        <v>2706.88</v>
      </c>
      <c r="R523">
        <v>24361.87</v>
      </c>
      <c r="S523">
        <v>3635.67</v>
      </c>
    </row>
    <row r="524" spans="1:19" ht="15" customHeight="1" x14ac:dyDescent="0.25">
      <c r="A524" t="s">
        <v>1745</v>
      </c>
      <c r="B524" s="8">
        <v>44639</v>
      </c>
      <c r="C524" s="8">
        <v>44642</v>
      </c>
      <c r="D524" t="s">
        <v>73</v>
      </c>
      <c r="E524" t="s">
        <v>1746</v>
      </c>
      <c r="F524" t="s">
        <v>1747</v>
      </c>
      <c r="G524">
        <v>8105666187</v>
      </c>
      <c r="H524" t="s">
        <v>43</v>
      </c>
      <c r="I524" t="s">
        <v>61</v>
      </c>
      <c r="J524" t="s">
        <v>62</v>
      </c>
      <c r="K524" t="s">
        <v>63</v>
      </c>
      <c r="L524" t="s">
        <v>469</v>
      </c>
      <c r="M524" t="s">
        <v>470</v>
      </c>
      <c r="N524">
        <v>14</v>
      </c>
      <c r="O524">
        <v>13261.39</v>
      </c>
      <c r="P524">
        <v>10</v>
      </c>
      <c r="Q524">
        <v>18565.95</v>
      </c>
      <c r="R524">
        <v>167093.51</v>
      </c>
      <c r="S524">
        <v>50183.29</v>
      </c>
    </row>
    <row r="525" spans="1:19" ht="15" customHeight="1" x14ac:dyDescent="0.25">
      <c r="A525" t="s">
        <v>1748</v>
      </c>
      <c r="B525" s="8">
        <v>44983</v>
      </c>
      <c r="C525" s="8">
        <v>44988</v>
      </c>
      <c r="D525" t="s">
        <v>73</v>
      </c>
      <c r="E525" t="s">
        <v>1749</v>
      </c>
      <c r="F525" t="s">
        <v>1750</v>
      </c>
      <c r="G525">
        <v>9024731991</v>
      </c>
      <c r="H525" t="s">
        <v>43</v>
      </c>
      <c r="I525" t="s">
        <v>61</v>
      </c>
      <c r="J525" t="s">
        <v>182</v>
      </c>
      <c r="K525" t="s">
        <v>1751</v>
      </c>
      <c r="L525" t="s">
        <v>28</v>
      </c>
      <c r="M525" t="s">
        <v>347</v>
      </c>
      <c r="O525">
        <v>2776.6</v>
      </c>
      <c r="P525">
        <v>0</v>
      </c>
      <c r="Q525">
        <v>0</v>
      </c>
      <c r="R525">
        <v>41649</v>
      </c>
      <c r="S525">
        <v>-4632.6099999999997</v>
      </c>
    </row>
    <row r="526" spans="1:19" ht="15" customHeight="1" x14ac:dyDescent="0.25">
      <c r="A526" t="s">
        <v>1752</v>
      </c>
      <c r="B526" s="8">
        <v>44851</v>
      </c>
      <c r="C526" s="8">
        <v>44857</v>
      </c>
      <c r="D526" t="s">
        <v>48</v>
      </c>
      <c r="E526" t="s">
        <v>1753</v>
      </c>
      <c r="F526" t="s">
        <v>1754</v>
      </c>
      <c r="G526">
        <v>9054428815</v>
      </c>
      <c r="H526" t="s">
        <v>35</v>
      </c>
      <c r="I526" t="s">
        <v>69</v>
      </c>
      <c r="J526" t="s">
        <v>307</v>
      </c>
      <c r="K526" t="s">
        <v>85</v>
      </c>
      <c r="L526" t="s">
        <v>266</v>
      </c>
      <c r="M526" t="s">
        <v>267</v>
      </c>
      <c r="N526">
        <v>15</v>
      </c>
      <c r="O526">
        <v>81313.25</v>
      </c>
      <c r="P526">
        <v>10</v>
      </c>
      <c r="Q526">
        <v>121969.88</v>
      </c>
      <c r="R526">
        <v>1097728.8700000001</v>
      </c>
      <c r="S526">
        <v>-56538.21</v>
      </c>
    </row>
    <row r="527" spans="1:19" ht="15" customHeight="1" x14ac:dyDescent="0.25">
      <c r="A527" t="s">
        <v>1755</v>
      </c>
      <c r="B527" s="8">
        <v>45071</v>
      </c>
      <c r="C527" s="8">
        <v>45075</v>
      </c>
      <c r="D527" t="s">
        <v>416</v>
      </c>
      <c r="E527" t="s">
        <v>1756</v>
      </c>
      <c r="F527" t="s">
        <v>1757</v>
      </c>
      <c r="G527">
        <v>9074378948</v>
      </c>
      <c r="H527" t="s">
        <v>43</v>
      </c>
      <c r="I527" t="s">
        <v>61</v>
      </c>
      <c r="J527" t="s">
        <v>62</v>
      </c>
      <c r="K527" t="s">
        <v>63</v>
      </c>
      <c r="L527" t="s">
        <v>194</v>
      </c>
      <c r="M527" t="s">
        <v>257</v>
      </c>
      <c r="N527">
        <v>12</v>
      </c>
      <c r="O527">
        <v>2460.39</v>
      </c>
      <c r="P527">
        <v>15</v>
      </c>
      <c r="Q527">
        <v>4428.7</v>
      </c>
      <c r="R527">
        <v>25095.98</v>
      </c>
      <c r="S527">
        <v>1923.12</v>
      </c>
    </row>
    <row r="528" spans="1:19" ht="15" customHeight="1" x14ac:dyDescent="0.25">
      <c r="A528" t="s">
        <v>1758</v>
      </c>
      <c r="B528" s="8">
        <v>44881</v>
      </c>
      <c r="C528" s="8">
        <v>44882</v>
      </c>
      <c r="D528" t="s">
        <v>32</v>
      </c>
      <c r="E528" t="s">
        <v>1759</v>
      </c>
      <c r="F528" t="s">
        <v>1760</v>
      </c>
      <c r="G528">
        <v>7062396415</v>
      </c>
      <c r="H528" t="s">
        <v>43</v>
      </c>
      <c r="I528" t="s">
        <v>69</v>
      </c>
      <c r="J528" t="s">
        <v>70</v>
      </c>
      <c r="K528" t="s">
        <v>63</v>
      </c>
      <c r="L528" t="s">
        <v>312</v>
      </c>
      <c r="M528" t="s">
        <v>686</v>
      </c>
      <c r="N528">
        <v>6</v>
      </c>
      <c r="O528">
        <v>4243.57</v>
      </c>
      <c r="P528">
        <v>10</v>
      </c>
      <c r="Q528">
        <v>2546.14</v>
      </c>
      <c r="R528">
        <v>22915.279999999999</v>
      </c>
      <c r="S528">
        <v>1793.58</v>
      </c>
    </row>
    <row r="529" spans="1:19" ht="15" customHeight="1" x14ac:dyDescent="0.25">
      <c r="A529" t="s">
        <v>1761</v>
      </c>
      <c r="B529" s="8">
        <v>45546</v>
      </c>
      <c r="C529" s="8">
        <v>45546</v>
      </c>
      <c r="D529" t="s">
        <v>32</v>
      </c>
      <c r="E529" t="s">
        <v>1762</v>
      </c>
      <c r="F529" t="s">
        <v>1763</v>
      </c>
      <c r="G529">
        <v>8133595845</v>
      </c>
      <c r="H529" t="s">
        <v>43</v>
      </c>
      <c r="I529" t="s">
        <v>51</v>
      </c>
      <c r="J529" t="s">
        <v>316</v>
      </c>
      <c r="K529" t="s">
        <v>85</v>
      </c>
      <c r="L529" t="s">
        <v>86</v>
      </c>
      <c r="M529" t="s">
        <v>584</v>
      </c>
      <c r="N529">
        <v>12</v>
      </c>
      <c r="O529">
        <v>156204.68</v>
      </c>
      <c r="P529">
        <v>20</v>
      </c>
      <c r="Q529">
        <v>374891.23</v>
      </c>
      <c r="R529">
        <v>1499564.93</v>
      </c>
      <c r="S529">
        <v>139059.39000000001</v>
      </c>
    </row>
    <row r="530" spans="1:19" ht="15" customHeight="1" x14ac:dyDescent="0.25">
      <c r="A530" t="s">
        <v>1764</v>
      </c>
      <c r="B530" s="8">
        <v>45348</v>
      </c>
      <c r="C530" s="8">
        <v>45351</v>
      </c>
      <c r="D530" t="s">
        <v>20</v>
      </c>
      <c r="E530" t="s">
        <v>1765</v>
      </c>
      <c r="F530" t="s">
        <v>1766</v>
      </c>
      <c r="G530">
        <v>7061651407</v>
      </c>
      <c r="H530" t="s">
        <v>24</v>
      </c>
      <c r="I530" t="s">
        <v>69</v>
      </c>
      <c r="J530" t="s">
        <v>70</v>
      </c>
      <c r="K530" t="s">
        <v>96</v>
      </c>
      <c r="L530" t="s">
        <v>189</v>
      </c>
      <c r="M530" t="s">
        <v>205</v>
      </c>
      <c r="N530">
        <v>14</v>
      </c>
      <c r="O530">
        <v>85627.64</v>
      </c>
      <c r="P530">
        <v>10</v>
      </c>
      <c r="Q530">
        <v>119878.7</v>
      </c>
      <c r="R530">
        <v>1078908.26</v>
      </c>
      <c r="S530">
        <v>337441.75</v>
      </c>
    </row>
    <row r="531" spans="1:19" ht="15" customHeight="1" x14ac:dyDescent="0.25">
      <c r="A531" t="s">
        <v>1767</v>
      </c>
      <c r="B531" s="8">
        <v>45316</v>
      </c>
      <c r="C531" s="8">
        <v>45316</v>
      </c>
      <c r="D531" t="s">
        <v>32</v>
      </c>
      <c r="E531" t="s">
        <v>1768</v>
      </c>
      <c r="F531" t="s">
        <v>1769</v>
      </c>
      <c r="G531">
        <v>8139014904</v>
      </c>
      <c r="H531" t="s">
        <v>24</v>
      </c>
      <c r="I531" t="s">
        <v>51</v>
      </c>
      <c r="J531" t="s">
        <v>227</v>
      </c>
      <c r="K531" t="s">
        <v>96</v>
      </c>
      <c r="L531" t="s">
        <v>97</v>
      </c>
      <c r="M531" t="s">
        <v>98</v>
      </c>
      <c r="N531">
        <v>5</v>
      </c>
      <c r="O531">
        <v>318400.07</v>
      </c>
      <c r="P531">
        <v>10</v>
      </c>
      <c r="Q531">
        <v>159200.04</v>
      </c>
      <c r="R531">
        <v>1432800.31</v>
      </c>
      <c r="S531">
        <v>305560.96999999997</v>
      </c>
    </row>
    <row r="532" spans="1:19" ht="15" customHeight="1" x14ac:dyDescent="0.25">
      <c r="A532" t="s">
        <v>1770</v>
      </c>
      <c r="B532" s="8">
        <v>44587</v>
      </c>
      <c r="C532" s="8">
        <v>44590</v>
      </c>
      <c r="D532" t="s">
        <v>73</v>
      </c>
      <c r="E532" t="s">
        <v>1771</v>
      </c>
      <c r="F532" t="s">
        <v>1772</v>
      </c>
      <c r="G532">
        <v>7062348021</v>
      </c>
      <c r="H532" t="s">
        <v>35</v>
      </c>
      <c r="I532" t="s">
        <v>61</v>
      </c>
      <c r="J532" t="s">
        <v>182</v>
      </c>
      <c r="K532" t="s">
        <v>1773</v>
      </c>
      <c r="L532" t="s">
        <v>354</v>
      </c>
      <c r="M532" t="s">
        <v>433</v>
      </c>
      <c r="N532">
        <v>14</v>
      </c>
      <c r="O532">
        <v>1576.84</v>
      </c>
      <c r="P532">
        <v>10</v>
      </c>
      <c r="Q532">
        <v>2207.58</v>
      </c>
      <c r="R532">
        <v>19868.18</v>
      </c>
      <c r="S532">
        <v>5267.1</v>
      </c>
    </row>
    <row r="533" spans="1:19" ht="15" customHeight="1" x14ac:dyDescent="0.25">
      <c r="A533" t="s">
        <v>1774</v>
      </c>
      <c r="B533" s="8">
        <v>44744</v>
      </c>
      <c r="C533" s="8">
        <v>44744</v>
      </c>
      <c r="D533" t="s">
        <v>32</v>
      </c>
      <c r="E533" t="s">
        <v>1775</v>
      </c>
      <c r="F533" t="s">
        <v>1776</v>
      </c>
      <c r="G533">
        <v>8033394334</v>
      </c>
      <c r="H533" t="s">
        <v>43</v>
      </c>
      <c r="I533" t="s">
        <v>69</v>
      </c>
      <c r="J533" t="s">
        <v>155</v>
      </c>
      <c r="K533" t="s">
        <v>63</v>
      </c>
      <c r="L533" t="s">
        <v>469</v>
      </c>
      <c r="M533" t="s">
        <v>1595</v>
      </c>
      <c r="N533">
        <v>13</v>
      </c>
      <c r="O533">
        <v>23285.41</v>
      </c>
      <c r="P533">
        <v>10</v>
      </c>
      <c r="Q533">
        <v>30271.03</v>
      </c>
      <c r="R533">
        <v>272439.3</v>
      </c>
      <c r="S533">
        <v>-39816.410000000003</v>
      </c>
    </row>
    <row r="534" spans="1:19" ht="15" customHeight="1" x14ac:dyDescent="0.25">
      <c r="A534" t="s">
        <v>1777</v>
      </c>
      <c r="B534" s="8">
        <v>44705</v>
      </c>
      <c r="C534" s="8">
        <v>44713</v>
      </c>
      <c r="D534" t="s">
        <v>48</v>
      </c>
      <c r="E534" t="s">
        <v>1778</v>
      </c>
      <c r="F534" t="s">
        <v>1779</v>
      </c>
      <c r="G534">
        <v>9018230134</v>
      </c>
      <c r="H534" t="s">
        <v>35</v>
      </c>
      <c r="I534" t="s">
        <v>61</v>
      </c>
      <c r="J534" t="s">
        <v>204</v>
      </c>
      <c r="K534" t="s">
        <v>85</v>
      </c>
      <c r="L534" t="s">
        <v>218</v>
      </c>
      <c r="M534" t="s">
        <v>1058</v>
      </c>
      <c r="N534">
        <v>5</v>
      </c>
      <c r="O534">
        <v>40060.81</v>
      </c>
      <c r="P534">
        <v>5</v>
      </c>
      <c r="Q534">
        <v>10015.200000000001</v>
      </c>
      <c r="R534">
        <v>190288.85</v>
      </c>
      <c r="S534">
        <v>26998.71</v>
      </c>
    </row>
    <row r="535" spans="1:19" ht="15" customHeight="1" x14ac:dyDescent="0.25">
      <c r="A535" t="s">
        <v>1780</v>
      </c>
      <c r="B535" s="8">
        <v>44942</v>
      </c>
      <c r="C535" s="8">
        <v>44945</v>
      </c>
      <c r="D535" t="s">
        <v>73</v>
      </c>
      <c r="E535" t="s">
        <v>1781</v>
      </c>
      <c r="F535" t="s">
        <v>1782</v>
      </c>
      <c r="G535">
        <v>9024219293</v>
      </c>
      <c r="H535" t="s">
        <v>24</v>
      </c>
      <c r="I535" t="s">
        <v>25</v>
      </c>
      <c r="J535" t="s">
        <v>168</v>
      </c>
      <c r="K535" t="s">
        <v>63</v>
      </c>
      <c r="L535" t="s">
        <v>194</v>
      </c>
      <c r="M535" t="s">
        <v>257</v>
      </c>
      <c r="N535">
        <v>20</v>
      </c>
      <c r="O535">
        <v>11297.9</v>
      </c>
      <c r="P535">
        <v>0</v>
      </c>
      <c r="Q535">
        <v>0</v>
      </c>
      <c r="R535">
        <v>225958</v>
      </c>
      <c r="S535">
        <v>83834.3</v>
      </c>
    </row>
    <row r="536" spans="1:19" ht="15" customHeight="1" x14ac:dyDescent="0.25">
      <c r="A536" t="s">
        <v>1783</v>
      </c>
      <c r="B536" s="8">
        <v>45335</v>
      </c>
      <c r="C536" s="8">
        <v>45340</v>
      </c>
      <c r="D536" t="s">
        <v>48</v>
      </c>
      <c r="E536" t="s">
        <v>1784</v>
      </c>
      <c r="F536" t="s">
        <v>1785</v>
      </c>
      <c r="G536">
        <v>8034938956</v>
      </c>
      <c r="H536" t="s">
        <v>43</v>
      </c>
      <c r="I536" t="s">
        <v>61</v>
      </c>
      <c r="J536" t="s">
        <v>95</v>
      </c>
      <c r="K536" t="s">
        <v>37</v>
      </c>
      <c r="L536" t="s">
        <v>183</v>
      </c>
      <c r="M536" t="s">
        <v>719</v>
      </c>
      <c r="N536">
        <v>9</v>
      </c>
      <c r="O536">
        <v>2408.7800000000002</v>
      </c>
      <c r="P536">
        <v>0</v>
      </c>
      <c r="Q536">
        <v>0</v>
      </c>
      <c r="R536">
        <v>21679.02</v>
      </c>
      <c r="S536">
        <v>5402.27</v>
      </c>
    </row>
    <row r="537" spans="1:19" ht="15" customHeight="1" x14ac:dyDescent="0.25">
      <c r="A537" t="s">
        <v>1786</v>
      </c>
      <c r="B537" s="8">
        <v>45331</v>
      </c>
      <c r="C537" s="8">
        <v>45338</v>
      </c>
      <c r="D537" t="s">
        <v>48</v>
      </c>
      <c r="E537" t="s">
        <v>1787</v>
      </c>
      <c r="F537" t="s">
        <v>1788</v>
      </c>
      <c r="G537">
        <v>9058205036</v>
      </c>
      <c r="H537" t="s">
        <v>125</v>
      </c>
      <c r="I537" t="s">
        <v>1203</v>
      </c>
      <c r="J537" t="s">
        <v>26</v>
      </c>
      <c r="K537" t="s">
        <v>63</v>
      </c>
      <c r="L537" t="s">
        <v>558</v>
      </c>
      <c r="M537" t="s">
        <v>1380</v>
      </c>
      <c r="N537">
        <v>8</v>
      </c>
      <c r="O537">
        <v>24986.41</v>
      </c>
      <c r="P537">
        <v>10</v>
      </c>
      <c r="Q537">
        <v>19989.13</v>
      </c>
      <c r="R537">
        <v>179902.15</v>
      </c>
      <c r="S537">
        <v>44804.09</v>
      </c>
    </row>
    <row r="538" spans="1:19" ht="15" customHeight="1" x14ac:dyDescent="0.25">
      <c r="A538" t="s">
        <v>1789</v>
      </c>
      <c r="B538" s="8">
        <v>45238</v>
      </c>
      <c r="C538" s="8">
        <v>45240</v>
      </c>
      <c r="D538" t="s">
        <v>20</v>
      </c>
      <c r="E538" t="s">
        <v>1790</v>
      </c>
      <c r="F538" t="s">
        <v>1791</v>
      </c>
      <c r="G538">
        <v>9013329735</v>
      </c>
      <c r="H538" t="s">
        <v>35</v>
      </c>
      <c r="I538" t="s">
        <v>69</v>
      </c>
      <c r="J538" t="s">
        <v>155</v>
      </c>
      <c r="K538" t="s">
        <v>96</v>
      </c>
      <c r="L538" t="s">
        <v>254</v>
      </c>
      <c r="M538" t="s">
        <v>756</v>
      </c>
      <c r="N538">
        <v>9</v>
      </c>
      <c r="O538">
        <v>393017.3</v>
      </c>
      <c r="P538">
        <v>5</v>
      </c>
      <c r="Q538">
        <v>176857.79</v>
      </c>
      <c r="R538">
        <v>3360297.91</v>
      </c>
      <c r="S538">
        <v>238775.84</v>
      </c>
    </row>
    <row r="539" spans="1:19" ht="15" customHeight="1" x14ac:dyDescent="0.25">
      <c r="A539" t="s">
        <v>1792</v>
      </c>
      <c r="B539" s="8">
        <v>44568</v>
      </c>
      <c r="C539" s="8">
        <v>44573</v>
      </c>
      <c r="D539" t="s">
        <v>73</v>
      </c>
      <c r="E539" t="s">
        <v>1656</v>
      </c>
      <c r="F539" t="s">
        <v>1793</v>
      </c>
      <c r="G539">
        <v>8031767629</v>
      </c>
      <c r="H539" t="s">
        <v>43</v>
      </c>
      <c r="I539" t="s">
        <v>69</v>
      </c>
      <c r="J539" t="s">
        <v>155</v>
      </c>
      <c r="K539" t="s">
        <v>63</v>
      </c>
      <c r="L539" t="s">
        <v>469</v>
      </c>
      <c r="M539" t="s">
        <v>546</v>
      </c>
      <c r="N539">
        <v>16</v>
      </c>
      <c r="O539">
        <v>6222.19</v>
      </c>
      <c r="P539">
        <v>15</v>
      </c>
      <c r="Q539">
        <v>14933.26</v>
      </c>
      <c r="R539">
        <v>84621.78</v>
      </c>
      <c r="S539">
        <v>24838.42</v>
      </c>
    </row>
    <row r="540" spans="1:19" ht="15" customHeight="1" x14ac:dyDescent="0.25">
      <c r="A540" t="s">
        <v>1794</v>
      </c>
      <c r="B540" s="8">
        <v>44767</v>
      </c>
      <c r="C540" s="8">
        <v>44768</v>
      </c>
      <c r="D540" t="s">
        <v>32</v>
      </c>
      <c r="E540" t="s">
        <v>378</v>
      </c>
      <c r="F540" t="s">
        <v>1095</v>
      </c>
      <c r="G540">
        <v>9013401850</v>
      </c>
      <c r="H540" t="s">
        <v>43</v>
      </c>
      <c r="I540" t="s">
        <v>25</v>
      </c>
      <c r="J540" t="s">
        <v>44</v>
      </c>
      <c r="K540" t="s">
        <v>27</v>
      </c>
      <c r="L540" t="s">
        <v>173</v>
      </c>
      <c r="M540" t="s">
        <v>1795</v>
      </c>
      <c r="N540">
        <v>16</v>
      </c>
      <c r="O540">
        <v>544.44000000000005</v>
      </c>
      <c r="P540">
        <v>0</v>
      </c>
      <c r="Q540">
        <v>0</v>
      </c>
      <c r="S540">
        <v>268.38</v>
      </c>
    </row>
    <row r="541" spans="1:19" ht="15" customHeight="1" x14ac:dyDescent="0.25">
      <c r="A541" t="s">
        <v>1796</v>
      </c>
      <c r="B541" s="8">
        <v>45549</v>
      </c>
      <c r="C541" s="8">
        <v>45555</v>
      </c>
      <c r="D541" t="s">
        <v>48</v>
      </c>
      <c r="E541" t="s">
        <v>216</v>
      </c>
      <c r="F541" t="s">
        <v>1797</v>
      </c>
      <c r="G541">
        <v>9022500416</v>
      </c>
      <c r="H541" t="s">
        <v>43</v>
      </c>
      <c r="I541" t="s">
        <v>69</v>
      </c>
      <c r="J541" t="s">
        <v>119</v>
      </c>
      <c r="K541" t="s">
        <v>96</v>
      </c>
      <c r="L541" t="s">
        <v>189</v>
      </c>
      <c r="M541" t="s">
        <v>287</v>
      </c>
      <c r="N541">
        <v>11</v>
      </c>
      <c r="O541">
        <v>84702.35</v>
      </c>
      <c r="P541">
        <v>15</v>
      </c>
      <c r="Q541">
        <v>139758.88</v>
      </c>
      <c r="R541">
        <v>791966.97</v>
      </c>
      <c r="S541">
        <v>245339.72</v>
      </c>
    </row>
    <row r="542" spans="1:19" ht="15" customHeight="1" x14ac:dyDescent="0.25">
      <c r="A542" t="s">
        <v>1798</v>
      </c>
      <c r="B542" s="8">
        <v>44814</v>
      </c>
      <c r="C542" s="8">
        <v>44814</v>
      </c>
      <c r="D542" t="s">
        <v>32</v>
      </c>
      <c r="E542" t="s">
        <v>1799</v>
      </c>
      <c r="F542" t="s">
        <v>1800</v>
      </c>
      <c r="G542">
        <v>8066583476</v>
      </c>
      <c r="H542" t="s">
        <v>24</v>
      </c>
      <c r="I542" t="s">
        <v>61</v>
      </c>
      <c r="J542" t="s">
        <v>182</v>
      </c>
      <c r="K542" t="s">
        <v>85</v>
      </c>
      <c r="L542" t="s">
        <v>266</v>
      </c>
      <c r="M542" t="s">
        <v>1255</v>
      </c>
      <c r="N542">
        <v>11</v>
      </c>
      <c r="O542">
        <v>19122.73</v>
      </c>
      <c r="P542">
        <v>15</v>
      </c>
      <c r="Q542">
        <v>31552.5</v>
      </c>
      <c r="R542">
        <v>178797.53</v>
      </c>
      <c r="S542">
        <v>70821.75</v>
      </c>
    </row>
    <row r="543" spans="1:19" ht="15" customHeight="1" x14ac:dyDescent="0.25">
      <c r="A543" t="s">
        <v>1801</v>
      </c>
      <c r="B543" s="8">
        <v>45019</v>
      </c>
      <c r="C543" s="8">
        <v>45023</v>
      </c>
      <c r="D543" t="s">
        <v>73</v>
      </c>
      <c r="E543" t="s">
        <v>1802</v>
      </c>
      <c r="F543" t="s">
        <v>1803</v>
      </c>
      <c r="G543">
        <v>8062495511</v>
      </c>
      <c r="H543" t="s">
        <v>43</v>
      </c>
      <c r="I543" t="s">
        <v>69</v>
      </c>
      <c r="J543" t="s">
        <v>155</v>
      </c>
      <c r="K543" t="s">
        <v>63</v>
      </c>
      <c r="L543" t="s">
        <v>469</v>
      </c>
      <c r="M543" t="s">
        <v>1099</v>
      </c>
      <c r="N543">
        <v>4</v>
      </c>
      <c r="O543">
        <v>23461.66</v>
      </c>
      <c r="P543">
        <v>10</v>
      </c>
      <c r="Q543">
        <v>9384.66</v>
      </c>
      <c r="R543">
        <v>84461.98</v>
      </c>
      <c r="S543">
        <v>-6212.14</v>
      </c>
    </row>
    <row r="544" spans="1:19" ht="15" customHeight="1" x14ac:dyDescent="0.25">
      <c r="A544" t="s">
        <v>1804</v>
      </c>
      <c r="B544" s="8">
        <v>45198</v>
      </c>
      <c r="C544" s="8">
        <v>45203</v>
      </c>
      <c r="D544" t="s">
        <v>48</v>
      </c>
      <c r="E544" t="s">
        <v>1805</v>
      </c>
      <c r="F544" t="s">
        <v>1806</v>
      </c>
      <c r="G544">
        <v>8037512001</v>
      </c>
      <c r="H544" t="s">
        <v>24</v>
      </c>
      <c r="I544" t="s">
        <v>51</v>
      </c>
      <c r="J544" t="s">
        <v>316</v>
      </c>
      <c r="K544" t="s">
        <v>108</v>
      </c>
      <c r="L544" t="s">
        <v>38</v>
      </c>
      <c r="M544" t="s">
        <v>39</v>
      </c>
      <c r="N544">
        <v>5</v>
      </c>
      <c r="O544">
        <v>36293.279999999999</v>
      </c>
      <c r="P544">
        <v>25</v>
      </c>
      <c r="Q544">
        <v>45366.6</v>
      </c>
      <c r="R544">
        <v>136099.79999999999</v>
      </c>
      <c r="S544">
        <v>33786.19</v>
      </c>
    </row>
    <row r="545" spans="1:19" ht="15" customHeight="1" x14ac:dyDescent="0.25">
      <c r="A545" t="s">
        <v>1807</v>
      </c>
      <c r="B545" s="8" t="s">
        <v>1808</v>
      </c>
      <c r="C545" s="8">
        <v>45512</v>
      </c>
      <c r="D545" t="s">
        <v>48</v>
      </c>
      <c r="E545" t="s">
        <v>1809</v>
      </c>
      <c r="F545" t="s">
        <v>1810</v>
      </c>
      <c r="G545">
        <v>8034672603</v>
      </c>
      <c r="H545" t="s">
        <v>43</v>
      </c>
      <c r="I545" t="s">
        <v>61</v>
      </c>
      <c r="J545" t="s">
        <v>95</v>
      </c>
      <c r="K545" t="s">
        <v>37</v>
      </c>
      <c r="L545" t="s">
        <v>183</v>
      </c>
      <c r="M545" t="s">
        <v>372</v>
      </c>
      <c r="N545" t="s">
        <v>405</v>
      </c>
      <c r="O545">
        <v>27863.01</v>
      </c>
      <c r="P545">
        <v>0</v>
      </c>
      <c r="Q545">
        <v>0</v>
      </c>
      <c r="R545" t="s">
        <v>1811</v>
      </c>
      <c r="S545">
        <v>29162.57</v>
      </c>
    </row>
    <row r="546" spans="1:19" ht="15" customHeight="1" x14ac:dyDescent="0.25">
      <c r="A546" t="s">
        <v>1812</v>
      </c>
      <c r="B546" s="8">
        <v>45122</v>
      </c>
      <c r="C546" s="8">
        <v>45130</v>
      </c>
      <c r="D546" t="s">
        <v>48</v>
      </c>
      <c r="E546" t="s">
        <v>1813</v>
      </c>
      <c r="F546" t="s">
        <v>1814</v>
      </c>
      <c r="G546">
        <v>9017320122</v>
      </c>
      <c r="H546" t="s">
        <v>1669</v>
      </c>
      <c r="I546" t="s">
        <v>51</v>
      </c>
      <c r="J546" t="s">
        <v>227</v>
      </c>
      <c r="K546" t="s">
        <v>1815</v>
      </c>
      <c r="L546" t="s">
        <v>97</v>
      </c>
      <c r="M546" t="s">
        <v>443</v>
      </c>
      <c r="N546">
        <v>7</v>
      </c>
      <c r="O546">
        <v>375129.84</v>
      </c>
      <c r="P546">
        <v>5</v>
      </c>
      <c r="Q546">
        <v>131295.44</v>
      </c>
      <c r="R546">
        <v>2494613.44</v>
      </c>
      <c r="S546">
        <v>674155.43</v>
      </c>
    </row>
    <row r="547" spans="1:19" ht="15" customHeight="1" x14ac:dyDescent="0.25">
      <c r="A547" t="s">
        <v>1816</v>
      </c>
      <c r="B547" s="8">
        <v>45174</v>
      </c>
      <c r="C547" s="8">
        <v>45174</v>
      </c>
      <c r="D547" t="s">
        <v>32</v>
      </c>
      <c r="E547" t="s">
        <v>1817</v>
      </c>
      <c r="F547" t="s">
        <v>1818</v>
      </c>
      <c r="G547">
        <v>7038087324</v>
      </c>
      <c r="H547" t="s">
        <v>43</v>
      </c>
      <c r="I547" t="s">
        <v>25</v>
      </c>
      <c r="J547" t="s">
        <v>126</v>
      </c>
      <c r="K547" t="s">
        <v>108</v>
      </c>
      <c r="L547" t="s">
        <v>38</v>
      </c>
      <c r="M547" t="s">
        <v>213</v>
      </c>
      <c r="N547">
        <v>17</v>
      </c>
      <c r="O547">
        <v>18815.71</v>
      </c>
      <c r="P547">
        <v>10</v>
      </c>
      <c r="Q547">
        <v>31986.71</v>
      </c>
      <c r="R547">
        <v>287880.36</v>
      </c>
      <c r="S547">
        <v>5590.19</v>
      </c>
    </row>
    <row r="548" spans="1:19" ht="15" customHeight="1" x14ac:dyDescent="0.25">
      <c r="A548" t="s">
        <v>1819</v>
      </c>
      <c r="B548" s="8">
        <v>44830</v>
      </c>
      <c r="C548" s="8">
        <v>44837</v>
      </c>
      <c r="D548" t="s">
        <v>48</v>
      </c>
      <c r="E548" t="s">
        <v>1820</v>
      </c>
      <c r="F548" t="s">
        <v>1821</v>
      </c>
      <c r="G548">
        <v>8036101515</v>
      </c>
      <c r="H548" t="s">
        <v>43</v>
      </c>
      <c r="I548" t="s">
        <v>676</v>
      </c>
      <c r="J548" t="s">
        <v>84</v>
      </c>
      <c r="K548" t="s">
        <v>108</v>
      </c>
      <c r="L548" t="s">
        <v>109</v>
      </c>
      <c r="M548" t="s">
        <v>426</v>
      </c>
      <c r="N548">
        <v>16</v>
      </c>
      <c r="O548">
        <v>7915.12</v>
      </c>
      <c r="P548">
        <v>10</v>
      </c>
      <c r="Q548">
        <v>12664.19</v>
      </c>
      <c r="R548">
        <v>113977.73</v>
      </c>
      <c r="S548">
        <v>44261.07</v>
      </c>
    </row>
    <row r="549" spans="1:19" ht="15" customHeight="1" x14ac:dyDescent="0.25">
      <c r="A549" t="s">
        <v>1822</v>
      </c>
      <c r="B549" s="8">
        <v>44580</v>
      </c>
      <c r="C549" s="8">
        <v>44584</v>
      </c>
      <c r="D549" t="s">
        <v>1823</v>
      </c>
      <c r="E549" t="s">
        <v>1824</v>
      </c>
      <c r="F549" t="s">
        <v>1825</v>
      </c>
      <c r="G549">
        <v>7068165734</v>
      </c>
      <c r="H549" t="s">
        <v>24</v>
      </c>
      <c r="I549" t="s">
        <v>61</v>
      </c>
      <c r="J549" t="s">
        <v>62</v>
      </c>
      <c r="K549" t="s">
        <v>85</v>
      </c>
      <c r="L549" t="s">
        <v>86</v>
      </c>
      <c r="M549" t="s">
        <v>584</v>
      </c>
      <c r="N549">
        <v>16</v>
      </c>
      <c r="O549">
        <v>69160.42</v>
      </c>
      <c r="P549">
        <v>0</v>
      </c>
      <c r="Q549">
        <v>0</v>
      </c>
      <c r="R549">
        <v>1106566.72</v>
      </c>
      <c r="S549">
        <v>461480.28</v>
      </c>
    </row>
    <row r="550" spans="1:19" ht="15" customHeight="1" x14ac:dyDescent="0.25">
      <c r="A550" t="s">
        <v>1826</v>
      </c>
      <c r="B550" s="8">
        <v>45450</v>
      </c>
      <c r="C550" s="8">
        <v>45452</v>
      </c>
      <c r="D550" t="s">
        <v>20</v>
      </c>
      <c r="E550" t="s">
        <v>1827</v>
      </c>
      <c r="F550" t="s">
        <v>1828</v>
      </c>
      <c r="G550">
        <v>8065040883</v>
      </c>
      <c r="H550" t="s">
        <v>24</v>
      </c>
      <c r="I550" t="s">
        <v>25</v>
      </c>
      <c r="J550" t="s">
        <v>36</v>
      </c>
      <c r="K550" t="s">
        <v>108</v>
      </c>
      <c r="L550" t="s">
        <v>183</v>
      </c>
      <c r="M550" t="s">
        <v>1829</v>
      </c>
      <c r="N550">
        <v>6</v>
      </c>
      <c r="O550">
        <v>31583.32</v>
      </c>
      <c r="P550">
        <v>15</v>
      </c>
      <c r="Q550">
        <v>28424.99</v>
      </c>
      <c r="R550">
        <v>161074.93</v>
      </c>
      <c r="S550">
        <v>50820.73</v>
      </c>
    </row>
    <row r="551" spans="1:19" ht="15" customHeight="1" x14ac:dyDescent="0.25">
      <c r="A551" t="s">
        <v>1830</v>
      </c>
      <c r="B551" s="8">
        <v>45125</v>
      </c>
      <c r="C551" s="8">
        <v>45126</v>
      </c>
      <c r="D551" t="s">
        <v>32</v>
      </c>
      <c r="E551" t="s">
        <v>1831</v>
      </c>
      <c r="F551" t="s">
        <v>1832</v>
      </c>
      <c r="G551">
        <v>8062386418</v>
      </c>
      <c r="H551" t="s">
        <v>24</v>
      </c>
      <c r="I551" t="s">
        <v>25</v>
      </c>
      <c r="J551" t="s">
        <v>168</v>
      </c>
      <c r="K551" t="s">
        <v>96</v>
      </c>
      <c r="L551" t="s">
        <v>189</v>
      </c>
      <c r="M551" t="s">
        <v>205</v>
      </c>
      <c r="N551">
        <v>19</v>
      </c>
      <c r="O551">
        <v>112846.74</v>
      </c>
      <c r="P551">
        <v>20</v>
      </c>
      <c r="Q551">
        <v>428817.61</v>
      </c>
      <c r="R551">
        <v>1715270.45</v>
      </c>
      <c r="S551">
        <v>24416.68</v>
      </c>
    </row>
    <row r="552" spans="1:19" ht="15" customHeight="1" x14ac:dyDescent="0.25">
      <c r="A552" t="s">
        <v>1833</v>
      </c>
      <c r="B552" s="8">
        <v>45553</v>
      </c>
      <c r="C552" s="8">
        <v>45554</v>
      </c>
      <c r="D552" t="s">
        <v>32</v>
      </c>
      <c r="E552" t="s">
        <v>1472</v>
      </c>
      <c r="F552" t="s">
        <v>1834</v>
      </c>
      <c r="G552">
        <v>8066456436</v>
      </c>
      <c r="H552" t="s">
        <v>35</v>
      </c>
      <c r="I552" t="s">
        <v>25</v>
      </c>
      <c r="J552" t="s">
        <v>36</v>
      </c>
      <c r="K552" t="s">
        <v>96</v>
      </c>
      <c r="L552" t="s">
        <v>254</v>
      </c>
      <c r="M552" t="s">
        <v>255</v>
      </c>
      <c r="N552">
        <v>1</v>
      </c>
      <c r="O552">
        <v>191318.77</v>
      </c>
      <c r="P552">
        <v>15</v>
      </c>
      <c r="Q552">
        <v>28697.82</v>
      </c>
      <c r="R552">
        <v>162620.95000000001</v>
      </c>
      <c r="S552">
        <v>29863.08</v>
      </c>
    </row>
    <row r="553" spans="1:19" ht="15" customHeight="1" x14ac:dyDescent="0.25">
      <c r="A553" t="s">
        <v>1835</v>
      </c>
      <c r="B553" s="8">
        <v>44986</v>
      </c>
      <c r="C553" s="8">
        <v>44991</v>
      </c>
      <c r="D553" t="s">
        <v>48</v>
      </c>
      <c r="E553" t="s">
        <v>630</v>
      </c>
      <c r="F553" t="s">
        <v>1836</v>
      </c>
      <c r="G553">
        <v>8038503322</v>
      </c>
      <c r="H553" t="s">
        <v>24</v>
      </c>
      <c r="I553" t="s">
        <v>69</v>
      </c>
      <c r="J553" t="s">
        <v>307</v>
      </c>
      <c r="K553" t="s">
        <v>63</v>
      </c>
      <c r="L553" t="s">
        <v>249</v>
      </c>
      <c r="M553" t="s">
        <v>465</v>
      </c>
      <c r="N553">
        <v>7</v>
      </c>
      <c r="O553">
        <v>3655.99</v>
      </c>
      <c r="P553" t="s">
        <v>376</v>
      </c>
      <c r="Q553">
        <v>0</v>
      </c>
      <c r="R553">
        <v>25591.93</v>
      </c>
      <c r="S553">
        <v>-2490.29</v>
      </c>
    </row>
    <row r="554" spans="1:19" ht="15" customHeight="1" x14ac:dyDescent="0.25">
      <c r="A554" t="s">
        <v>1837</v>
      </c>
      <c r="B554" s="8">
        <v>45598</v>
      </c>
      <c r="C554" s="8">
        <v>45605</v>
      </c>
      <c r="D554" t="s">
        <v>48</v>
      </c>
      <c r="E554" t="s">
        <v>1838</v>
      </c>
      <c r="F554" t="s">
        <v>1839</v>
      </c>
      <c r="G554">
        <v>7061001435</v>
      </c>
      <c r="H554" t="s">
        <v>35</v>
      </c>
      <c r="I554" t="s">
        <v>51</v>
      </c>
      <c r="J554" t="s">
        <v>52</v>
      </c>
      <c r="K554" t="s">
        <v>85</v>
      </c>
      <c r="L554" t="s">
        <v>243</v>
      </c>
      <c r="M554" t="s">
        <v>1054</v>
      </c>
      <c r="N554">
        <v>17</v>
      </c>
      <c r="O554">
        <v>170748.91</v>
      </c>
      <c r="P554">
        <v>10</v>
      </c>
      <c r="Q554">
        <v>290273.15000000002</v>
      </c>
      <c r="R554">
        <v>2612458.3199999998</v>
      </c>
      <c r="S554">
        <v>641344.27</v>
      </c>
    </row>
    <row r="555" spans="1:19" ht="15" customHeight="1" x14ac:dyDescent="0.25">
      <c r="A555" t="s">
        <v>1840</v>
      </c>
      <c r="B555" s="8">
        <v>45202</v>
      </c>
      <c r="C555" s="8">
        <v>45203</v>
      </c>
      <c r="D555" t="s">
        <v>32</v>
      </c>
      <c r="F555" t="s">
        <v>1841</v>
      </c>
      <c r="G555">
        <v>9012661097</v>
      </c>
      <c r="H555" t="s">
        <v>24</v>
      </c>
      <c r="I555" t="s">
        <v>69</v>
      </c>
      <c r="J555" t="s">
        <v>119</v>
      </c>
      <c r="K555" t="s">
        <v>96</v>
      </c>
      <c r="L555" t="s">
        <v>385</v>
      </c>
      <c r="M555" t="s">
        <v>743</v>
      </c>
      <c r="N555">
        <v>10</v>
      </c>
      <c r="O555">
        <v>96812.04</v>
      </c>
      <c r="P555">
        <v>5</v>
      </c>
      <c r="Q555">
        <v>48406.02</v>
      </c>
      <c r="R555">
        <v>919714.38</v>
      </c>
      <c r="S555">
        <v>390376.22</v>
      </c>
    </row>
    <row r="556" spans="1:19" ht="15" customHeight="1" x14ac:dyDescent="0.25">
      <c r="A556" t="s">
        <v>1842</v>
      </c>
      <c r="B556" s="8">
        <v>44825</v>
      </c>
      <c r="C556" s="8">
        <v>44828</v>
      </c>
      <c r="D556" t="s">
        <v>20</v>
      </c>
      <c r="E556" t="s">
        <v>1843</v>
      </c>
      <c r="F556" t="s">
        <v>1844</v>
      </c>
      <c r="G556">
        <v>8167405244</v>
      </c>
      <c r="H556" t="s">
        <v>43</v>
      </c>
      <c r="I556" t="s">
        <v>61</v>
      </c>
      <c r="J556" t="s">
        <v>84</v>
      </c>
      <c r="K556" t="s">
        <v>85</v>
      </c>
      <c r="L556" t="s">
        <v>486</v>
      </c>
      <c r="M556" t="s">
        <v>1018</v>
      </c>
      <c r="N556">
        <v>9</v>
      </c>
      <c r="O556">
        <v>22319.7</v>
      </c>
      <c r="P556">
        <v>15</v>
      </c>
      <c r="Q556">
        <v>30131.599999999999</v>
      </c>
      <c r="R556">
        <v>170745.7</v>
      </c>
      <c r="S556">
        <v>70709.14</v>
      </c>
    </row>
    <row r="557" spans="1:19" ht="15" customHeight="1" x14ac:dyDescent="0.25">
      <c r="A557" t="s">
        <v>1845</v>
      </c>
      <c r="B557" s="8">
        <v>45113</v>
      </c>
      <c r="C557" s="8">
        <v>45119</v>
      </c>
      <c r="D557" t="s">
        <v>48</v>
      </c>
      <c r="E557" t="s">
        <v>1846</v>
      </c>
      <c r="F557" t="s">
        <v>1847</v>
      </c>
      <c r="G557">
        <v>7063575158</v>
      </c>
      <c r="H557" t="s">
        <v>35</v>
      </c>
      <c r="I557" t="s">
        <v>61</v>
      </c>
      <c r="J557" t="s">
        <v>84</v>
      </c>
      <c r="K557" t="s">
        <v>1163</v>
      </c>
      <c r="L557" t="s">
        <v>194</v>
      </c>
      <c r="M557" t="s">
        <v>257</v>
      </c>
      <c r="N557">
        <v>20</v>
      </c>
      <c r="O557">
        <v>9784.08</v>
      </c>
      <c r="P557">
        <v>5</v>
      </c>
      <c r="Q557">
        <v>9784.08</v>
      </c>
      <c r="R557">
        <v>185897.52</v>
      </c>
      <c r="S557">
        <v>-19237.650000000001</v>
      </c>
    </row>
    <row r="558" spans="1:19" ht="15" customHeight="1" x14ac:dyDescent="0.25">
      <c r="A558" t="s">
        <v>1848</v>
      </c>
      <c r="B558" s="8">
        <v>44697</v>
      </c>
      <c r="C558" s="8">
        <v>44698</v>
      </c>
      <c r="D558" t="s">
        <v>32</v>
      </c>
      <c r="E558" t="s">
        <v>644</v>
      </c>
      <c r="F558" t="s">
        <v>1326</v>
      </c>
      <c r="G558">
        <v>9025584424</v>
      </c>
      <c r="H558" t="s">
        <v>35</v>
      </c>
      <c r="I558" t="s">
        <v>25</v>
      </c>
      <c r="J558" t="s">
        <v>36</v>
      </c>
      <c r="K558" t="s">
        <v>85</v>
      </c>
      <c r="L558" t="s">
        <v>218</v>
      </c>
      <c r="M558" t="s">
        <v>1058</v>
      </c>
      <c r="N558">
        <v>13</v>
      </c>
      <c r="O558">
        <v>9696.49</v>
      </c>
      <c r="P558">
        <v>5</v>
      </c>
      <c r="Q558">
        <v>6302.72</v>
      </c>
      <c r="R558">
        <v>119751.65</v>
      </c>
      <c r="S558">
        <v>9242.36</v>
      </c>
    </row>
    <row r="559" spans="1:19" ht="15" customHeight="1" x14ac:dyDescent="0.25">
      <c r="A559" t="s">
        <v>927</v>
      </c>
      <c r="B559" s="8">
        <v>45564</v>
      </c>
      <c r="C559" s="8">
        <v>45566</v>
      </c>
      <c r="D559" t="s">
        <v>20</v>
      </c>
      <c r="E559" t="s">
        <v>928</v>
      </c>
      <c r="F559" t="s">
        <v>929</v>
      </c>
      <c r="G559">
        <v>8155547530</v>
      </c>
      <c r="H559" t="s">
        <v>35</v>
      </c>
      <c r="I559" t="s">
        <v>25</v>
      </c>
      <c r="J559" t="s">
        <v>26</v>
      </c>
      <c r="K559" t="s">
        <v>27</v>
      </c>
      <c r="L559" t="s">
        <v>79</v>
      </c>
      <c r="M559" t="s">
        <v>145</v>
      </c>
      <c r="N559">
        <v>13</v>
      </c>
      <c r="O559">
        <v>1614.76</v>
      </c>
      <c r="P559">
        <v>0</v>
      </c>
      <c r="Q559">
        <v>0</v>
      </c>
      <c r="R559">
        <v>20991.88</v>
      </c>
      <c r="S559">
        <v>1198.71</v>
      </c>
    </row>
    <row r="560" spans="1:19" ht="15" customHeight="1" x14ac:dyDescent="0.25">
      <c r="A560" t="s">
        <v>1849</v>
      </c>
      <c r="B560" s="8">
        <v>45092</v>
      </c>
      <c r="C560" s="8">
        <v>45095</v>
      </c>
      <c r="D560" t="s">
        <v>1823</v>
      </c>
      <c r="E560" t="s">
        <v>1323</v>
      </c>
      <c r="F560" t="s">
        <v>1850</v>
      </c>
      <c r="G560">
        <v>9073120109</v>
      </c>
      <c r="H560" t="s">
        <v>24</v>
      </c>
      <c r="I560" t="s">
        <v>69</v>
      </c>
      <c r="J560" t="s">
        <v>70</v>
      </c>
      <c r="K560" t="s">
        <v>85</v>
      </c>
      <c r="L560" t="s">
        <v>486</v>
      </c>
      <c r="M560" t="s">
        <v>527</v>
      </c>
      <c r="N560">
        <v>2</v>
      </c>
      <c r="O560">
        <v>134492.65</v>
      </c>
      <c r="P560">
        <v>10</v>
      </c>
      <c r="Q560">
        <v>26898.53</v>
      </c>
      <c r="R560">
        <v>242086.77</v>
      </c>
      <c r="S560">
        <v>66453.17</v>
      </c>
    </row>
    <row r="561" spans="1:19" ht="15" customHeight="1" x14ac:dyDescent="0.25">
      <c r="A561" t="s">
        <v>1851</v>
      </c>
      <c r="B561" s="8">
        <v>44936</v>
      </c>
      <c r="C561" s="8">
        <v>44937</v>
      </c>
      <c r="D561" t="s">
        <v>32</v>
      </c>
      <c r="E561" t="s">
        <v>1701</v>
      </c>
      <c r="F561" t="s">
        <v>1702</v>
      </c>
      <c r="G561">
        <v>8155812035</v>
      </c>
      <c r="H561" t="s">
        <v>43</v>
      </c>
      <c r="I561" t="s">
        <v>61</v>
      </c>
      <c r="J561" t="s">
        <v>84</v>
      </c>
      <c r="K561" t="s">
        <v>63</v>
      </c>
      <c r="L561" t="s">
        <v>64</v>
      </c>
      <c r="M561" t="s">
        <v>777</v>
      </c>
      <c r="N561">
        <v>8</v>
      </c>
      <c r="O561">
        <v>23571.09</v>
      </c>
      <c r="P561">
        <v>10</v>
      </c>
      <c r="Q561">
        <v>18856.87</v>
      </c>
      <c r="R561">
        <v>169711.85</v>
      </c>
      <c r="S561">
        <v>39268.120000000003</v>
      </c>
    </row>
    <row r="562" spans="1:19" ht="15" customHeight="1" x14ac:dyDescent="0.25">
      <c r="A562" t="s">
        <v>1852</v>
      </c>
      <c r="B562" s="8">
        <v>44746</v>
      </c>
      <c r="C562" s="8">
        <v>44748</v>
      </c>
      <c r="D562" t="s">
        <v>20</v>
      </c>
      <c r="E562" t="s">
        <v>1853</v>
      </c>
      <c r="F562" t="s">
        <v>1854</v>
      </c>
      <c r="G562">
        <v>8063770138</v>
      </c>
      <c r="H562" t="s">
        <v>43</v>
      </c>
      <c r="I562" t="s">
        <v>25</v>
      </c>
      <c r="J562" t="s">
        <v>44</v>
      </c>
      <c r="K562" t="s">
        <v>27</v>
      </c>
      <c r="L562" t="s">
        <v>79</v>
      </c>
      <c r="M562" t="s">
        <v>145</v>
      </c>
      <c r="N562">
        <v>18</v>
      </c>
      <c r="O562">
        <v>6024.25</v>
      </c>
      <c r="P562">
        <v>20</v>
      </c>
      <c r="Q562">
        <v>21687.3</v>
      </c>
      <c r="R562">
        <v>86749.2</v>
      </c>
      <c r="S562">
        <v>29061.69</v>
      </c>
    </row>
    <row r="563" spans="1:19" ht="15" customHeight="1" x14ac:dyDescent="0.25">
      <c r="A563" t="s">
        <v>1855</v>
      </c>
      <c r="B563" s="8">
        <v>45544</v>
      </c>
      <c r="C563" s="8">
        <v>45548</v>
      </c>
      <c r="D563" t="s">
        <v>73</v>
      </c>
      <c r="F563" t="s">
        <v>1856</v>
      </c>
      <c r="G563">
        <v>7061233207</v>
      </c>
      <c r="H563" t="s">
        <v>24</v>
      </c>
      <c r="I563" t="s">
        <v>25</v>
      </c>
      <c r="J563" t="s">
        <v>168</v>
      </c>
      <c r="K563" t="s">
        <v>27</v>
      </c>
      <c r="L563" t="s">
        <v>354</v>
      </c>
      <c r="M563" t="s">
        <v>355</v>
      </c>
      <c r="N563">
        <v>18</v>
      </c>
      <c r="O563">
        <v>5799.03</v>
      </c>
      <c r="P563">
        <v>10</v>
      </c>
      <c r="Q563">
        <v>10438.25</v>
      </c>
      <c r="R563">
        <v>93944.29</v>
      </c>
      <c r="S563">
        <v>-325.45</v>
      </c>
    </row>
    <row r="564" spans="1:19" ht="15" customHeight="1" x14ac:dyDescent="0.25">
      <c r="A564" t="s">
        <v>1857</v>
      </c>
      <c r="B564" s="8">
        <v>45634</v>
      </c>
      <c r="C564" s="8">
        <v>45637</v>
      </c>
      <c r="D564" t="s">
        <v>73</v>
      </c>
      <c r="E564" t="s">
        <v>1858</v>
      </c>
      <c r="F564" t="s">
        <v>1859</v>
      </c>
      <c r="G564">
        <v>8033236718</v>
      </c>
      <c r="H564" t="s">
        <v>43</v>
      </c>
      <c r="I564" t="s">
        <v>25</v>
      </c>
      <c r="J564" t="s">
        <v>36</v>
      </c>
      <c r="K564" t="s">
        <v>27</v>
      </c>
      <c r="L564" t="s">
        <v>45</v>
      </c>
      <c r="M564" t="s">
        <v>308</v>
      </c>
      <c r="N564">
        <v>13</v>
      </c>
      <c r="O564">
        <v>3554.96</v>
      </c>
      <c r="P564">
        <v>0</v>
      </c>
      <c r="Q564">
        <v>0</v>
      </c>
      <c r="R564">
        <v>46214.48</v>
      </c>
      <c r="S564">
        <v>3418.5</v>
      </c>
    </row>
    <row r="565" spans="1:19" ht="15" customHeight="1" x14ac:dyDescent="0.25">
      <c r="A565" t="s">
        <v>1860</v>
      </c>
      <c r="B565" s="8">
        <v>44803</v>
      </c>
      <c r="C565" s="8">
        <v>44807</v>
      </c>
      <c r="D565" t="s">
        <v>73</v>
      </c>
      <c r="E565" t="s">
        <v>1300</v>
      </c>
      <c r="F565" t="s">
        <v>1861</v>
      </c>
      <c r="G565">
        <v>8164574653</v>
      </c>
      <c r="H565" t="s">
        <v>24</v>
      </c>
      <c r="I565" t="s">
        <v>25</v>
      </c>
      <c r="J565" t="s">
        <v>44</v>
      </c>
      <c r="K565" t="s">
        <v>96</v>
      </c>
      <c r="L565" t="s">
        <v>254</v>
      </c>
      <c r="M565" t="s">
        <v>530</v>
      </c>
      <c r="N565">
        <v>10</v>
      </c>
      <c r="O565">
        <v>109596.49</v>
      </c>
      <c r="P565">
        <v>25</v>
      </c>
      <c r="Q565">
        <v>273991.23</v>
      </c>
      <c r="R565">
        <v>821973.67</v>
      </c>
      <c r="S565">
        <v>283939.65000000002</v>
      </c>
    </row>
    <row r="566" spans="1:19" ht="15" customHeight="1" x14ac:dyDescent="0.25">
      <c r="A566" t="s">
        <v>1862</v>
      </c>
      <c r="B566" s="8">
        <v>44679</v>
      </c>
      <c r="C566" s="8">
        <v>44680</v>
      </c>
      <c r="D566" t="s">
        <v>32</v>
      </c>
      <c r="E566" t="s">
        <v>1863</v>
      </c>
      <c r="F566" t="s">
        <v>1864</v>
      </c>
      <c r="G566">
        <v>7036005493</v>
      </c>
      <c r="H566" t="s">
        <v>24</v>
      </c>
      <c r="I566" t="s">
        <v>25</v>
      </c>
      <c r="J566" t="s">
        <v>168</v>
      </c>
      <c r="K566" t="s">
        <v>63</v>
      </c>
      <c r="L566" t="s">
        <v>249</v>
      </c>
      <c r="M566" t="s">
        <v>465</v>
      </c>
      <c r="N566">
        <v>6</v>
      </c>
      <c r="O566">
        <v>9068.18</v>
      </c>
      <c r="P566">
        <v>15</v>
      </c>
      <c r="Q566">
        <v>8161.36</v>
      </c>
      <c r="R566">
        <v>46247.72</v>
      </c>
      <c r="S566">
        <v>2900.63</v>
      </c>
    </row>
    <row r="567" spans="1:19" ht="15" customHeight="1" x14ac:dyDescent="0.25">
      <c r="A567" t="s">
        <v>1865</v>
      </c>
      <c r="B567" s="8">
        <v>44735</v>
      </c>
      <c r="C567" s="8">
        <v>44740</v>
      </c>
      <c r="D567" t="s">
        <v>73</v>
      </c>
      <c r="E567" t="s">
        <v>995</v>
      </c>
      <c r="F567" t="s">
        <v>996</v>
      </c>
      <c r="G567">
        <v>8069177419</v>
      </c>
      <c r="H567" t="s">
        <v>43</v>
      </c>
      <c r="I567" t="s">
        <v>25</v>
      </c>
      <c r="K567" t="s">
        <v>96</v>
      </c>
      <c r="L567" t="s">
        <v>385</v>
      </c>
      <c r="M567" t="s">
        <v>386</v>
      </c>
      <c r="N567">
        <v>13</v>
      </c>
      <c r="O567">
        <v>113351.43</v>
      </c>
      <c r="P567">
        <v>10</v>
      </c>
      <c r="Q567">
        <v>147356.85999999999</v>
      </c>
      <c r="R567">
        <v>1326211.73</v>
      </c>
      <c r="S567">
        <v>39217.370000000003</v>
      </c>
    </row>
    <row r="568" spans="1:19" ht="15" customHeight="1" x14ac:dyDescent="0.25">
      <c r="A568" t="s">
        <v>1866</v>
      </c>
      <c r="B568" s="8">
        <v>44784</v>
      </c>
      <c r="C568" s="8">
        <v>44787</v>
      </c>
      <c r="D568" t="s">
        <v>20</v>
      </c>
      <c r="E568" t="s">
        <v>1867</v>
      </c>
      <c r="F568" t="s">
        <v>1868</v>
      </c>
      <c r="G568">
        <v>7038280643</v>
      </c>
      <c r="H568" t="s">
        <v>24</v>
      </c>
      <c r="I568" t="s">
        <v>69</v>
      </c>
      <c r="J568" t="s">
        <v>119</v>
      </c>
      <c r="K568" t="s">
        <v>1869</v>
      </c>
      <c r="L568" t="s">
        <v>97</v>
      </c>
      <c r="M568" t="s">
        <v>443</v>
      </c>
      <c r="N568">
        <v>10</v>
      </c>
      <c r="O568">
        <v>63139.55</v>
      </c>
      <c r="P568">
        <v>0</v>
      </c>
      <c r="Q568">
        <v>0</v>
      </c>
      <c r="R568">
        <v>631395.5</v>
      </c>
      <c r="S568">
        <v>-44066.23</v>
      </c>
    </row>
    <row r="569" spans="1:19" ht="15" customHeight="1" x14ac:dyDescent="0.25">
      <c r="A569" t="s">
        <v>1870</v>
      </c>
      <c r="B569" s="8">
        <v>44969</v>
      </c>
      <c r="C569" s="8">
        <v>44973</v>
      </c>
      <c r="D569" t="s">
        <v>73</v>
      </c>
      <c r="E569" t="s">
        <v>1871</v>
      </c>
      <c r="G569">
        <v>8149314244</v>
      </c>
      <c r="H569" t="s">
        <v>35</v>
      </c>
      <c r="I569" t="s">
        <v>69</v>
      </c>
      <c r="J569" t="s">
        <v>144</v>
      </c>
      <c r="K569" t="s">
        <v>85</v>
      </c>
      <c r="L569" t="s">
        <v>243</v>
      </c>
      <c r="M569" t="s">
        <v>439</v>
      </c>
      <c r="N569">
        <v>13</v>
      </c>
      <c r="O569">
        <v>94319.679999999993</v>
      </c>
      <c r="P569">
        <v>0</v>
      </c>
      <c r="Q569">
        <v>0</v>
      </c>
      <c r="R569">
        <v>1226155.8400000001</v>
      </c>
      <c r="S569">
        <v>-103193.68</v>
      </c>
    </row>
    <row r="570" spans="1:19" ht="15" customHeight="1" x14ac:dyDescent="0.25">
      <c r="A570" t="s">
        <v>1872</v>
      </c>
      <c r="B570" s="8">
        <v>45266</v>
      </c>
      <c r="C570" s="8">
        <v>45271</v>
      </c>
      <c r="D570" t="s">
        <v>73</v>
      </c>
      <c r="E570" t="s">
        <v>1873</v>
      </c>
      <c r="F570" t="s">
        <v>1874</v>
      </c>
      <c r="G570">
        <v>8036740173</v>
      </c>
      <c r="H570" t="s">
        <v>35</v>
      </c>
      <c r="I570" t="s">
        <v>25</v>
      </c>
      <c r="J570" t="s">
        <v>26</v>
      </c>
      <c r="K570" t="s">
        <v>108</v>
      </c>
      <c r="L570" t="s">
        <v>189</v>
      </c>
      <c r="M570" t="s">
        <v>287</v>
      </c>
      <c r="N570">
        <v>10</v>
      </c>
      <c r="O570" t="s">
        <v>1875</v>
      </c>
      <c r="P570">
        <v>10</v>
      </c>
      <c r="Q570">
        <v>20676.13</v>
      </c>
      <c r="R570">
        <v>186085.17</v>
      </c>
      <c r="S570">
        <v>26341.759999999998</v>
      </c>
    </row>
    <row r="571" spans="1:19" ht="15" customHeight="1" x14ac:dyDescent="0.25">
      <c r="A571" t="s">
        <v>1876</v>
      </c>
      <c r="B571" s="8">
        <v>45609</v>
      </c>
      <c r="C571" s="8">
        <v>45612</v>
      </c>
      <c r="D571" t="s">
        <v>73</v>
      </c>
      <c r="E571" t="s">
        <v>1877</v>
      </c>
      <c r="F571" t="s">
        <v>1878</v>
      </c>
      <c r="G571" t="s">
        <v>1508</v>
      </c>
      <c r="H571" t="s">
        <v>24</v>
      </c>
      <c r="I571" t="s">
        <v>1879</v>
      </c>
      <c r="J571" t="s">
        <v>119</v>
      </c>
      <c r="K571" t="s">
        <v>85</v>
      </c>
      <c r="L571" t="s">
        <v>486</v>
      </c>
      <c r="M571" t="s">
        <v>1193</v>
      </c>
      <c r="N571">
        <v>4</v>
      </c>
      <c r="O571">
        <v>89509.57</v>
      </c>
      <c r="P571">
        <v>25</v>
      </c>
      <c r="Q571">
        <v>89509.57</v>
      </c>
      <c r="R571">
        <v>268528.71000000002</v>
      </c>
      <c r="S571">
        <v>58179.5</v>
      </c>
    </row>
    <row r="572" spans="1:19" ht="15" customHeight="1" x14ac:dyDescent="0.25">
      <c r="A572" t="s">
        <v>1880</v>
      </c>
      <c r="B572" s="8">
        <v>45031</v>
      </c>
      <c r="C572" s="8">
        <v>45034</v>
      </c>
      <c r="D572" t="s">
        <v>73</v>
      </c>
      <c r="E572" t="s">
        <v>1881</v>
      </c>
      <c r="F572" t="s">
        <v>1882</v>
      </c>
      <c r="G572">
        <v>8164224201</v>
      </c>
      <c r="H572" t="s">
        <v>24</v>
      </c>
      <c r="I572" t="s">
        <v>61</v>
      </c>
      <c r="J572" t="s">
        <v>84</v>
      </c>
      <c r="K572" t="s">
        <v>85</v>
      </c>
      <c r="L572" t="s">
        <v>486</v>
      </c>
      <c r="M572" t="s">
        <v>487</v>
      </c>
      <c r="N572">
        <v>3</v>
      </c>
      <c r="O572">
        <v>114032.39</v>
      </c>
      <c r="P572">
        <v>0</v>
      </c>
      <c r="Q572">
        <v>0</v>
      </c>
      <c r="R572">
        <v>342097.17</v>
      </c>
      <c r="S572">
        <v>26755.96</v>
      </c>
    </row>
    <row r="573" spans="1:19" ht="15" customHeight="1" x14ac:dyDescent="0.25">
      <c r="A573" t="s">
        <v>1883</v>
      </c>
      <c r="B573" s="8" t="s">
        <v>1884</v>
      </c>
      <c r="C573" s="8">
        <v>45437</v>
      </c>
      <c r="D573" t="s">
        <v>20</v>
      </c>
      <c r="E573" t="s">
        <v>1885</v>
      </c>
      <c r="F573" t="s">
        <v>1886</v>
      </c>
      <c r="G573">
        <v>9071866635</v>
      </c>
      <c r="H573" t="s">
        <v>35</v>
      </c>
      <c r="I573" t="s">
        <v>51</v>
      </c>
      <c r="J573" t="s">
        <v>131</v>
      </c>
      <c r="K573" t="s">
        <v>1887</v>
      </c>
      <c r="L573" t="s">
        <v>249</v>
      </c>
      <c r="M573" t="s">
        <v>1141</v>
      </c>
      <c r="N573">
        <v>12</v>
      </c>
      <c r="O573">
        <v>9407.6200000000008</v>
      </c>
      <c r="P573">
        <v>15</v>
      </c>
      <c r="Q573">
        <v>16933.72</v>
      </c>
      <c r="S573">
        <v>-174.53</v>
      </c>
    </row>
    <row r="574" spans="1:19" ht="15" customHeight="1" x14ac:dyDescent="0.25">
      <c r="A574" t="s">
        <v>1888</v>
      </c>
      <c r="B574" s="8" t="s">
        <v>1889</v>
      </c>
      <c r="C574" s="8">
        <v>44675</v>
      </c>
      <c r="D574" t="s">
        <v>48</v>
      </c>
      <c r="E574" t="s">
        <v>1890</v>
      </c>
      <c r="F574" t="s">
        <v>1891</v>
      </c>
      <c r="G574">
        <v>8162690500</v>
      </c>
      <c r="H574" t="s">
        <v>35</v>
      </c>
      <c r="I574" t="s">
        <v>25</v>
      </c>
      <c r="J574" t="s">
        <v>126</v>
      </c>
      <c r="K574" t="s">
        <v>108</v>
      </c>
      <c r="L574" t="s">
        <v>109</v>
      </c>
      <c r="M574" t="s">
        <v>157</v>
      </c>
      <c r="N574">
        <v>12</v>
      </c>
      <c r="O574">
        <v>42778.11</v>
      </c>
      <c r="P574">
        <v>10</v>
      </c>
      <c r="Q574">
        <v>51333.73</v>
      </c>
      <c r="R574">
        <v>462003.59</v>
      </c>
      <c r="S574">
        <v>15067.79</v>
      </c>
    </row>
    <row r="575" spans="1:19" ht="15" customHeight="1" x14ac:dyDescent="0.25">
      <c r="A575" t="s">
        <v>1892</v>
      </c>
      <c r="B575" s="8">
        <v>45240</v>
      </c>
      <c r="C575" s="8">
        <v>45244</v>
      </c>
      <c r="D575" t="s">
        <v>73</v>
      </c>
      <c r="E575" t="s">
        <v>1893</v>
      </c>
      <c r="F575" t="s">
        <v>1894</v>
      </c>
      <c r="G575">
        <v>8135629621</v>
      </c>
      <c r="H575" t="s">
        <v>24</v>
      </c>
      <c r="I575" t="s">
        <v>25</v>
      </c>
      <c r="J575" t="s">
        <v>26</v>
      </c>
      <c r="K575" t="s">
        <v>841</v>
      </c>
      <c r="L575" t="s">
        <v>266</v>
      </c>
      <c r="M575" t="s">
        <v>952</v>
      </c>
      <c r="N575">
        <v>4</v>
      </c>
      <c r="O575">
        <v>23003.759999999998</v>
      </c>
      <c r="P575">
        <v>0</v>
      </c>
      <c r="Q575">
        <v>0</v>
      </c>
      <c r="R575">
        <v>92015.039999999994</v>
      </c>
      <c r="S575">
        <v>20955.060000000001</v>
      </c>
    </row>
    <row r="576" spans="1:19" ht="15" customHeight="1" x14ac:dyDescent="0.25">
      <c r="A576" t="s">
        <v>1895</v>
      </c>
      <c r="B576" s="8">
        <v>44957</v>
      </c>
      <c r="C576" s="8">
        <v>44962</v>
      </c>
      <c r="D576" t="s">
        <v>73</v>
      </c>
      <c r="E576" t="s">
        <v>1896</v>
      </c>
      <c r="F576" t="s">
        <v>1897</v>
      </c>
      <c r="G576">
        <v>8156752873</v>
      </c>
      <c r="H576" t="s">
        <v>24</v>
      </c>
      <c r="I576" t="s">
        <v>25</v>
      </c>
      <c r="J576" t="s">
        <v>26</v>
      </c>
      <c r="K576" t="s">
        <v>63</v>
      </c>
      <c r="L576" t="s">
        <v>469</v>
      </c>
      <c r="M576" t="s">
        <v>546</v>
      </c>
      <c r="N576">
        <v>7</v>
      </c>
      <c r="O576">
        <v>24746.29</v>
      </c>
      <c r="P576">
        <v>25</v>
      </c>
      <c r="Q576">
        <v>43306.01</v>
      </c>
      <c r="R576">
        <v>129918.02</v>
      </c>
      <c r="S576">
        <v>36696.86</v>
      </c>
    </row>
    <row r="577" spans="1:19" ht="15" customHeight="1" x14ac:dyDescent="0.25">
      <c r="A577" t="s">
        <v>1898</v>
      </c>
      <c r="B577" s="8">
        <v>45079</v>
      </c>
      <c r="C577" s="8">
        <v>45080</v>
      </c>
      <c r="D577" t="s">
        <v>32</v>
      </c>
      <c r="E577" t="s">
        <v>1899</v>
      </c>
      <c r="F577" t="s">
        <v>1900</v>
      </c>
      <c r="G577">
        <v>7062135960</v>
      </c>
      <c r="H577" t="s">
        <v>35</v>
      </c>
      <c r="I577" t="s">
        <v>25</v>
      </c>
      <c r="K577" t="s">
        <v>108</v>
      </c>
      <c r="L577" t="s">
        <v>183</v>
      </c>
      <c r="M577" t="s">
        <v>184</v>
      </c>
      <c r="N577">
        <v>17</v>
      </c>
      <c r="O577">
        <v>42047.29</v>
      </c>
      <c r="P577">
        <v>0</v>
      </c>
      <c r="Q577">
        <v>0</v>
      </c>
      <c r="R577">
        <v>714803.93</v>
      </c>
      <c r="S577">
        <v>-35625.06</v>
      </c>
    </row>
    <row r="578" spans="1:19" ht="15" customHeight="1" x14ac:dyDescent="0.25">
      <c r="A578" t="s">
        <v>1901</v>
      </c>
      <c r="B578" s="8">
        <v>44686</v>
      </c>
      <c r="C578" s="8">
        <v>44692</v>
      </c>
      <c r="D578" t="s">
        <v>48</v>
      </c>
      <c r="E578" t="s">
        <v>1902</v>
      </c>
      <c r="F578" t="s">
        <v>1903</v>
      </c>
      <c r="G578">
        <v>8108344141</v>
      </c>
      <c r="H578" t="s">
        <v>43</v>
      </c>
      <c r="I578" t="s">
        <v>51</v>
      </c>
      <c r="J578" t="s">
        <v>131</v>
      </c>
      <c r="K578" t="s">
        <v>27</v>
      </c>
      <c r="L578" t="s">
        <v>28</v>
      </c>
      <c r="M578" t="s">
        <v>347</v>
      </c>
      <c r="N578">
        <v>-1</v>
      </c>
      <c r="O578">
        <v>6301.17</v>
      </c>
      <c r="P578">
        <v>10</v>
      </c>
      <c r="Q578">
        <v>8191.52</v>
      </c>
      <c r="R578">
        <v>73723.69</v>
      </c>
      <c r="S578">
        <v>-1905.41</v>
      </c>
    </row>
    <row r="579" spans="1:19" ht="15" customHeight="1" x14ac:dyDescent="0.25">
      <c r="A579" t="s">
        <v>1904</v>
      </c>
      <c r="B579" s="8">
        <v>44580</v>
      </c>
      <c r="C579" s="8">
        <v>44585</v>
      </c>
      <c r="D579" t="s">
        <v>73</v>
      </c>
      <c r="E579" t="s">
        <v>1905</v>
      </c>
      <c r="F579" t="s">
        <v>1906</v>
      </c>
      <c r="G579">
        <v>8164696630</v>
      </c>
      <c r="H579" t="s">
        <v>24</v>
      </c>
      <c r="I579" t="s">
        <v>25</v>
      </c>
      <c r="J579" t="s">
        <v>126</v>
      </c>
      <c r="K579" t="s">
        <v>63</v>
      </c>
      <c r="L579" t="s">
        <v>469</v>
      </c>
      <c r="M579" t="s">
        <v>1082</v>
      </c>
      <c r="N579">
        <v>6</v>
      </c>
      <c r="O579">
        <v>14027.7</v>
      </c>
      <c r="P579">
        <v>5</v>
      </c>
      <c r="Q579">
        <v>4208.3100000000004</v>
      </c>
      <c r="R579">
        <v>79957.89</v>
      </c>
      <c r="S579">
        <v>-9805.44</v>
      </c>
    </row>
    <row r="580" spans="1:19" ht="15" customHeight="1" x14ac:dyDescent="0.25">
      <c r="A580" t="s">
        <v>1907</v>
      </c>
      <c r="B580" s="8">
        <v>45130</v>
      </c>
      <c r="C580" s="8">
        <v>45133</v>
      </c>
      <c r="D580" t="s">
        <v>73</v>
      </c>
      <c r="E580" t="s">
        <v>1908</v>
      </c>
      <c r="F580" t="s">
        <v>1909</v>
      </c>
      <c r="G580">
        <v>9075177662</v>
      </c>
      <c r="H580" t="s">
        <v>35</v>
      </c>
      <c r="I580" t="s">
        <v>61</v>
      </c>
      <c r="J580" t="s">
        <v>182</v>
      </c>
      <c r="K580" t="s">
        <v>85</v>
      </c>
      <c r="L580" t="s">
        <v>266</v>
      </c>
      <c r="M580" t="s">
        <v>267</v>
      </c>
      <c r="N580">
        <v>12</v>
      </c>
      <c r="O580">
        <v>8240.7900000000009</v>
      </c>
      <c r="P580">
        <v>10</v>
      </c>
      <c r="Q580">
        <v>9888.9500000000007</v>
      </c>
      <c r="R580">
        <v>89000.53</v>
      </c>
      <c r="S580">
        <v>3981.63</v>
      </c>
    </row>
    <row r="581" spans="1:19" ht="15" customHeight="1" x14ac:dyDescent="0.25">
      <c r="A581" t="s">
        <v>1910</v>
      </c>
      <c r="B581" s="8">
        <v>45226</v>
      </c>
      <c r="C581" s="8">
        <v>45228</v>
      </c>
      <c r="D581" t="s">
        <v>20</v>
      </c>
      <c r="E581" t="s">
        <v>1911</v>
      </c>
      <c r="F581" t="s">
        <v>1912</v>
      </c>
      <c r="G581">
        <v>8135692416</v>
      </c>
      <c r="H581" t="s">
        <v>43</v>
      </c>
      <c r="I581" t="s">
        <v>51</v>
      </c>
      <c r="J581" t="s">
        <v>131</v>
      </c>
      <c r="K581" t="s">
        <v>85</v>
      </c>
      <c r="L581" t="s">
        <v>243</v>
      </c>
      <c r="M581" t="s">
        <v>1054</v>
      </c>
      <c r="N581">
        <v>19</v>
      </c>
      <c r="O581">
        <v>100430.86</v>
      </c>
      <c r="P581">
        <v>0</v>
      </c>
      <c r="Q581">
        <v>0</v>
      </c>
      <c r="R581">
        <v>1908186.34</v>
      </c>
      <c r="S581">
        <v>541087.82999999996</v>
      </c>
    </row>
    <row r="582" spans="1:19" ht="15" customHeight="1" x14ac:dyDescent="0.25">
      <c r="A582" t="s">
        <v>1913</v>
      </c>
      <c r="B582" s="8">
        <v>45467</v>
      </c>
      <c r="C582" s="8">
        <v>45470</v>
      </c>
      <c r="D582" t="s">
        <v>73</v>
      </c>
      <c r="E582" t="s">
        <v>754</v>
      </c>
      <c r="F582" t="s">
        <v>1914</v>
      </c>
      <c r="G582">
        <v>9057634775</v>
      </c>
      <c r="H582" t="s">
        <v>24</v>
      </c>
      <c r="I582" t="s">
        <v>69</v>
      </c>
      <c r="J582" t="s">
        <v>144</v>
      </c>
      <c r="K582" t="s">
        <v>85</v>
      </c>
      <c r="L582" t="s">
        <v>486</v>
      </c>
      <c r="M582" t="s">
        <v>1193</v>
      </c>
      <c r="N582">
        <v>14</v>
      </c>
      <c r="O582" t="s">
        <v>1915</v>
      </c>
      <c r="P582">
        <v>10</v>
      </c>
      <c r="Q582">
        <v>186938.71</v>
      </c>
      <c r="R582">
        <v>1682448.39</v>
      </c>
      <c r="S582">
        <v>-102628.49</v>
      </c>
    </row>
    <row r="583" spans="1:19" ht="15" customHeight="1" x14ac:dyDescent="0.25">
      <c r="A583" t="s">
        <v>1916</v>
      </c>
      <c r="B583" s="8">
        <v>45502</v>
      </c>
      <c r="C583" s="8">
        <v>45505</v>
      </c>
      <c r="D583" t="s">
        <v>73</v>
      </c>
      <c r="E583" t="s">
        <v>1917</v>
      </c>
      <c r="F583" t="s">
        <v>1918</v>
      </c>
      <c r="G583">
        <v>9014026721</v>
      </c>
      <c r="H583" t="s">
        <v>43</v>
      </c>
      <c r="I583" t="s">
        <v>69</v>
      </c>
      <c r="K583" t="s">
        <v>63</v>
      </c>
      <c r="L583" t="s">
        <v>249</v>
      </c>
      <c r="M583" t="s">
        <v>1141</v>
      </c>
      <c r="N583">
        <v>6</v>
      </c>
      <c r="O583">
        <v>4491.51</v>
      </c>
      <c r="P583">
        <v>15</v>
      </c>
      <c r="Q583">
        <v>4042.36</v>
      </c>
      <c r="R583">
        <v>22906.7</v>
      </c>
      <c r="S583">
        <v>6011.18</v>
      </c>
    </row>
    <row r="584" spans="1:19" ht="15" customHeight="1" x14ac:dyDescent="0.25">
      <c r="A584" t="s">
        <v>1919</v>
      </c>
      <c r="B584" s="8">
        <v>45435</v>
      </c>
      <c r="C584" s="8">
        <v>45441</v>
      </c>
      <c r="D584" t="s">
        <v>48</v>
      </c>
      <c r="E584" t="s">
        <v>49</v>
      </c>
      <c r="F584" t="s">
        <v>1920</v>
      </c>
      <c r="G584">
        <v>8069837877</v>
      </c>
      <c r="H584" t="s">
        <v>35</v>
      </c>
      <c r="I584" t="s">
        <v>61</v>
      </c>
      <c r="J584" t="s">
        <v>95</v>
      </c>
      <c r="K584" t="s">
        <v>85</v>
      </c>
      <c r="L584" t="s">
        <v>86</v>
      </c>
      <c r="M584" t="s">
        <v>238</v>
      </c>
      <c r="N584">
        <v>13</v>
      </c>
      <c r="O584">
        <v>25153.55</v>
      </c>
      <c r="P584">
        <v>0</v>
      </c>
      <c r="Q584">
        <v>0</v>
      </c>
      <c r="R584">
        <v>326996.15000000002</v>
      </c>
      <c r="S584">
        <v>-27460.71</v>
      </c>
    </row>
    <row r="585" spans="1:19" ht="15" customHeight="1" x14ac:dyDescent="0.25">
      <c r="A585" t="s">
        <v>1921</v>
      </c>
      <c r="B585" s="8">
        <v>44733</v>
      </c>
      <c r="C585" s="8">
        <v>44737</v>
      </c>
      <c r="D585" t="s">
        <v>73</v>
      </c>
      <c r="E585" t="s">
        <v>1922</v>
      </c>
      <c r="F585" t="s">
        <v>1923</v>
      </c>
      <c r="G585">
        <v>9021157641</v>
      </c>
      <c r="H585" t="s">
        <v>35</v>
      </c>
      <c r="I585" t="s">
        <v>25</v>
      </c>
      <c r="J585" t="s">
        <v>26</v>
      </c>
      <c r="K585" t="s">
        <v>96</v>
      </c>
      <c r="L585" t="s">
        <v>254</v>
      </c>
      <c r="M585" t="s">
        <v>455</v>
      </c>
      <c r="N585">
        <v>3</v>
      </c>
      <c r="O585">
        <v>385933.29</v>
      </c>
      <c r="P585">
        <v>5</v>
      </c>
      <c r="Q585">
        <v>57889.99</v>
      </c>
      <c r="R585">
        <v>1099909.8799999999</v>
      </c>
      <c r="S585">
        <v>-73102.149999999994</v>
      </c>
    </row>
    <row r="586" spans="1:19" ht="15" customHeight="1" x14ac:dyDescent="0.25">
      <c r="A586" t="s">
        <v>1924</v>
      </c>
      <c r="B586" s="8">
        <v>45542</v>
      </c>
      <c r="C586" s="8">
        <v>45544</v>
      </c>
      <c r="D586" t="s">
        <v>20</v>
      </c>
      <c r="E586" t="s">
        <v>567</v>
      </c>
      <c r="F586" t="s">
        <v>1925</v>
      </c>
      <c r="G586">
        <v>9073064864</v>
      </c>
      <c r="H586" t="s">
        <v>43</v>
      </c>
      <c r="I586" t="s">
        <v>69</v>
      </c>
      <c r="J586" t="s">
        <v>119</v>
      </c>
      <c r="K586" t="s">
        <v>96</v>
      </c>
      <c r="L586" t="s">
        <v>120</v>
      </c>
      <c r="M586" t="s">
        <v>1307</v>
      </c>
      <c r="N586">
        <v>4</v>
      </c>
      <c r="O586">
        <v>251919.31</v>
      </c>
      <c r="P586">
        <v>25</v>
      </c>
      <c r="Q586">
        <v>251919.31</v>
      </c>
      <c r="R586">
        <v>755757.93</v>
      </c>
      <c r="S586">
        <v>288604.40000000002</v>
      </c>
    </row>
    <row r="587" spans="1:19" ht="15" customHeight="1" x14ac:dyDescent="0.25">
      <c r="A587" t="s">
        <v>1926</v>
      </c>
      <c r="B587" s="8">
        <v>44611</v>
      </c>
      <c r="C587" s="8">
        <v>44614</v>
      </c>
      <c r="D587" t="s">
        <v>73</v>
      </c>
      <c r="E587" t="s">
        <v>1927</v>
      </c>
      <c r="F587" t="s">
        <v>1928</v>
      </c>
      <c r="G587">
        <v>7035812480</v>
      </c>
      <c r="H587" t="s">
        <v>35</v>
      </c>
      <c r="I587" t="s">
        <v>69</v>
      </c>
      <c r="J587" t="s">
        <v>119</v>
      </c>
      <c r="K587" t="s">
        <v>85</v>
      </c>
      <c r="L587" t="s">
        <v>486</v>
      </c>
      <c r="M587" t="s">
        <v>487</v>
      </c>
      <c r="N587">
        <v>4</v>
      </c>
      <c r="O587">
        <v>92593.14</v>
      </c>
      <c r="P587">
        <v>5</v>
      </c>
      <c r="Q587">
        <v>18518.63</v>
      </c>
      <c r="R587">
        <v>351853.93</v>
      </c>
      <c r="S587">
        <v>-31300.31</v>
      </c>
    </row>
    <row r="588" spans="1:19" ht="15" customHeight="1" x14ac:dyDescent="0.25">
      <c r="A588" t="s">
        <v>1929</v>
      </c>
      <c r="B588" s="8">
        <v>44804</v>
      </c>
      <c r="C588" s="8">
        <v>44807</v>
      </c>
      <c r="D588" t="s">
        <v>20</v>
      </c>
      <c r="E588" t="s">
        <v>767</v>
      </c>
      <c r="F588" t="s">
        <v>768</v>
      </c>
      <c r="G588" t="s">
        <v>1930</v>
      </c>
      <c r="H588" t="s">
        <v>125</v>
      </c>
      <c r="I588" t="s">
        <v>51</v>
      </c>
      <c r="J588" t="s">
        <v>223</v>
      </c>
      <c r="K588" t="s">
        <v>27</v>
      </c>
      <c r="L588" t="s">
        <v>45</v>
      </c>
      <c r="M588" t="s">
        <v>46</v>
      </c>
      <c r="N588">
        <v>14</v>
      </c>
      <c r="O588">
        <v>1696.51</v>
      </c>
      <c r="P588">
        <v>0</v>
      </c>
      <c r="Q588">
        <v>0</v>
      </c>
      <c r="R588">
        <v>23751.14</v>
      </c>
      <c r="S588">
        <v>9164.8700000000008</v>
      </c>
    </row>
    <row r="589" spans="1:19" ht="15" customHeight="1" x14ac:dyDescent="0.25">
      <c r="A589" t="s">
        <v>1931</v>
      </c>
      <c r="B589" s="8">
        <v>44774</v>
      </c>
      <c r="C589" s="8">
        <v>44777</v>
      </c>
      <c r="D589" t="s">
        <v>20</v>
      </c>
      <c r="E589" t="s">
        <v>830</v>
      </c>
      <c r="F589" t="s">
        <v>831</v>
      </c>
      <c r="G589">
        <v>8162281267</v>
      </c>
      <c r="H589" t="s">
        <v>43</v>
      </c>
      <c r="I589" t="s">
        <v>51</v>
      </c>
      <c r="J589" t="s">
        <v>227</v>
      </c>
      <c r="K589" t="s">
        <v>96</v>
      </c>
      <c r="L589" t="s">
        <v>385</v>
      </c>
      <c r="M589" t="s">
        <v>781</v>
      </c>
      <c r="N589">
        <v>13</v>
      </c>
      <c r="O589">
        <v>154311.35999999999</v>
      </c>
      <c r="P589">
        <v>20</v>
      </c>
      <c r="Q589">
        <v>401209.54</v>
      </c>
      <c r="R589">
        <v>1604838.14</v>
      </c>
      <c r="S589">
        <v>453857.98</v>
      </c>
    </row>
    <row r="590" spans="1:19" ht="15" customHeight="1" x14ac:dyDescent="0.25">
      <c r="A590" t="s">
        <v>1932</v>
      </c>
      <c r="B590" s="8">
        <v>45132</v>
      </c>
      <c r="C590" s="8">
        <v>45132</v>
      </c>
      <c r="D590" t="s">
        <v>32</v>
      </c>
      <c r="E590" t="s">
        <v>285</v>
      </c>
      <c r="F590" t="s">
        <v>1705</v>
      </c>
      <c r="G590">
        <v>8107459520</v>
      </c>
      <c r="H590" t="s">
        <v>35</v>
      </c>
      <c r="I590" t="s">
        <v>69</v>
      </c>
      <c r="J590" t="s">
        <v>307</v>
      </c>
      <c r="K590" t="s">
        <v>63</v>
      </c>
      <c r="L590" t="s">
        <v>558</v>
      </c>
      <c r="M590" t="s">
        <v>559</v>
      </c>
      <c r="N590">
        <v>14</v>
      </c>
      <c r="O590">
        <v>10883.89</v>
      </c>
      <c r="P590">
        <v>10</v>
      </c>
      <c r="Q590">
        <v>15237.45</v>
      </c>
      <c r="R590">
        <v>137137.01</v>
      </c>
      <c r="S590">
        <v>-9197.4</v>
      </c>
    </row>
    <row r="591" spans="1:19" ht="15" customHeight="1" x14ac:dyDescent="0.25">
      <c r="A591" t="s">
        <v>1933</v>
      </c>
      <c r="B591" s="8">
        <v>45655</v>
      </c>
      <c r="C591" s="8">
        <v>45656</v>
      </c>
      <c r="D591" t="s">
        <v>32</v>
      </c>
      <c r="E591" t="s">
        <v>1934</v>
      </c>
      <c r="F591" t="s">
        <v>1935</v>
      </c>
      <c r="G591">
        <v>7062402872</v>
      </c>
      <c r="H591" t="s">
        <v>43</v>
      </c>
      <c r="I591" t="s">
        <v>61</v>
      </c>
      <c r="J591" t="s">
        <v>204</v>
      </c>
      <c r="K591" t="s">
        <v>27</v>
      </c>
      <c r="L591" t="s">
        <v>28</v>
      </c>
      <c r="M591" t="s">
        <v>347</v>
      </c>
      <c r="N591">
        <v>8</v>
      </c>
      <c r="O591">
        <v>4749.6499999999996</v>
      </c>
      <c r="P591">
        <v>0</v>
      </c>
      <c r="Q591">
        <v>0</v>
      </c>
      <c r="R591">
        <v>37997.199999999997</v>
      </c>
      <c r="S591">
        <v>-337.57</v>
      </c>
    </row>
    <row r="592" spans="1:19" ht="15" customHeight="1" x14ac:dyDescent="0.25">
      <c r="A592" t="s">
        <v>1936</v>
      </c>
      <c r="B592" s="8">
        <v>45532</v>
      </c>
      <c r="C592" s="8">
        <v>45534</v>
      </c>
      <c r="D592" t="s">
        <v>20</v>
      </c>
      <c r="E592" t="s">
        <v>1393</v>
      </c>
      <c r="F592" t="s">
        <v>1394</v>
      </c>
      <c r="G592">
        <v>7033337892</v>
      </c>
      <c r="H592" t="s">
        <v>35</v>
      </c>
      <c r="I592" t="s">
        <v>25</v>
      </c>
      <c r="J592" t="s">
        <v>126</v>
      </c>
      <c r="K592" t="s">
        <v>63</v>
      </c>
      <c r="L592" t="s">
        <v>64</v>
      </c>
      <c r="M592" t="s">
        <v>501</v>
      </c>
      <c r="N592">
        <v>18</v>
      </c>
      <c r="O592">
        <v>20963.68</v>
      </c>
      <c r="P592">
        <v>15</v>
      </c>
      <c r="Q592">
        <v>56601.94</v>
      </c>
      <c r="R592">
        <v>320744.3</v>
      </c>
      <c r="S592">
        <v>-1443.85</v>
      </c>
    </row>
    <row r="593" spans="1:19" ht="15" customHeight="1" x14ac:dyDescent="0.25">
      <c r="A593" t="s">
        <v>1937</v>
      </c>
      <c r="B593" s="8">
        <v>44802</v>
      </c>
      <c r="C593" s="8">
        <v>44807</v>
      </c>
      <c r="D593" t="s">
        <v>73</v>
      </c>
      <c r="E593" t="s">
        <v>1938</v>
      </c>
      <c r="F593" t="s">
        <v>1939</v>
      </c>
      <c r="G593">
        <v>9018125430</v>
      </c>
      <c r="H593" t="s">
        <v>24</v>
      </c>
      <c r="I593" t="s">
        <v>61</v>
      </c>
      <c r="J593" t="s">
        <v>95</v>
      </c>
      <c r="K593" t="s">
        <v>63</v>
      </c>
      <c r="L593" t="s">
        <v>249</v>
      </c>
      <c r="M593" t="s">
        <v>465</v>
      </c>
      <c r="N593">
        <v>3</v>
      </c>
      <c r="O593">
        <v>16737.310000000001</v>
      </c>
      <c r="P593">
        <v>20</v>
      </c>
      <c r="Q593">
        <v>10042.39</v>
      </c>
      <c r="R593" t="s">
        <v>1940</v>
      </c>
      <c r="S593">
        <v>14158.25</v>
      </c>
    </row>
    <row r="594" spans="1:19" ht="15" customHeight="1" x14ac:dyDescent="0.25">
      <c r="A594" t="s">
        <v>1941</v>
      </c>
      <c r="B594" s="8">
        <v>44851</v>
      </c>
      <c r="C594" s="8">
        <v>44853</v>
      </c>
      <c r="D594" t="s">
        <v>20</v>
      </c>
      <c r="E594" t="s">
        <v>1942</v>
      </c>
      <c r="F594" t="s">
        <v>1943</v>
      </c>
      <c r="G594">
        <v>9057987624</v>
      </c>
      <c r="H594" t="s">
        <v>35</v>
      </c>
      <c r="I594" t="s">
        <v>61</v>
      </c>
      <c r="J594" t="s">
        <v>95</v>
      </c>
      <c r="K594" t="s">
        <v>85</v>
      </c>
      <c r="L594" t="s">
        <v>218</v>
      </c>
      <c r="M594" t="s">
        <v>219</v>
      </c>
      <c r="N594">
        <v>17</v>
      </c>
      <c r="O594">
        <v>135891.97</v>
      </c>
      <c r="P594">
        <v>10</v>
      </c>
      <c r="Q594">
        <v>231016.35</v>
      </c>
      <c r="R594">
        <v>2079147.14</v>
      </c>
      <c r="S594">
        <v>274677.58</v>
      </c>
    </row>
    <row r="595" spans="1:19" ht="15" customHeight="1" x14ac:dyDescent="0.25">
      <c r="A595" t="s">
        <v>1944</v>
      </c>
      <c r="B595" s="8">
        <v>45149</v>
      </c>
      <c r="C595" s="8">
        <v>45154</v>
      </c>
      <c r="D595" t="s">
        <v>48</v>
      </c>
      <c r="E595" t="s">
        <v>1945</v>
      </c>
      <c r="F595" t="s">
        <v>1946</v>
      </c>
      <c r="G595">
        <v>9053912192</v>
      </c>
      <c r="H595" t="s">
        <v>24</v>
      </c>
      <c r="I595" t="s">
        <v>51</v>
      </c>
      <c r="J595" t="s">
        <v>316</v>
      </c>
      <c r="K595" t="s">
        <v>27</v>
      </c>
      <c r="L595" t="s">
        <v>354</v>
      </c>
      <c r="M595" t="s">
        <v>355</v>
      </c>
      <c r="N595">
        <v>14</v>
      </c>
      <c r="O595">
        <v>3352.21</v>
      </c>
      <c r="P595">
        <v>20</v>
      </c>
      <c r="Q595">
        <v>9386.19</v>
      </c>
      <c r="R595">
        <v>37544.75</v>
      </c>
      <c r="S595">
        <v>6851.67</v>
      </c>
    </row>
    <row r="596" spans="1:19" ht="15" customHeight="1" x14ac:dyDescent="0.25">
      <c r="A596" t="s">
        <v>1947</v>
      </c>
      <c r="B596" s="8">
        <v>45027</v>
      </c>
      <c r="C596" s="8">
        <v>45030</v>
      </c>
      <c r="D596" t="s">
        <v>20</v>
      </c>
      <c r="E596" t="s">
        <v>89</v>
      </c>
      <c r="G596" t="s">
        <v>1948</v>
      </c>
      <c r="H596" t="s">
        <v>24</v>
      </c>
      <c r="I596" t="s">
        <v>51</v>
      </c>
      <c r="J596" t="s">
        <v>227</v>
      </c>
      <c r="K596" t="s">
        <v>85</v>
      </c>
      <c r="L596" t="s">
        <v>218</v>
      </c>
      <c r="M596" t="s">
        <v>219</v>
      </c>
      <c r="N596">
        <v>8</v>
      </c>
      <c r="O596">
        <v>114475.53</v>
      </c>
      <c r="P596">
        <v>15</v>
      </c>
      <c r="Q596">
        <v>137370.64000000001</v>
      </c>
      <c r="R596">
        <v>778433.6</v>
      </c>
      <c r="S596">
        <v>-30969</v>
      </c>
    </row>
    <row r="597" spans="1:19" ht="15" customHeight="1" x14ac:dyDescent="0.25">
      <c r="A597" t="s">
        <v>1949</v>
      </c>
      <c r="B597" s="8">
        <v>45391</v>
      </c>
      <c r="C597" s="8">
        <v>45394</v>
      </c>
      <c r="D597" t="s">
        <v>20</v>
      </c>
      <c r="E597" t="s">
        <v>1205</v>
      </c>
      <c r="F597" t="s">
        <v>1950</v>
      </c>
      <c r="G597">
        <v>9078117262</v>
      </c>
      <c r="H597" t="s">
        <v>43</v>
      </c>
      <c r="I597" t="s">
        <v>25</v>
      </c>
      <c r="J597" t="s">
        <v>168</v>
      </c>
      <c r="K597" t="s">
        <v>85</v>
      </c>
      <c r="L597" t="s">
        <v>243</v>
      </c>
      <c r="M597" t="s">
        <v>1054</v>
      </c>
      <c r="N597">
        <v>12</v>
      </c>
      <c r="O597">
        <v>25956.81</v>
      </c>
      <c r="P597">
        <v>10</v>
      </c>
      <c r="Q597">
        <v>31148.17</v>
      </c>
      <c r="R597">
        <v>280333.55</v>
      </c>
      <c r="S597">
        <v>-37332.21</v>
      </c>
    </row>
    <row r="598" spans="1:19" ht="15" customHeight="1" x14ac:dyDescent="0.25">
      <c r="A598" t="s">
        <v>1951</v>
      </c>
      <c r="B598" s="8">
        <v>44695</v>
      </c>
      <c r="C598" s="8">
        <v>44701</v>
      </c>
      <c r="D598" t="s">
        <v>48</v>
      </c>
      <c r="E598" t="s">
        <v>1282</v>
      </c>
      <c r="F598" t="s">
        <v>1952</v>
      </c>
      <c r="G598">
        <v>8134384399</v>
      </c>
      <c r="H598" t="s">
        <v>24</v>
      </c>
      <c r="I598" t="s">
        <v>51</v>
      </c>
      <c r="J598" t="s">
        <v>131</v>
      </c>
      <c r="K598" t="s">
        <v>96</v>
      </c>
      <c r="L598" t="s">
        <v>385</v>
      </c>
      <c r="M598" t="s">
        <v>386</v>
      </c>
      <c r="N598">
        <v>19</v>
      </c>
      <c r="O598">
        <v>51992.12</v>
      </c>
      <c r="P598">
        <v>0</v>
      </c>
      <c r="Q598">
        <v>0</v>
      </c>
      <c r="R598">
        <v>987850.28</v>
      </c>
      <c r="S598">
        <v>185956.49</v>
      </c>
    </row>
    <row r="599" spans="1:19" ht="15" customHeight="1" x14ac:dyDescent="0.25">
      <c r="A599" t="s">
        <v>1953</v>
      </c>
      <c r="B599" s="8">
        <v>44752</v>
      </c>
      <c r="C599" s="8">
        <v>44755</v>
      </c>
      <c r="D599" t="s">
        <v>20</v>
      </c>
      <c r="E599" t="s">
        <v>202</v>
      </c>
      <c r="F599" t="s">
        <v>203</v>
      </c>
      <c r="G599">
        <v>7069392233</v>
      </c>
      <c r="H599" t="s">
        <v>35</v>
      </c>
      <c r="I599" t="s">
        <v>69</v>
      </c>
      <c r="J599" t="s">
        <v>307</v>
      </c>
      <c r="K599" t="s">
        <v>85</v>
      </c>
      <c r="L599" t="s">
        <v>243</v>
      </c>
      <c r="M599" t="s">
        <v>439</v>
      </c>
      <c r="N599">
        <v>5</v>
      </c>
      <c r="O599">
        <v>132818.35999999999</v>
      </c>
      <c r="P599">
        <v>0</v>
      </c>
      <c r="Q599">
        <v>0</v>
      </c>
      <c r="R599">
        <v>664091.80000000005</v>
      </c>
      <c r="S599">
        <v>32401.65</v>
      </c>
    </row>
    <row r="600" spans="1:19" ht="15" customHeight="1" x14ac:dyDescent="0.25">
      <c r="A600" t="s">
        <v>1954</v>
      </c>
      <c r="B600" s="8">
        <v>45344</v>
      </c>
      <c r="C600" s="8">
        <v>45352</v>
      </c>
      <c r="D600" t="s">
        <v>48</v>
      </c>
      <c r="E600" t="s">
        <v>1820</v>
      </c>
      <c r="F600" t="s">
        <v>1821</v>
      </c>
      <c r="G600">
        <v>8163704873</v>
      </c>
      <c r="H600" t="s">
        <v>35</v>
      </c>
      <c r="I600" t="s">
        <v>25</v>
      </c>
      <c r="J600" t="s">
        <v>36</v>
      </c>
      <c r="K600" t="s">
        <v>85</v>
      </c>
      <c r="L600" t="s">
        <v>486</v>
      </c>
      <c r="M600" t="s">
        <v>487</v>
      </c>
      <c r="N600">
        <v>3</v>
      </c>
      <c r="O600">
        <v>160255.07</v>
      </c>
      <c r="P600">
        <v>5</v>
      </c>
      <c r="Q600">
        <v>24038.26</v>
      </c>
      <c r="R600">
        <v>456726.95</v>
      </c>
      <c r="S600">
        <v>173849.11</v>
      </c>
    </row>
    <row r="601" spans="1:19" ht="15" customHeight="1" x14ac:dyDescent="0.25">
      <c r="A601" t="s">
        <v>1955</v>
      </c>
      <c r="B601" s="8">
        <v>45478</v>
      </c>
      <c r="C601" s="8">
        <v>45480</v>
      </c>
      <c r="D601" t="s">
        <v>20</v>
      </c>
      <c r="E601" t="s">
        <v>604</v>
      </c>
      <c r="F601" t="s">
        <v>1956</v>
      </c>
      <c r="G601">
        <v>9058229326</v>
      </c>
      <c r="H601" t="s">
        <v>24</v>
      </c>
      <c r="I601" t="s">
        <v>61</v>
      </c>
      <c r="J601" t="s">
        <v>62</v>
      </c>
      <c r="K601" t="s">
        <v>96</v>
      </c>
      <c r="L601" t="s">
        <v>189</v>
      </c>
      <c r="M601" t="s">
        <v>190</v>
      </c>
      <c r="N601">
        <v>20</v>
      </c>
      <c r="O601">
        <v>105836.98</v>
      </c>
      <c r="P601">
        <v>0</v>
      </c>
      <c r="Q601">
        <v>0</v>
      </c>
      <c r="R601">
        <v>2116739.6</v>
      </c>
      <c r="S601">
        <v>899210.86</v>
      </c>
    </row>
    <row r="602" spans="1:19" ht="15" customHeight="1" x14ac:dyDescent="0.25">
      <c r="A602" t="s">
        <v>1957</v>
      </c>
      <c r="B602" s="8">
        <v>45195</v>
      </c>
      <c r="C602" s="8">
        <v>45200</v>
      </c>
      <c r="D602" t="s">
        <v>73</v>
      </c>
      <c r="E602" t="s">
        <v>1958</v>
      </c>
      <c r="F602" t="s">
        <v>1959</v>
      </c>
      <c r="G602">
        <v>8146263326</v>
      </c>
      <c r="H602" t="s">
        <v>35</v>
      </c>
      <c r="I602" t="s">
        <v>69</v>
      </c>
      <c r="J602" t="s">
        <v>307</v>
      </c>
      <c r="K602" t="s">
        <v>85</v>
      </c>
      <c r="L602" t="s">
        <v>243</v>
      </c>
      <c r="M602" t="s">
        <v>613</v>
      </c>
      <c r="N602">
        <v>19</v>
      </c>
      <c r="O602">
        <v>19723.84</v>
      </c>
      <c r="P602">
        <v>10</v>
      </c>
      <c r="Q602">
        <v>37475.300000000003</v>
      </c>
      <c r="R602">
        <v>337277.66</v>
      </c>
      <c r="S602">
        <v>20918.330000000002</v>
      </c>
    </row>
    <row r="603" spans="1:19" ht="15" customHeight="1" x14ac:dyDescent="0.25">
      <c r="A603" t="s">
        <v>1960</v>
      </c>
      <c r="B603" s="8">
        <v>45090</v>
      </c>
      <c r="C603" s="8">
        <v>45091</v>
      </c>
      <c r="D603" t="s">
        <v>32</v>
      </c>
      <c r="E603" t="s">
        <v>1961</v>
      </c>
      <c r="F603" t="s">
        <v>1962</v>
      </c>
      <c r="G603">
        <v>9073356313</v>
      </c>
      <c r="H603" t="s">
        <v>24</v>
      </c>
      <c r="I603" t="s">
        <v>25</v>
      </c>
      <c r="J603" t="s">
        <v>126</v>
      </c>
      <c r="K603" t="s">
        <v>96</v>
      </c>
      <c r="L603" t="s">
        <v>254</v>
      </c>
      <c r="M603" t="s">
        <v>530</v>
      </c>
      <c r="N603">
        <v>10</v>
      </c>
      <c r="O603" t="s">
        <v>1963</v>
      </c>
      <c r="P603">
        <v>15</v>
      </c>
      <c r="Q603">
        <v>48334.2</v>
      </c>
      <c r="R603">
        <v>273893.8</v>
      </c>
      <c r="S603">
        <v>26134.93</v>
      </c>
    </row>
    <row r="604" spans="1:19" ht="15" customHeight="1" x14ac:dyDescent="0.25">
      <c r="A604" t="s">
        <v>1964</v>
      </c>
      <c r="B604" s="8">
        <v>45327</v>
      </c>
      <c r="C604" s="8">
        <v>45329</v>
      </c>
      <c r="D604" t="s">
        <v>20</v>
      </c>
      <c r="E604" t="s">
        <v>1965</v>
      </c>
      <c r="F604" t="s">
        <v>1966</v>
      </c>
      <c r="G604">
        <v>8161715977</v>
      </c>
      <c r="H604" t="s">
        <v>43</v>
      </c>
      <c r="I604" t="s">
        <v>61</v>
      </c>
      <c r="J604" t="s">
        <v>204</v>
      </c>
      <c r="K604" t="s">
        <v>27</v>
      </c>
      <c r="L604" t="s">
        <v>79</v>
      </c>
      <c r="M604" t="s">
        <v>490</v>
      </c>
      <c r="N604">
        <v>18</v>
      </c>
      <c r="O604">
        <v>5688.04</v>
      </c>
      <c r="P604">
        <v>0</v>
      </c>
      <c r="Q604">
        <v>0</v>
      </c>
      <c r="R604">
        <v>102384.72</v>
      </c>
    </row>
    <row r="605" spans="1:19" ht="15" customHeight="1" x14ac:dyDescent="0.25">
      <c r="A605" t="s">
        <v>1967</v>
      </c>
      <c r="B605" s="8">
        <v>45379</v>
      </c>
      <c r="C605" s="8">
        <v>45382</v>
      </c>
      <c r="D605" t="s">
        <v>73</v>
      </c>
      <c r="E605" t="s">
        <v>1968</v>
      </c>
      <c r="F605" t="s">
        <v>1969</v>
      </c>
      <c r="G605">
        <v>9072568722</v>
      </c>
      <c r="H605" t="s">
        <v>43</v>
      </c>
      <c r="I605" t="s">
        <v>25</v>
      </c>
      <c r="J605" t="s">
        <v>44</v>
      </c>
      <c r="K605" t="s">
        <v>63</v>
      </c>
      <c r="L605" t="s">
        <v>64</v>
      </c>
      <c r="M605" t="s">
        <v>104</v>
      </c>
      <c r="N605">
        <v>15</v>
      </c>
      <c r="O605">
        <v>16240.87</v>
      </c>
      <c r="P605">
        <v>0</v>
      </c>
      <c r="Q605">
        <v>0</v>
      </c>
      <c r="R605">
        <v>243613.05</v>
      </c>
      <c r="S605">
        <v>-23997.46</v>
      </c>
    </row>
    <row r="606" spans="1:19" ht="15" customHeight="1" x14ac:dyDescent="0.25">
      <c r="A606" t="s">
        <v>1970</v>
      </c>
      <c r="B606" s="8">
        <v>45384</v>
      </c>
      <c r="C606" s="8">
        <v>45388</v>
      </c>
      <c r="D606" t="s">
        <v>73</v>
      </c>
      <c r="E606" t="s">
        <v>1971</v>
      </c>
      <c r="F606" t="s">
        <v>1972</v>
      </c>
      <c r="G606">
        <v>9059158676</v>
      </c>
      <c r="H606" t="s">
        <v>43</v>
      </c>
      <c r="I606" t="s">
        <v>25</v>
      </c>
      <c r="J606" t="s">
        <v>168</v>
      </c>
      <c r="K606" t="s">
        <v>85</v>
      </c>
      <c r="L606" t="s">
        <v>486</v>
      </c>
      <c r="M606" t="s">
        <v>487</v>
      </c>
      <c r="N606">
        <v>2</v>
      </c>
      <c r="O606">
        <v>55880.51</v>
      </c>
      <c r="P606">
        <v>25</v>
      </c>
      <c r="Q606">
        <v>27940.26</v>
      </c>
      <c r="R606">
        <v>83820.759999999995</v>
      </c>
      <c r="S606">
        <v>-4740.51</v>
      </c>
    </row>
    <row r="607" spans="1:19" ht="15" customHeight="1" x14ac:dyDescent="0.25">
      <c r="A607" t="s">
        <v>1973</v>
      </c>
      <c r="B607" s="8">
        <v>45217</v>
      </c>
      <c r="C607" s="8">
        <v>45222</v>
      </c>
      <c r="D607" t="s">
        <v>73</v>
      </c>
      <c r="E607" t="s">
        <v>1974</v>
      </c>
      <c r="F607" t="s">
        <v>1975</v>
      </c>
      <c r="G607">
        <v>8037064842</v>
      </c>
      <c r="H607" t="s">
        <v>24</v>
      </c>
      <c r="J607" t="s">
        <v>119</v>
      </c>
      <c r="K607" t="s">
        <v>108</v>
      </c>
      <c r="L607" t="s">
        <v>183</v>
      </c>
      <c r="M607" t="s">
        <v>372</v>
      </c>
      <c r="N607">
        <v>1</v>
      </c>
      <c r="O607">
        <v>4325.33</v>
      </c>
      <c r="P607">
        <v>15</v>
      </c>
      <c r="Q607">
        <v>648.79999999999995</v>
      </c>
      <c r="R607">
        <v>3676.53</v>
      </c>
      <c r="S607">
        <v>43.78</v>
      </c>
    </row>
    <row r="608" spans="1:19" ht="15" customHeight="1" x14ac:dyDescent="0.25">
      <c r="A608" t="s">
        <v>1976</v>
      </c>
      <c r="B608" s="8">
        <v>45122</v>
      </c>
      <c r="C608" s="8">
        <v>45130</v>
      </c>
      <c r="D608" t="s">
        <v>48</v>
      </c>
      <c r="E608" t="s">
        <v>1977</v>
      </c>
      <c r="F608" t="s">
        <v>1978</v>
      </c>
      <c r="G608">
        <v>8038041764</v>
      </c>
      <c r="H608" t="s">
        <v>35</v>
      </c>
      <c r="I608" t="s">
        <v>61</v>
      </c>
      <c r="K608" t="s">
        <v>27</v>
      </c>
      <c r="L608" t="s">
        <v>354</v>
      </c>
      <c r="M608" t="s">
        <v>494</v>
      </c>
      <c r="N608">
        <v>2</v>
      </c>
      <c r="O608">
        <v>1717.4</v>
      </c>
      <c r="P608">
        <v>0</v>
      </c>
      <c r="Q608">
        <v>0</v>
      </c>
      <c r="R608">
        <v>3434.8</v>
      </c>
      <c r="S608">
        <v>1329.18</v>
      </c>
    </row>
    <row r="609" spans="1:19" ht="15" customHeight="1" x14ac:dyDescent="0.25">
      <c r="A609" t="s">
        <v>1979</v>
      </c>
      <c r="B609" s="8">
        <v>44968</v>
      </c>
      <c r="C609" s="8">
        <v>44972</v>
      </c>
      <c r="D609" t="s">
        <v>73</v>
      </c>
      <c r="E609" t="s">
        <v>1980</v>
      </c>
      <c r="F609" t="s">
        <v>1981</v>
      </c>
      <c r="G609">
        <v>8153695916</v>
      </c>
      <c r="H609" t="s">
        <v>43</v>
      </c>
      <c r="I609" t="s">
        <v>1982</v>
      </c>
      <c r="J609" t="s">
        <v>144</v>
      </c>
      <c r="K609" t="s">
        <v>108</v>
      </c>
      <c r="L609" t="s">
        <v>38</v>
      </c>
      <c r="M609" t="s">
        <v>296</v>
      </c>
      <c r="N609">
        <v>1</v>
      </c>
      <c r="O609">
        <v>18732.93</v>
      </c>
      <c r="P609">
        <v>25</v>
      </c>
      <c r="Q609">
        <v>4683.2299999999996</v>
      </c>
      <c r="R609">
        <v>14049.7</v>
      </c>
      <c r="S609">
        <v>4493.7</v>
      </c>
    </row>
    <row r="610" spans="1:19" ht="15" customHeight="1" x14ac:dyDescent="0.25">
      <c r="A610" t="s">
        <v>1983</v>
      </c>
      <c r="B610" s="8">
        <v>45225</v>
      </c>
      <c r="C610" s="8">
        <v>45230</v>
      </c>
      <c r="D610" t="s">
        <v>73</v>
      </c>
      <c r="E610" t="s">
        <v>1656</v>
      </c>
      <c r="F610" t="s">
        <v>1984</v>
      </c>
      <c r="G610">
        <v>8143474414</v>
      </c>
      <c r="H610" t="s">
        <v>24</v>
      </c>
      <c r="I610" t="s">
        <v>61</v>
      </c>
      <c r="J610" t="s">
        <v>95</v>
      </c>
      <c r="K610" t="s">
        <v>108</v>
      </c>
      <c r="L610" t="s">
        <v>38</v>
      </c>
      <c r="M610" t="s">
        <v>519</v>
      </c>
      <c r="N610">
        <v>14</v>
      </c>
      <c r="O610">
        <v>36056.720000000001</v>
      </c>
      <c r="P610">
        <v>10</v>
      </c>
      <c r="Q610">
        <v>50479.41</v>
      </c>
      <c r="R610">
        <v>454314.67</v>
      </c>
      <c r="S610">
        <v>73787.53</v>
      </c>
    </row>
    <row r="611" spans="1:19" ht="15" customHeight="1" x14ac:dyDescent="0.25">
      <c r="A611" t="s">
        <v>1985</v>
      </c>
      <c r="B611" s="8">
        <v>44761</v>
      </c>
      <c r="C611" s="8">
        <v>44761</v>
      </c>
      <c r="D611" t="s">
        <v>32</v>
      </c>
      <c r="E611" t="s">
        <v>1986</v>
      </c>
      <c r="F611" t="s">
        <v>1987</v>
      </c>
      <c r="G611">
        <v>7063786712</v>
      </c>
      <c r="H611" t="s">
        <v>35</v>
      </c>
      <c r="I611" t="s">
        <v>25</v>
      </c>
      <c r="J611" t="s">
        <v>168</v>
      </c>
      <c r="K611" t="s">
        <v>27</v>
      </c>
      <c r="L611" t="s">
        <v>28</v>
      </c>
      <c r="M611" t="s">
        <v>508</v>
      </c>
      <c r="N611">
        <v>0</v>
      </c>
      <c r="O611">
        <v>2980.26</v>
      </c>
      <c r="P611">
        <v>0</v>
      </c>
      <c r="Q611">
        <v>0</v>
      </c>
      <c r="R611">
        <v>20861.82</v>
      </c>
      <c r="S611">
        <v>1505.26</v>
      </c>
    </row>
    <row r="612" spans="1:19" ht="15" customHeight="1" x14ac:dyDescent="0.25">
      <c r="A612" t="s">
        <v>1988</v>
      </c>
      <c r="B612" s="8">
        <v>45590</v>
      </c>
      <c r="C612" s="8">
        <v>45592</v>
      </c>
      <c r="D612" t="s">
        <v>20</v>
      </c>
      <c r="E612" t="s">
        <v>1335</v>
      </c>
      <c r="F612" t="s">
        <v>1989</v>
      </c>
      <c r="G612">
        <v>7067885148</v>
      </c>
      <c r="H612" t="s">
        <v>43</v>
      </c>
      <c r="I612" t="s">
        <v>51</v>
      </c>
      <c r="J612" t="s">
        <v>52</v>
      </c>
      <c r="K612" t="s">
        <v>63</v>
      </c>
      <c r="L612" t="s">
        <v>558</v>
      </c>
      <c r="M612" t="s">
        <v>1990</v>
      </c>
      <c r="N612">
        <v>11</v>
      </c>
      <c r="O612">
        <v>10933.31</v>
      </c>
      <c r="P612">
        <v>0</v>
      </c>
      <c r="Q612">
        <v>0</v>
      </c>
      <c r="R612">
        <v>120266.41</v>
      </c>
      <c r="S612">
        <v>48805.23</v>
      </c>
    </row>
    <row r="613" spans="1:19" ht="15" customHeight="1" x14ac:dyDescent="0.25">
      <c r="A613" t="s">
        <v>1991</v>
      </c>
      <c r="B613" s="8">
        <v>44895</v>
      </c>
      <c r="C613" s="8">
        <v>44900</v>
      </c>
      <c r="D613" t="s">
        <v>73</v>
      </c>
      <c r="E613" t="s">
        <v>1927</v>
      </c>
      <c r="F613" t="s">
        <v>1992</v>
      </c>
      <c r="G613">
        <v>8038339925</v>
      </c>
      <c r="H613" t="s">
        <v>43</v>
      </c>
      <c r="I613" t="s">
        <v>69</v>
      </c>
      <c r="J613" t="s">
        <v>70</v>
      </c>
      <c r="K613" t="s">
        <v>63</v>
      </c>
      <c r="L613" t="s">
        <v>469</v>
      </c>
      <c r="M613" t="s">
        <v>1099</v>
      </c>
      <c r="N613">
        <v>4</v>
      </c>
      <c r="O613">
        <v>23478.59</v>
      </c>
      <c r="P613">
        <v>0</v>
      </c>
      <c r="Q613">
        <v>0</v>
      </c>
      <c r="R613">
        <v>93914.36</v>
      </c>
      <c r="S613">
        <v>31326.44</v>
      </c>
    </row>
    <row r="614" spans="1:19" ht="15" customHeight="1" x14ac:dyDescent="0.25">
      <c r="A614" t="s">
        <v>1993</v>
      </c>
      <c r="B614" s="8">
        <v>45404</v>
      </c>
      <c r="C614" s="8">
        <v>45409</v>
      </c>
      <c r="D614" t="s">
        <v>48</v>
      </c>
      <c r="F614" t="s">
        <v>370</v>
      </c>
      <c r="G614">
        <v>9078450817</v>
      </c>
      <c r="H614" t="s">
        <v>24</v>
      </c>
      <c r="I614" t="s">
        <v>25</v>
      </c>
      <c r="J614" t="s">
        <v>26</v>
      </c>
      <c r="K614" t="s">
        <v>27</v>
      </c>
      <c r="L614" t="s">
        <v>173</v>
      </c>
      <c r="M614" t="s">
        <v>279</v>
      </c>
      <c r="N614">
        <v>14</v>
      </c>
      <c r="O614">
        <v>5441.37</v>
      </c>
      <c r="P614">
        <v>5</v>
      </c>
      <c r="Q614">
        <v>3808.96</v>
      </c>
      <c r="R614">
        <v>72370.22</v>
      </c>
      <c r="S614">
        <v>-1177.6400000000001</v>
      </c>
    </row>
    <row r="615" spans="1:19" ht="15" customHeight="1" x14ac:dyDescent="0.25">
      <c r="A615" t="s">
        <v>1994</v>
      </c>
      <c r="B615" s="8">
        <v>44962</v>
      </c>
      <c r="C615" s="8">
        <v>44970</v>
      </c>
      <c r="D615" t="s">
        <v>48</v>
      </c>
      <c r="E615" t="s">
        <v>1995</v>
      </c>
      <c r="F615" t="s">
        <v>1996</v>
      </c>
      <c r="G615">
        <v>7067640565</v>
      </c>
      <c r="H615" t="s">
        <v>43</v>
      </c>
      <c r="I615" t="s">
        <v>69</v>
      </c>
      <c r="J615" t="s">
        <v>155</v>
      </c>
      <c r="K615" t="s">
        <v>96</v>
      </c>
      <c r="L615" t="s">
        <v>97</v>
      </c>
      <c r="M615" t="s">
        <v>443</v>
      </c>
      <c r="N615">
        <v>9</v>
      </c>
      <c r="O615">
        <v>235788.95</v>
      </c>
      <c r="P615">
        <v>10</v>
      </c>
      <c r="Q615">
        <v>212210.06</v>
      </c>
      <c r="R615">
        <v>1909890.49</v>
      </c>
      <c r="S615">
        <v>65772.83</v>
      </c>
    </row>
    <row r="616" spans="1:19" ht="15" customHeight="1" x14ac:dyDescent="0.25">
      <c r="A616" t="s">
        <v>1997</v>
      </c>
      <c r="B616" s="8">
        <v>44628</v>
      </c>
      <c r="C616" s="8">
        <v>44628</v>
      </c>
      <c r="D616" t="s">
        <v>32</v>
      </c>
      <c r="E616" t="s">
        <v>1998</v>
      </c>
      <c r="F616" t="s">
        <v>1999</v>
      </c>
      <c r="G616">
        <v>8039706758</v>
      </c>
      <c r="H616" t="s">
        <v>35</v>
      </c>
      <c r="I616" t="s">
        <v>69</v>
      </c>
      <c r="J616" t="s">
        <v>119</v>
      </c>
      <c r="K616" t="s">
        <v>27</v>
      </c>
      <c r="L616" t="s">
        <v>45</v>
      </c>
      <c r="M616" t="s">
        <v>838</v>
      </c>
      <c r="N616">
        <v>19</v>
      </c>
      <c r="O616">
        <v>1612.16</v>
      </c>
      <c r="P616">
        <v>15</v>
      </c>
      <c r="Q616">
        <v>4594.66</v>
      </c>
      <c r="R616">
        <v>26036.38</v>
      </c>
      <c r="S616">
        <v>-127.61</v>
      </c>
    </row>
    <row r="617" spans="1:19" ht="15" customHeight="1" x14ac:dyDescent="0.25">
      <c r="A617" t="s">
        <v>2000</v>
      </c>
      <c r="B617" s="8">
        <v>44667</v>
      </c>
      <c r="C617" s="8">
        <v>44668</v>
      </c>
      <c r="D617" t="s">
        <v>32</v>
      </c>
      <c r="E617" t="s">
        <v>1645</v>
      </c>
      <c r="F617" t="s">
        <v>2001</v>
      </c>
      <c r="G617">
        <v>9013914492</v>
      </c>
      <c r="H617" t="s">
        <v>24</v>
      </c>
      <c r="I617" t="s">
        <v>69</v>
      </c>
      <c r="J617" t="s">
        <v>119</v>
      </c>
      <c r="K617" t="s">
        <v>108</v>
      </c>
      <c r="L617" t="s">
        <v>38</v>
      </c>
      <c r="M617" t="s">
        <v>296</v>
      </c>
      <c r="N617">
        <v>8</v>
      </c>
      <c r="O617">
        <v>8813.08</v>
      </c>
      <c r="P617">
        <v>0</v>
      </c>
      <c r="Q617">
        <v>0</v>
      </c>
      <c r="R617">
        <v>70504.639999999999</v>
      </c>
      <c r="S617">
        <v>19460.330000000002</v>
      </c>
    </row>
    <row r="618" spans="1:19" ht="15" customHeight="1" x14ac:dyDescent="0.25">
      <c r="A618" t="s">
        <v>2002</v>
      </c>
      <c r="B618" s="8">
        <v>45094</v>
      </c>
      <c r="C618" s="8">
        <v>45094</v>
      </c>
      <c r="D618" t="s">
        <v>32</v>
      </c>
      <c r="E618" t="s">
        <v>211</v>
      </c>
      <c r="F618" t="s">
        <v>2003</v>
      </c>
      <c r="G618">
        <v>8061430171</v>
      </c>
      <c r="H618" t="s">
        <v>35</v>
      </c>
      <c r="I618" t="s">
        <v>61</v>
      </c>
      <c r="J618" t="s">
        <v>84</v>
      </c>
      <c r="K618" t="s">
        <v>108</v>
      </c>
      <c r="L618" t="s">
        <v>114</v>
      </c>
      <c r="M618" t="s">
        <v>891</v>
      </c>
      <c r="N618">
        <v>20</v>
      </c>
      <c r="O618">
        <v>8581.09</v>
      </c>
      <c r="P618">
        <v>25</v>
      </c>
      <c r="Q618">
        <v>42905.45</v>
      </c>
      <c r="R618">
        <v>128716.35</v>
      </c>
      <c r="S618">
        <v>51789.88</v>
      </c>
    </row>
    <row r="619" spans="1:19" ht="15" customHeight="1" x14ac:dyDescent="0.25">
      <c r="A619" t="s">
        <v>2004</v>
      </c>
      <c r="B619" s="8">
        <v>44829</v>
      </c>
      <c r="C619" s="8">
        <v>44837</v>
      </c>
      <c r="D619" t="s">
        <v>48</v>
      </c>
      <c r="E619" t="s">
        <v>2005</v>
      </c>
      <c r="F619" t="s">
        <v>615</v>
      </c>
      <c r="G619">
        <v>9074720435</v>
      </c>
      <c r="H619" t="s">
        <v>43</v>
      </c>
      <c r="I619" t="s">
        <v>25</v>
      </c>
      <c r="J619" t="s">
        <v>36</v>
      </c>
      <c r="K619" t="s">
        <v>63</v>
      </c>
      <c r="L619" t="s">
        <v>54</v>
      </c>
      <c r="M619" t="s">
        <v>963</v>
      </c>
      <c r="N619">
        <v>13</v>
      </c>
      <c r="O619">
        <v>21091.19</v>
      </c>
      <c r="P619">
        <v>10</v>
      </c>
      <c r="Q619">
        <v>27418.55</v>
      </c>
      <c r="R619">
        <v>246766.92</v>
      </c>
      <c r="S619">
        <v>60594.76</v>
      </c>
    </row>
    <row r="620" spans="1:19" ht="15" customHeight="1" x14ac:dyDescent="0.25">
      <c r="A620" t="s">
        <v>2006</v>
      </c>
      <c r="B620" s="8">
        <v>44773</v>
      </c>
      <c r="C620" s="8">
        <v>44778</v>
      </c>
      <c r="D620" t="s">
        <v>590</v>
      </c>
      <c r="E620" t="s">
        <v>2007</v>
      </c>
      <c r="F620" t="s">
        <v>2008</v>
      </c>
      <c r="G620">
        <v>8063379602</v>
      </c>
      <c r="H620" t="s">
        <v>35</v>
      </c>
      <c r="I620" t="s">
        <v>51</v>
      </c>
      <c r="J620" t="s">
        <v>52</v>
      </c>
      <c r="K620" t="s">
        <v>63</v>
      </c>
      <c r="L620" t="s">
        <v>558</v>
      </c>
      <c r="M620" t="s">
        <v>680</v>
      </c>
      <c r="N620">
        <v>16</v>
      </c>
      <c r="O620">
        <v>2773.04</v>
      </c>
      <c r="P620">
        <v>10</v>
      </c>
      <c r="Q620">
        <v>4436.8599999999997</v>
      </c>
      <c r="R620">
        <v>39931.78</v>
      </c>
      <c r="S620">
        <v>15878.13</v>
      </c>
    </row>
    <row r="621" spans="1:19" ht="15" customHeight="1" x14ac:dyDescent="0.25">
      <c r="A621" t="s">
        <v>2009</v>
      </c>
      <c r="B621" s="8">
        <v>44606</v>
      </c>
      <c r="D621" t="s">
        <v>32</v>
      </c>
      <c r="E621" t="s">
        <v>361</v>
      </c>
      <c r="F621" t="s">
        <v>222</v>
      </c>
      <c r="G621">
        <v>8138044872</v>
      </c>
      <c r="H621" t="s">
        <v>35</v>
      </c>
      <c r="I621" t="s">
        <v>1234</v>
      </c>
      <c r="J621" t="s">
        <v>204</v>
      </c>
      <c r="K621" t="s">
        <v>108</v>
      </c>
      <c r="L621" t="s">
        <v>38</v>
      </c>
      <c r="M621" t="s">
        <v>213</v>
      </c>
      <c r="N621">
        <v>6</v>
      </c>
      <c r="O621">
        <v>36767.61</v>
      </c>
      <c r="P621">
        <v>10</v>
      </c>
      <c r="Q621">
        <v>22060.57</v>
      </c>
      <c r="R621">
        <v>198545.09</v>
      </c>
      <c r="S621">
        <v>-28573.78</v>
      </c>
    </row>
    <row r="622" spans="1:19" ht="15" customHeight="1" x14ac:dyDescent="0.25">
      <c r="A622" t="s">
        <v>2010</v>
      </c>
      <c r="B622" s="8">
        <v>44802</v>
      </c>
      <c r="C622" s="8">
        <v>44809</v>
      </c>
      <c r="D622" t="s">
        <v>48</v>
      </c>
      <c r="E622" t="s">
        <v>2011</v>
      </c>
      <c r="F622" t="s">
        <v>2012</v>
      </c>
      <c r="G622">
        <v>8109753488</v>
      </c>
      <c r="H622" t="s">
        <v>24</v>
      </c>
      <c r="I622" t="s">
        <v>61</v>
      </c>
      <c r="J622" t="s">
        <v>84</v>
      </c>
      <c r="K622" t="s">
        <v>1441</v>
      </c>
      <c r="L622" t="s">
        <v>249</v>
      </c>
      <c r="M622" t="s">
        <v>2013</v>
      </c>
      <c r="N622">
        <v>18</v>
      </c>
      <c r="O622">
        <v>15349.71</v>
      </c>
      <c r="P622">
        <v>0</v>
      </c>
      <c r="Q622">
        <v>0</v>
      </c>
      <c r="R622">
        <v>276294.78000000003</v>
      </c>
      <c r="S622">
        <v>44427.360000000001</v>
      </c>
    </row>
    <row r="623" spans="1:19" ht="15" customHeight="1" x14ac:dyDescent="0.25">
      <c r="A623" t="s">
        <v>2014</v>
      </c>
      <c r="B623" s="8">
        <v>45006</v>
      </c>
      <c r="C623" s="8">
        <v>45011</v>
      </c>
      <c r="D623" t="s">
        <v>48</v>
      </c>
      <c r="E623" t="s">
        <v>806</v>
      </c>
      <c r="F623" t="s">
        <v>807</v>
      </c>
      <c r="G623">
        <v>8063123664</v>
      </c>
      <c r="H623" t="s">
        <v>43</v>
      </c>
      <c r="I623" t="s">
        <v>61</v>
      </c>
      <c r="J623" t="s">
        <v>62</v>
      </c>
      <c r="K623" t="s">
        <v>1119</v>
      </c>
      <c r="L623" t="s">
        <v>558</v>
      </c>
      <c r="M623" t="s">
        <v>559</v>
      </c>
      <c r="N623">
        <v>3</v>
      </c>
      <c r="O623">
        <v>5381.32</v>
      </c>
      <c r="P623">
        <v>10</v>
      </c>
      <c r="Q623">
        <v>1614.4</v>
      </c>
      <c r="R623">
        <v>14529.56</v>
      </c>
      <c r="S623">
        <v>3993.45</v>
      </c>
    </row>
    <row r="624" spans="1:19" ht="15" customHeight="1" x14ac:dyDescent="0.25">
      <c r="A624" t="s">
        <v>2015</v>
      </c>
      <c r="B624" s="8">
        <v>45455</v>
      </c>
      <c r="C624" s="8">
        <v>45456</v>
      </c>
      <c r="D624" t="s">
        <v>32</v>
      </c>
      <c r="E624" t="s">
        <v>2016</v>
      </c>
      <c r="F624" t="s">
        <v>2017</v>
      </c>
      <c r="G624">
        <v>8135715786</v>
      </c>
      <c r="H624" t="s">
        <v>24</v>
      </c>
      <c r="I624" t="s">
        <v>51</v>
      </c>
      <c r="J624" t="s">
        <v>316</v>
      </c>
      <c r="K624" t="s">
        <v>108</v>
      </c>
      <c r="L624" t="s">
        <v>114</v>
      </c>
      <c r="M624" t="s">
        <v>891</v>
      </c>
      <c r="N624" t="s">
        <v>2018</v>
      </c>
      <c r="O624">
        <v>36105.589999999997</v>
      </c>
      <c r="P624">
        <v>10</v>
      </c>
      <c r="Q624">
        <v>68600.62</v>
      </c>
      <c r="R624">
        <v>617405.59</v>
      </c>
      <c r="S624">
        <v>-31245.74</v>
      </c>
    </row>
    <row r="625" spans="1:19" ht="15" customHeight="1" x14ac:dyDescent="0.25">
      <c r="A625" t="s">
        <v>2019</v>
      </c>
      <c r="B625" s="8">
        <v>45429</v>
      </c>
      <c r="C625" s="8">
        <v>45430</v>
      </c>
      <c r="D625" t="s">
        <v>32</v>
      </c>
      <c r="F625" t="s">
        <v>2020</v>
      </c>
      <c r="G625">
        <v>9057426442</v>
      </c>
      <c r="H625" t="s">
        <v>43</v>
      </c>
      <c r="I625" t="s">
        <v>61</v>
      </c>
      <c r="J625" t="s">
        <v>204</v>
      </c>
      <c r="K625" t="s">
        <v>108</v>
      </c>
      <c r="L625" t="s">
        <v>109</v>
      </c>
      <c r="M625" t="s">
        <v>426</v>
      </c>
      <c r="N625">
        <v>3</v>
      </c>
      <c r="O625">
        <v>17175.37</v>
      </c>
      <c r="P625">
        <v>20</v>
      </c>
      <c r="Q625">
        <v>10305.219999999999</v>
      </c>
      <c r="R625">
        <v>41220.89</v>
      </c>
      <c r="S625">
        <v>-2046.64</v>
      </c>
    </row>
    <row r="626" spans="1:19" ht="15" customHeight="1" x14ac:dyDescent="0.25">
      <c r="A626" t="s">
        <v>2021</v>
      </c>
      <c r="B626" s="8">
        <v>45163</v>
      </c>
      <c r="C626" s="8">
        <v>45164</v>
      </c>
      <c r="D626" t="s">
        <v>32</v>
      </c>
      <c r="E626" t="s">
        <v>2022</v>
      </c>
      <c r="F626" t="s">
        <v>2023</v>
      </c>
      <c r="G626">
        <v>8106413691</v>
      </c>
      <c r="H626" t="s">
        <v>43</v>
      </c>
      <c r="I626" t="s">
        <v>25</v>
      </c>
      <c r="J626" t="s">
        <v>36</v>
      </c>
      <c r="K626" t="s">
        <v>108</v>
      </c>
      <c r="L626" t="s">
        <v>109</v>
      </c>
      <c r="M626" t="s">
        <v>2024</v>
      </c>
      <c r="N626">
        <v>7</v>
      </c>
      <c r="O626">
        <v>12548.68</v>
      </c>
      <c r="P626">
        <v>10</v>
      </c>
      <c r="Q626">
        <v>8784.08</v>
      </c>
      <c r="R626">
        <v>79056.679999999993</v>
      </c>
      <c r="S626">
        <v>5785.25</v>
      </c>
    </row>
    <row r="627" spans="1:19" ht="15" customHeight="1" x14ac:dyDescent="0.25">
      <c r="A627" t="s">
        <v>2025</v>
      </c>
      <c r="B627" s="8">
        <v>44584</v>
      </c>
      <c r="C627" s="8">
        <v>44587</v>
      </c>
      <c r="D627" t="s">
        <v>20</v>
      </c>
      <c r="E627" t="s">
        <v>349</v>
      </c>
      <c r="F627" t="s">
        <v>2026</v>
      </c>
      <c r="G627">
        <v>8132111241</v>
      </c>
      <c r="H627" t="s">
        <v>35</v>
      </c>
      <c r="I627" t="s">
        <v>51</v>
      </c>
      <c r="J627" t="s">
        <v>52</v>
      </c>
      <c r="K627" t="s">
        <v>108</v>
      </c>
      <c r="L627" t="s">
        <v>38</v>
      </c>
      <c r="M627" t="s">
        <v>296</v>
      </c>
      <c r="N627">
        <v>7</v>
      </c>
      <c r="O627">
        <v>11123.53</v>
      </c>
      <c r="P627">
        <v>0</v>
      </c>
      <c r="Q627">
        <v>0</v>
      </c>
      <c r="R627">
        <v>77864.710000000006</v>
      </c>
      <c r="S627">
        <v>14527.63</v>
      </c>
    </row>
    <row r="628" spans="1:19" ht="15" customHeight="1" x14ac:dyDescent="0.25">
      <c r="A628" t="s">
        <v>2027</v>
      </c>
      <c r="B628" s="8">
        <v>45453</v>
      </c>
      <c r="C628" s="8">
        <v>45454</v>
      </c>
      <c r="D628" t="s">
        <v>32</v>
      </c>
      <c r="E628" t="s">
        <v>211</v>
      </c>
      <c r="F628" t="s">
        <v>2028</v>
      </c>
      <c r="G628">
        <v>8039286841</v>
      </c>
      <c r="H628" t="s">
        <v>24</v>
      </c>
      <c r="I628" t="s">
        <v>25</v>
      </c>
      <c r="J628" t="s">
        <v>36</v>
      </c>
      <c r="K628" t="s">
        <v>108</v>
      </c>
      <c r="L628" t="s">
        <v>114</v>
      </c>
      <c r="M628" t="s">
        <v>482</v>
      </c>
      <c r="N628">
        <v>4</v>
      </c>
      <c r="O628">
        <v>20113.2</v>
      </c>
      <c r="P628">
        <v>20</v>
      </c>
      <c r="Q628">
        <v>16090.56</v>
      </c>
      <c r="R628">
        <v>64362.239999999998</v>
      </c>
      <c r="S628">
        <v>-3045.37</v>
      </c>
    </row>
    <row r="629" spans="1:19" ht="15" customHeight="1" x14ac:dyDescent="0.25">
      <c r="A629" t="s">
        <v>2029</v>
      </c>
      <c r="B629" s="8">
        <v>44605</v>
      </c>
      <c r="C629" s="8">
        <v>44609</v>
      </c>
      <c r="D629" t="s">
        <v>73</v>
      </c>
      <c r="E629" t="s">
        <v>867</v>
      </c>
      <c r="F629" t="s">
        <v>2030</v>
      </c>
      <c r="G629">
        <v>8145770866</v>
      </c>
      <c r="H629" t="s">
        <v>43</v>
      </c>
      <c r="I629" t="s">
        <v>51</v>
      </c>
      <c r="J629" t="s">
        <v>227</v>
      </c>
      <c r="K629" t="s">
        <v>85</v>
      </c>
      <c r="L629" t="s">
        <v>486</v>
      </c>
      <c r="M629" t="s">
        <v>487</v>
      </c>
      <c r="N629">
        <v>17</v>
      </c>
      <c r="O629">
        <v>162082.68</v>
      </c>
      <c r="P629">
        <v>0</v>
      </c>
      <c r="Q629">
        <v>0</v>
      </c>
      <c r="R629">
        <v>2755405.56</v>
      </c>
      <c r="S629">
        <v>144476.72</v>
      </c>
    </row>
    <row r="630" spans="1:19" ht="15" customHeight="1" x14ac:dyDescent="0.25">
      <c r="A630" t="s">
        <v>2031</v>
      </c>
      <c r="B630" s="8">
        <v>45412</v>
      </c>
      <c r="C630" s="8">
        <v>45419</v>
      </c>
      <c r="D630" t="s">
        <v>48</v>
      </c>
      <c r="E630" t="s">
        <v>2032</v>
      </c>
      <c r="F630" t="s">
        <v>2033</v>
      </c>
      <c r="G630">
        <v>7062338271</v>
      </c>
      <c r="H630" t="s">
        <v>43</v>
      </c>
      <c r="I630" t="s">
        <v>25</v>
      </c>
      <c r="J630" t="s">
        <v>26</v>
      </c>
      <c r="K630" t="s">
        <v>27</v>
      </c>
      <c r="L630" t="s">
        <v>45</v>
      </c>
      <c r="M630" t="s">
        <v>875</v>
      </c>
      <c r="N630">
        <v>13</v>
      </c>
      <c r="O630">
        <v>5014.87</v>
      </c>
      <c r="P630">
        <v>10</v>
      </c>
      <c r="Q630">
        <v>6519.33</v>
      </c>
      <c r="R630">
        <v>58673.98</v>
      </c>
      <c r="S630">
        <v>15717.24</v>
      </c>
    </row>
    <row r="631" spans="1:19" ht="15" customHeight="1" x14ac:dyDescent="0.25">
      <c r="A631" t="s">
        <v>2034</v>
      </c>
      <c r="B631" s="8">
        <v>45327</v>
      </c>
      <c r="C631" s="8">
        <v>45332</v>
      </c>
      <c r="D631" t="s">
        <v>48</v>
      </c>
      <c r="E631" t="s">
        <v>2035</v>
      </c>
      <c r="F631" t="s">
        <v>2036</v>
      </c>
      <c r="G631">
        <v>8031174416</v>
      </c>
      <c r="H631" t="s">
        <v>24</v>
      </c>
      <c r="I631" t="s">
        <v>69</v>
      </c>
      <c r="J631" t="s">
        <v>70</v>
      </c>
      <c r="K631" t="s">
        <v>85</v>
      </c>
      <c r="L631" t="s">
        <v>86</v>
      </c>
      <c r="M631" t="s">
        <v>178</v>
      </c>
      <c r="N631">
        <v>14</v>
      </c>
      <c r="O631">
        <v>156158.87</v>
      </c>
      <c r="P631">
        <v>5</v>
      </c>
      <c r="Q631">
        <v>109311.21</v>
      </c>
      <c r="R631">
        <v>2076912.97</v>
      </c>
      <c r="S631">
        <v>-99453.24</v>
      </c>
    </row>
    <row r="632" spans="1:19" ht="15" customHeight="1" x14ac:dyDescent="0.25">
      <c r="A632" t="s">
        <v>2037</v>
      </c>
      <c r="B632" s="8">
        <v>44669</v>
      </c>
      <c r="C632" s="8">
        <v>44676</v>
      </c>
      <c r="D632" t="s">
        <v>48</v>
      </c>
      <c r="E632" t="s">
        <v>1352</v>
      </c>
      <c r="F632" t="s">
        <v>2038</v>
      </c>
      <c r="G632">
        <v>8162258998</v>
      </c>
      <c r="H632" t="s">
        <v>24</v>
      </c>
      <c r="I632" t="s">
        <v>61</v>
      </c>
      <c r="J632" t="s">
        <v>182</v>
      </c>
      <c r="K632" t="s">
        <v>63</v>
      </c>
      <c r="L632" t="s">
        <v>558</v>
      </c>
      <c r="M632" t="s">
        <v>1990</v>
      </c>
      <c r="N632">
        <v>13</v>
      </c>
      <c r="O632">
        <v>19894.88</v>
      </c>
      <c r="P632">
        <v>10</v>
      </c>
      <c r="Q632">
        <v>25863.34</v>
      </c>
      <c r="R632">
        <v>232770.1</v>
      </c>
      <c r="S632">
        <v>62661.45</v>
      </c>
    </row>
    <row r="633" spans="1:19" ht="15" customHeight="1" x14ac:dyDescent="0.25">
      <c r="A633" t="s">
        <v>2039</v>
      </c>
      <c r="B633" s="8">
        <v>44820</v>
      </c>
      <c r="C633" s="8">
        <v>44827</v>
      </c>
      <c r="D633" t="s">
        <v>48</v>
      </c>
      <c r="E633" t="s">
        <v>2040</v>
      </c>
      <c r="F633" t="s">
        <v>2041</v>
      </c>
      <c r="G633">
        <v>9078495720</v>
      </c>
      <c r="H633" t="s">
        <v>43</v>
      </c>
      <c r="I633" t="s">
        <v>61</v>
      </c>
      <c r="J633" t="s">
        <v>84</v>
      </c>
      <c r="K633" t="s">
        <v>2042</v>
      </c>
      <c r="L633" t="s">
        <v>254</v>
      </c>
      <c r="M633" t="s">
        <v>452</v>
      </c>
      <c r="N633">
        <v>16</v>
      </c>
      <c r="O633" t="s">
        <v>2043</v>
      </c>
      <c r="P633">
        <v>20</v>
      </c>
      <c r="Q633">
        <v>382808.64</v>
      </c>
      <c r="R633">
        <v>1531234.56</v>
      </c>
      <c r="S633">
        <v>667326.82999999996</v>
      </c>
    </row>
    <row r="634" spans="1:19" ht="15" customHeight="1" x14ac:dyDescent="0.25">
      <c r="A634" t="s">
        <v>2044</v>
      </c>
      <c r="B634" s="8">
        <v>45102</v>
      </c>
      <c r="C634" s="8">
        <v>45109</v>
      </c>
      <c r="D634" t="s">
        <v>48</v>
      </c>
      <c r="E634" t="s">
        <v>644</v>
      </c>
      <c r="F634" t="s">
        <v>2045</v>
      </c>
      <c r="G634">
        <v>9074454281</v>
      </c>
      <c r="H634" t="s">
        <v>35</v>
      </c>
      <c r="I634" t="s">
        <v>51</v>
      </c>
      <c r="J634" t="s">
        <v>316</v>
      </c>
      <c r="K634" t="s">
        <v>96</v>
      </c>
      <c r="L634" t="s">
        <v>120</v>
      </c>
      <c r="M634" t="s">
        <v>133</v>
      </c>
      <c r="N634">
        <v>1</v>
      </c>
      <c r="O634">
        <v>41216.11</v>
      </c>
      <c r="P634">
        <v>5</v>
      </c>
      <c r="Q634">
        <v>2060.81</v>
      </c>
      <c r="R634">
        <v>39155.300000000003</v>
      </c>
      <c r="S634">
        <v>5125.05</v>
      </c>
    </row>
    <row r="635" spans="1:19" ht="15" customHeight="1" x14ac:dyDescent="0.25">
      <c r="A635" t="s">
        <v>2046</v>
      </c>
      <c r="B635" s="8">
        <v>45259</v>
      </c>
      <c r="C635" s="8">
        <v>45265</v>
      </c>
      <c r="D635" t="s">
        <v>48</v>
      </c>
      <c r="E635" t="s">
        <v>2047</v>
      </c>
      <c r="F635" t="s">
        <v>2048</v>
      </c>
      <c r="G635">
        <v>9026231562</v>
      </c>
      <c r="H635" t="s">
        <v>43</v>
      </c>
      <c r="I635" t="s">
        <v>69</v>
      </c>
      <c r="J635" t="s">
        <v>119</v>
      </c>
      <c r="K635" t="s">
        <v>108</v>
      </c>
      <c r="L635" t="s">
        <v>109</v>
      </c>
      <c r="M635" t="s">
        <v>426</v>
      </c>
      <c r="N635">
        <v>5</v>
      </c>
      <c r="O635">
        <v>6543.4</v>
      </c>
      <c r="P635">
        <v>5</v>
      </c>
      <c r="Q635">
        <v>1635.85</v>
      </c>
      <c r="R635">
        <v>31081.15</v>
      </c>
      <c r="S635">
        <v>12433.03</v>
      </c>
    </row>
    <row r="636" spans="1:19" ht="15" customHeight="1" x14ac:dyDescent="0.25">
      <c r="A636" t="s">
        <v>2049</v>
      </c>
      <c r="B636" s="8">
        <v>45381</v>
      </c>
      <c r="C636" s="8">
        <v>45384</v>
      </c>
      <c r="D636" t="s">
        <v>73</v>
      </c>
      <c r="E636" t="s">
        <v>2050</v>
      </c>
      <c r="F636" t="s">
        <v>2051</v>
      </c>
      <c r="G636">
        <v>8106153067</v>
      </c>
      <c r="H636" t="s">
        <v>24</v>
      </c>
      <c r="I636" t="s">
        <v>69</v>
      </c>
      <c r="J636" t="s">
        <v>70</v>
      </c>
      <c r="K636" t="s">
        <v>2052</v>
      </c>
      <c r="L636" t="s">
        <v>79</v>
      </c>
      <c r="M636" t="s">
        <v>490</v>
      </c>
      <c r="N636">
        <v>4</v>
      </c>
      <c r="O636">
        <v>3849.35</v>
      </c>
      <c r="P636">
        <v>0</v>
      </c>
      <c r="Q636">
        <v>0</v>
      </c>
      <c r="R636">
        <v>15397.4</v>
      </c>
      <c r="S636">
        <v>-87.19</v>
      </c>
    </row>
    <row r="637" spans="1:19" ht="15" customHeight="1" x14ac:dyDescent="0.25">
      <c r="A637" t="s">
        <v>2053</v>
      </c>
      <c r="B637" s="8" t="s">
        <v>2054</v>
      </c>
      <c r="C637" s="8">
        <v>45545</v>
      </c>
      <c r="D637" t="s">
        <v>48</v>
      </c>
      <c r="E637" t="s">
        <v>2055</v>
      </c>
      <c r="F637" t="s">
        <v>2056</v>
      </c>
      <c r="G637">
        <v>8152410406</v>
      </c>
      <c r="H637" t="s">
        <v>43</v>
      </c>
      <c r="I637" t="s">
        <v>69</v>
      </c>
      <c r="J637" t="s">
        <v>119</v>
      </c>
      <c r="K637" t="s">
        <v>63</v>
      </c>
      <c r="L637" t="s">
        <v>64</v>
      </c>
      <c r="M637" t="s">
        <v>501</v>
      </c>
      <c r="N637">
        <v>17</v>
      </c>
      <c r="O637">
        <v>4190.1899999999996</v>
      </c>
      <c r="P637" t="s">
        <v>2057</v>
      </c>
      <c r="Q637">
        <v>10684.98</v>
      </c>
      <c r="R637">
        <v>60548.25</v>
      </c>
      <c r="S637">
        <v>9370.2099999999991</v>
      </c>
    </row>
    <row r="638" spans="1:19" ht="15" customHeight="1" x14ac:dyDescent="0.25">
      <c r="A638" t="s">
        <v>2058</v>
      </c>
      <c r="B638" s="8">
        <v>44762</v>
      </c>
      <c r="C638" s="8">
        <v>44764</v>
      </c>
      <c r="D638" t="s">
        <v>20</v>
      </c>
      <c r="E638" t="s">
        <v>2059</v>
      </c>
      <c r="F638" t="s">
        <v>2060</v>
      </c>
      <c r="G638">
        <v>8135932600</v>
      </c>
      <c r="H638" t="s">
        <v>43</v>
      </c>
      <c r="I638" t="s">
        <v>25</v>
      </c>
      <c r="J638" t="s">
        <v>168</v>
      </c>
      <c r="K638" t="s">
        <v>85</v>
      </c>
      <c r="L638" t="s">
        <v>486</v>
      </c>
      <c r="M638" t="s">
        <v>1193</v>
      </c>
      <c r="N638">
        <v>17</v>
      </c>
      <c r="O638">
        <v>110176.46</v>
      </c>
      <c r="P638">
        <v>20</v>
      </c>
      <c r="Q638">
        <v>374599.96</v>
      </c>
      <c r="R638">
        <v>1498399.86</v>
      </c>
      <c r="S638">
        <v>241498.72</v>
      </c>
    </row>
    <row r="639" spans="1:19" ht="15" customHeight="1" x14ac:dyDescent="0.25">
      <c r="A639" t="s">
        <v>2061</v>
      </c>
      <c r="B639" s="8">
        <v>44789</v>
      </c>
      <c r="C639" s="8">
        <v>44792</v>
      </c>
      <c r="D639" t="s">
        <v>73</v>
      </c>
      <c r="F639" t="s">
        <v>2062</v>
      </c>
      <c r="G639">
        <v>9055465729</v>
      </c>
      <c r="H639" t="s">
        <v>24</v>
      </c>
      <c r="I639" t="s">
        <v>25</v>
      </c>
      <c r="J639" t="s">
        <v>26</v>
      </c>
      <c r="K639" t="s">
        <v>85</v>
      </c>
      <c r="L639" t="s">
        <v>86</v>
      </c>
      <c r="M639" t="s">
        <v>238</v>
      </c>
      <c r="N639">
        <v>8</v>
      </c>
      <c r="O639">
        <v>25377.5</v>
      </c>
      <c r="P639">
        <v>15</v>
      </c>
      <c r="Q639">
        <v>30453</v>
      </c>
      <c r="R639">
        <v>172567</v>
      </c>
      <c r="S639">
        <v>14693.19</v>
      </c>
    </row>
    <row r="640" spans="1:19" ht="15" customHeight="1" x14ac:dyDescent="0.25">
      <c r="A640" t="s">
        <v>2063</v>
      </c>
      <c r="B640" s="8">
        <v>45576</v>
      </c>
      <c r="C640" s="8">
        <v>45578</v>
      </c>
      <c r="D640" t="s">
        <v>20</v>
      </c>
      <c r="E640" t="s">
        <v>274</v>
      </c>
      <c r="F640" t="s">
        <v>2064</v>
      </c>
      <c r="G640">
        <v>7035831713</v>
      </c>
      <c r="H640" t="s">
        <v>24</v>
      </c>
      <c r="I640" t="s">
        <v>25</v>
      </c>
      <c r="J640" t="s">
        <v>126</v>
      </c>
      <c r="K640" t="s">
        <v>27</v>
      </c>
      <c r="L640" t="s">
        <v>45</v>
      </c>
      <c r="M640" t="s">
        <v>308</v>
      </c>
      <c r="N640">
        <v>17</v>
      </c>
      <c r="O640">
        <v>1025.67</v>
      </c>
      <c r="P640">
        <v>20</v>
      </c>
      <c r="Q640">
        <v>3487.28</v>
      </c>
      <c r="R640">
        <v>13949.11</v>
      </c>
      <c r="S640">
        <v>4093.43</v>
      </c>
    </row>
    <row r="641" spans="1:19" ht="15" customHeight="1" x14ac:dyDescent="0.25">
      <c r="A641" t="s">
        <v>2065</v>
      </c>
      <c r="B641" s="8">
        <v>44903</v>
      </c>
      <c r="C641" s="8">
        <v>44909</v>
      </c>
      <c r="D641" t="s">
        <v>48</v>
      </c>
      <c r="E641" t="s">
        <v>2066</v>
      </c>
      <c r="F641" t="s">
        <v>2067</v>
      </c>
      <c r="G641">
        <v>8038962478</v>
      </c>
      <c r="H641" t="s">
        <v>43</v>
      </c>
      <c r="I641" t="s">
        <v>61</v>
      </c>
      <c r="J641" t="s">
        <v>62</v>
      </c>
      <c r="K641" t="s">
        <v>108</v>
      </c>
      <c r="L641" t="s">
        <v>38</v>
      </c>
      <c r="M641" t="s">
        <v>519</v>
      </c>
      <c r="N641">
        <v>9</v>
      </c>
      <c r="O641">
        <v>9633.15</v>
      </c>
      <c r="P641">
        <v>0</v>
      </c>
      <c r="Q641">
        <v>0</v>
      </c>
      <c r="R641">
        <v>86698.35</v>
      </c>
      <c r="S641">
        <v>-4123.8</v>
      </c>
    </row>
    <row r="642" spans="1:19" ht="15" customHeight="1" x14ac:dyDescent="0.25">
      <c r="A642" t="s">
        <v>2068</v>
      </c>
      <c r="B642" s="8">
        <v>44564</v>
      </c>
      <c r="C642" s="8">
        <v>44565</v>
      </c>
      <c r="D642" t="s">
        <v>32</v>
      </c>
      <c r="E642" t="s">
        <v>2069</v>
      </c>
      <c r="F642" t="s">
        <v>2070</v>
      </c>
      <c r="G642">
        <v>8031291769</v>
      </c>
      <c r="H642" t="s">
        <v>60</v>
      </c>
      <c r="I642" t="s">
        <v>25</v>
      </c>
      <c r="J642" t="s">
        <v>36</v>
      </c>
      <c r="K642" t="s">
        <v>27</v>
      </c>
      <c r="L642" t="s">
        <v>45</v>
      </c>
      <c r="M642" t="s">
        <v>523</v>
      </c>
      <c r="N642">
        <v>6</v>
      </c>
      <c r="O642">
        <v>4344.57</v>
      </c>
      <c r="P642">
        <v>0</v>
      </c>
      <c r="Q642">
        <v>0</v>
      </c>
      <c r="R642">
        <v>26067.42</v>
      </c>
      <c r="S642">
        <v>8215.25</v>
      </c>
    </row>
    <row r="643" spans="1:19" ht="15" customHeight="1" x14ac:dyDescent="0.25">
      <c r="A643" t="s">
        <v>2071</v>
      </c>
      <c r="B643" s="8">
        <v>45488</v>
      </c>
      <c r="C643" s="8">
        <v>45491</v>
      </c>
      <c r="D643" t="s">
        <v>20</v>
      </c>
      <c r="E643" t="s">
        <v>2072</v>
      </c>
      <c r="F643" t="s">
        <v>2073</v>
      </c>
      <c r="G643">
        <v>9079162003</v>
      </c>
      <c r="H643" t="s">
        <v>24</v>
      </c>
      <c r="I643" t="s">
        <v>25</v>
      </c>
      <c r="J643" t="s">
        <v>44</v>
      </c>
      <c r="K643" t="s">
        <v>53</v>
      </c>
      <c r="L643" t="s">
        <v>558</v>
      </c>
      <c r="M643" t="s">
        <v>559</v>
      </c>
      <c r="O643">
        <v>832.25</v>
      </c>
      <c r="P643">
        <v>10</v>
      </c>
      <c r="Q643">
        <v>998.7</v>
      </c>
      <c r="R643">
        <v>8988.2999999999993</v>
      </c>
      <c r="S643">
        <v>2481.62</v>
      </c>
    </row>
    <row r="644" spans="1:19" ht="15" customHeight="1" x14ac:dyDescent="0.25">
      <c r="A644" t="s">
        <v>2074</v>
      </c>
      <c r="B644" s="8">
        <v>44864</v>
      </c>
      <c r="C644" s="8">
        <v>44872</v>
      </c>
      <c r="D644" t="s">
        <v>48</v>
      </c>
      <c r="E644" t="s">
        <v>859</v>
      </c>
      <c r="F644" t="s">
        <v>2075</v>
      </c>
      <c r="G644">
        <v>7039352238</v>
      </c>
      <c r="H644" t="s">
        <v>43</v>
      </c>
      <c r="I644" t="s">
        <v>69</v>
      </c>
      <c r="J644" t="s">
        <v>307</v>
      </c>
      <c r="K644" t="s">
        <v>96</v>
      </c>
      <c r="L644" t="s">
        <v>385</v>
      </c>
      <c r="M644" t="s">
        <v>1010</v>
      </c>
      <c r="N644">
        <v>14</v>
      </c>
      <c r="O644">
        <v>337340.41</v>
      </c>
      <c r="P644">
        <v>10</v>
      </c>
      <c r="Q644">
        <v>472276.57</v>
      </c>
      <c r="R644" t="s">
        <v>2076</v>
      </c>
      <c r="S644">
        <v>-111428.65</v>
      </c>
    </row>
    <row r="645" spans="1:19" ht="15" customHeight="1" x14ac:dyDescent="0.25">
      <c r="A645" t="s">
        <v>2077</v>
      </c>
      <c r="B645" s="8">
        <v>45122</v>
      </c>
      <c r="C645" s="8">
        <v>45130</v>
      </c>
      <c r="D645" t="s">
        <v>48</v>
      </c>
      <c r="E645" t="s">
        <v>2078</v>
      </c>
      <c r="F645" t="s">
        <v>2079</v>
      </c>
      <c r="G645">
        <v>9076852648</v>
      </c>
      <c r="H645" t="s">
        <v>2080</v>
      </c>
      <c r="I645" t="s">
        <v>25</v>
      </c>
      <c r="J645" t="s">
        <v>126</v>
      </c>
      <c r="K645" t="s">
        <v>63</v>
      </c>
      <c r="L645" t="s">
        <v>64</v>
      </c>
      <c r="M645" t="s">
        <v>777</v>
      </c>
      <c r="N645">
        <v>9</v>
      </c>
      <c r="O645">
        <v>10723.71</v>
      </c>
      <c r="P645">
        <v>10</v>
      </c>
      <c r="Q645">
        <v>9651.34</v>
      </c>
      <c r="R645">
        <v>86862.05</v>
      </c>
      <c r="S645">
        <v>-3097.19</v>
      </c>
    </row>
    <row r="646" spans="1:19" ht="15" customHeight="1" x14ac:dyDescent="0.25">
      <c r="A646" t="s">
        <v>2081</v>
      </c>
      <c r="B646" s="8">
        <v>45493</v>
      </c>
      <c r="C646" s="8">
        <v>45494</v>
      </c>
      <c r="D646" t="s">
        <v>32</v>
      </c>
      <c r="E646" t="s">
        <v>1728</v>
      </c>
      <c r="F646" t="s">
        <v>2082</v>
      </c>
      <c r="G646">
        <v>8143468450</v>
      </c>
      <c r="H646" t="s">
        <v>35</v>
      </c>
      <c r="I646" t="s">
        <v>51</v>
      </c>
      <c r="J646" t="s">
        <v>227</v>
      </c>
      <c r="K646" t="s">
        <v>108</v>
      </c>
      <c r="L646" t="s">
        <v>109</v>
      </c>
      <c r="M646" t="s">
        <v>426</v>
      </c>
      <c r="N646">
        <v>20</v>
      </c>
      <c r="O646">
        <v>43566.87</v>
      </c>
      <c r="P646">
        <v>25</v>
      </c>
      <c r="Q646">
        <v>217834.35</v>
      </c>
      <c r="R646">
        <v>653503.05000000005</v>
      </c>
      <c r="S646">
        <v>162455.76</v>
      </c>
    </row>
    <row r="647" spans="1:19" ht="15" customHeight="1" x14ac:dyDescent="0.25">
      <c r="A647" t="s">
        <v>2083</v>
      </c>
      <c r="B647" s="8">
        <v>45165</v>
      </c>
      <c r="C647" s="8">
        <v>45170</v>
      </c>
      <c r="D647" t="s">
        <v>48</v>
      </c>
      <c r="E647" t="s">
        <v>2084</v>
      </c>
      <c r="F647" t="s">
        <v>2085</v>
      </c>
      <c r="G647">
        <v>8163070908</v>
      </c>
      <c r="H647" t="s">
        <v>43</v>
      </c>
      <c r="I647" t="s">
        <v>51</v>
      </c>
      <c r="J647" t="s">
        <v>316</v>
      </c>
      <c r="K647" t="s">
        <v>96</v>
      </c>
      <c r="L647" t="s">
        <v>189</v>
      </c>
      <c r="M647" t="s">
        <v>325</v>
      </c>
      <c r="N647">
        <v>12</v>
      </c>
      <c r="O647">
        <v>17214.259999999998</v>
      </c>
      <c r="P647">
        <v>0</v>
      </c>
      <c r="Q647">
        <v>0</v>
      </c>
      <c r="R647">
        <v>206571.12</v>
      </c>
      <c r="S647">
        <v>-24800.68</v>
      </c>
    </row>
    <row r="648" spans="1:19" ht="15" customHeight="1" x14ac:dyDescent="0.25">
      <c r="A648" t="s">
        <v>2086</v>
      </c>
      <c r="B648" s="8">
        <v>44738</v>
      </c>
      <c r="C648" s="8">
        <v>44743</v>
      </c>
      <c r="D648" t="s">
        <v>73</v>
      </c>
      <c r="E648" t="s">
        <v>2087</v>
      </c>
      <c r="F648" t="s">
        <v>2088</v>
      </c>
      <c r="G648">
        <v>7062354222</v>
      </c>
      <c r="H648" t="s">
        <v>43</v>
      </c>
      <c r="I648" t="s">
        <v>61</v>
      </c>
      <c r="J648" t="s">
        <v>182</v>
      </c>
      <c r="K648" t="s">
        <v>1441</v>
      </c>
      <c r="L648" t="s">
        <v>54</v>
      </c>
      <c r="M648" t="s">
        <v>1039</v>
      </c>
      <c r="N648">
        <v>12</v>
      </c>
      <c r="O648" t="s">
        <v>2089</v>
      </c>
      <c r="P648">
        <v>5</v>
      </c>
      <c r="Q648">
        <v>7255.72</v>
      </c>
      <c r="R648">
        <v>137858.6</v>
      </c>
      <c r="S648">
        <v>46461.86</v>
      </c>
    </row>
    <row r="649" spans="1:19" ht="15" customHeight="1" x14ac:dyDescent="0.25">
      <c r="A649" t="s">
        <v>2090</v>
      </c>
      <c r="B649" s="8">
        <v>45097</v>
      </c>
      <c r="C649" s="8">
        <v>45104</v>
      </c>
      <c r="D649" t="s">
        <v>48</v>
      </c>
      <c r="E649" t="s">
        <v>1485</v>
      </c>
      <c r="F649" t="s">
        <v>2091</v>
      </c>
      <c r="G649">
        <v>9058311783</v>
      </c>
      <c r="H649" t="s">
        <v>43</v>
      </c>
      <c r="I649" t="s">
        <v>69</v>
      </c>
      <c r="J649" t="s">
        <v>70</v>
      </c>
      <c r="K649" t="s">
        <v>63</v>
      </c>
      <c r="L649" t="s">
        <v>194</v>
      </c>
      <c r="M649" t="s">
        <v>195</v>
      </c>
      <c r="N649">
        <v>7</v>
      </c>
      <c r="O649">
        <v>3909.82</v>
      </c>
      <c r="P649">
        <v>10</v>
      </c>
      <c r="Q649">
        <v>2736.87</v>
      </c>
      <c r="R649">
        <v>24631.87</v>
      </c>
      <c r="S649">
        <v>-1689.39</v>
      </c>
    </row>
    <row r="650" spans="1:19" ht="15" customHeight="1" x14ac:dyDescent="0.25">
      <c r="A650" t="s">
        <v>2092</v>
      </c>
      <c r="B650" s="8">
        <v>45170</v>
      </c>
      <c r="C650" s="8">
        <v>45178</v>
      </c>
      <c r="D650" t="s">
        <v>48</v>
      </c>
      <c r="F650" t="s">
        <v>2093</v>
      </c>
      <c r="G650">
        <v>9028329845</v>
      </c>
      <c r="H650" t="s">
        <v>43</v>
      </c>
      <c r="I650" t="s">
        <v>61</v>
      </c>
      <c r="J650" t="s">
        <v>182</v>
      </c>
      <c r="K650" t="s">
        <v>96</v>
      </c>
      <c r="L650" t="s">
        <v>385</v>
      </c>
      <c r="M650" t="s">
        <v>1010</v>
      </c>
      <c r="N650">
        <v>11</v>
      </c>
      <c r="O650">
        <v>207227.08</v>
      </c>
      <c r="P650">
        <v>25</v>
      </c>
      <c r="Q650">
        <v>569874.47</v>
      </c>
      <c r="R650">
        <v>1709623.41</v>
      </c>
      <c r="S650">
        <v>702531.94</v>
      </c>
    </row>
    <row r="651" spans="1:19" ht="15" customHeight="1" x14ac:dyDescent="0.25">
      <c r="A651" t="s">
        <v>2094</v>
      </c>
      <c r="B651" s="8">
        <v>45517</v>
      </c>
      <c r="C651" s="8">
        <v>45518</v>
      </c>
      <c r="D651" t="s">
        <v>32</v>
      </c>
      <c r="E651" t="s">
        <v>2095</v>
      </c>
      <c r="F651" t="s">
        <v>2096</v>
      </c>
      <c r="G651">
        <v>8151443289</v>
      </c>
      <c r="H651" t="s">
        <v>43</v>
      </c>
      <c r="I651" t="s">
        <v>51</v>
      </c>
      <c r="J651" t="s">
        <v>316</v>
      </c>
      <c r="K651" t="s">
        <v>108</v>
      </c>
      <c r="L651" t="s">
        <v>114</v>
      </c>
      <c r="M651" t="s">
        <v>848</v>
      </c>
      <c r="N651">
        <v>10</v>
      </c>
      <c r="O651">
        <v>28453.97</v>
      </c>
      <c r="P651">
        <v>5</v>
      </c>
      <c r="Q651">
        <v>14226.99</v>
      </c>
      <c r="R651">
        <v>270312.71000000002</v>
      </c>
      <c r="S651">
        <v>53574.21</v>
      </c>
    </row>
    <row r="652" spans="1:19" ht="15" customHeight="1" x14ac:dyDescent="0.25">
      <c r="A652" t="s">
        <v>2097</v>
      </c>
      <c r="B652" s="8">
        <v>44671</v>
      </c>
      <c r="C652" s="8">
        <v>44674</v>
      </c>
      <c r="D652" t="s">
        <v>20</v>
      </c>
      <c r="E652" t="s">
        <v>1881</v>
      </c>
      <c r="F652" t="s">
        <v>1882</v>
      </c>
      <c r="G652">
        <v>8149690736</v>
      </c>
      <c r="H652" t="s">
        <v>24</v>
      </c>
      <c r="I652" t="s">
        <v>51</v>
      </c>
      <c r="J652" t="s">
        <v>131</v>
      </c>
      <c r="K652" t="s">
        <v>108</v>
      </c>
      <c r="L652" t="s">
        <v>114</v>
      </c>
      <c r="M652" t="s">
        <v>291</v>
      </c>
      <c r="N652">
        <v>4</v>
      </c>
      <c r="O652">
        <v>4351.79</v>
      </c>
      <c r="P652">
        <v>10</v>
      </c>
      <c r="Q652">
        <v>1740.72</v>
      </c>
      <c r="R652">
        <v>15666.44</v>
      </c>
      <c r="S652">
        <v>3236.75</v>
      </c>
    </row>
    <row r="653" spans="1:19" ht="15" customHeight="1" x14ac:dyDescent="0.25">
      <c r="A653" t="s">
        <v>2098</v>
      </c>
      <c r="B653" s="8">
        <v>44686</v>
      </c>
      <c r="C653" s="8">
        <v>44688</v>
      </c>
      <c r="D653" t="s">
        <v>20</v>
      </c>
      <c r="E653" t="s">
        <v>424</v>
      </c>
      <c r="F653" t="s">
        <v>2099</v>
      </c>
      <c r="G653">
        <v>9014440410</v>
      </c>
      <c r="H653" t="s">
        <v>43</v>
      </c>
      <c r="I653" t="s">
        <v>51</v>
      </c>
      <c r="J653" t="s">
        <v>227</v>
      </c>
      <c r="K653" t="s">
        <v>27</v>
      </c>
      <c r="L653" t="s">
        <v>354</v>
      </c>
      <c r="M653" t="s">
        <v>789</v>
      </c>
      <c r="N653">
        <v>16</v>
      </c>
      <c r="O653">
        <v>6001.27</v>
      </c>
      <c r="P653">
        <v>0</v>
      </c>
      <c r="Q653">
        <v>0</v>
      </c>
      <c r="R653">
        <v>96020.32</v>
      </c>
      <c r="S653">
        <v>-1524.21</v>
      </c>
    </row>
    <row r="654" spans="1:19" ht="15" customHeight="1" x14ac:dyDescent="0.25">
      <c r="A654" t="s">
        <v>2100</v>
      </c>
      <c r="B654" s="8">
        <v>44575</v>
      </c>
      <c r="C654" s="8">
        <v>44578</v>
      </c>
      <c r="D654" t="s">
        <v>20</v>
      </c>
      <c r="E654" t="s">
        <v>2101</v>
      </c>
      <c r="F654" t="s">
        <v>2102</v>
      </c>
      <c r="G654">
        <v>8062126456</v>
      </c>
      <c r="H654" t="s">
        <v>24</v>
      </c>
      <c r="I654" t="s">
        <v>61</v>
      </c>
      <c r="J654" t="s">
        <v>182</v>
      </c>
      <c r="K654" t="s">
        <v>96</v>
      </c>
      <c r="L654" t="s">
        <v>385</v>
      </c>
      <c r="M654" t="s">
        <v>1010</v>
      </c>
      <c r="N654">
        <v>17</v>
      </c>
      <c r="O654">
        <v>397756.09</v>
      </c>
      <c r="P654">
        <v>0</v>
      </c>
      <c r="Q654">
        <v>0</v>
      </c>
      <c r="R654">
        <v>6761853.5300000003</v>
      </c>
      <c r="S654">
        <v>-11335.22</v>
      </c>
    </row>
    <row r="655" spans="1:19" ht="15" customHeight="1" x14ac:dyDescent="0.25">
      <c r="A655" t="s">
        <v>2103</v>
      </c>
      <c r="B655" s="8">
        <v>45362</v>
      </c>
      <c r="C655" s="8">
        <v>45362</v>
      </c>
      <c r="D655" t="s">
        <v>32</v>
      </c>
      <c r="E655" t="s">
        <v>1802</v>
      </c>
      <c r="F655" t="s">
        <v>2104</v>
      </c>
      <c r="G655">
        <v>8144087744</v>
      </c>
      <c r="H655" t="s">
        <v>35</v>
      </c>
      <c r="I655" t="s">
        <v>25</v>
      </c>
      <c r="J655" t="s">
        <v>168</v>
      </c>
      <c r="K655" t="s">
        <v>85</v>
      </c>
      <c r="L655" t="s">
        <v>266</v>
      </c>
      <c r="M655" t="s">
        <v>593</v>
      </c>
      <c r="N655">
        <v>15</v>
      </c>
      <c r="O655">
        <v>149330.07</v>
      </c>
      <c r="P655">
        <v>0</v>
      </c>
      <c r="Q655">
        <v>0</v>
      </c>
      <c r="R655">
        <v>2239951.0499999998</v>
      </c>
      <c r="S655">
        <v>245078.02</v>
      </c>
    </row>
    <row r="656" spans="1:19" ht="15" customHeight="1" x14ac:dyDescent="0.25">
      <c r="A656" t="s">
        <v>2105</v>
      </c>
      <c r="B656" s="8">
        <v>44911</v>
      </c>
      <c r="C656" s="8">
        <v>44916</v>
      </c>
      <c r="D656" t="s">
        <v>73</v>
      </c>
      <c r="E656" t="s">
        <v>697</v>
      </c>
      <c r="F656" t="s">
        <v>698</v>
      </c>
      <c r="G656">
        <v>8145865999</v>
      </c>
      <c r="H656" t="s">
        <v>35</v>
      </c>
      <c r="I656" t="s">
        <v>25</v>
      </c>
      <c r="J656" t="s">
        <v>126</v>
      </c>
      <c r="K656" t="s">
        <v>63</v>
      </c>
      <c r="L656" t="s">
        <v>469</v>
      </c>
      <c r="M656" t="s">
        <v>470</v>
      </c>
      <c r="N656">
        <v>16</v>
      </c>
      <c r="O656">
        <v>23997.74</v>
      </c>
      <c r="P656">
        <v>10</v>
      </c>
      <c r="Q656">
        <v>38396.379999999997</v>
      </c>
      <c r="R656">
        <v>345567.46</v>
      </c>
      <c r="S656">
        <v>86606.05</v>
      </c>
    </row>
    <row r="657" spans="1:19" ht="15" customHeight="1" x14ac:dyDescent="0.25">
      <c r="A657" t="s">
        <v>2106</v>
      </c>
      <c r="B657" s="8">
        <v>45512</v>
      </c>
      <c r="C657" s="8">
        <v>45520</v>
      </c>
      <c r="D657" t="s">
        <v>48</v>
      </c>
      <c r="E657" t="s">
        <v>1455</v>
      </c>
      <c r="F657" t="s">
        <v>2107</v>
      </c>
      <c r="G657">
        <v>8168668568</v>
      </c>
      <c r="H657" t="s">
        <v>24</v>
      </c>
      <c r="I657" t="s">
        <v>69</v>
      </c>
      <c r="J657" t="s">
        <v>70</v>
      </c>
      <c r="K657" t="s">
        <v>96</v>
      </c>
      <c r="L657" t="s">
        <v>254</v>
      </c>
      <c r="M657" t="s">
        <v>530</v>
      </c>
      <c r="N657">
        <v>10</v>
      </c>
      <c r="O657">
        <v>19793.55</v>
      </c>
      <c r="P657">
        <v>200</v>
      </c>
      <c r="Q657">
        <v>0</v>
      </c>
      <c r="R657">
        <v>197935.5</v>
      </c>
      <c r="S657">
        <v>46923.66</v>
      </c>
    </row>
    <row r="658" spans="1:19" ht="15" customHeight="1" x14ac:dyDescent="0.25">
      <c r="A658" t="s">
        <v>2108</v>
      </c>
      <c r="B658" s="8">
        <v>45520</v>
      </c>
      <c r="C658" s="8">
        <v>45525</v>
      </c>
      <c r="D658" t="s">
        <v>73</v>
      </c>
      <c r="E658" t="s">
        <v>1121</v>
      </c>
      <c r="F658" t="s">
        <v>2109</v>
      </c>
      <c r="G658">
        <v>8107002009</v>
      </c>
      <c r="H658" t="s">
        <v>43</v>
      </c>
      <c r="I658" t="s">
        <v>69</v>
      </c>
      <c r="J658" t="s">
        <v>307</v>
      </c>
      <c r="K658" t="s">
        <v>27</v>
      </c>
      <c r="L658" t="s">
        <v>173</v>
      </c>
      <c r="M658" t="s">
        <v>380</v>
      </c>
      <c r="N658">
        <v>17</v>
      </c>
      <c r="O658">
        <v>2986.02</v>
      </c>
      <c r="P658">
        <v>15</v>
      </c>
      <c r="Q658">
        <v>7614.35</v>
      </c>
      <c r="R658">
        <v>43147.99</v>
      </c>
      <c r="S658">
        <v>6809.92</v>
      </c>
    </row>
    <row r="659" spans="1:19" ht="15" customHeight="1" x14ac:dyDescent="0.25">
      <c r="A659" t="s">
        <v>2110</v>
      </c>
      <c r="B659" s="8">
        <v>45503</v>
      </c>
      <c r="C659" s="8">
        <v>45505</v>
      </c>
      <c r="D659" t="s">
        <v>20</v>
      </c>
      <c r="E659" t="s">
        <v>2111</v>
      </c>
      <c r="F659" t="s">
        <v>2112</v>
      </c>
      <c r="G659">
        <v>7062144375</v>
      </c>
      <c r="H659" t="s">
        <v>43</v>
      </c>
      <c r="I659" t="s">
        <v>61</v>
      </c>
      <c r="J659" t="s">
        <v>62</v>
      </c>
      <c r="K659" t="s">
        <v>108</v>
      </c>
      <c r="L659" t="s">
        <v>183</v>
      </c>
      <c r="M659" t="s">
        <v>869</v>
      </c>
      <c r="N659">
        <v>6</v>
      </c>
      <c r="O659">
        <v>28051.200000000001</v>
      </c>
      <c r="P659">
        <v>25</v>
      </c>
      <c r="Q659">
        <v>42076.800000000003</v>
      </c>
      <c r="R659">
        <v>126230.39999999999</v>
      </c>
      <c r="S659">
        <v>39792.720000000001</v>
      </c>
    </row>
    <row r="660" spans="1:19" ht="15" customHeight="1" x14ac:dyDescent="0.25">
      <c r="A660" t="s">
        <v>2113</v>
      </c>
      <c r="B660" s="8">
        <v>45274</v>
      </c>
      <c r="C660" s="8">
        <v>45277</v>
      </c>
      <c r="D660" t="s">
        <v>20</v>
      </c>
      <c r="E660" t="s">
        <v>2114</v>
      </c>
      <c r="F660" t="s">
        <v>2115</v>
      </c>
      <c r="G660">
        <v>8033670591</v>
      </c>
      <c r="H660" t="s">
        <v>24</v>
      </c>
      <c r="I660" t="s">
        <v>51</v>
      </c>
      <c r="J660" t="s">
        <v>131</v>
      </c>
      <c r="K660" t="s">
        <v>85</v>
      </c>
      <c r="L660" t="s">
        <v>86</v>
      </c>
      <c r="M660" t="s">
        <v>584</v>
      </c>
      <c r="N660">
        <v>16</v>
      </c>
      <c r="O660">
        <v>93902.63</v>
      </c>
      <c r="P660">
        <v>10</v>
      </c>
      <c r="Q660">
        <v>150244.21</v>
      </c>
      <c r="R660">
        <v>1352197.87</v>
      </c>
      <c r="S660">
        <v>413698.95</v>
      </c>
    </row>
    <row r="661" spans="1:19" ht="15" customHeight="1" x14ac:dyDescent="0.25">
      <c r="A661" t="s">
        <v>2116</v>
      </c>
      <c r="B661" s="8">
        <v>45422</v>
      </c>
      <c r="C661" s="8">
        <v>45422</v>
      </c>
      <c r="D661" t="s">
        <v>32</v>
      </c>
      <c r="E661" t="s">
        <v>2117</v>
      </c>
      <c r="F661" t="s">
        <v>2118</v>
      </c>
      <c r="G661">
        <v>8061627774</v>
      </c>
      <c r="H661" t="s">
        <v>35</v>
      </c>
      <c r="I661" t="s">
        <v>61</v>
      </c>
      <c r="J661" t="s">
        <v>95</v>
      </c>
      <c r="K661" t="s">
        <v>96</v>
      </c>
      <c r="L661" t="s">
        <v>189</v>
      </c>
      <c r="M661" t="s">
        <v>325</v>
      </c>
      <c r="N661">
        <v>1</v>
      </c>
      <c r="O661">
        <v>278841.99</v>
      </c>
      <c r="P661">
        <v>0</v>
      </c>
      <c r="Q661">
        <v>0</v>
      </c>
      <c r="R661">
        <v>278841.99</v>
      </c>
      <c r="S661">
        <v>11905.31</v>
      </c>
    </row>
    <row r="662" spans="1:19" ht="15" customHeight="1" x14ac:dyDescent="0.25">
      <c r="A662" t="s">
        <v>2119</v>
      </c>
      <c r="B662" s="8" t="s">
        <v>2120</v>
      </c>
      <c r="C662" s="8">
        <v>44966</v>
      </c>
      <c r="D662" t="s">
        <v>73</v>
      </c>
      <c r="E662" t="s">
        <v>1037</v>
      </c>
      <c r="F662" t="s">
        <v>2121</v>
      </c>
      <c r="G662">
        <v>8134375454</v>
      </c>
      <c r="H662" t="s">
        <v>35</v>
      </c>
      <c r="I662" t="s">
        <v>69</v>
      </c>
      <c r="J662" t="s">
        <v>70</v>
      </c>
      <c r="K662" t="s">
        <v>85</v>
      </c>
      <c r="L662" t="s">
        <v>486</v>
      </c>
      <c r="M662" t="s">
        <v>527</v>
      </c>
      <c r="N662">
        <v>7</v>
      </c>
      <c r="O662">
        <v>147091.62</v>
      </c>
      <c r="P662" t="s">
        <v>376</v>
      </c>
      <c r="Q662">
        <v>0</v>
      </c>
      <c r="R662">
        <v>1029641.34</v>
      </c>
      <c r="S662">
        <v>205171.24</v>
      </c>
    </row>
    <row r="663" spans="1:19" ht="15" customHeight="1" x14ac:dyDescent="0.25">
      <c r="A663" t="s">
        <v>2122</v>
      </c>
      <c r="B663" s="8">
        <v>44572</v>
      </c>
      <c r="C663" s="8">
        <v>44576</v>
      </c>
      <c r="D663" t="s">
        <v>73</v>
      </c>
      <c r="E663" t="s">
        <v>2123</v>
      </c>
      <c r="F663" t="s">
        <v>2124</v>
      </c>
      <c r="G663">
        <v>7034108891</v>
      </c>
      <c r="H663" t="s">
        <v>35</v>
      </c>
      <c r="I663" t="s">
        <v>25</v>
      </c>
      <c r="J663" t="s">
        <v>126</v>
      </c>
      <c r="K663" t="s">
        <v>27</v>
      </c>
      <c r="L663" t="s">
        <v>28</v>
      </c>
      <c r="M663" t="s">
        <v>508</v>
      </c>
      <c r="N663">
        <v>19</v>
      </c>
      <c r="O663">
        <v>6709.5</v>
      </c>
      <c r="P663">
        <v>20</v>
      </c>
      <c r="Q663">
        <v>25496.1</v>
      </c>
      <c r="R663">
        <v>101984.4</v>
      </c>
      <c r="S663">
        <v>15349.69</v>
      </c>
    </row>
    <row r="664" spans="1:19" ht="15" customHeight="1" x14ac:dyDescent="0.25">
      <c r="A664" t="s">
        <v>2125</v>
      </c>
      <c r="B664" s="8">
        <v>44699</v>
      </c>
      <c r="C664" s="8">
        <v>44703</v>
      </c>
      <c r="D664" t="s">
        <v>1823</v>
      </c>
      <c r="E664" t="s">
        <v>1097</v>
      </c>
      <c r="F664" t="s">
        <v>2126</v>
      </c>
      <c r="G664">
        <v>8032188961</v>
      </c>
      <c r="H664" t="s">
        <v>24</v>
      </c>
      <c r="I664" t="s">
        <v>51</v>
      </c>
      <c r="J664" t="s">
        <v>227</v>
      </c>
      <c r="K664" t="s">
        <v>27</v>
      </c>
      <c r="L664" t="s">
        <v>79</v>
      </c>
      <c r="M664" t="s">
        <v>490</v>
      </c>
      <c r="N664">
        <v>10</v>
      </c>
      <c r="O664">
        <v>6324.38</v>
      </c>
      <c r="P664">
        <v>0</v>
      </c>
      <c r="Q664">
        <v>0</v>
      </c>
      <c r="R664">
        <v>63243.8</v>
      </c>
      <c r="S664">
        <v>-5011.66</v>
      </c>
    </row>
    <row r="665" spans="1:19" ht="15" customHeight="1" x14ac:dyDescent="0.25">
      <c r="A665" t="s">
        <v>2127</v>
      </c>
      <c r="B665" s="8">
        <v>44608</v>
      </c>
      <c r="C665" s="8">
        <v>44610</v>
      </c>
      <c r="D665" t="s">
        <v>20</v>
      </c>
      <c r="E665" t="s">
        <v>2128</v>
      </c>
      <c r="F665" t="s">
        <v>2129</v>
      </c>
      <c r="G665">
        <v>7067004652</v>
      </c>
      <c r="H665" t="s">
        <v>24</v>
      </c>
      <c r="I665" t="s">
        <v>61</v>
      </c>
      <c r="J665" t="s">
        <v>95</v>
      </c>
      <c r="K665" t="s">
        <v>96</v>
      </c>
      <c r="L665" t="s">
        <v>385</v>
      </c>
      <c r="M665" t="s">
        <v>386</v>
      </c>
      <c r="N665">
        <v>19</v>
      </c>
      <c r="O665">
        <v>47528.05</v>
      </c>
      <c r="P665">
        <v>5</v>
      </c>
      <c r="Q665">
        <v>45151.65</v>
      </c>
      <c r="R665">
        <v>857881.3</v>
      </c>
      <c r="S665">
        <v>310481.94</v>
      </c>
    </row>
    <row r="666" spans="1:19" ht="15" customHeight="1" x14ac:dyDescent="0.25">
      <c r="A666" t="s">
        <v>2130</v>
      </c>
      <c r="B666" s="8">
        <v>44789</v>
      </c>
      <c r="C666" s="8">
        <v>44797</v>
      </c>
      <c r="D666" t="s">
        <v>48</v>
      </c>
      <c r="E666" t="s">
        <v>1413</v>
      </c>
      <c r="F666" t="s">
        <v>2131</v>
      </c>
      <c r="G666">
        <v>8036671458</v>
      </c>
      <c r="H666" t="s">
        <v>24</v>
      </c>
      <c r="I666" t="s">
        <v>51</v>
      </c>
      <c r="J666" t="s">
        <v>316</v>
      </c>
      <c r="L666" t="s">
        <v>38</v>
      </c>
      <c r="M666" t="s">
        <v>303</v>
      </c>
      <c r="N666">
        <v>2</v>
      </c>
      <c r="O666">
        <v>16385.27</v>
      </c>
      <c r="P666">
        <v>0</v>
      </c>
      <c r="Q666">
        <v>0</v>
      </c>
      <c r="R666">
        <v>32770.54</v>
      </c>
      <c r="S666">
        <v>-899.88</v>
      </c>
    </row>
    <row r="667" spans="1:19" ht="15" customHeight="1" x14ac:dyDescent="0.25">
      <c r="A667" t="s">
        <v>2132</v>
      </c>
      <c r="B667" s="8">
        <v>44711</v>
      </c>
      <c r="C667" s="8">
        <v>44711</v>
      </c>
      <c r="D667" t="s">
        <v>32</v>
      </c>
      <c r="E667" t="s">
        <v>2133</v>
      </c>
      <c r="F667" t="s">
        <v>2134</v>
      </c>
      <c r="G667">
        <v>9052352134</v>
      </c>
      <c r="H667" t="s">
        <v>35</v>
      </c>
      <c r="I667" t="s">
        <v>51</v>
      </c>
      <c r="J667" t="s">
        <v>52</v>
      </c>
      <c r="K667" t="s">
        <v>27</v>
      </c>
      <c r="L667" t="s">
        <v>28</v>
      </c>
      <c r="M667" t="s">
        <v>508</v>
      </c>
      <c r="N667">
        <v>2</v>
      </c>
      <c r="O667">
        <v>2382.91</v>
      </c>
      <c r="P667">
        <v>0</v>
      </c>
      <c r="Q667">
        <v>0</v>
      </c>
      <c r="R667">
        <v>4765.82</v>
      </c>
      <c r="S667">
        <v>-613.07000000000005</v>
      </c>
    </row>
    <row r="668" spans="1:19" ht="15" customHeight="1" x14ac:dyDescent="0.25">
      <c r="A668" t="s">
        <v>2135</v>
      </c>
      <c r="B668" s="8">
        <v>45183</v>
      </c>
      <c r="C668" s="8">
        <v>45183</v>
      </c>
      <c r="D668" t="s">
        <v>32</v>
      </c>
      <c r="E668" t="s">
        <v>890</v>
      </c>
      <c r="G668">
        <v>9024291258</v>
      </c>
      <c r="H668" t="s">
        <v>43</v>
      </c>
      <c r="I668" t="s">
        <v>61</v>
      </c>
      <c r="J668" t="s">
        <v>182</v>
      </c>
      <c r="K668" t="s">
        <v>27</v>
      </c>
      <c r="L668" t="s">
        <v>173</v>
      </c>
      <c r="M668" t="s">
        <v>662</v>
      </c>
      <c r="N668">
        <v>1</v>
      </c>
      <c r="O668">
        <v>5550.95</v>
      </c>
      <c r="P668">
        <v>25</v>
      </c>
      <c r="Q668">
        <v>1387.74</v>
      </c>
      <c r="R668">
        <v>4163.21</v>
      </c>
      <c r="S668">
        <v>579.95000000000005</v>
      </c>
    </row>
    <row r="669" spans="1:19" ht="15" customHeight="1" x14ac:dyDescent="0.25">
      <c r="A669" t="s">
        <v>2136</v>
      </c>
      <c r="B669" s="8">
        <v>45442</v>
      </c>
      <c r="C669" s="8">
        <v>45447</v>
      </c>
      <c r="D669" t="s">
        <v>73</v>
      </c>
      <c r="E669" t="s">
        <v>2137</v>
      </c>
      <c r="F669" t="s">
        <v>2138</v>
      </c>
      <c r="G669">
        <v>8068347629</v>
      </c>
      <c r="H669" t="s">
        <v>24</v>
      </c>
      <c r="I669" t="s">
        <v>69</v>
      </c>
      <c r="J669" t="s">
        <v>70</v>
      </c>
      <c r="K669" t="s">
        <v>96</v>
      </c>
      <c r="L669" t="s">
        <v>254</v>
      </c>
      <c r="M669" t="s">
        <v>455</v>
      </c>
      <c r="N669">
        <v>11</v>
      </c>
      <c r="O669">
        <v>168028.26</v>
      </c>
      <c r="P669">
        <v>15</v>
      </c>
      <c r="Q669">
        <v>277246.63</v>
      </c>
      <c r="R669">
        <v>1571064.23</v>
      </c>
      <c r="S669">
        <v>629747.19999999995</v>
      </c>
    </row>
    <row r="670" spans="1:19" ht="15" customHeight="1" x14ac:dyDescent="0.25">
      <c r="A670" t="s">
        <v>2139</v>
      </c>
      <c r="B670" s="8">
        <v>45027</v>
      </c>
      <c r="C670" s="8">
        <v>45035</v>
      </c>
      <c r="D670" t="s">
        <v>210</v>
      </c>
      <c r="E670" t="s">
        <v>2140</v>
      </c>
      <c r="F670" t="s">
        <v>2141</v>
      </c>
      <c r="G670">
        <v>9021249956</v>
      </c>
      <c r="H670" t="s">
        <v>35</v>
      </c>
      <c r="I670" t="s">
        <v>61</v>
      </c>
      <c r="J670" t="s">
        <v>62</v>
      </c>
      <c r="K670" t="s">
        <v>85</v>
      </c>
      <c r="L670" t="s">
        <v>86</v>
      </c>
      <c r="M670" t="s">
        <v>584</v>
      </c>
      <c r="N670">
        <v>15</v>
      </c>
      <c r="O670">
        <v>17744.59</v>
      </c>
      <c r="P670">
        <v>0</v>
      </c>
      <c r="Q670">
        <v>0</v>
      </c>
      <c r="R670">
        <v>266168.84999999998</v>
      </c>
      <c r="S670">
        <v>5205.62</v>
      </c>
    </row>
    <row r="671" spans="1:19" ht="15" customHeight="1" x14ac:dyDescent="0.25">
      <c r="A671" t="s">
        <v>2142</v>
      </c>
      <c r="B671" s="8">
        <v>45160</v>
      </c>
      <c r="C671" s="8">
        <v>45163</v>
      </c>
      <c r="D671" t="s">
        <v>73</v>
      </c>
      <c r="E671" t="s">
        <v>431</v>
      </c>
      <c r="F671" t="s">
        <v>2143</v>
      </c>
      <c r="G671">
        <v>9073053134</v>
      </c>
      <c r="H671" t="s">
        <v>24</v>
      </c>
      <c r="I671" t="s">
        <v>51</v>
      </c>
      <c r="J671" t="s">
        <v>223</v>
      </c>
      <c r="K671" t="s">
        <v>96</v>
      </c>
      <c r="L671" t="s">
        <v>120</v>
      </c>
      <c r="M671" t="s">
        <v>367</v>
      </c>
      <c r="N671">
        <v>7</v>
      </c>
      <c r="O671">
        <v>423191.01</v>
      </c>
      <c r="P671">
        <v>20</v>
      </c>
      <c r="Q671">
        <v>592467.41</v>
      </c>
      <c r="R671">
        <v>2369869.66</v>
      </c>
      <c r="S671">
        <v>647337.27</v>
      </c>
    </row>
    <row r="672" spans="1:19" ht="15" customHeight="1" x14ac:dyDescent="0.25">
      <c r="A672" t="s">
        <v>2144</v>
      </c>
      <c r="B672" s="8">
        <v>45313</v>
      </c>
      <c r="C672" s="8">
        <v>45316</v>
      </c>
      <c r="D672" t="s">
        <v>20</v>
      </c>
      <c r="E672" t="s">
        <v>319</v>
      </c>
      <c r="F672" t="s">
        <v>2145</v>
      </c>
      <c r="G672">
        <v>7039446412</v>
      </c>
      <c r="H672" t="s">
        <v>785</v>
      </c>
      <c r="I672" t="s">
        <v>51</v>
      </c>
      <c r="J672" t="s">
        <v>131</v>
      </c>
      <c r="K672" t="s">
        <v>96</v>
      </c>
      <c r="L672" t="s">
        <v>120</v>
      </c>
      <c r="M672" t="s">
        <v>367</v>
      </c>
      <c r="N672">
        <v>20</v>
      </c>
      <c r="O672">
        <v>406685.04</v>
      </c>
      <c r="P672">
        <v>20</v>
      </c>
      <c r="Q672">
        <v>1626740.16</v>
      </c>
      <c r="R672">
        <v>6506960.6399999997</v>
      </c>
      <c r="S672">
        <v>116281.39</v>
      </c>
    </row>
    <row r="673" spans="1:19" ht="15" customHeight="1" x14ac:dyDescent="0.25">
      <c r="A673" t="s">
        <v>2146</v>
      </c>
      <c r="B673" s="8">
        <v>45186</v>
      </c>
      <c r="C673" s="8">
        <v>45191</v>
      </c>
      <c r="D673" t="s">
        <v>73</v>
      </c>
      <c r="E673" t="s">
        <v>2147</v>
      </c>
      <c r="F673" t="s">
        <v>2148</v>
      </c>
      <c r="G673">
        <v>7033381714</v>
      </c>
      <c r="H673" t="s">
        <v>24</v>
      </c>
      <c r="I673" t="s">
        <v>61</v>
      </c>
      <c r="J673" t="s">
        <v>62</v>
      </c>
      <c r="K673" t="s">
        <v>96</v>
      </c>
      <c r="L673" t="s">
        <v>385</v>
      </c>
      <c r="M673" t="s">
        <v>942</v>
      </c>
      <c r="N673">
        <v>15</v>
      </c>
      <c r="O673">
        <v>297710.02</v>
      </c>
      <c r="P673">
        <v>0</v>
      </c>
      <c r="Q673">
        <v>0</v>
      </c>
      <c r="R673">
        <v>4465650.3</v>
      </c>
      <c r="S673">
        <v>-612804.26</v>
      </c>
    </row>
    <row r="674" spans="1:19" ht="15" customHeight="1" x14ac:dyDescent="0.25">
      <c r="A674" t="s">
        <v>2149</v>
      </c>
      <c r="B674" s="8">
        <v>45177</v>
      </c>
      <c r="C674" s="8">
        <v>45177</v>
      </c>
      <c r="D674" t="s">
        <v>32</v>
      </c>
      <c r="E674" t="s">
        <v>1317</v>
      </c>
      <c r="F674" t="s">
        <v>2150</v>
      </c>
      <c r="G674">
        <v>8141316224</v>
      </c>
      <c r="H674" t="s">
        <v>43</v>
      </c>
      <c r="I674" t="s">
        <v>25</v>
      </c>
      <c r="J674" t="s">
        <v>44</v>
      </c>
      <c r="K674" t="s">
        <v>108</v>
      </c>
      <c r="L674" t="s">
        <v>183</v>
      </c>
      <c r="M674" t="s">
        <v>869</v>
      </c>
      <c r="N674">
        <v>7</v>
      </c>
      <c r="O674">
        <v>3909.87</v>
      </c>
      <c r="P674">
        <v>15</v>
      </c>
      <c r="Q674">
        <v>4105.3599999999997</v>
      </c>
      <c r="R674">
        <v>23263.73</v>
      </c>
      <c r="S674">
        <v>-915.29</v>
      </c>
    </row>
    <row r="675" spans="1:19" ht="15" customHeight="1" x14ac:dyDescent="0.25">
      <c r="A675" t="s">
        <v>2151</v>
      </c>
      <c r="B675" s="8" t="s">
        <v>2152</v>
      </c>
      <c r="C675" s="8">
        <v>44629</v>
      </c>
      <c r="D675" t="s">
        <v>20</v>
      </c>
      <c r="E675" t="s">
        <v>2153</v>
      </c>
      <c r="F675" t="s">
        <v>2154</v>
      </c>
      <c r="G675">
        <v>8035404568</v>
      </c>
      <c r="H675" t="s">
        <v>35</v>
      </c>
      <c r="I675" t="s">
        <v>69</v>
      </c>
      <c r="J675" t="s">
        <v>155</v>
      </c>
      <c r="K675" t="s">
        <v>27</v>
      </c>
      <c r="L675" t="s">
        <v>354</v>
      </c>
      <c r="M675" t="s">
        <v>355</v>
      </c>
      <c r="N675">
        <v>20</v>
      </c>
      <c r="O675">
        <v>2925.27</v>
      </c>
      <c r="P675">
        <v>15</v>
      </c>
      <c r="Q675">
        <v>8775.81</v>
      </c>
      <c r="R675">
        <v>49729.59</v>
      </c>
      <c r="S675">
        <v>18372.37</v>
      </c>
    </row>
    <row r="676" spans="1:19" ht="15" customHeight="1" x14ac:dyDescent="0.25">
      <c r="A676" t="s">
        <v>2155</v>
      </c>
      <c r="B676" s="8">
        <v>45150</v>
      </c>
      <c r="C676" s="8">
        <v>45151</v>
      </c>
      <c r="D676" t="s">
        <v>32</v>
      </c>
      <c r="E676" t="s">
        <v>1266</v>
      </c>
      <c r="F676" t="s">
        <v>1267</v>
      </c>
      <c r="G676">
        <v>8107397002</v>
      </c>
      <c r="H676" t="s">
        <v>24</v>
      </c>
      <c r="I676" t="s">
        <v>25</v>
      </c>
      <c r="J676" t="s">
        <v>26</v>
      </c>
      <c r="K676" t="s">
        <v>108</v>
      </c>
      <c r="L676" t="s">
        <v>109</v>
      </c>
      <c r="M676" t="s">
        <v>1258</v>
      </c>
      <c r="N676">
        <v>9</v>
      </c>
      <c r="O676">
        <v>41031.64</v>
      </c>
      <c r="P676">
        <v>10</v>
      </c>
      <c r="Q676">
        <v>36928.480000000003</v>
      </c>
      <c r="R676">
        <v>332356.28000000003</v>
      </c>
      <c r="S676">
        <v>-32796.21</v>
      </c>
    </row>
    <row r="677" spans="1:19" ht="15" customHeight="1" x14ac:dyDescent="0.25">
      <c r="A677" t="s">
        <v>2156</v>
      </c>
      <c r="B677" s="8">
        <v>45370</v>
      </c>
      <c r="C677" s="8">
        <v>45372</v>
      </c>
      <c r="D677" t="s">
        <v>20</v>
      </c>
      <c r="E677" t="s">
        <v>331</v>
      </c>
      <c r="F677" t="s">
        <v>2157</v>
      </c>
      <c r="G677">
        <v>8165202915</v>
      </c>
      <c r="H677" t="s">
        <v>43</v>
      </c>
      <c r="I677" t="s">
        <v>61</v>
      </c>
      <c r="J677" t="s">
        <v>84</v>
      </c>
      <c r="L677" t="s">
        <v>79</v>
      </c>
      <c r="M677" t="s">
        <v>145</v>
      </c>
      <c r="N677">
        <v>11</v>
      </c>
      <c r="O677">
        <v>2663.09</v>
      </c>
      <c r="P677">
        <v>10</v>
      </c>
      <c r="Q677">
        <v>2929.4</v>
      </c>
      <c r="R677">
        <v>26364.59</v>
      </c>
      <c r="S677">
        <v>9453.17</v>
      </c>
    </row>
    <row r="678" spans="1:19" ht="15" customHeight="1" x14ac:dyDescent="0.25">
      <c r="A678" t="s">
        <v>2158</v>
      </c>
      <c r="B678" s="8">
        <v>44580</v>
      </c>
      <c r="C678" s="8">
        <v>44581</v>
      </c>
      <c r="D678" t="s">
        <v>32</v>
      </c>
      <c r="E678" t="s">
        <v>2159</v>
      </c>
      <c r="F678" t="s">
        <v>2160</v>
      </c>
      <c r="G678">
        <v>9074654790</v>
      </c>
      <c r="H678" t="s">
        <v>35</v>
      </c>
      <c r="I678" t="s">
        <v>69</v>
      </c>
      <c r="J678" t="s">
        <v>70</v>
      </c>
      <c r="K678" t="s">
        <v>108</v>
      </c>
      <c r="L678" t="s">
        <v>114</v>
      </c>
      <c r="M678" t="s">
        <v>891</v>
      </c>
      <c r="N678">
        <v>9</v>
      </c>
      <c r="O678">
        <v>42369.87</v>
      </c>
      <c r="P678">
        <v>25</v>
      </c>
      <c r="Q678">
        <v>95332.21</v>
      </c>
      <c r="R678">
        <v>285996.62</v>
      </c>
      <c r="S678">
        <v>10986.82</v>
      </c>
    </row>
    <row r="679" spans="1:19" ht="15" customHeight="1" x14ac:dyDescent="0.25">
      <c r="A679" t="s">
        <v>2161</v>
      </c>
      <c r="B679" s="8">
        <v>45127</v>
      </c>
      <c r="C679" s="8">
        <v>45130</v>
      </c>
      <c r="D679" t="s">
        <v>20</v>
      </c>
      <c r="E679" t="s">
        <v>1382</v>
      </c>
      <c r="F679" t="s">
        <v>1383</v>
      </c>
      <c r="G679">
        <v>9073927545</v>
      </c>
      <c r="H679" t="s">
        <v>35</v>
      </c>
      <c r="I679" t="s">
        <v>25</v>
      </c>
      <c r="J679" t="s">
        <v>168</v>
      </c>
      <c r="K679" t="s">
        <v>85</v>
      </c>
      <c r="L679" t="s">
        <v>266</v>
      </c>
      <c r="M679" t="s">
        <v>267</v>
      </c>
      <c r="N679">
        <v>2</v>
      </c>
      <c r="O679">
        <v>48019.66</v>
      </c>
      <c r="P679">
        <v>0</v>
      </c>
      <c r="Q679">
        <v>0</v>
      </c>
      <c r="R679">
        <v>96039.32</v>
      </c>
      <c r="S679">
        <v>25034.07</v>
      </c>
    </row>
    <row r="680" spans="1:19" ht="15" customHeight="1" x14ac:dyDescent="0.25">
      <c r="A680" t="s">
        <v>2162</v>
      </c>
      <c r="B680" s="8">
        <v>45028</v>
      </c>
      <c r="C680" s="8">
        <v>45033</v>
      </c>
      <c r="D680" t="s">
        <v>48</v>
      </c>
      <c r="E680" t="s">
        <v>2163</v>
      </c>
      <c r="F680" t="s">
        <v>2164</v>
      </c>
      <c r="G680">
        <v>9076927978</v>
      </c>
      <c r="H680" t="s">
        <v>43</v>
      </c>
      <c r="I680" t="s">
        <v>69</v>
      </c>
      <c r="J680" t="s">
        <v>155</v>
      </c>
      <c r="K680" t="s">
        <v>27</v>
      </c>
      <c r="L680" t="s">
        <v>79</v>
      </c>
      <c r="M680" t="s">
        <v>234</v>
      </c>
      <c r="N680">
        <v>4</v>
      </c>
      <c r="O680">
        <v>2107.17</v>
      </c>
      <c r="P680">
        <v>0</v>
      </c>
      <c r="Q680">
        <v>0</v>
      </c>
      <c r="R680" t="s">
        <v>2165</v>
      </c>
      <c r="S680">
        <v>1299.3900000000001</v>
      </c>
    </row>
    <row r="681" spans="1:19" ht="15" customHeight="1" x14ac:dyDescent="0.25">
      <c r="A681" t="s">
        <v>2166</v>
      </c>
      <c r="B681" s="8">
        <v>44979</v>
      </c>
      <c r="C681" s="8">
        <v>44983</v>
      </c>
      <c r="D681" t="s">
        <v>73</v>
      </c>
      <c r="E681" t="s">
        <v>1027</v>
      </c>
      <c r="F681" t="s">
        <v>2167</v>
      </c>
      <c r="G681">
        <v>8068155068</v>
      </c>
      <c r="H681" t="s">
        <v>35</v>
      </c>
      <c r="I681" t="s">
        <v>25</v>
      </c>
      <c r="J681" t="s">
        <v>36</v>
      </c>
      <c r="K681" t="s">
        <v>1119</v>
      </c>
      <c r="L681" t="s">
        <v>54</v>
      </c>
      <c r="M681" t="s">
        <v>1039</v>
      </c>
      <c r="N681">
        <v>12</v>
      </c>
      <c r="O681">
        <v>8500.24</v>
      </c>
      <c r="P681">
        <v>10</v>
      </c>
      <c r="Q681">
        <v>10200.290000000001</v>
      </c>
      <c r="R681">
        <v>91802.59</v>
      </c>
      <c r="S681">
        <v>39939.57</v>
      </c>
    </row>
    <row r="682" spans="1:19" ht="15" customHeight="1" x14ac:dyDescent="0.25">
      <c r="A682" t="s">
        <v>1275</v>
      </c>
      <c r="B682" s="8">
        <v>44917</v>
      </c>
      <c r="C682" s="8">
        <v>44921</v>
      </c>
      <c r="D682" t="s">
        <v>73</v>
      </c>
      <c r="E682" t="s">
        <v>1276</v>
      </c>
      <c r="G682">
        <v>8037044627</v>
      </c>
      <c r="H682" t="s">
        <v>785</v>
      </c>
      <c r="I682" t="s">
        <v>69</v>
      </c>
      <c r="J682" t="s">
        <v>70</v>
      </c>
      <c r="K682" t="s">
        <v>108</v>
      </c>
      <c r="L682" t="s">
        <v>109</v>
      </c>
      <c r="M682" t="s">
        <v>157</v>
      </c>
      <c r="N682">
        <v>5</v>
      </c>
      <c r="O682">
        <v>44890.61</v>
      </c>
      <c r="P682">
        <v>0</v>
      </c>
      <c r="Q682">
        <v>0</v>
      </c>
      <c r="R682">
        <v>224453.05</v>
      </c>
      <c r="S682">
        <v>-32105.39</v>
      </c>
    </row>
    <row r="683" spans="1:19" ht="15" customHeight="1" x14ac:dyDescent="0.25">
      <c r="A683" t="s">
        <v>2168</v>
      </c>
      <c r="B683" s="8">
        <v>44890</v>
      </c>
      <c r="C683" s="8">
        <v>44897</v>
      </c>
      <c r="D683" t="s">
        <v>48</v>
      </c>
      <c r="E683" t="s">
        <v>147</v>
      </c>
      <c r="F683" t="s">
        <v>2169</v>
      </c>
      <c r="G683">
        <v>9051428411</v>
      </c>
      <c r="H683" t="s">
        <v>43</v>
      </c>
      <c r="I683" t="s">
        <v>51</v>
      </c>
      <c r="J683" t="s">
        <v>316</v>
      </c>
      <c r="K683" t="s">
        <v>96</v>
      </c>
      <c r="L683" t="s">
        <v>254</v>
      </c>
      <c r="M683" t="s">
        <v>255</v>
      </c>
      <c r="N683">
        <v>17</v>
      </c>
      <c r="O683">
        <v>366494.88</v>
      </c>
      <c r="P683">
        <v>25</v>
      </c>
      <c r="Q683">
        <v>1557603.24</v>
      </c>
      <c r="R683">
        <v>4672809.72</v>
      </c>
      <c r="S683">
        <v>1495674.28</v>
      </c>
    </row>
    <row r="684" spans="1:19" ht="15" customHeight="1" x14ac:dyDescent="0.25">
      <c r="A684" t="s">
        <v>1461</v>
      </c>
      <c r="B684" s="8">
        <v>45341</v>
      </c>
      <c r="C684" s="8">
        <v>45343</v>
      </c>
      <c r="D684" t="s">
        <v>20</v>
      </c>
      <c r="E684" t="s">
        <v>2170</v>
      </c>
      <c r="F684" t="s">
        <v>1463</v>
      </c>
      <c r="G684">
        <v>7066893320</v>
      </c>
      <c r="H684" t="s">
        <v>35</v>
      </c>
      <c r="I684" t="s">
        <v>51</v>
      </c>
      <c r="J684" t="s">
        <v>227</v>
      </c>
      <c r="K684" t="s">
        <v>96</v>
      </c>
      <c r="L684" t="s">
        <v>385</v>
      </c>
      <c r="M684" t="s">
        <v>781</v>
      </c>
      <c r="N684">
        <v>10</v>
      </c>
      <c r="O684">
        <v>117060.61</v>
      </c>
      <c r="P684">
        <v>0</v>
      </c>
      <c r="Q684">
        <v>0</v>
      </c>
      <c r="R684">
        <v>1170606.1000000001</v>
      </c>
      <c r="S684">
        <v>463833.25</v>
      </c>
    </row>
    <row r="685" spans="1:19" ht="15" customHeight="1" x14ac:dyDescent="0.25">
      <c r="A685" t="s">
        <v>2171</v>
      </c>
      <c r="B685" s="8">
        <v>44869</v>
      </c>
      <c r="C685" s="8">
        <v>44877</v>
      </c>
      <c r="D685" t="s">
        <v>48</v>
      </c>
      <c r="E685" t="s">
        <v>1602</v>
      </c>
      <c r="F685" t="s">
        <v>2172</v>
      </c>
      <c r="G685">
        <v>9059447259</v>
      </c>
      <c r="H685" t="s">
        <v>43</v>
      </c>
      <c r="I685" t="s">
        <v>51</v>
      </c>
      <c r="J685" t="s">
        <v>131</v>
      </c>
      <c r="K685" t="s">
        <v>27</v>
      </c>
      <c r="L685" t="s">
        <v>173</v>
      </c>
      <c r="M685" t="s">
        <v>662</v>
      </c>
      <c r="N685">
        <v>4</v>
      </c>
      <c r="O685">
        <v>4450.05</v>
      </c>
      <c r="P685">
        <v>-10</v>
      </c>
      <c r="Q685">
        <v>4450.05</v>
      </c>
      <c r="R685">
        <v>13350.15</v>
      </c>
      <c r="S685">
        <v>4391.18</v>
      </c>
    </row>
    <row r="686" spans="1:19" ht="15" customHeight="1" x14ac:dyDescent="0.25">
      <c r="A686" t="s">
        <v>2173</v>
      </c>
      <c r="B686" s="8">
        <v>45211</v>
      </c>
      <c r="C686" s="8">
        <v>45212</v>
      </c>
      <c r="D686" t="s">
        <v>32</v>
      </c>
      <c r="E686" t="s">
        <v>852</v>
      </c>
      <c r="F686" t="s">
        <v>2174</v>
      </c>
      <c r="G686">
        <v>8136514410</v>
      </c>
      <c r="H686" t="s">
        <v>24</v>
      </c>
      <c r="I686" t="s">
        <v>69</v>
      </c>
      <c r="J686" t="s">
        <v>155</v>
      </c>
      <c r="K686" t="s">
        <v>85</v>
      </c>
      <c r="L686" t="s">
        <v>243</v>
      </c>
      <c r="M686" t="s">
        <v>613</v>
      </c>
      <c r="N686">
        <v>4</v>
      </c>
      <c r="O686" t="s">
        <v>2175</v>
      </c>
      <c r="P686">
        <v>5</v>
      </c>
      <c r="Q686">
        <v>17280.25</v>
      </c>
      <c r="R686">
        <v>328324.71000000002</v>
      </c>
      <c r="S686">
        <v>38415.47</v>
      </c>
    </row>
    <row r="687" spans="1:19" ht="15" customHeight="1" x14ac:dyDescent="0.25">
      <c r="A687" t="s">
        <v>2176</v>
      </c>
      <c r="B687" s="8">
        <v>45597</v>
      </c>
      <c r="C687" s="8">
        <v>45599</v>
      </c>
      <c r="D687" t="s">
        <v>20</v>
      </c>
      <c r="E687" t="s">
        <v>2177</v>
      </c>
      <c r="F687" t="s">
        <v>2178</v>
      </c>
      <c r="G687">
        <v>9054864628</v>
      </c>
      <c r="H687" t="s">
        <v>35</v>
      </c>
      <c r="I687" t="s">
        <v>69</v>
      </c>
      <c r="J687" t="s">
        <v>144</v>
      </c>
      <c r="K687" t="s">
        <v>108</v>
      </c>
      <c r="L687" t="s">
        <v>183</v>
      </c>
      <c r="M687" t="s">
        <v>372</v>
      </c>
      <c r="N687">
        <v>5</v>
      </c>
      <c r="O687">
        <v>26481.72</v>
      </c>
      <c r="P687">
        <v>25</v>
      </c>
      <c r="Q687">
        <v>33102.15</v>
      </c>
      <c r="R687">
        <v>99306.45</v>
      </c>
      <c r="S687">
        <v>-301.26</v>
      </c>
    </row>
    <row r="688" spans="1:19" ht="15" customHeight="1" x14ac:dyDescent="0.25">
      <c r="A688" t="s">
        <v>2179</v>
      </c>
      <c r="B688" s="8">
        <v>45095</v>
      </c>
      <c r="C688" s="8">
        <v>45099</v>
      </c>
      <c r="D688" t="s">
        <v>73</v>
      </c>
      <c r="E688" t="s">
        <v>2180</v>
      </c>
      <c r="F688" t="s">
        <v>2181</v>
      </c>
      <c r="G688">
        <v>8067853539</v>
      </c>
      <c r="H688" t="s">
        <v>24</v>
      </c>
      <c r="I688" t="s">
        <v>69</v>
      </c>
      <c r="J688" t="s">
        <v>155</v>
      </c>
      <c r="K688" t="s">
        <v>108</v>
      </c>
      <c r="L688" t="s">
        <v>189</v>
      </c>
      <c r="M688" t="s">
        <v>190</v>
      </c>
      <c r="N688">
        <v>7</v>
      </c>
      <c r="O688">
        <v>26768.51</v>
      </c>
      <c r="P688">
        <v>0</v>
      </c>
      <c r="Q688">
        <v>0</v>
      </c>
      <c r="R688">
        <v>187379.57</v>
      </c>
      <c r="S688">
        <v>70425.38</v>
      </c>
    </row>
    <row r="689" spans="1:19" ht="15" customHeight="1" x14ac:dyDescent="0.25">
      <c r="A689" t="s">
        <v>2182</v>
      </c>
      <c r="B689" s="8">
        <v>45101</v>
      </c>
      <c r="C689" s="8">
        <v>45102</v>
      </c>
      <c r="D689" t="s">
        <v>32</v>
      </c>
      <c r="E689" t="s">
        <v>729</v>
      </c>
      <c r="F689" t="s">
        <v>730</v>
      </c>
      <c r="G689">
        <v>8038238024</v>
      </c>
      <c r="H689" t="s">
        <v>35</v>
      </c>
      <c r="I689" t="s">
        <v>25</v>
      </c>
      <c r="J689" t="s">
        <v>126</v>
      </c>
      <c r="K689" t="s">
        <v>96</v>
      </c>
      <c r="L689" t="s">
        <v>385</v>
      </c>
      <c r="M689" t="s">
        <v>743</v>
      </c>
      <c r="N689">
        <v>17</v>
      </c>
      <c r="O689">
        <v>72584.320000000007</v>
      </c>
      <c r="P689">
        <v>15</v>
      </c>
      <c r="Q689">
        <v>185090.02</v>
      </c>
      <c r="R689" t="s">
        <v>2183</v>
      </c>
      <c r="S689">
        <v>411730.02</v>
      </c>
    </row>
    <row r="690" spans="1:19" ht="15" customHeight="1" x14ac:dyDescent="0.25">
      <c r="A690" t="s">
        <v>2184</v>
      </c>
      <c r="B690" s="8">
        <v>45162</v>
      </c>
      <c r="C690" s="8">
        <v>45165</v>
      </c>
      <c r="D690" t="s">
        <v>73</v>
      </c>
      <c r="E690" t="s">
        <v>1488</v>
      </c>
      <c r="F690" t="s">
        <v>2185</v>
      </c>
      <c r="G690">
        <v>9052808110</v>
      </c>
      <c r="H690" t="s">
        <v>43</v>
      </c>
      <c r="I690" t="s">
        <v>51</v>
      </c>
      <c r="J690" t="s">
        <v>131</v>
      </c>
      <c r="K690" t="s">
        <v>2186</v>
      </c>
      <c r="L690" t="s">
        <v>120</v>
      </c>
      <c r="M690" t="s">
        <v>367</v>
      </c>
      <c r="N690">
        <v>14</v>
      </c>
      <c r="O690">
        <v>428214.79</v>
      </c>
      <c r="P690">
        <v>20</v>
      </c>
      <c r="Q690">
        <v>1199001.4099999999</v>
      </c>
      <c r="R690">
        <v>4796005.6500000004</v>
      </c>
      <c r="S690">
        <v>1412032.73</v>
      </c>
    </row>
    <row r="691" spans="1:19" ht="15" customHeight="1" x14ac:dyDescent="0.25">
      <c r="A691" t="s">
        <v>2187</v>
      </c>
      <c r="B691" s="8">
        <v>44937</v>
      </c>
      <c r="C691" s="8">
        <v>44942</v>
      </c>
      <c r="D691" t="s">
        <v>73</v>
      </c>
      <c r="E691" t="s">
        <v>2188</v>
      </c>
      <c r="F691" t="s">
        <v>2189</v>
      </c>
      <c r="G691">
        <v>8101130589</v>
      </c>
      <c r="H691" t="s">
        <v>43</v>
      </c>
      <c r="I691" t="s">
        <v>69</v>
      </c>
      <c r="J691" t="s">
        <v>144</v>
      </c>
      <c r="K691" t="s">
        <v>2190</v>
      </c>
      <c r="L691" t="s">
        <v>173</v>
      </c>
      <c r="M691" t="s">
        <v>174</v>
      </c>
      <c r="N691">
        <v>15</v>
      </c>
      <c r="O691">
        <v>5489.08</v>
      </c>
      <c r="P691">
        <v>15</v>
      </c>
      <c r="Q691">
        <v>12350.43</v>
      </c>
      <c r="R691">
        <v>69985.77</v>
      </c>
      <c r="S691">
        <v>2957.75</v>
      </c>
    </row>
    <row r="692" spans="1:19" ht="15" customHeight="1" x14ac:dyDescent="0.25">
      <c r="A692" t="s">
        <v>2191</v>
      </c>
      <c r="B692" s="8">
        <v>44760</v>
      </c>
      <c r="C692" s="8">
        <v>44762</v>
      </c>
      <c r="D692" t="s">
        <v>20</v>
      </c>
      <c r="E692" t="s">
        <v>1300</v>
      </c>
      <c r="F692" t="s">
        <v>1861</v>
      </c>
      <c r="G692">
        <v>8039685189</v>
      </c>
      <c r="H692" t="s">
        <v>24</v>
      </c>
      <c r="I692" t="s">
        <v>2192</v>
      </c>
      <c r="J692" t="s">
        <v>84</v>
      </c>
      <c r="K692" t="s">
        <v>27</v>
      </c>
      <c r="L692" t="s">
        <v>173</v>
      </c>
      <c r="M692" t="s">
        <v>1795</v>
      </c>
      <c r="N692">
        <v>14</v>
      </c>
      <c r="O692">
        <v>6799.3</v>
      </c>
      <c r="P692">
        <v>10</v>
      </c>
      <c r="Q692">
        <v>9519.02</v>
      </c>
      <c r="R692">
        <v>85671.18</v>
      </c>
      <c r="S692">
        <v>3742.12</v>
      </c>
    </row>
    <row r="693" spans="1:19" ht="15" customHeight="1" x14ac:dyDescent="0.25">
      <c r="A693" t="s">
        <v>2193</v>
      </c>
      <c r="B693" s="8">
        <v>44993</v>
      </c>
      <c r="C693" s="8">
        <v>45001</v>
      </c>
      <c r="D693" t="s">
        <v>48</v>
      </c>
      <c r="E693" t="s">
        <v>2194</v>
      </c>
      <c r="F693" t="s">
        <v>2195</v>
      </c>
      <c r="G693">
        <v>8066827492</v>
      </c>
      <c r="H693" t="s">
        <v>35</v>
      </c>
      <c r="I693" t="s">
        <v>51</v>
      </c>
      <c r="J693" t="s">
        <v>131</v>
      </c>
      <c r="K693" t="s">
        <v>63</v>
      </c>
      <c r="L693" t="s">
        <v>54</v>
      </c>
      <c r="M693" t="s">
        <v>1039</v>
      </c>
      <c r="N693">
        <v>16</v>
      </c>
      <c r="O693">
        <v>7552.16</v>
      </c>
      <c r="P693">
        <v>20</v>
      </c>
      <c r="Q693">
        <v>24166.91</v>
      </c>
      <c r="R693">
        <v>96667.65</v>
      </c>
      <c r="S693">
        <v>-1529.28</v>
      </c>
    </row>
    <row r="694" spans="1:19" ht="15" customHeight="1" x14ac:dyDescent="0.25">
      <c r="A694" t="s">
        <v>2196</v>
      </c>
      <c r="B694" s="8">
        <v>45036</v>
      </c>
      <c r="C694" s="8">
        <v>45043</v>
      </c>
      <c r="D694" t="s">
        <v>48</v>
      </c>
      <c r="E694" t="s">
        <v>2197</v>
      </c>
      <c r="F694" t="s">
        <v>2198</v>
      </c>
      <c r="G694">
        <v>8159534539</v>
      </c>
      <c r="H694" t="s">
        <v>43</v>
      </c>
      <c r="I694" t="s">
        <v>61</v>
      </c>
      <c r="J694" t="s">
        <v>182</v>
      </c>
      <c r="K694" t="s">
        <v>85</v>
      </c>
      <c r="L694" t="s">
        <v>86</v>
      </c>
      <c r="M694" t="s">
        <v>238</v>
      </c>
      <c r="N694">
        <v>18</v>
      </c>
      <c r="O694">
        <v>163237.1</v>
      </c>
      <c r="P694">
        <v>25</v>
      </c>
      <c r="Q694">
        <v>734566.95</v>
      </c>
      <c r="R694">
        <v>2203700.85</v>
      </c>
      <c r="S694">
        <v>725888.48</v>
      </c>
    </row>
    <row r="695" spans="1:19" ht="15" customHeight="1" x14ac:dyDescent="0.25">
      <c r="A695" t="s">
        <v>2199</v>
      </c>
      <c r="B695" s="8">
        <v>44978</v>
      </c>
      <c r="C695" s="8">
        <v>44981</v>
      </c>
      <c r="D695" t="s">
        <v>20</v>
      </c>
      <c r="E695" t="s">
        <v>499</v>
      </c>
      <c r="F695" t="s">
        <v>2200</v>
      </c>
      <c r="G695">
        <v>8153116927</v>
      </c>
      <c r="H695" t="s">
        <v>35</v>
      </c>
      <c r="I695" t="s">
        <v>25</v>
      </c>
      <c r="J695" t="s">
        <v>168</v>
      </c>
      <c r="K695" t="s">
        <v>108</v>
      </c>
      <c r="L695" t="s">
        <v>38</v>
      </c>
      <c r="M695" t="s">
        <v>519</v>
      </c>
      <c r="N695">
        <v>4</v>
      </c>
      <c r="O695">
        <v>32798.79</v>
      </c>
      <c r="P695">
        <v>20</v>
      </c>
      <c r="Q695">
        <v>26239.03</v>
      </c>
      <c r="R695">
        <v>104956.13</v>
      </c>
      <c r="S695">
        <v>40232.61</v>
      </c>
    </row>
    <row r="696" spans="1:19" ht="15" customHeight="1" x14ac:dyDescent="0.25">
      <c r="A696" t="s">
        <v>2201</v>
      </c>
      <c r="B696" s="8">
        <v>45132</v>
      </c>
      <c r="C696" s="8">
        <v>45137</v>
      </c>
      <c r="D696" t="s">
        <v>1823</v>
      </c>
      <c r="E696" t="s">
        <v>1995</v>
      </c>
      <c r="F696" t="s">
        <v>2202</v>
      </c>
      <c r="G696">
        <v>9014731953</v>
      </c>
      <c r="H696" t="s">
        <v>35</v>
      </c>
      <c r="I696" t="s">
        <v>69</v>
      </c>
      <c r="J696" t="s">
        <v>144</v>
      </c>
      <c r="K696" t="s">
        <v>96</v>
      </c>
      <c r="L696" t="s">
        <v>97</v>
      </c>
      <c r="M696" t="s">
        <v>443</v>
      </c>
      <c r="N696">
        <v>9</v>
      </c>
      <c r="O696">
        <v>235571.18</v>
      </c>
      <c r="P696">
        <v>20</v>
      </c>
      <c r="Q696">
        <v>424028.12</v>
      </c>
      <c r="R696">
        <v>1696112.5</v>
      </c>
      <c r="S696">
        <v>387348.62</v>
      </c>
    </row>
    <row r="697" spans="1:19" ht="15" customHeight="1" x14ac:dyDescent="0.25">
      <c r="A697" t="s">
        <v>2203</v>
      </c>
      <c r="B697" s="8">
        <v>44767</v>
      </c>
      <c r="C697" s="8">
        <v>44768</v>
      </c>
      <c r="D697" t="s">
        <v>32</v>
      </c>
      <c r="E697" t="s">
        <v>852</v>
      </c>
      <c r="F697" t="s">
        <v>853</v>
      </c>
      <c r="G697">
        <v>9071133724</v>
      </c>
      <c r="H697" t="s">
        <v>35</v>
      </c>
      <c r="I697" t="s">
        <v>25</v>
      </c>
      <c r="J697" t="s">
        <v>44</v>
      </c>
      <c r="K697" t="s">
        <v>85</v>
      </c>
      <c r="L697" t="s">
        <v>218</v>
      </c>
      <c r="M697" t="s">
        <v>842</v>
      </c>
      <c r="N697">
        <v>8</v>
      </c>
      <c r="O697">
        <v>72707.960000000006</v>
      </c>
      <c r="P697">
        <v>5</v>
      </c>
      <c r="Q697">
        <v>29083.18</v>
      </c>
      <c r="R697">
        <v>552580.5</v>
      </c>
      <c r="S697">
        <v>5068.0600000000004</v>
      </c>
    </row>
    <row r="698" spans="1:19" ht="15" customHeight="1" x14ac:dyDescent="0.25">
      <c r="A698" t="s">
        <v>2204</v>
      </c>
      <c r="B698" s="8">
        <v>45140</v>
      </c>
      <c r="C698" s="8">
        <v>45140</v>
      </c>
      <c r="D698" t="s">
        <v>32</v>
      </c>
      <c r="E698" t="s">
        <v>2205</v>
      </c>
      <c r="F698" t="s">
        <v>2206</v>
      </c>
      <c r="G698">
        <v>8154593496</v>
      </c>
      <c r="H698" t="s">
        <v>35</v>
      </c>
      <c r="I698" t="s">
        <v>61</v>
      </c>
      <c r="J698" t="s">
        <v>204</v>
      </c>
      <c r="K698" t="s">
        <v>96</v>
      </c>
      <c r="L698" t="s">
        <v>189</v>
      </c>
      <c r="M698" t="s">
        <v>287</v>
      </c>
      <c r="N698">
        <v>20</v>
      </c>
      <c r="O698">
        <v>228450.65</v>
      </c>
      <c r="P698">
        <v>5</v>
      </c>
      <c r="Q698">
        <v>228450.65</v>
      </c>
      <c r="R698">
        <v>4340562.3499999996</v>
      </c>
      <c r="S698">
        <v>1197970.49</v>
      </c>
    </row>
    <row r="699" spans="1:19" ht="15" customHeight="1" x14ac:dyDescent="0.25">
      <c r="A699" t="s">
        <v>2207</v>
      </c>
      <c r="B699" s="8">
        <v>45340</v>
      </c>
      <c r="C699" s="8">
        <v>45342</v>
      </c>
      <c r="D699" t="s">
        <v>20</v>
      </c>
      <c r="E699" t="s">
        <v>2011</v>
      </c>
      <c r="F699" t="s">
        <v>2208</v>
      </c>
      <c r="G699">
        <v>8164890524</v>
      </c>
      <c r="H699" t="s">
        <v>24</v>
      </c>
      <c r="I699" t="s">
        <v>25</v>
      </c>
      <c r="J699" t="s">
        <v>168</v>
      </c>
      <c r="K699" t="s">
        <v>63</v>
      </c>
      <c r="L699" t="s">
        <v>469</v>
      </c>
      <c r="M699" t="s">
        <v>546</v>
      </c>
      <c r="N699">
        <v>13</v>
      </c>
      <c r="O699">
        <v>12510.44</v>
      </c>
      <c r="P699">
        <v>10</v>
      </c>
      <c r="Q699">
        <v>16263.57</v>
      </c>
      <c r="R699">
        <v>146372.15</v>
      </c>
      <c r="S699">
        <v>25768.52</v>
      </c>
    </row>
    <row r="700" spans="1:19" ht="15" customHeight="1" x14ac:dyDescent="0.25">
      <c r="A700" t="s">
        <v>2209</v>
      </c>
      <c r="B700" s="8">
        <v>45150</v>
      </c>
      <c r="C700" s="8">
        <v>45158</v>
      </c>
      <c r="D700" t="s">
        <v>48</v>
      </c>
      <c r="E700" t="s">
        <v>919</v>
      </c>
      <c r="F700" t="s">
        <v>2210</v>
      </c>
      <c r="G700">
        <v>9078128056</v>
      </c>
      <c r="H700" t="s">
        <v>35</v>
      </c>
      <c r="I700" t="s">
        <v>51</v>
      </c>
      <c r="J700" t="s">
        <v>52</v>
      </c>
      <c r="K700" t="s">
        <v>96</v>
      </c>
      <c r="L700" t="s">
        <v>385</v>
      </c>
      <c r="M700" t="s">
        <v>942</v>
      </c>
      <c r="N700">
        <v>4</v>
      </c>
      <c r="O700">
        <v>430997.25</v>
      </c>
      <c r="P700">
        <v>10</v>
      </c>
      <c r="Q700">
        <v>172398.9</v>
      </c>
      <c r="R700">
        <v>1551590.1</v>
      </c>
      <c r="S700">
        <v>416107.21</v>
      </c>
    </row>
    <row r="701" spans="1:19" ht="15" customHeight="1" x14ac:dyDescent="0.25">
      <c r="A701" t="s">
        <v>2211</v>
      </c>
      <c r="B701" s="8">
        <v>45042</v>
      </c>
      <c r="C701" s="8">
        <v>45042</v>
      </c>
      <c r="D701" t="s">
        <v>32</v>
      </c>
      <c r="E701" t="s">
        <v>2212</v>
      </c>
      <c r="F701" t="s">
        <v>2213</v>
      </c>
      <c r="G701">
        <v>8037861979</v>
      </c>
      <c r="H701" t="s">
        <v>43</v>
      </c>
      <c r="I701" t="s">
        <v>61</v>
      </c>
      <c r="J701" t="s">
        <v>2214</v>
      </c>
      <c r="K701" t="s">
        <v>96</v>
      </c>
      <c r="L701" t="s">
        <v>254</v>
      </c>
      <c r="M701" t="s">
        <v>455</v>
      </c>
      <c r="N701">
        <v>11</v>
      </c>
      <c r="O701">
        <v>128798.29</v>
      </c>
      <c r="P701">
        <v>15</v>
      </c>
      <c r="Q701">
        <v>212517.18</v>
      </c>
      <c r="R701">
        <v>1204264.01</v>
      </c>
      <c r="S701">
        <v>102154.15</v>
      </c>
    </row>
    <row r="702" spans="1:19" ht="15" customHeight="1" x14ac:dyDescent="0.25">
      <c r="A702" t="s">
        <v>2215</v>
      </c>
      <c r="B702" s="8">
        <v>44673</v>
      </c>
      <c r="C702" s="8">
        <v>44676</v>
      </c>
      <c r="D702" t="s">
        <v>20</v>
      </c>
      <c r="E702" t="s">
        <v>1605</v>
      </c>
      <c r="F702" t="s">
        <v>2216</v>
      </c>
      <c r="G702">
        <v>7031765519</v>
      </c>
      <c r="H702" t="s">
        <v>43</v>
      </c>
      <c r="I702" t="s">
        <v>69</v>
      </c>
      <c r="J702" t="s">
        <v>70</v>
      </c>
      <c r="K702" t="s">
        <v>63</v>
      </c>
      <c r="L702" t="s">
        <v>64</v>
      </c>
      <c r="M702" t="s">
        <v>104</v>
      </c>
      <c r="N702">
        <v>6</v>
      </c>
      <c r="O702">
        <v>5922.1</v>
      </c>
      <c r="P702">
        <v>25</v>
      </c>
      <c r="Q702">
        <v>8883.15</v>
      </c>
      <c r="R702">
        <v>26649.45</v>
      </c>
      <c r="S702">
        <v>-700.33</v>
      </c>
    </row>
    <row r="703" spans="1:19" ht="15" customHeight="1" x14ac:dyDescent="0.25">
      <c r="A703" t="s">
        <v>2217</v>
      </c>
      <c r="B703" s="8">
        <v>44826</v>
      </c>
      <c r="C703" s="8">
        <v>44828</v>
      </c>
      <c r="D703" t="s">
        <v>20</v>
      </c>
      <c r="E703" t="s">
        <v>1611</v>
      </c>
      <c r="F703" t="s">
        <v>2218</v>
      </c>
      <c r="G703">
        <v>8066591646</v>
      </c>
      <c r="H703" t="s">
        <v>24</v>
      </c>
      <c r="I703" t="s">
        <v>414</v>
      </c>
      <c r="J703" t="s">
        <v>36</v>
      </c>
      <c r="K703" t="s">
        <v>63</v>
      </c>
      <c r="L703" t="s">
        <v>194</v>
      </c>
      <c r="M703" t="s">
        <v>195</v>
      </c>
      <c r="N703">
        <v>2</v>
      </c>
      <c r="O703">
        <v>2054.89</v>
      </c>
      <c r="P703">
        <v>25</v>
      </c>
      <c r="Q703">
        <v>1027.44</v>
      </c>
      <c r="R703">
        <v>3082.34</v>
      </c>
      <c r="S703">
        <v>-73.12</v>
      </c>
    </row>
    <row r="704" spans="1:19" ht="15" customHeight="1" x14ac:dyDescent="0.25">
      <c r="A704" t="s">
        <v>2219</v>
      </c>
      <c r="B704" s="8">
        <v>45031</v>
      </c>
      <c r="C704" s="8">
        <v>45032</v>
      </c>
      <c r="D704" t="s">
        <v>32</v>
      </c>
      <c r="E704" t="s">
        <v>2220</v>
      </c>
      <c r="F704" t="s">
        <v>2221</v>
      </c>
      <c r="G704">
        <v>7064617421</v>
      </c>
      <c r="H704" t="s">
        <v>24</v>
      </c>
      <c r="I704" t="s">
        <v>61</v>
      </c>
      <c r="J704" t="s">
        <v>62</v>
      </c>
      <c r="K704" t="s">
        <v>27</v>
      </c>
      <c r="L704" t="s">
        <v>354</v>
      </c>
      <c r="M704" t="s">
        <v>355</v>
      </c>
      <c r="N704">
        <v>1</v>
      </c>
      <c r="O704">
        <v>577.78</v>
      </c>
      <c r="P704">
        <v>25</v>
      </c>
      <c r="Q704">
        <v>144.44</v>
      </c>
      <c r="R704">
        <v>433.34</v>
      </c>
      <c r="S704">
        <v>-38.35</v>
      </c>
    </row>
    <row r="705" spans="1:19" ht="15" customHeight="1" x14ac:dyDescent="0.25">
      <c r="A705" t="s">
        <v>2222</v>
      </c>
      <c r="B705" s="8">
        <v>45141</v>
      </c>
      <c r="C705" s="8">
        <v>45145</v>
      </c>
      <c r="D705" t="s">
        <v>73</v>
      </c>
      <c r="E705" t="s">
        <v>2035</v>
      </c>
      <c r="F705" t="s">
        <v>2223</v>
      </c>
      <c r="G705">
        <v>8035571090</v>
      </c>
      <c r="H705" t="s">
        <v>35</v>
      </c>
      <c r="I705" t="s">
        <v>69</v>
      </c>
      <c r="J705" t="s">
        <v>70</v>
      </c>
      <c r="K705" t="s">
        <v>96</v>
      </c>
      <c r="L705" t="s">
        <v>189</v>
      </c>
      <c r="M705" t="s">
        <v>478</v>
      </c>
      <c r="N705">
        <v>9</v>
      </c>
      <c r="O705">
        <v>72069.039999999994</v>
      </c>
      <c r="P705">
        <v>0</v>
      </c>
      <c r="Q705">
        <v>0</v>
      </c>
      <c r="R705">
        <v>648621.36</v>
      </c>
      <c r="S705">
        <v>-67510.94</v>
      </c>
    </row>
    <row r="706" spans="1:19" ht="15" customHeight="1" x14ac:dyDescent="0.25">
      <c r="A706" t="s">
        <v>2224</v>
      </c>
      <c r="B706" s="8">
        <v>44757</v>
      </c>
      <c r="C706" s="8">
        <v>44762</v>
      </c>
      <c r="D706" t="s">
        <v>73</v>
      </c>
      <c r="E706" t="s">
        <v>2225</v>
      </c>
      <c r="F706" t="s">
        <v>2226</v>
      </c>
      <c r="G706">
        <v>8136237674</v>
      </c>
      <c r="H706" t="s">
        <v>35</v>
      </c>
      <c r="I706" t="s">
        <v>69</v>
      </c>
      <c r="J706" t="s">
        <v>307</v>
      </c>
      <c r="K706" t="s">
        <v>63</v>
      </c>
      <c r="L706" t="s">
        <v>64</v>
      </c>
      <c r="M706" t="s">
        <v>777</v>
      </c>
      <c r="N706">
        <v>10</v>
      </c>
      <c r="O706">
        <v>18715.34</v>
      </c>
      <c r="P706">
        <v>10</v>
      </c>
      <c r="Q706">
        <v>18715.34</v>
      </c>
      <c r="R706" t="s">
        <v>2227</v>
      </c>
      <c r="S706">
        <v>21112.6</v>
      </c>
    </row>
    <row r="707" spans="1:19" ht="15" customHeight="1" x14ac:dyDescent="0.25">
      <c r="A707" t="s">
        <v>2228</v>
      </c>
      <c r="B707" s="8">
        <v>45333</v>
      </c>
      <c r="C707" s="8">
        <v>45334</v>
      </c>
      <c r="D707" t="s">
        <v>32</v>
      </c>
      <c r="E707" t="s">
        <v>1539</v>
      </c>
      <c r="F707" t="s">
        <v>2229</v>
      </c>
      <c r="G707">
        <v>7065673426</v>
      </c>
      <c r="H707" t="s">
        <v>24</v>
      </c>
      <c r="I707" t="s">
        <v>25</v>
      </c>
      <c r="J707" t="s">
        <v>44</v>
      </c>
      <c r="K707" t="s">
        <v>108</v>
      </c>
      <c r="L707" t="s">
        <v>38</v>
      </c>
      <c r="M707" t="s">
        <v>296</v>
      </c>
      <c r="N707">
        <v>13</v>
      </c>
      <c r="O707">
        <v>23783.52</v>
      </c>
      <c r="P707">
        <v>0</v>
      </c>
      <c r="Q707">
        <v>0</v>
      </c>
      <c r="R707">
        <v>309185.76</v>
      </c>
      <c r="S707">
        <v>137863.57</v>
      </c>
    </row>
    <row r="708" spans="1:19" ht="15" customHeight="1" x14ac:dyDescent="0.25">
      <c r="A708" t="s">
        <v>2230</v>
      </c>
      <c r="B708" s="8">
        <v>45488</v>
      </c>
      <c r="C708" s="8">
        <v>45494</v>
      </c>
      <c r="D708" t="s">
        <v>48</v>
      </c>
      <c r="E708" t="s">
        <v>2231</v>
      </c>
      <c r="F708" t="s">
        <v>2232</v>
      </c>
      <c r="G708">
        <v>9024894252</v>
      </c>
      <c r="H708" t="s">
        <v>24</v>
      </c>
      <c r="I708" t="s">
        <v>69</v>
      </c>
      <c r="J708" t="s">
        <v>144</v>
      </c>
      <c r="K708" t="s">
        <v>108</v>
      </c>
      <c r="L708" t="s">
        <v>38</v>
      </c>
      <c r="M708" t="s">
        <v>213</v>
      </c>
      <c r="N708">
        <v>10</v>
      </c>
      <c r="O708">
        <v>26215.59</v>
      </c>
      <c r="P708">
        <v>10</v>
      </c>
      <c r="Q708">
        <v>26215.59</v>
      </c>
      <c r="R708">
        <v>235940.31</v>
      </c>
      <c r="S708">
        <v>-15038.19</v>
      </c>
    </row>
    <row r="709" spans="1:19" ht="15" customHeight="1" x14ac:dyDescent="0.25">
      <c r="A709" t="s">
        <v>2233</v>
      </c>
      <c r="B709" s="8">
        <v>44987</v>
      </c>
      <c r="C709" s="8">
        <v>44986</v>
      </c>
      <c r="D709" t="s">
        <v>73</v>
      </c>
      <c r="E709" t="s">
        <v>724</v>
      </c>
      <c r="F709" t="s">
        <v>2234</v>
      </c>
      <c r="G709">
        <v>8107764490</v>
      </c>
      <c r="H709" t="s">
        <v>24</v>
      </c>
      <c r="J709" t="s">
        <v>26</v>
      </c>
      <c r="K709" t="s">
        <v>27</v>
      </c>
      <c r="L709" t="s">
        <v>28</v>
      </c>
      <c r="M709" t="s">
        <v>347</v>
      </c>
      <c r="N709">
        <v>19</v>
      </c>
      <c r="O709" t="s">
        <v>2235</v>
      </c>
      <c r="P709">
        <v>5</v>
      </c>
      <c r="Q709">
        <v>5573.98</v>
      </c>
      <c r="R709">
        <v>105905.67</v>
      </c>
      <c r="S709">
        <v>-12141.05</v>
      </c>
    </row>
    <row r="710" spans="1:19" ht="15" customHeight="1" x14ac:dyDescent="0.25">
      <c r="A710" t="s">
        <v>2236</v>
      </c>
      <c r="B710" s="8" t="s">
        <v>2237</v>
      </c>
      <c r="C710" s="8">
        <v>45255</v>
      </c>
      <c r="D710" t="s">
        <v>20</v>
      </c>
      <c r="E710" t="s">
        <v>2238</v>
      </c>
      <c r="F710" t="s">
        <v>2239</v>
      </c>
      <c r="G710">
        <v>8031093478</v>
      </c>
      <c r="H710" t="s">
        <v>43</v>
      </c>
      <c r="I710" t="s">
        <v>69</v>
      </c>
      <c r="J710" t="s">
        <v>144</v>
      </c>
      <c r="K710" t="s">
        <v>63</v>
      </c>
      <c r="L710" t="s">
        <v>469</v>
      </c>
      <c r="M710" t="s">
        <v>1595</v>
      </c>
      <c r="N710">
        <v>16</v>
      </c>
      <c r="O710">
        <v>18998.43</v>
      </c>
      <c r="P710">
        <v>25</v>
      </c>
      <c r="Q710">
        <v>75993.72</v>
      </c>
      <c r="R710">
        <v>227981.16</v>
      </c>
      <c r="S710">
        <v>34171.93</v>
      </c>
    </row>
    <row r="711" spans="1:19" ht="15" customHeight="1" x14ac:dyDescent="0.25">
      <c r="A711" t="s">
        <v>2240</v>
      </c>
      <c r="B711" s="8">
        <v>45615</v>
      </c>
      <c r="C711" s="8">
        <v>45615</v>
      </c>
      <c r="D711" t="s">
        <v>32</v>
      </c>
      <c r="E711" t="s">
        <v>517</v>
      </c>
      <c r="F711" t="s">
        <v>2241</v>
      </c>
      <c r="G711">
        <v>7063135445</v>
      </c>
      <c r="H711" t="s">
        <v>2242</v>
      </c>
      <c r="I711" t="s">
        <v>61</v>
      </c>
      <c r="J711" t="s">
        <v>182</v>
      </c>
      <c r="K711" t="s">
        <v>96</v>
      </c>
      <c r="L711" t="s">
        <v>385</v>
      </c>
      <c r="M711" t="s">
        <v>1010</v>
      </c>
      <c r="N711">
        <v>6</v>
      </c>
      <c r="O711">
        <v>340444.71</v>
      </c>
      <c r="P711">
        <v>5</v>
      </c>
      <c r="Q711">
        <v>102133.41</v>
      </c>
      <c r="R711">
        <v>1940534.85</v>
      </c>
      <c r="S711">
        <v>218428.07</v>
      </c>
    </row>
    <row r="712" spans="1:19" ht="15" customHeight="1" x14ac:dyDescent="0.25">
      <c r="A712" t="s">
        <v>2243</v>
      </c>
      <c r="B712" s="8">
        <v>44911</v>
      </c>
      <c r="C712" s="8">
        <v>44912</v>
      </c>
      <c r="D712" t="s">
        <v>32</v>
      </c>
      <c r="E712" t="s">
        <v>21</v>
      </c>
      <c r="F712" t="s">
        <v>2244</v>
      </c>
      <c r="G712">
        <v>7061155332</v>
      </c>
      <c r="H712" t="s">
        <v>43</v>
      </c>
      <c r="I712" t="s">
        <v>25</v>
      </c>
      <c r="J712" t="s">
        <v>26</v>
      </c>
      <c r="K712" t="s">
        <v>63</v>
      </c>
      <c r="L712" t="s">
        <v>249</v>
      </c>
      <c r="M712" t="s">
        <v>329</v>
      </c>
      <c r="N712">
        <v>9</v>
      </c>
      <c r="O712">
        <v>24895.74</v>
      </c>
      <c r="P712">
        <v>25</v>
      </c>
      <c r="Q712">
        <v>56015.42</v>
      </c>
      <c r="R712">
        <v>168046.24</v>
      </c>
    </row>
    <row r="713" spans="1:19" ht="15" customHeight="1" x14ac:dyDescent="0.25">
      <c r="A713" t="s">
        <v>2245</v>
      </c>
      <c r="B713" s="8">
        <v>44851</v>
      </c>
      <c r="C713" s="8">
        <v>44855</v>
      </c>
      <c r="D713" t="s">
        <v>73</v>
      </c>
      <c r="E713" t="s">
        <v>2246</v>
      </c>
      <c r="G713">
        <v>9027228596</v>
      </c>
      <c r="H713" t="s">
        <v>24</v>
      </c>
      <c r="I713" t="s">
        <v>51</v>
      </c>
      <c r="J713" t="s">
        <v>227</v>
      </c>
      <c r="K713" t="s">
        <v>27</v>
      </c>
      <c r="L713" t="s">
        <v>173</v>
      </c>
      <c r="M713" t="s">
        <v>174</v>
      </c>
      <c r="N713">
        <v>7</v>
      </c>
      <c r="O713">
        <v>3935.25</v>
      </c>
      <c r="P713">
        <v>10</v>
      </c>
      <c r="Q713">
        <v>2754.68</v>
      </c>
      <c r="R713">
        <v>24792.07</v>
      </c>
      <c r="S713">
        <v>10071.719999999999</v>
      </c>
    </row>
    <row r="714" spans="1:19" ht="15" customHeight="1" x14ac:dyDescent="0.25">
      <c r="A714" t="s">
        <v>2247</v>
      </c>
      <c r="B714" s="8">
        <v>44582</v>
      </c>
      <c r="C714" s="8">
        <v>44583</v>
      </c>
      <c r="D714" t="s">
        <v>32</v>
      </c>
      <c r="F714" t="s">
        <v>2248</v>
      </c>
      <c r="G714">
        <v>8142124878</v>
      </c>
      <c r="H714" t="s">
        <v>24</v>
      </c>
      <c r="I714" t="s">
        <v>61</v>
      </c>
      <c r="J714" t="s">
        <v>62</v>
      </c>
      <c r="K714" t="s">
        <v>96</v>
      </c>
      <c r="L714" t="s">
        <v>97</v>
      </c>
      <c r="M714" t="s">
        <v>443</v>
      </c>
      <c r="N714">
        <v>4</v>
      </c>
      <c r="O714">
        <v>101681.42</v>
      </c>
      <c r="P714">
        <v>25</v>
      </c>
      <c r="Q714">
        <v>101681.42</v>
      </c>
      <c r="R714">
        <v>305044.26</v>
      </c>
      <c r="S714">
        <v>38178.160000000003</v>
      </c>
    </row>
    <row r="715" spans="1:19" ht="15" customHeight="1" x14ac:dyDescent="0.25">
      <c r="A715" t="s">
        <v>2249</v>
      </c>
      <c r="B715" s="8">
        <v>44882</v>
      </c>
      <c r="C715" s="8">
        <v>44882</v>
      </c>
      <c r="D715" t="s">
        <v>32</v>
      </c>
      <c r="E715" t="s">
        <v>2250</v>
      </c>
      <c r="F715" t="s">
        <v>2251</v>
      </c>
      <c r="G715">
        <v>7031237053</v>
      </c>
      <c r="H715" t="s">
        <v>24</v>
      </c>
      <c r="I715" t="s">
        <v>25</v>
      </c>
      <c r="J715" t="s">
        <v>26</v>
      </c>
      <c r="K715" t="s">
        <v>85</v>
      </c>
      <c r="L715" t="s">
        <v>243</v>
      </c>
      <c r="M715" t="s">
        <v>404</v>
      </c>
      <c r="N715">
        <v>0</v>
      </c>
      <c r="O715">
        <v>149169.76</v>
      </c>
      <c r="P715">
        <v>10</v>
      </c>
      <c r="Q715">
        <v>208837.66</v>
      </c>
      <c r="R715">
        <v>1879538.98</v>
      </c>
      <c r="S715">
        <v>132253.54</v>
      </c>
    </row>
    <row r="716" spans="1:19" ht="15" customHeight="1" x14ac:dyDescent="0.25">
      <c r="A716" t="s">
        <v>2252</v>
      </c>
      <c r="B716" s="8">
        <v>44720</v>
      </c>
      <c r="C716" s="8">
        <v>44725</v>
      </c>
      <c r="D716" t="s">
        <v>73</v>
      </c>
      <c r="E716" t="s">
        <v>506</v>
      </c>
      <c r="F716" t="s">
        <v>2198</v>
      </c>
      <c r="G716">
        <v>8163991801</v>
      </c>
      <c r="H716" t="s">
        <v>24</v>
      </c>
      <c r="I716" t="s">
        <v>69</v>
      </c>
      <c r="J716" t="s">
        <v>144</v>
      </c>
      <c r="K716" t="s">
        <v>63</v>
      </c>
      <c r="L716" t="s">
        <v>312</v>
      </c>
      <c r="M716" t="s">
        <v>628</v>
      </c>
      <c r="N716">
        <v>17</v>
      </c>
      <c r="O716">
        <v>3604.25</v>
      </c>
      <c r="P716">
        <v>15</v>
      </c>
      <c r="Q716">
        <v>9190.84</v>
      </c>
      <c r="R716">
        <v>52081.41</v>
      </c>
      <c r="S716">
        <v>2504.91</v>
      </c>
    </row>
    <row r="717" spans="1:19" ht="15" customHeight="1" x14ac:dyDescent="0.25">
      <c r="A717" t="s">
        <v>2253</v>
      </c>
      <c r="B717" s="8">
        <v>44990</v>
      </c>
      <c r="C717" s="8">
        <v>44990</v>
      </c>
      <c r="D717" t="s">
        <v>32</v>
      </c>
      <c r="E717" t="s">
        <v>323</v>
      </c>
      <c r="F717" t="s">
        <v>2254</v>
      </c>
      <c r="G717">
        <v>8132532401</v>
      </c>
      <c r="H717" t="s">
        <v>24</v>
      </c>
      <c r="I717" t="s">
        <v>51</v>
      </c>
      <c r="J717" t="s">
        <v>227</v>
      </c>
      <c r="K717" t="s">
        <v>27</v>
      </c>
      <c r="L717" t="s">
        <v>354</v>
      </c>
      <c r="M717" t="s">
        <v>625</v>
      </c>
      <c r="N717">
        <v>1</v>
      </c>
      <c r="O717">
        <v>1569.1</v>
      </c>
      <c r="P717">
        <v>10</v>
      </c>
      <c r="Q717">
        <v>156.91</v>
      </c>
      <c r="R717">
        <v>1412.19</v>
      </c>
      <c r="S717">
        <v>-145.91999999999999</v>
      </c>
    </row>
    <row r="718" spans="1:19" ht="15" customHeight="1" x14ac:dyDescent="0.25">
      <c r="A718" t="s">
        <v>2255</v>
      </c>
      <c r="B718" s="8">
        <v>45433</v>
      </c>
      <c r="C718" s="8">
        <v>45434</v>
      </c>
      <c r="D718" t="s">
        <v>32</v>
      </c>
      <c r="E718" t="s">
        <v>2256</v>
      </c>
      <c r="F718" t="s">
        <v>2257</v>
      </c>
      <c r="G718">
        <v>8137597584</v>
      </c>
      <c r="H718" t="s">
        <v>24</v>
      </c>
      <c r="I718" t="s">
        <v>25</v>
      </c>
      <c r="J718" t="s">
        <v>126</v>
      </c>
      <c r="K718" t="s">
        <v>108</v>
      </c>
      <c r="L718" t="s">
        <v>183</v>
      </c>
      <c r="M718" t="s">
        <v>869</v>
      </c>
      <c r="N718">
        <v>17</v>
      </c>
      <c r="O718">
        <v>17264.64</v>
      </c>
      <c r="P718">
        <v>10</v>
      </c>
      <c r="Q718">
        <v>29349.89</v>
      </c>
      <c r="R718">
        <v>264148.99</v>
      </c>
      <c r="S718">
        <v>44485.68</v>
      </c>
    </row>
    <row r="719" spans="1:19" ht="15" customHeight="1" x14ac:dyDescent="0.25">
      <c r="A719" t="s">
        <v>1400</v>
      </c>
      <c r="B719" s="8">
        <v>45640</v>
      </c>
      <c r="C719" s="8">
        <v>45643</v>
      </c>
      <c r="D719" t="s">
        <v>73</v>
      </c>
      <c r="E719" t="s">
        <v>586</v>
      </c>
      <c r="F719" t="s">
        <v>587</v>
      </c>
      <c r="G719">
        <v>8068473546</v>
      </c>
      <c r="H719" t="s">
        <v>35</v>
      </c>
      <c r="I719" t="s">
        <v>25</v>
      </c>
      <c r="J719" t="s">
        <v>44</v>
      </c>
      <c r="K719" t="s">
        <v>96</v>
      </c>
      <c r="L719" t="s">
        <v>254</v>
      </c>
      <c r="M719" t="s">
        <v>530</v>
      </c>
      <c r="N719">
        <v>11</v>
      </c>
      <c r="O719">
        <v>99585.77</v>
      </c>
      <c r="P719">
        <v>25</v>
      </c>
      <c r="Q719">
        <v>273860.87</v>
      </c>
      <c r="R719">
        <v>821582.6</v>
      </c>
      <c r="S719">
        <v>341812.29</v>
      </c>
    </row>
    <row r="720" spans="1:19" ht="15" customHeight="1" x14ac:dyDescent="0.25">
      <c r="A720" t="s">
        <v>2258</v>
      </c>
      <c r="B720" s="8">
        <v>44854</v>
      </c>
      <c r="C720" s="8">
        <v>44857</v>
      </c>
      <c r="D720" t="s">
        <v>20</v>
      </c>
      <c r="E720" t="s">
        <v>758</v>
      </c>
      <c r="F720" t="s">
        <v>2259</v>
      </c>
      <c r="G720">
        <v>9015203347</v>
      </c>
      <c r="H720" t="s">
        <v>24</v>
      </c>
      <c r="I720" t="s">
        <v>61</v>
      </c>
      <c r="J720" t="s">
        <v>62</v>
      </c>
      <c r="K720" t="s">
        <v>96</v>
      </c>
      <c r="L720" t="s">
        <v>254</v>
      </c>
      <c r="M720" t="s">
        <v>530</v>
      </c>
      <c r="N720">
        <v>6</v>
      </c>
      <c r="O720">
        <v>298660.07</v>
      </c>
      <c r="P720">
        <v>0</v>
      </c>
      <c r="Q720">
        <v>0</v>
      </c>
      <c r="R720">
        <v>1791960.42</v>
      </c>
      <c r="S720">
        <v>662457.42000000004</v>
      </c>
    </row>
    <row r="721" spans="1:19" ht="15" customHeight="1" x14ac:dyDescent="0.25">
      <c r="A721" t="s">
        <v>2260</v>
      </c>
      <c r="B721" s="8">
        <v>44999</v>
      </c>
      <c r="C721" s="8">
        <v>44999</v>
      </c>
      <c r="D721" t="s">
        <v>32</v>
      </c>
      <c r="E721" t="s">
        <v>2261</v>
      </c>
      <c r="F721" t="s">
        <v>2262</v>
      </c>
      <c r="G721">
        <v>9011179053</v>
      </c>
      <c r="H721" t="s">
        <v>24</v>
      </c>
      <c r="I721" t="s">
        <v>69</v>
      </c>
      <c r="J721" t="s">
        <v>144</v>
      </c>
      <c r="K721" t="s">
        <v>85</v>
      </c>
      <c r="L721" t="s">
        <v>486</v>
      </c>
      <c r="M721" t="s">
        <v>543</v>
      </c>
      <c r="N721">
        <v>1</v>
      </c>
      <c r="O721">
        <v>98472.45</v>
      </c>
      <c r="P721">
        <v>10</v>
      </c>
      <c r="Q721">
        <v>9847.25</v>
      </c>
      <c r="R721">
        <v>88625.2</v>
      </c>
      <c r="S721">
        <v>4171.67</v>
      </c>
    </row>
    <row r="722" spans="1:19" ht="15" customHeight="1" x14ac:dyDescent="0.25">
      <c r="A722" t="s">
        <v>2263</v>
      </c>
      <c r="B722" s="8">
        <v>45121</v>
      </c>
      <c r="C722" s="8">
        <v>45126</v>
      </c>
      <c r="D722" t="s">
        <v>48</v>
      </c>
      <c r="E722" t="s">
        <v>1562</v>
      </c>
      <c r="F722" t="s">
        <v>1563</v>
      </c>
      <c r="G722">
        <v>7061736811</v>
      </c>
      <c r="H722" t="s">
        <v>24</v>
      </c>
      <c r="I722" t="s">
        <v>51</v>
      </c>
      <c r="J722" t="s">
        <v>223</v>
      </c>
      <c r="K722" t="s">
        <v>63</v>
      </c>
      <c r="L722" t="s">
        <v>558</v>
      </c>
      <c r="M722" t="s">
        <v>1460</v>
      </c>
      <c r="N722">
        <v>1</v>
      </c>
      <c r="O722">
        <v>24292.95</v>
      </c>
      <c r="P722">
        <v>20</v>
      </c>
      <c r="Q722">
        <v>4858.59</v>
      </c>
      <c r="R722">
        <v>19434.36</v>
      </c>
      <c r="S722">
        <v>8713.18</v>
      </c>
    </row>
    <row r="723" spans="1:19" ht="15" customHeight="1" x14ac:dyDescent="0.25">
      <c r="A723" t="s">
        <v>2264</v>
      </c>
      <c r="B723" s="8">
        <v>44774</v>
      </c>
      <c r="C723" s="8">
        <v>44774</v>
      </c>
      <c r="D723" t="s">
        <v>32</v>
      </c>
      <c r="E723" t="s">
        <v>826</v>
      </c>
      <c r="G723">
        <v>9013968018</v>
      </c>
      <c r="H723" t="s">
        <v>35</v>
      </c>
      <c r="I723" t="s">
        <v>69</v>
      </c>
      <c r="J723" t="s">
        <v>70</v>
      </c>
      <c r="K723" t="s">
        <v>85</v>
      </c>
      <c r="L723" t="s">
        <v>86</v>
      </c>
      <c r="M723" t="s">
        <v>199</v>
      </c>
      <c r="N723">
        <v>4</v>
      </c>
      <c r="O723">
        <v>151459.07999999999</v>
      </c>
      <c r="P723">
        <v>0</v>
      </c>
      <c r="Q723">
        <v>0</v>
      </c>
      <c r="R723">
        <v>605836.31999999995</v>
      </c>
      <c r="S723">
        <v>70293.25</v>
      </c>
    </row>
    <row r="724" spans="1:19" ht="15" customHeight="1" x14ac:dyDescent="0.25">
      <c r="A724" t="s">
        <v>2265</v>
      </c>
      <c r="B724" s="8">
        <v>44959</v>
      </c>
      <c r="C724" s="8">
        <v>44956</v>
      </c>
      <c r="D724" t="s">
        <v>20</v>
      </c>
      <c r="E724" t="s">
        <v>1488</v>
      </c>
      <c r="F724" t="s">
        <v>2185</v>
      </c>
      <c r="G724">
        <v>9013838932</v>
      </c>
      <c r="H724" t="s">
        <v>35</v>
      </c>
      <c r="I724" t="s">
        <v>25</v>
      </c>
      <c r="J724" t="s">
        <v>44</v>
      </c>
      <c r="K724" t="s">
        <v>27</v>
      </c>
      <c r="L724" t="s">
        <v>45</v>
      </c>
      <c r="M724" t="s">
        <v>46</v>
      </c>
      <c r="N724">
        <v>13</v>
      </c>
      <c r="O724">
        <v>409.12</v>
      </c>
      <c r="P724">
        <v>15</v>
      </c>
      <c r="Q724">
        <v>797.78</v>
      </c>
      <c r="R724">
        <v>4520.78</v>
      </c>
      <c r="S724">
        <v>1594.16</v>
      </c>
    </row>
    <row r="725" spans="1:19" ht="15" customHeight="1" x14ac:dyDescent="0.25">
      <c r="A725" t="s">
        <v>2266</v>
      </c>
      <c r="B725" s="8">
        <v>45108</v>
      </c>
      <c r="C725" s="8">
        <v>45111</v>
      </c>
      <c r="D725" t="s">
        <v>73</v>
      </c>
      <c r="E725" t="s">
        <v>1195</v>
      </c>
      <c r="F725" t="s">
        <v>2267</v>
      </c>
      <c r="G725">
        <v>8164333354</v>
      </c>
      <c r="H725" t="s">
        <v>35</v>
      </c>
      <c r="I725" t="s">
        <v>25</v>
      </c>
      <c r="J725" t="s">
        <v>26</v>
      </c>
      <c r="K725" t="s">
        <v>27</v>
      </c>
      <c r="L725" t="s">
        <v>28</v>
      </c>
      <c r="M725" t="s">
        <v>508</v>
      </c>
      <c r="N725">
        <v>1</v>
      </c>
      <c r="O725">
        <v>5191.8100000000004</v>
      </c>
      <c r="P725">
        <v>10</v>
      </c>
      <c r="Q725">
        <v>519.17999999999995</v>
      </c>
      <c r="R725">
        <v>4672.63</v>
      </c>
      <c r="S725">
        <v>66.62</v>
      </c>
    </row>
    <row r="726" spans="1:19" ht="15" customHeight="1" x14ac:dyDescent="0.25">
      <c r="A726" t="s">
        <v>2268</v>
      </c>
      <c r="B726" s="8">
        <v>44738</v>
      </c>
      <c r="C726" s="8">
        <v>44739</v>
      </c>
      <c r="D726" t="s">
        <v>32</v>
      </c>
      <c r="E726" t="s">
        <v>2269</v>
      </c>
      <c r="F726" t="s">
        <v>2270</v>
      </c>
      <c r="G726">
        <v>8102449847</v>
      </c>
      <c r="H726" t="s">
        <v>43</v>
      </c>
      <c r="I726" t="s">
        <v>51</v>
      </c>
      <c r="J726" t="s">
        <v>52</v>
      </c>
      <c r="K726" t="s">
        <v>85</v>
      </c>
      <c r="L726" t="s">
        <v>243</v>
      </c>
      <c r="M726" t="s">
        <v>244</v>
      </c>
      <c r="N726">
        <v>1</v>
      </c>
      <c r="O726">
        <v>115779.49</v>
      </c>
      <c r="P726">
        <v>0</v>
      </c>
      <c r="Q726">
        <v>0</v>
      </c>
      <c r="R726">
        <v>115779.49</v>
      </c>
      <c r="S726">
        <v>37424.79</v>
      </c>
    </row>
    <row r="727" spans="1:19" ht="15" customHeight="1" x14ac:dyDescent="0.25">
      <c r="A727" t="s">
        <v>2271</v>
      </c>
      <c r="B727" s="8">
        <v>45067</v>
      </c>
      <c r="C727" s="8">
        <v>45074</v>
      </c>
      <c r="D727" t="s">
        <v>48</v>
      </c>
      <c r="E727" t="s">
        <v>985</v>
      </c>
      <c r="F727" t="s">
        <v>2272</v>
      </c>
      <c r="G727">
        <v>8161894817</v>
      </c>
      <c r="H727" t="s">
        <v>43</v>
      </c>
      <c r="I727" t="s">
        <v>61</v>
      </c>
      <c r="J727" t="s">
        <v>182</v>
      </c>
      <c r="K727" t="s">
        <v>108</v>
      </c>
      <c r="L727" t="s">
        <v>38</v>
      </c>
      <c r="M727" t="s">
        <v>303</v>
      </c>
      <c r="N727">
        <v>19</v>
      </c>
      <c r="O727">
        <v>13995.43</v>
      </c>
      <c r="P727">
        <v>10</v>
      </c>
      <c r="Q727">
        <v>26591.32</v>
      </c>
      <c r="R727">
        <v>239321.85</v>
      </c>
      <c r="S727">
        <v>23546.799999999999</v>
      </c>
    </row>
    <row r="728" spans="1:19" ht="15" customHeight="1" x14ac:dyDescent="0.25">
      <c r="A728" t="s">
        <v>2273</v>
      </c>
      <c r="B728" s="8">
        <v>45166</v>
      </c>
      <c r="C728" s="8">
        <v>45170</v>
      </c>
      <c r="D728" t="s">
        <v>73</v>
      </c>
      <c r="E728" t="s">
        <v>2274</v>
      </c>
      <c r="F728" t="s">
        <v>2275</v>
      </c>
      <c r="G728">
        <v>8146958480</v>
      </c>
      <c r="H728" t="s">
        <v>35</v>
      </c>
      <c r="I728" t="s">
        <v>61</v>
      </c>
      <c r="J728" t="s">
        <v>182</v>
      </c>
      <c r="K728" t="s">
        <v>27</v>
      </c>
      <c r="L728" t="s">
        <v>45</v>
      </c>
      <c r="M728" t="s">
        <v>838</v>
      </c>
      <c r="N728">
        <v>17</v>
      </c>
      <c r="O728">
        <v>6247.25</v>
      </c>
      <c r="P728">
        <v>20</v>
      </c>
      <c r="Q728">
        <v>21240.65</v>
      </c>
      <c r="R728">
        <v>84962.6</v>
      </c>
      <c r="S728">
        <v>29541.5</v>
      </c>
    </row>
    <row r="729" spans="1:19" ht="15" customHeight="1" x14ac:dyDescent="0.25">
      <c r="A729" t="s">
        <v>2276</v>
      </c>
      <c r="B729" s="8">
        <v>44880</v>
      </c>
      <c r="C729" s="8">
        <v>44880</v>
      </c>
      <c r="D729" t="s">
        <v>32</v>
      </c>
      <c r="E729" t="s">
        <v>1462</v>
      </c>
      <c r="F729" t="s">
        <v>1463</v>
      </c>
      <c r="G729">
        <v>8136740847</v>
      </c>
      <c r="H729" t="s">
        <v>24</v>
      </c>
      <c r="I729" t="s">
        <v>61</v>
      </c>
      <c r="J729" t="s">
        <v>95</v>
      </c>
      <c r="K729" t="s">
        <v>27</v>
      </c>
      <c r="L729" t="s">
        <v>173</v>
      </c>
      <c r="M729" t="s">
        <v>174</v>
      </c>
      <c r="N729">
        <v>7</v>
      </c>
      <c r="O729">
        <v>998.83</v>
      </c>
      <c r="P729">
        <v>10</v>
      </c>
      <c r="Q729">
        <v>699.18</v>
      </c>
      <c r="R729">
        <v>6292.63</v>
      </c>
    </row>
    <row r="730" spans="1:19" ht="15" customHeight="1" x14ac:dyDescent="0.25">
      <c r="A730" t="s">
        <v>2277</v>
      </c>
      <c r="B730" s="8">
        <v>45535</v>
      </c>
      <c r="C730" s="8">
        <v>45538</v>
      </c>
      <c r="D730" t="s">
        <v>73</v>
      </c>
      <c r="E730" t="s">
        <v>576</v>
      </c>
      <c r="F730" t="s">
        <v>2278</v>
      </c>
      <c r="G730">
        <v>7037340280</v>
      </c>
      <c r="H730" t="s">
        <v>35</v>
      </c>
      <c r="I730" t="s">
        <v>1009</v>
      </c>
      <c r="J730" t="s">
        <v>52</v>
      </c>
      <c r="K730" t="s">
        <v>27</v>
      </c>
      <c r="L730" t="s">
        <v>79</v>
      </c>
      <c r="M730" t="s">
        <v>80</v>
      </c>
      <c r="N730">
        <v>12</v>
      </c>
      <c r="O730">
        <v>5699.92</v>
      </c>
      <c r="P730">
        <v>0</v>
      </c>
      <c r="Q730">
        <v>0</v>
      </c>
      <c r="R730">
        <v>68399.039999999994</v>
      </c>
      <c r="S730">
        <v>-3744.83</v>
      </c>
    </row>
    <row r="731" spans="1:19" ht="15" customHeight="1" x14ac:dyDescent="0.25">
      <c r="A731" t="s">
        <v>2279</v>
      </c>
      <c r="B731" s="8" t="s">
        <v>2280</v>
      </c>
      <c r="C731" s="8">
        <v>44952</v>
      </c>
      <c r="D731" t="s">
        <v>48</v>
      </c>
      <c r="E731" t="s">
        <v>2281</v>
      </c>
      <c r="F731" t="s">
        <v>2282</v>
      </c>
      <c r="G731">
        <v>8154123258</v>
      </c>
      <c r="H731" t="s">
        <v>43</v>
      </c>
      <c r="I731" t="s">
        <v>69</v>
      </c>
      <c r="J731" t="s">
        <v>144</v>
      </c>
      <c r="K731" t="s">
        <v>96</v>
      </c>
      <c r="L731" t="s">
        <v>189</v>
      </c>
      <c r="M731" t="s">
        <v>205</v>
      </c>
      <c r="N731">
        <v>19</v>
      </c>
      <c r="O731">
        <v>213553.87</v>
      </c>
      <c r="P731">
        <v>15</v>
      </c>
      <c r="Q731">
        <v>608628.53</v>
      </c>
      <c r="R731">
        <v>3448895</v>
      </c>
      <c r="S731">
        <v>995257.68</v>
      </c>
    </row>
    <row r="732" spans="1:19" ht="15" customHeight="1" x14ac:dyDescent="0.25">
      <c r="A732" t="s">
        <v>2283</v>
      </c>
      <c r="B732" s="8">
        <v>45253</v>
      </c>
      <c r="C732" s="8">
        <v>45256</v>
      </c>
      <c r="D732" t="s">
        <v>20</v>
      </c>
      <c r="F732" t="s">
        <v>2284</v>
      </c>
      <c r="G732">
        <v>8139505390</v>
      </c>
      <c r="H732" t="s">
        <v>43</v>
      </c>
      <c r="I732" t="s">
        <v>69</v>
      </c>
      <c r="J732" t="s">
        <v>119</v>
      </c>
      <c r="K732" t="s">
        <v>96</v>
      </c>
      <c r="L732" t="s">
        <v>189</v>
      </c>
      <c r="M732" t="s">
        <v>478</v>
      </c>
      <c r="N732">
        <v>19</v>
      </c>
      <c r="O732">
        <v>351721.51</v>
      </c>
      <c r="P732">
        <v>15</v>
      </c>
      <c r="Q732">
        <v>1002406.3</v>
      </c>
      <c r="R732">
        <v>5680302.3899999997</v>
      </c>
      <c r="S732">
        <v>1169265.43</v>
      </c>
    </row>
    <row r="733" spans="1:19" ht="15" customHeight="1" x14ac:dyDescent="0.25">
      <c r="A733" t="s">
        <v>2285</v>
      </c>
      <c r="B733" s="8">
        <v>45635</v>
      </c>
      <c r="C733" s="8">
        <v>45637</v>
      </c>
      <c r="D733" t="s">
        <v>20</v>
      </c>
      <c r="E733" t="s">
        <v>1775</v>
      </c>
      <c r="F733" t="s">
        <v>1407</v>
      </c>
      <c r="G733">
        <v>8106589281</v>
      </c>
      <c r="H733" t="s">
        <v>35</v>
      </c>
      <c r="I733" t="s">
        <v>61</v>
      </c>
      <c r="J733" t="s">
        <v>84</v>
      </c>
      <c r="K733" t="s">
        <v>96</v>
      </c>
      <c r="L733" t="s">
        <v>120</v>
      </c>
      <c r="M733" t="s">
        <v>367</v>
      </c>
      <c r="N733">
        <v>5</v>
      </c>
      <c r="O733">
        <v>359895.6</v>
      </c>
      <c r="P733">
        <v>10</v>
      </c>
      <c r="Q733">
        <v>179947.8</v>
      </c>
      <c r="R733">
        <v>1619530.2</v>
      </c>
      <c r="S733">
        <v>202810.71</v>
      </c>
    </row>
    <row r="734" spans="1:19" ht="15" customHeight="1" x14ac:dyDescent="0.25">
      <c r="A734" t="s">
        <v>2286</v>
      </c>
      <c r="B734" s="8">
        <v>44972</v>
      </c>
      <c r="C734" s="8">
        <v>44975</v>
      </c>
      <c r="D734" t="s">
        <v>73</v>
      </c>
      <c r="E734" t="s">
        <v>2287</v>
      </c>
      <c r="F734" t="s">
        <v>2288</v>
      </c>
      <c r="G734">
        <v>8104962502</v>
      </c>
      <c r="H734" t="s">
        <v>35</v>
      </c>
      <c r="J734" t="s">
        <v>204</v>
      </c>
      <c r="K734" t="s">
        <v>85</v>
      </c>
      <c r="L734" t="s">
        <v>486</v>
      </c>
      <c r="M734" t="s">
        <v>487</v>
      </c>
      <c r="N734">
        <v>5</v>
      </c>
      <c r="O734">
        <v>132551.10999999999</v>
      </c>
      <c r="P734">
        <v>25</v>
      </c>
      <c r="Q734">
        <v>165688.89000000001</v>
      </c>
      <c r="R734">
        <v>497066.66</v>
      </c>
      <c r="S734">
        <v>177652.14</v>
      </c>
    </row>
    <row r="735" spans="1:19" ht="15" customHeight="1" x14ac:dyDescent="0.25">
      <c r="A735" t="s">
        <v>2289</v>
      </c>
      <c r="B735" s="8">
        <v>45267</v>
      </c>
      <c r="C735" s="8">
        <v>45270</v>
      </c>
      <c r="D735" t="s">
        <v>73</v>
      </c>
      <c r="E735" t="s">
        <v>2290</v>
      </c>
      <c r="F735" t="s">
        <v>2291</v>
      </c>
      <c r="G735">
        <v>9014565022</v>
      </c>
      <c r="H735" t="s">
        <v>43</v>
      </c>
      <c r="I735" t="s">
        <v>51</v>
      </c>
      <c r="J735" t="s">
        <v>52</v>
      </c>
      <c r="K735" t="s">
        <v>108</v>
      </c>
      <c r="L735" t="s">
        <v>183</v>
      </c>
      <c r="M735" t="s">
        <v>869</v>
      </c>
      <c r="N735">
        <v>4</v>
      </c>
      <c r="O735">
        <v>32367.64</v>
      </c>
      <c r="P735">
        <v>15</v>
      </c>
      <c r="Q735">
        <v>19420.580000000002</v>
      </c>
      <c r="R735">
        <v>110049.98</v>
      </c>
      <c r="S735">
        <v>-8022.49</v>
      </c>
    </row>
    <row r="736" spans="1:19" ht="15" customHeight="1" x14ac:dyDescent="0.25">
      <c r="A736" t="s">
        <v>2292</v>
      </c>
      <c r="B736" s="8">
        <v>45431</v>
      </c>
      <c r="C736" s="8">
        <v>45434</v>
      </c>
      <c r="D736" t="s">
        <v>1309</v>
      </c>
      <c r="E736" t="s">
        <v>2293</v>
      </c>
      <c r="F736" t="s">
        <v>2294</v>
      </c>
      <c r="G736">
        <v>8141451244</v>
      </c>
      <c r="H736" t="s">
        <v>43</v>
      </c>
      <c r="I736" t="s">
        <v>61</v>
      </c>
      <c r="J736" t="s">
        <v>204</v>
      </c>
      <c r="K736" t="s">
        <v>85</v>
      </c>
      <c r="L736" t="s">
        <v>266</v>
      </c>
      <c r="M736" t="s">
        <v>803</v>
      </c>
      <c r="N736">
        <v>12</v>
      </c>
      <c r="O736">
        <v>140069.16</v>
      </c>
      <c r="P736">
        <v>10</v>
      </c>
      <c r="Q736">
        <v>168082.99</v>
      </c>
      <c r="R736">
        <v>1512746.93</v>
      </c>
      <c r="S736">
        <v>81553.05</v>
      </c>
    </row>
    <row r="737" spans="1:19" ht="15" customHeight="1" x14ac:dyDescent="0.25">
      <c r="A737" t="s">
        <v>2295</v>
      </c>
      <c r="B737" s="8">
        <v>44720</v>
      </c>
      <c r="C737" s="8">
        <v>44720</v>
      </c>
      <c r="D737" t="s">
        <v>32</v>
      </c>
      <c r="E737" t="s">
        <v>2296</v>
      </c>
      <c r="F737" t="s">
        <v>2297</v>
      </c>
      <c r="G737">
        <v>8034543890</v>
      </c>
      <c r="H737" t="s">
        <v>24</v>
      </c>
      <c r="I737" t="s">
        <v>1203</v>
      </c>
      <c r="J737" t="s">
        <v>36</v>
      </c>
      <c r="K737" t="s">
        <v>63</v>
      </c>
      <c r="L737" t="s">
        <v>64</v>
      </c>
      <c r="M737" t="s">
        <v>815</v>
      </c>
      <c r="N737">
        <v>6</v>
      </c>
      <c r="O737">
        <v>8819.8700000000008</v>
      </c>
      <c r="P737">
        <v>15</v>
      </c>
      <c r="Q737">
        <v>7937.88</v>
      </c>
      <c r="R737">
        <v>44981.34</v>
      </c>
      <c r="S737">
        <v>-2678.7</v>
      </c>
    </row>
    <row r="738" spans="1:19" ht="15" customHeight="1" x14ac:dyDescent="0.25">
      <c r="A738" t="s">
        <v>2298</v>
      </c>
      <c r="B738" s="8">
        <v>44633</v>
      </c>
      <c r="C738" s="8">
        <v>44634</v>
      </c>
      <c r="D738" t="s">
        <v>32</v>
      </c>
      <c r="E738" t="s">
        <v>2299</v>
      </c>
      <c r="F738" t="s">
        <v>2248</v>
      </c>
      <c r="G738">
        <v>7069679668</v>
      </c>
      <c r="H738" t="s">
        <v>24</v>
      </c>
      <c r="I738" t="s">
        <v>51</v>
      </c>
      <c r="J738" t="s">
        <v>316</v>
      </c>
      <c r="K738" t="s">
        <v>96</v>
      </c>
      <c r="L738" t="s">
        <v>189</v>
      </c>
      <c r="M738" t="s">
        <v>287</v>
      </c>
      <c r="N738">
        <v>4</v>
      </c>
      <c r="O738">
        <v>165634.79</v>
      </c>
      <c r="P738">
        <v>15</v>
      </c>
      <c r="Q738">
        <v>99380.87</v>
      </c>
      <c r="R738">
        <v>563158.29</v>
      </c>
      <c r="S738">
        <v>187041.85</v>
      </c>
    </row>
    <row r="739" spans="1:19" ht="15" customHeight="1" x14ac:dyDescent="0.25">
      <c r="A739" t="s">
        <v>2300</v>
      </c>
      <c r="B739" s="8">
        <v>45600</v>
      </c>
      <c r="C739" s="8">
        <v>45604</v>
      </c>
      <c r="D739" t="s">
        <v>73</v>
      </c>
      <c r="E739" t="s">
        <v>77</v>
      </c>
      <c r="F739" t="s">
        <v>2301</v>
      </c>
      <c r="G739">
        <v>9077739464</v>
      </c>
      <c r="H739" t="s">
        <v>43</v>
      </c>
      <c r="I739" t="s">
        <v>25</v>
      </c>
      <c r="J739" t="s">
        <v>126</v>
      </c>
      <c r="K739" t="s">
        <v>108</v>
      </c>
      <c r="L739" t="s">
        <v>114</v>
      </c>
      <c r="M739" t="s">
        <v>482</v>
      </c>
      <c r="N739">
        <v>4</v>
      </c>
      <c r="O739">
        <v>20274.189999999999</v>
      </c>
      <c r="P739">
        <v>20</v>
      </c>
      <c r="Q739">
        <v>16219.35</v>
      </c>
      <c r="R739">
        <v>64877.41</v>
      </c>
      <c r="S739">
        <v>9811.86</v>
      </c>
    </row>
    <row r="740" spans="1:19" ht="15" customHeight="1" x14ac:dyDescent="0.25">
      <c r="A740" t="s">
        <v>2302</v>
      </c>
      <c r="B740" s="8">
        <v>44790</v>
      </c>
      <c r="C740" s="8">
        <v>44792</v>
      </c>
      <c r="D740" t="s">
        <v>20</v>
      </c>
      <c r="E740" t="s">
        <v>2137</v>
      </c>
      <c r="F740" t="s">
        <v>2303</v>
      </c>
      <c r="G740">
        <v>8032342330</v>
      </c>
      <c r="H740" t="s">
        <v>24</v>
      </c>
      <c r="I740" t="s">
        <v>69</v>
      </c>
      <c r="J740" t="s">
        <v>144</v>
      </c>
      <c r="K740" t="s">
        <v>85</v>
      </c>
      <c r="L740" t="s">
        <v>86</v>
      </c>
      <c r="M740" t="s">
        <v>178</v>
      </c>
      <c r="N740">
        <v>19</v>
      </c>
      <c r="O740">
        <v>171090.61</v>
      </c>
      <c r="P740">
        <v>10</v>
      </c>
      <c r="Q740">
        <v>325072.15999999997</v>
      </c>
      <c r="R740">
        <v>2925649.43</v>
      </c>
      <c r="S740">
        <v>-91959.51</v>
      </c>
    </row>
    <row r="741" spans="1:19" ht="15" customHeight="1" x14ac:dyDescent="0.25">
      <c r="A741" t="s">
        <v>2304</v>
      </c>
      <c r="B741" s="8">
        <v>45138</v>
      </c>
      <c r="C741" s="8">
        <v>45138</v>
      </c>
      <c r="D741" t="s">
        <v>32</v>
      </c>
      <c r="E741" t="s">
        <v>2305</v>
      </c>
      <c r="F741" t="s">
        <v>2306</v>
      </c>
      <c r="G741">
        <v>8147158985</v>
      </c>
      <c r="H741" t="s">
        <v>35</v>
      </c>
      <c r="I741" t="s">
        <v>69</v>
      </c>
      <c r="K741" t="s">
        <v>96</v>
      </c>
      <c r="L741" t="s">
        <v>254</v>
      </c>
      <c r="M741" t="s">
        <v>455</v>
      </c>
      <c r="N741">
        <v>11</v>
      </c>
      <c r="O741">
        <v>124762.16</v>
      </c>
      <c r="P741">
        <v>10</v>
      </c>
      <c r="Q741">
        <v>137238.38</v>
      </c>
      <c r="R741">
        <v>1235145.3799999999</v>
      </c>
      <c r="S741">
        <v>383018.89</v>
      </c>
    </row>
    <row r="742" spans="1:19" ht="15" customHeight="1" x14ac:dyDescent="0.25">
      <c r="A742" t="s">
        <v>2307</v>
      </c>
      <c r="B742" s="8">
        <v>45162</v>
      </c>
      <c r="C742" s="8">
        <v>45166</v>
      </c>
      <c r="D742" t="s">
        <v>73</v>
      </c>
      <c r="E742" t="s">
        <v>2308</v>
      </c>
      <c r="F742" t="s">
        <v>2309</v>
      </c>
      <c r="G742">
        <v>7035994297</v>
      </c>
      <c r="H742" t="s">
        <v>43</v>
      </c>
      <c r="I742" t="s">
        <v>25</v>
      </c>
      <c r="J742" t="s">
        <v>36</v>
      </c>
      <c r="K742" t="s">
        <v>96</v>
      </c>
      <c r="L742" t="s">
        <v>254</v>
      </c>
      <c r="M742" t="s">
        <v>756</v>
      </c>
      <c r="N742">
        <v>2</v>
      </c>
      <c r="O742">
        <v>170401.35</v>
      </c>
      <c r="P742">
        <v>25</v>
      </c>
      <c r="Q742">
        <v>85200.68</v>
      </c>
      <c r="R742">
        <v>255602.02</v>
      </c>
      <c r="S742">
        <v>74944.600000000006</v>
      </c>
    </row>
    <row r="743" spans="1:19" ht="15" customHeight="1" x14ac:dyDescent="0.25">
      <c r="A743" t="s">
        <v>2310</v>
      </c>
      <c r="B743" s="8">
        <v>44820</v>
      </c>
      <c r="C743" s="8">
        <v>44826</v>
      </c>
      <c r="D743" t="s">
        <v>48</v>
      </c>
      <c r="E743" t="s">
        <v>2311</v>
      </c>
      <c r="F743" t="s">
        <v>2312</v>
      </c>
      <c r="G743">
        <v>7038684482</v>
      </c>
      <c r="H743" t="s">
        <v>35</v>
      </c>
      <c r="I743" t="s">
        <v>61</v>
      </c>
      <c r="J743" t="s">
        <v>62</v>
      </c>
      <c r="K743" t="s">
        <v>27</v>
      </c>
      <c r="L743" t="s">
        <v>354</v>
      </c>
      <c r="M743" t="s">
        <v>789</v>
      </c>
      <c r="N743">
        <v>2</v>
      </c>
      <c r="O743">
        <v>4681.83</v>
      </c>
      <c r="P743">
        <v>0</v>
      </c>
      <c r="Q743">
        <v>0</v>
      </c>
      <c r="R743">
        <v>9363.66</v>
      </c>
      <c r="S743">
        <v>430.29</v>
      </c>
    </row>
    <row r="744" spans="1:19" ht="15" customHeight="1" x14ac:dyDescent="0.25">
      <c r="A744" t="s">
        <v>2313</v>
      </c>
      <c r="B744" s="8">
        <v>45344</v>
      </c>
      <c r="C744" s="8">
        <v>45349</v>
      </c>
      <c r="D744" t="s">
        <v>210</v>
      </c>
      <c r="E744" t="s">
        <v>2314</v>
      </c>
      <c r="F744" t="s">
        <v>2315</v>
      </c>
      <c r="G744" t="s">
        <v>1930</v>
      </c>
      <c r="H744" t="s">
        <v>24</v>
      </c>
      <c r="I744" t="s">
        <v>25</v>
      </c>
      <c r="J744" t="s">
        <v>126</v>
      </c>
      <c r="K744" t="s">
        <v>96</v>
      </c>
      <c r="L744" t="s">
        <v>385</v>
      </c>
      <c r="M744" t="s">
        <v>386</v>
      </c>
      <c r="N744">
        <v>3</v>
      </c>
      <c r="O744">
        <v>328893.37</v>
      </c>
      <c r="P744">
        <v>15</v>
      </c>
      <c r="Q744">
        <v>148002.01999999999</v>
      </c>
      <c r="R744">
        <v>838678.09</v>
      </c>
      <c r="S744">
        <v>359873.44</v>
      </c>
    </row>
    <row r="745" spans="1:19" ht="15" customHeight="1" x14ac:dyDescent="0.25">
      <c r="A745" t="s">
        <v>2316</v>
      </c>
      <c r="B745" s="8">
        <v>45614</v>
      </c>
      <c r="C745" s="8">
        <v>45616</v>
      </c>
      <c r="D745" t="s">
        <v>20</v>
      </c>
      <c r="E745" t="s">
        <v>2317</v>
      </c>
      <c r="F745" t="s">
        <v>2318</v>
      </c>
      <c r="G745">
        <v>8138330731</v>
      </c>
      <c r="H745" t="s">
        <v>43</v>
      </c>
      <c r="I745" t="s">
        <v>61</v>
      </c>
      <c r="J745" t="s">
        <v>84</v>
      </c>
      <c r="K745" t="s">
        <v>63</v>
      </c>
      <c r="L745" t="s">
        <v>469</v>
      </c>
      <c r="M745" t="s">
        <v>1595</v>
      </c>
      <c r="N745">
        <v>2</v>
      </c>
      <c r="O745">
        <v>7282.92</v>
      </c>
      <c r="P745">
        <v>15</v>
      </c>
      <c r="Q745">
        <v>2184.88</v>
      </c>
      <c r="R745" t="s">
        <v>2319</v>
      </c>
      <c r="S745">
        <v>4900.9799999999996</v>
      </c>
    </row>
    <row r="746" spans="1:19" ht="15" customHeight="1" x14ac:dyDescent="0.25">
      <c r="A746" t="s">
        <v>2320</v>
      </c>
      <c r="B746" s="8" t="s">
        <v>2321</v>
      </c>
      <c r="C746" s="8">
        <v>44986</v>
      </c>
      <c r="D746" t="s">
        <v>32</v>
      </c>
      <c r="E746" t="s">
        <v>171</v>
      </c>
      <c r="F746" t="s">
        <v>2322</v>
      </c>
      <c r="G746">
        <v>8165480410</v>
      </c>
      <c r="H746" t="s">
        <v>35</v>
      </c>
      <c r="I746" t="s">
        <v>51</v>
      </c>
      <c r="J746" t="s">
        <v>223</v>
      </c>
      <c r="K746" t="s">
        <v>108</v>
      </c>
      <c r="L746" t="s">
        <v>189</v>
      </c>
      <c r="M746" t="s">
        <v>325</v>
      </c>
      <c r="N746">
        <v>8</v>
      </c>
      <c r="O746">
        <v>6177.35</v>
      </c>
      <c r="P746">
        <v>0</v>
      </c>
      <c r="Q746">
        <v>0</v>
      </c>
      <c r="R746">
        <v>49418.8</v>
      </c>
      <c r="S746">
        <v>13610.19</v>
      </c>
    </row>
    <row r="747" spans="1:19" ht="15" customHeight="1" x14ac:dyDescent="0.25">
      <c r="A747" t="s">
        <v>2323</v>
      </c>
      <c r="B747" s="8">
        <v>45505</v>
      </c>
      <c r="C747" s="8">
        <v>45508</v>
      </c>
      <c r="D747" t="s">
        <v>20</v>
      </c>
      <c r="E747" t="s">
        <v>2324</v>
      </c>
      <c r="F747" t="s">
        <v>2325</v>
      </c>
      <c r="G747">
        <v>8141210843</v>
      </c>
      <c r="H747" t="s">
        <v>24</v>
      </c>
      <c r="I747" t="s">
        <v>676</v>
      </c>
      <c r="J747" t="s">
        <v>95</v>
      </c>
      <c r="K747" t="s">
        <v>63</v>
      </c>
      <c r="L747" t="s">
        <v>558</v>
      </c>
      <c r="M747" t="s">
        <v>1380</v>
      </c>
      <c r="N747">
        <v>15</v>
      </c>
      <c r="O747">
        <v>8985.9699999999993</v>
      </c>
      <c r="P747">
        <v>0</v>
      </c>
      <c r="Q747">
        <v>0</v>
      </c>
      <c r="R747">
        <v>134789.54999999999</v>
      </c>
      <c r="S747">
        <v>17140.990000000002</v>
      </c>
    </row>
    <row r="748" spans="1:19" ht="15" customHeight="1" x14ac:dyDescent="0.25">
      <c r="A748" t="s">
        <v>2326</v>
      </c>
      <c r="B748" s="8">
        <v>45360</v>
      </c>
      <c r="C748" s="8">
        <v>45364</v>
      </c>
      <c r="D748" t="s">
        <v>73</v>
      </c>
      <c r="E748" t="s">
        <v>2327</v>
      </c>
      <c r="F748" t="s">
        <v>2328</v>
      </c>
      <c r="G748">
        <v>9079162761</v>
      </c>
      <c r="H748" t="s">
        <v>24</v>
      </c>
      <c r="I748" t="s">
        <v>69</v>
      </c>
      <c r="J748" t="s">
        <v>119</v>
      </c>
      <c r="K748" t="s">
        <v>27</v>
      </c>
      <c r="L748" t="s">
        <v>45</v>
      </c>
      <c r="M748" t="s">
        <v>308</v>
      </c>
      <c r="N748">
        <v>17</v>
      </c>
      <c r="O748">
        <v>1898.14</v>
      </c>
      <c r="P748">
        <v>10</v>
      </c>
      <c r="Q748">
        <v>3226.84</v>
      </c>
      <c r="R748">
        <v>29041.54</v>
      </c>
      <c r="S748">
        <v>941.52</v>
      </c>
    </row>
    <row r="749" spans="1:19" ht="15" customHeight="1" x14ac:dyDescent="0.25">
      <c r="A749" t="s">
        <v>2329</v>
      </c>
      <c r="B749" s="8">
        <v>44622</v>
      </c>
      <c r="C749" s="8">
        <v>44622</v>
      </c>
      <c r="D749" t="s">
        <v>32</v>
      </c>
      <c r="E749" t="s">
        <v>2330</v>
      </c>
      <c r="F749" t="s">
        <v>2331</v>
      </c>
      <c r="G749">
        <v>9056899311</v>
      </c>
      <c r="H749" t="s">
        <v>24</v>
      </c>
      <c r="I749" t="s">
        <v>51</v>
      </c>
      <c r="J749" t="s">
        <v>316</v>
      </c>
      <c r="K749" t="s">
        <v>27</v>
      </c>
      <c r="L749" t="s">
        <v>28</v>
      </c>
      <c r="M749" t="s">
        <v>262</v>
      </c>
      <c r="N749">
        <v>1</v>
      </c>
      <c r="O749">
        <v>7967.86</v>
      </c>
      <c r="P749">
        <v>10</v>
      </c>
      <c r="Q749">
        <v>796.79</v>
      </c>
      <c r="R749">
        <v>7171.07</v>
      </c>
      <c r="S749">
        <v>1318.5</v>
      </c>
    </row>
    <row r="750" spans="1:19" ht="15" customHeight="1" x14ac:dyDescent="0.25">
      <c r="A750" t="s">
        <v>2332</v>
      </c>
      <c r="B750" s="8">
        <v>45337</v>
      </c>
      <c r="C750" s="8">
        <v>45342</v>
      </c>
      <c r="D750" t="s">
        <v>73</v>
      </c>
      <c r="E750" t="s">
        <v>2333</v>
      </c>
      <c r="F750" t="s">
        <v>2334</v>
      </c>
      <c r="G750">
        <v>8134545112</v>
      </c>
      <c r="H750" t="s">
        <v>43</v>
      </c>
      <c r="I750" t="s">
        <v>69</v>
      </c>
      <c r="J750" t="s">
        <v>119</v>
      </c>
      <c r="K750" t="s">
        <v>96</v>
      </c>
      <c r="L750" t="s">
        <v>254</v>
      </c>
      <c r="M750" t="s">
        <v>455</v>
      </c>
      <c r="N750">
        <v>6</v>
      </c>
      <c r="O750">
        <v>92700.76</v>
      </c>
      <c r="P750">
        <v>15</v>
      </c>
      <c r="Q750">
        <v>83430.679999999993</v>
      </c>
      <c r="R750">
        <v>472773.88</v>
      </c>
      <c r="S750">
        <v>85119.26</v>
      </c>
    </row>
    <row r="751" spans="1:19" ht="15" customHeight="1" x14ac:dyDescent="0.25">
      <c r="A751" t="s">
        <v>2335</v>
      </c>
      <c r="B751" s="8">
        <v>45216</v>
      </c>
      <c r="C751" s="8">
        <v>45219</v>
      </c>
      <c r="D751" t="s">
        <v>20</v>
      </c>
      <c r="E751" t="s">
        <v>2336</v>
      </c>
      <c r="F751" t="s">
        <v>2337</v>
      </c>
      <c r="G751">
        <v>8159986330</v>
      </c>
      <c r="H751" t="s">
        <v>43</v>
      </c>
      <c r="I751" t="s">
        <v>51</v>
      </c>
      <c r="J751" t="s">
        <v>131</v>
      </c>
      <c r="K751" t="s">
        <v>27</v>
      </c>
      <c r="L751" t="s">
        <v>28</v>
      </c>
      <c r="M751" t="s">
        <v>508</v>
      </c>
      <c r="N751">
        <v>16</v>
      </c>
      <c r="O751" t="s">
        <v>2338</v>
      </c>
      <c r="P751">
        <v>20</v>
      </c>
      <c r="Q751">
        <v>22127.17</v>
      </c>
      <c r="R751">
        <v>88508.67</v>
      </c>
      <c r="S751">
        <v>1926.84</v>
      </c>
    </row>
    <row r="752" spans="1:19" ht="15" customHeight="1" x14ac:dyDescent="0.25">
      <c r="A752" t="s">
        <v>2339</v>
      </c>
      <c r="B752" s="8">
        <v>45152</v>
      </c>
      <c r="C752" s="8">
        <v>45152</v>
      </c>
      <c r="D752" t="s">
        <v>32</v>
      </c>
      <c r="E752" t="s">
        <v>795</v>
      </c>
      <c r="F752" t="s">
        <v>2340</v>
      </c>
      <c r="G752">
        <v>9028784988</v>
      </c>
      <c r="H752" t="s">
        <v>35</v>
      </c>
      <c r="I752" t="s">
        <v>69</v>
      </c>
      <c r="J752" t="s">
        <v>119</v>
      </c>
      <c r="K752" t="s">
        <v>85</v>
      </c>
      <c r="L752" t="s">
        <v>86</v>
      </c>
      <c r="M752" t="s">
        <v>199</v>
      </c>
      <c r="N752">
        <v>14</v>
      </c>
      <c r="O752">
        <v>107787.15</v>
      </c>
      <c r="P752">
        <v>15</v>
      </c>
      <c r="Q752">
        <v>226353.01</v>
      </c>
      <c r="S752">
        <v>123362.15</v>
      </c>
    </row>
    <row r="753" spans="1:19" ht="15" customHeight="1" x14ac:dyDescent="0.25">
      <c r="A753" t="s">
        <v>892</v>
      </c>
      <c r="B753" s="8">
        <v>45627</v>
      </c>
      <c r="C753" s="8">
        <v>45634</v>
      </c>
      <c r="D753" t="s">
        <v>48</v>
      </c>
      <c r="E753" t="s">
        <v>893</v>
      </c>
      <c r="F753" t="s">
        <v>894</v>
      </c>
      <c r="G753" t="s">
        <v>1508</v>
      </c>
      <c r="H753" t="s">
        <v>785</v>
      </c>
      <c r="I753" t="s">
        <v>25</v>
      </c>
      <c r="J753" t="s">
        <v>44</v>
      </c>
      <c r="K753" t="s">
        <v>27</v>
      </c>
      <c r="L753" t="s">
        <v>173</v>
      </c>
      <c r="M753" t="s">
        <v>279</v>
      </c>
      <c r="N753">
        <v>4</v>
      </c>
      <c r="O753">
        <v>2476.84</v>
      </c>
      <c r="P753">
        <v>20</v>
      </c>
      <c r="Q753">
        <v>1981.47</v>
      </c>
      <c r="R753">
        <v>7925.89</v>
      </c>
      <c r="S753">
        <v>-244.21</v>
      </c>
    </row>
    <row r="754" spans="1:19" ht="15" customHeight="1" x14ac:dyDescent="0.25">
      <c r="A754" t="s">
        <v>2341</v>
      </c>
      <c r="B754" s="8">
        <v>45592</v>
      </c>
      <c r="C754" s="8">
        <v>45595</v>
      </c>
      <c r="D754" t="s">
        <v>73</v>
      </c>
      <c r="E754" t="s">
        <v>1013</v>
      </c>
      <c r="F754" t="s">
        <v>2342</v>
      </c>
      <c r="G754">
        <v>8036452935</v>
      </c>
      <c r="H754" t="s">
        <v>35</v>
      </c>
      <c r="I754" t="s">
        <v>25</v>
      </c>
      <c r="J754" t="s">
        <v>36</v>
      </c>
      <c r="K754" t="s">
        <v>27</v>
      </c>
      <c r="L754" t="s">
        <v>354</v>
      </c>
      <c r="M754" t="s">
        <v>625</v>
      </c>
      <c r="N754">
        <v>16</v>
      </c>
      <c r="O754">
        <v>4683.66</v>
      </c>
      <c r="P754">
        <v>0</v>
      </c>
      <c r="Q754">
        <v>0</v>
      </c>
      <c r="R754">
        <v>74938.559999999998</v>
      </c>
      <c r="S754">
        <v>31557.200000000001</v>
      </c>
    </row>
    <row r="755" spans="1:19" ht="15" customHeight="1" x14ac:dyDescent="0.25">
      <c r="A755" t="s">
        <v>1277</v>
      </c>
      <c r="B755" s="8">
        <v>45456</v>
      </c>
      <c r="C755" s="8">
        <v>45456</v>
      </c>
      <c r="D755" t="s">
        <v>32</v>
      </c>
      <c r="E755" t="s">
        <v>1104</v>
      </c>
      <c r="F755" t="s">
        <v>1278</v>
      </c>
      <c r="G755">
        <v>8038650891</v>
      </c>
      <c r="H755" t="s">
        <v>24</v>
      </c>
      <c r="I755" t="s">
        <v>25</v>
      </c>
      <c r="J755" t="s">
        <v>126</v>
      </c>
      <c r="K755" t="s">
        <v>27</v>
      </c>
      <c r="L755" t="s">
        <v>28</v>
      </c>
      <c r="M755" t="s">
        <v>347</v>
      </c>
      <c r="N755">
        <v>17</v>
      </c>
      <c r="O755">
        <v>1684.44</v>
      </c>
      <c r="P755">
        <v>15</v>
      </c>
      <c r="Q755">
        <v>4295.32</v>
      </c>
      <c r="R755">
        <v>24340.16</v>
      </c>
      <c r="S755">
        <v>4411.17</v>
      </c>
    </row>
    <row r="756" spans="1:19" ht="15" customHeight="1" x14ac:dyDescent="0.25">
      <c r="A756" t="s">
        <v>2343</v>
      </c>
      <c r="B756" s="8">
        <v>45609</v>
      </c>
      <c r="C756" s="8">
        <v>45609</v>
      </c>
      <c r="D756" t="s">
        <v>32</v>
      </c>
      <c r="F756" t="s">
        <v>2344</v>
      </c>
      <c r="G756">
        <v>9015015044</v>
      </c>
      <c r="H756" t="s">
        <v>24</v>
      </c>
      <c r="I756" t="s">
        <v>25</v>
      </c>
      <c r="J756" t="s">
        <v>36</v>
      </c>
      <c r="K756" t="s">
        <v>85</v>
      </c>
      <c r="L756" t="s">
        <v>486</v>
      </c>
      <c r="M756" t="s">
        <v>1193</v>
      </c>
      <c r="N756">
        <v>10</v>
      </c>
      <c r="O756">
        <v>63508.56</v>
      </c>
      <c r="P756">
        <v>0</v>
      </c>
      <c r="Q756">
        <v>0</v>
      </c>
      <c r="R756">
        <v>635085.6</v>
      </c>
      <c r="S756">
        <v>245566.89</v>
      </c>
    </row>
    <row r="757" spans="1:19" ht="15" customHeight="1" x14ac:dyDescent="0.25">
      <c r="A757" t="s">
        <v>2345</v>
      </c>
      <c r="B757" s="8">
        <v>45063</v>
      </c>
      <c r="C757" s="8">
        <v>45064</v>
      </c>
      <c r="D757" t="s">
        <v>32</v>
      </c>
      <c r="E757" t="s">
        <v>2346</v>
      </c>
      <c r="F757" t="s">
        <v>2347</v>
      </c>
      <c r="G757">
        <v>8149392214</v>
      </c>
      <c r="H757" t="s">
        <v>43</v>
      </c>
      <c r="I757" t="s">
        <v>61</v>
      </c>
      <c r="J757" t="s">
        <v>84</v>
      </c>
      <c r="K757" t="s">
        <v>96</v>
      </c>
      <c r="L757" t="s">
        <v>254</v>
      </c>
      <c r="M757" t="s">
        <v>455</v>
      </c>
      <c r="O757">
        <v>394357.17</v>
      </c>
      <c r="P757">
        <v>5</v>
      </c>
      <c r="Q757">
        <v>118307.15</v>
      </c>
      <c r="R757">
        <v>2247835.87</v>
      </c>
      <c r="S757">
        <v>286210.96000000002</v>
      </c>
    </row>
    <row r="758" spans="1:19" ht="15" customHeight="1" x14ac:dyDescent="0.25">
      <c r="A758" t="s">
        <v>2348</v>
      </c>
      <c r="B758" s="8">
        <v>45394</v>
      </c>
      <c r="C758" s="8">
        <v>45402</v>
      </c>
      <c r="D758" t="s">
        <v>48</v>
      </c>
      <c r="E758" t="s">
        <v>2349</v>
      </c>
      <c r="F758" t="s">
        <v>2350</v>
      </c>
      <c r="G758">
        <v>8163029740</v>
      </c>
      <c r="H758" t="s">
        <v>24</v>
      </c>
      <c r="I758" t="s">
        <v>25</v>
      </c>
      <c r="J758" t="s">
        <v>26</v>
      </c>
      <c r="K758" t="s">
        <v>1751</v>
      </c>
      <c r="L758" t="s">
        <v>173</v>
      </c>
      <c r="M758" t="s">
        <v>279</v>
      </c>
      <c r="N758">
        <v>2</v>
      </c>
      <c r="O758">
        <v>3676.61</v>
      </c>
      <c r="P758">
        <v>10</v>
      </c>
      <c r="Q758">
        <v>735.32</v>
      </c>
      <c r="R758">
        <v>6617.9</v>
      </c>
      <c r="S758">
        <v>2230.2199999999998</v>
      </c>
    </row>
    <row r="759" spans="1:19" ht="15" customHeight="1" x14ac:dyDescent="0.25">
      <c r="A759" t="s">
        <v>2351</v>
      </c>
      <c r="B759" s="8">
        <v>45439</v>
      </c>
      <c r="C759" s="8">
        <v>45439</v>
      </c>
      <c r="D759" t="s">
        <v>32</v>
      </c>
      <c r="E759" t="s">
        <v>729</v>
      </c>
      <c r="F759" t="s">
        <v>2352</v>
      </c>
      <c r="G759">
        <v>9022875419</v>
      </c>
      <c r="H759" t="s">
        <v>43</v>
      </c>
      <c r="I759" t="s">
        <v>25</v>
      </c>
      <c r="J759" t="s">
        <v>44</v>
      </c>
      <c r="K759" t="s">
        <v>85</v>
      </c>
      <c r="L759" t="s">
        <v>243</v>
      </c>
      <c r="M759" t="s">
        <v>439</v>
      </c>
      <c r="N759">
        <v>5</v>
      </c>
      <c r="O759">
        <v>120924.36</v>
      </c>
      <c r="P759">
        <v>5</v>
      </c>
      <c r="Q759">
        <v>30231.09</v>
      </c>
      <c r="R759">
        <v>574390.71</v>
      </c>
      <c r="S759">
        <v>188016.38</v>
      </c>
    </row>
    <row r="760" spans="1:19" ht="15" customHeight="1" x14ac:dyDescent="0.25">
      <c r="A760" t="s">
        <v>2353</v>
      </c>
      <c r="B760" s="8">
        <v>44713</v>
      </c>
      <c r="C760" s="8">
        <v>44716</v>
      </c>
      <c r="D760" t="s">
        <v>20</v>
      </c>
      <c r="E760" t="s">
        <v>1435</v>
      </c>
      <c r="F760" t="s">
        <v>2354</v>
      </c>
      <c r="G760">
        <v>9025362068</v>
      </c>
      <c r="H760" t="s">
        <v>35</v>
      </c>
      <c r="I760" t="s">
        <v>61</v>
      </c>
      <c r="J760" t="s">
        <v>182</v>
      </c>
      <c r="K760" t="s">
        <v>63</v>
      </c>
      <c r="L760" t="s">
        <v>558</v>
      </c>
      <c r="M760" t="s">
        <v>559</v>
      </c>
      <c r="N760">
        <v>15</v>
      </c>
      <c r="O760">
        <v>8601.2000000000007</v>
      </c>
      <c r="P760">
        <v>10</v>
      </c>
      <c r="Q760">
        <v>12901.8</v>
      </c>
      <c r="R760">
        <v>116116.2</v>
      </c>
      <c r="S760">
        <v>22171.08</v>
      </c>
    </row>
    <row r="761" spans="1:19" ht="15" customHeight="1" x14ac:dyDescent="0.25">
      <c r="A761" t="s">
        <v>2355</v>
      </c>
      <c r="B761" s="8">
        <v>44615</v>
      </c>
      <c r="C761" s="8">
        <v>44617</v>
      </c>
      <c r="D761" t="s">
        <v>20</v>
      </c>
      <c r="E761" t="s">
        <v>1846</v>
      </c>
      <c r="F761" t="s">
        <v>2356</v>
      </c>
      <c r="G761">
        <v>9015885832</v>
      </c>
      <c r="H761" t="s">
        <v>35</v>
      </c>
      <c r="I761" t="s">
        <v>25</v>
      </c>
      <c r="J761" t="s">
        <v>126</v>
      </c>
      <c r="K761" t="s">
        <v>63</v>
      </c>
      <c r="L761" t="s">
        <v>469</v>
      </c>
      <c r="M761" t="s">
        <v>1595</v>
      </c>
      <c r="N761">
        <v>10</v>
      </c>
      <c r="O761">
        <v>14407.18</v>
      </c>
      <c r="P761">
        <v>20</v>
      </c>
      <c r="Q761">
        <v>28814.36</v>
      </c>
      <c r="R761">
        <v>115257.44</v>
      </c>
      <c r="S761">
        <v>32023.97</v>
      </c>
    </row>
    <row r="762" spans="1:19" ht="15" customHeight="1" x14ac:dyDescent="0.25">
      <c r="A762" t="s">
        <v>2357</v>
      </c>
      <c r="B762" s="8">
        <v>44862</v>
      </c>
      <c r="C762" s="8">
        <v>44867</v>
      </c>
      <c r="D762" t="s">
        <v>73</v>
      </c>
      <c r="E762" t="s">
        <v>2358</v>
      </c>
      <c r="F762" t="s">
        <v>2359</v>
      </c>
      <c r="G762">
        <v>8164823830</v>
      </c>
      <c r="H762" t="s">
        <v>24</v>
      </c>
      <c r="I762" t="s">
        <v>51</v>
      </c>
      <c r="J762" t="s">
        <v>131</v>
      </c>
      <c r="K762" t="s">
        <v>96</v>
      </c>
      <c r="L762" t="s">
        <v>385</v>
      </c>
      <c r="M762" t="s">
        <v>1010</v>
      </c>
      <c r="N762">
        <v>19</v>
      </c>
      <c r="O762">
        <v>146786.10999999999</v>
      </c>
      <c r="P762">
        <v>0</v>
      </c>
      <c r="Q762">
        <v>0</v>
      </c>
      <c r="R762">
        <v>2788936.09</v>
      </c>
      <c r="S762">
        <v>15765.03</v>
      </c>
    </row>
    <row r="763" spans="1:19" ht="15" customHeight="1" x14ac:dyDescent="0.25">
      <c r="A763" t="s">
        <v>2360</v>
      </c>
      <c r="B763" s="8">
        <v>45266</v>
      </c>
      <c r="C763" s="8">
        <v>45271</v>
      </c>
      <c r="D763" t="s">
        <v>416</v>
      </c>
      <c r="F763" t="s">
        <v>2361</v>
      </c>
      <c r="G763">
        <v>8157280761</v>
      </c>
      <c r="H763" t="s">
        <v>24</v>
      </c>
      <c r="I763" t="s">
        <v>69</v>
      </c>
      <c r="J763" t="s">
        <v>70</v>
      </c>
      <c r="K763" t="s">
        <v>108</v>
      </c>
      <c r="L763" t="s">
        <v>183</v>
      </c>
      <c r="M763" t="s">
        <v>372</v>
      </c>
      <c r="N763">
        <v>16</v>
      </c>
      <c r="O763">
        <v>39443.64</v>
      </c>
      <c r="P763">
        <v>0</v>
      </c>
      <c r="Q763">
        <v>0</v>
      </c>
      <c r="R763">
        <v>631098.24</v>
      </c>
      <c r="S763">
        <v>88605.6</v>
      </c>
    </row>
    <row r="764" spans="1:19" ht="15" customHeight="1" x14ac:dyDescent="0.25">
      <c r="A764" t="s">
        <v>2362</v>
      </c>
      <c r="B764" s="8">
        <v>45263</v>
      </c>
      <c r="C764" s="8">
        <v>45269</v>
      </c>
      <c r="D764" t="s">
        <v>48</v>
      </c>
      <c r="E764" t="s">
        <v>2363</v>
      </c>
      <c r="F764" t="s">
        <v>2364</v>
      </c>
      <c r="G764">
        <v>8105669360</v>
      </c>
      <c r="H764" t="s">
        <v>24</v>
      </c>
      <c r="I764" t="s">
        <v>69</v>
      </c>
      <c r="J764" t="s">
        <v>307</v>
      </c>
      <c r="K764" t="s">
        <v>27</v>
      </c>
      <c r="L764" t="s">
        <v>79</v>
      </c>
      <c r="M764" t="s">
        <v>490</v>
      </c>
      <c r="N764">
        <v>15</v>
      </c>
      <c r="O764">
        <v>3045.06</v>
      </c>
      <c r="P764">
        <v>0</v>
      </c>
      <c r="Q764">
        <v>0</v>
      </c>
      <c r="R764">
        <v>45675.9</v>
      </c>
      <c r="S764">
        <v>16168.64</v>
      </c>
    </row>
    <row r="765" spans="1:19" ht="15" customHeight="1" x14ac:dyDescent="0.25">
      <c r="A765" t="s">
        <v>2365</v>
      </c>
      <c r="B765" s="8">
        <v>45378</v>
      </c>
      <c r="C765" s="8">
        <v>45383</v>
      </c>
      <c r="D765" t="s">
        <v>48</v>
      </c>
      <c r="E765" t="s">
        <v>2366</v>
      </c>
      <c r="F765" t="s">
        <v>2367</v>
      </c>
      <c r="G765">
        <v>8169971681</v>
      </c>
      <c r="H765" t="s">
        <v>43</v>
      </c>
      <c r="I765" t="s">
        <v>61</v>
      </c>
      <c r="J765" t="s">
        <v>62</v>
      </c>
      <c r="K765" t="s">
        <v>27</v>
      </c>
      <c r="L765" t="s">
        <v>79</v>
      </c>
      <c r="M765" t="s">
        <v>145</v>
      </c>
      <c r="N765">
        <v>17</v>
      </c>
      <c r="O765">
        <v>3739.07</v>
      </c>
      <c r="P765">
        <v>5</v>
      </c>
      <c r="Q765">
        <v>3178.21</v>
      </c>
      <c r="R765">
        <v>60385.98</v>
      </c>
      <c r="S765">
        <v>-192.31</v>
      </c>
    </row>
    <row r="766" spans="1:19" ht="15" customHeight="1" x14ac:dyDescent="0.25">
      <c r="A766" t="s">
        <v>2368</v>
      </c>
      <c r="B766" s="8">
        <v>44925</v>
      </c>
      <c r="C766" s="8">
        <v>44925</v>
      </c>
      <c r="D766" t="s">
        <v>32</v>
      </c>
      <c r="E766" t="s">
        <v>277</v>
      </c>
      <c r="F766" t="s">
        <v>2369</v>
      </c>
      <c r="G766">
        <v>8064187908</v>
      </c>
      <c r="H766" t="s">
        <v>35</v>
      </c>
      <c r="I766" t="s">
        <v>61</v>
      </c>
      <c r="J766" t="s">
        <v>62</v>
      </c>
      <c r="K766" t="s">
        <v>96</v>
      </c>
      <c r="L766" t="s">
        <v>385</v>
      </c>
      <c r="M766" t="s">
        <v>1010</v>
      </c>
      <c r="N766">
        <v>7</v>
      </c>
      <c r="O766">
        <v>146700.97</v>
      </c>
      <c r="P766">
        <v>5</v>
      </c>
      <c r="Q766">
        <v>51345.34</v>
      </c>
      <c r="R766">
        <v>975561.45</v>
      </c>
      <c r="S766">
        <v>-3546.79</v>
      </c>
    </row>
    <row r="767" spans="1:19" ht="15" customHeight="1" x14ac:dyDescent="0.25">
      <c r="A767" t="s">
        <v>2370</v>
      </c>
      <c r="B767" s="8">
        <v>45215</v>
      </c>
      <c r="C767" s="8">
        <v>45220</v>
      </c>
      <c r="D767" t="s">
        <v>48</v>
      </c>
      <c r="E767" t="s">
        <v>2371</v>
      </c>
      <c r="F767" t="s">
        <v>2372</v>
      </c>
      <c r="G767">
        <v>8142398988</v>
      </c>
      <c r="H767" t="s">
        <v>35</v>
      </c>
      <c r="I767" t="s">
        <v>69</v>
      </c>
      <c r="J767" t="s">
        <v>70</v>
      </c>
      <c r="K767" t="s">
        <v>156</v>
      </c>
      <c r="L767" t="s">
        <v>109</v>
      </c>
      <c r="M767" t="s">
        <v>110</v>
      </c>
      <c r="N767">
        <v>7</v>
      </c>
      <c r="O767">
        <v>25321.86</v>
      </c>
      <c r="P767">
        <v>20</v>
      </c>
      <c r="Q767">
        <v>35450.6</v>
      </c>
      <c r="R767">
        <v>141802.42000000001</v>
      </c>
      <c r="S767">
        <v>4250.75</v>
      </c>
    </row>
    <row r="768" spans="1:19" ht="15" customHeight="1" x14ac:dyDescent="0.25">
      <c r="A768" t="s">
        <v>2373</v>
      </c>
      <c r="B768" s="8">
        <v>45468</v>
      </c>
      <c r="C768" s="8">
        <v>45474</v>
      </c>
      <c r="D768" t="s">
        <v>48</v>
      </c>
      <c r="E768" t="s">
        <v>2225</v>
      </c>
      <c r="F768" t="s">
        <v>422</v>
      </c>
      <c r="G768">
        <v>8035223626</v>
      </c>
      <c r="H768" t="s">
        <v>43</v>
      </c>
      <c r="I768" t="s">
        <v>25</v>
      </c>
      <c r="J768" t="s">
        <v>36</v>
      </c>
      <c r="K768" t="s">
        <v>37</v>
      </c>
      <c r="L768" t="s">
        <v>189</v>
      </c>
      <c r="M768" t="s">
        <v>325</v>
      </c>
      <c r="N768">
        <v>6</v>
      </c>
      <c r="O768">
        <v>23182.02</v>
      </c>
      <c r="P768">
        <v>10</v>
      </c>
      <c r="Q768">
        <v>13909.21</v>
      </c>
      <c r="R768">
        <v>125182.91</v>
      </c>
      <c r="S768">
        <v>19325.21</v>
      </c>
    </row>
    <row r="769" spans="1:19" ht="15" customHeight="1" x14ac:dyDescent="0.25">
      <c r="A769" t="s">
        <v>2374</v>
      </c>
      <c r="B769" s="8">
        <v>45260</v>
      </c>
      <c r="C769" s="8">
        <v>45264</v>
      </c>
      <c r="D769" t="s">
        <v>73</v>
      </c>
      <c r="E769" t="s">
        <v>2375</v>
      </c>
      <c r="F769" t="s">
        <v>2376</v>
      </c>
      <c r="G769">
        <v>9078382709</v>
      </c>
      <c r="H769" t="s">
        <v>43</v>
      </c>
      <c r="I769" t="s">
        <v>51</v>
      </c>
      <c r="J769" t="s">
        <v>223</v>
      </c>
      <c r="K769" t="s">
        <v>96</v>
      </c>
      <c r="L769" t="s">
        <v>385</v>
      </c>
      <c r="M769" t="s">
        <v>942</v>
      </c>
      <c r="N769">
        <v>17</v>
      </c>
      <c r="O769">
        <v>17835.02</v>
      </c>
      <c r="P769">
        <v>20</v>
      </c>
      <c r="Q769">
        <v>60639.07</v>
      </c>
      <c r="R769">
        <v>242556.27</v>
      </c>
      <c r="S769">
        <v>35770.44</v>
      </c>
    </row>
    <row r="770" spans="1:19" ht="15" customHeight="1" x14ac:dyDescent="0.25">
      <c r="A770" t="s">
        <v>2377</v>
      </c>
      <c r="B770" s="8">
        <v>44755</v>
      </c>
      <c r="C770" s="8">
        <v>44758</v>
      </c>
      <c r="D770" t="s">
        <v>20</v>
      </c>
      <c r="E770" t="s">
        <v>2314</v>
      </c>
      <c r="F770" t="s">
        <v>2378</v>
      </c>
      <c r="G770">
        <v>8132823879</v>
      </c>
      <c r="H770" t="s">
        <v>43</v>
      </c>
      <c r="I770" t="s">
        <v>61</v>
      </c>
      <c r="J770" t="s">
        <v>95</v>
      </c>
      <c r="K770" t="s">
        <v>85</v>
      </c>
      <c r="L770" t="s">
        <v>218</v>
      </c>
      <c r="M770" t="s">
        <v>1058</v>
      </c>
      <c r="N770">
        <v>11</v>
      </c>
      <c r="O770">
        <v>94306.1</v>
      </c>
      <c r="P770">
        <v>25</v>
      </c>
      <c r="Q770">
        <v>259341.78</v>
      </c>
      <c r="R770">
        <v>778025.32</v>
      </c>
      <c r="S770">
        <v>103574.92</v>
      </c>
    </row>
    <row r="771" spans="1:19" ht="15" customHeight="1" x14ac:dyDescent="0.25">
      <c r="A771" t="s">
        <v>2379</v>
      </c>
      <c r="B771" s="8">
        <v>45225</v>
      </c>
      <c r="C771" s="8">
        <v>45228</v>
      </c>
      <c r="D771" t="s">
        <v>73</v>
      </c>
      <c r="E771" t="s">
        <v>2380</v>
      </c>
      <c r="F771" t="s">
        <v>2381</v>
      </c>
      <c r="G771">
        <v>9023881944</v>
      </c>
      <c r="H771" t="s">
        <v>35</v>
      </c>
      <c r="I771" t="s">
        <v>51</v>
      </c>
      <c r="J771" t="s">
        <v>227</v>
      </c>
      <c r="K771" t="s">
        <v>85</v>
      </c>
      <c r="L771" t="s">
        <v>266</v>
      </c>
      <c r="M771" t="s">
        <v>803</v>
      </c>
      <c r="N771">
        <v>17</v>
      </c>
      <c r="O771">
        <v>64017.18</v>
      </c>
      <c r="P771">
        <v>20</v>
      </c>
      <c r="Q771">
        <v>217658.41</v>
      </c>
      <c r="R771">
        <v>870633.65</v>
      </c>
      <c r="S771">
        <v>210775.51</v>
      </c>
    </row>
    <row r="772" spans="1:19" ht="15" customHeight="1" x14ac:dyDescent="0.25">
      <c r="A772" t="s">
        <v>2382</v>
      </c>
      <c r="B772" s="8">
        <v>45528</v>
      </c>
      <c r="C772" s="8">
        <v>45531</v>
      </c>
      <c r="D772" t="s">
        <v>20</v>
      </c>
      <c r="E772" t="s">
        <v>1358</v>
      </c>
      <c r="F772" t="s">
        <v>2383</v>
      </c>
      <c r="G772">
        <v>7036938019</v>
      </c>
      <c r="H772" t="s">
        <v>35</v>
      </c>
      <c r="I772" t="s">
        <v>69</v>
      </c>
      <c r="J772" t="s">
        <v>144</v>
      </c>
      <c r="K772" t="s">
        <v>63</v>
      </c>
      <c r="L772" t="s">
        <v>64</v>
      </c>
      <c r="M772" t="s">
        <v>65</v>
      </c>
      <c r="N772">
        <v>13</v>
      </c>
      <c r="O772">
        <v>10919.8</v>
      </c>
      <c r="P772">
        <v>15</v>
      </c>
      <c r="Q772">
        <v>21293.61</v>
      </c>
      <c r="R772">
        <v>120663.79</v>
      </c>
      <c r="S772">
        <v>-17688.89</v>
      </c>
    </row>
    <row r="773" spans="1:19" ht="15" customHeight="1" x14ac:dyDescent="0.25">
      <c r="A773" t="s">
        <v>2384</v>
      </c>
      <c r="B773" s="8">
        <v>44848</v>
      </c>
      <c r="C773" s="8">
        <v>44851</v>
      </c>
      <c r="D773" t="s">
        <v>20</v>
      </c>
      <c r="E773" t="s">
        <v>2385</v>
      </c>
      <c r="F773" t="s">
        <v>2386</v>
      </c>
      <c r="G773">
        <v>8135293781</v>
      </c>
      <c r="H773" t="s">
        <v>43</v>
      </c>
      <c r="I773" t="s">
        <v>69</v>
      </c>
      <c r="J773" t="s">
        <v>307</v>
      </c>
      <c r="K773" t="s">
        <v>63</v>
      </c>
      <c r="L773" t="s">
        <v>194</v>
      </c>
      <c r="M773" t="s">
        <v>716</v>
      </c>
      <c r="N773">
        <v>14</v>
      </c>
      <c r="O773">
        <v>1080.1400000000001</v>
      </c>
      <c r="P773">
        <v>15</v>
      </c>
      <c r="Q773">
        <v>2268.29</v>
      </c>
      <c r="R773">
        <v>12853.67</v>
      </c>
      <c r="S773">
        <v>583.70000000000005</v>
      </c>
    </row>
    <row r="774" spans="1:19" ht="15" customHeight="1" x14ac:dyDescent="0.25">
      <c r="A774" t="s">
        <v>2387</v>
      </c>
      <c r="B774" s="8">
        <v>45123</v>
      </c>
      <c r="C774" s="8">
        <v>45123</v>
      </c>
      <c r="D774" t="s">
        <v>32</v>
      </c>
      <c r="E774" t="s">
        <v>472</v>
      </c>
      <c r="F774" t="s">
        <v>2388</v>
      </c>
      <c r="G774">
        <v>7039047740</v>
      </c>
      <c r="H774" t="s">
        <v>24</v>
      </c>
      <c r="I774" t="s">
        <v>61</v>
      </c>
      <c r="J774" t="s">
        <v>62</v>
      </c>
      <c r="K774" t="s">
        <v>27</v>
      </c>
      <c r="L774" t="s">
        <v>28</v>
      </c>
      <c r="M774" t="s">
        <v>29</v>
      </c>
      <c r="N774">
        <v>13</v>
      </c>
      <c r="O774">
        <v>6315.46</v>
      </c>
      <c r="P774">
        <v>20</v>
      </c>
      <c r="Q774">
        <v>16420.2</v>
      </c>
      <c r="R774">
        <v>65680.78</v>
      </c>
      <c r="S774">
        <v>-6.06</v>
      </c>
    </row>
    <row r="775" spans="1:19" ht="15" customHeight="1" x14ac:dyDescent="0.25">
      <c r="A775" t="s">
        <v>2389</v>
      </c>
      <c r="B775" s="8">
        <v>45263</v>
      </c>
      <c r="C775" s="8">
        <v>45270</v>
      </c>
      <c r="D775" t="s">
        <v>48</v>
      </c>
      <c r="E775" t="s">
        <v>2390</v>
      </c>
      <c r="F775" t="s">
        <v>2391</v>
      </c>
      <c r="G775">
        <v>8162862787</v>
      </c>
      <c r="H775" t="s">
        <v>35</v>
      </c>
      <c r="I775" t="s">
        <v>69</v>
      </c>
      <c r="J775" t="s">
        <v>307</v>
      </c>
      <c r="K775" t="s">
        <v>108</v>
      </c>
      <c r="L775" t="s">
        <v>109</v>
      </c>
      <c r="M775" t="s">
        <v>110</v>
      </c>
      <c r="N775">
        <v>14</v>
      </c>
      <c r="O775">
        <v>15955.46</v>
      </c>
      <c r="P775">
        <v>0</v>
      </c>
      <c r="Q775">
        <v>0</v>
      </c>
      <c r="R775">
        <v>223376.44</v>
      </c>
      <c r="S775">
        <v>83625.52</v>
      </c>
    </row>
    <row r="776" spans="1:19" ht="15" customHeight="1" x14ac:dyDescent="0.25">
      <c r="A776" t="s">
        <v>2392</v>
      </c>
      <c r="B776" s="8">
        <v>45459</v>
      </c>
      <c r="C776" s="8">
        <v>45465</v>
      </c>
      <c r="D776" t="s">
        <v>48</v>
      </c>
      <c r="E776" t="s">
        <v>2393</v>
      </c>
      <c r="F776" t="s">
        <v>2394</v>
      </c>
      <c r="G776">
        <v>8159909162</v>
      </c>
      <c r="H776" t="s">
        <v>35</v>
      </c>
      <c r="I776" t="s">
        <v>51</v>
      </c>
      <c r="J776" t="s">
        <v>227</v>
      </c>
      <c r="K776" t="s">
        <v>63</v>
      </c>
      <c r="L776" t="s">
        <v>469</v>
      </c>
      <c r="M776" t="s">
        <v>470</v>
      </c>
      <c r="N776">
        <v>3</v>
      </c>
      <c r="O776">
        <v>3941.46</v>
      </c>
      <c r="P776">
        <v>10</v>
      </c>
      <c r="Q776">
        <v>1182.44</v>
      </c>
      <c r="R776">
        <v>10641.94</v>
      </c>
      <c r="S776">
        <v>4515.59</v>
      </c>
    </row>
    <row r="777" spans="1:19" ht="15" customHeight="1" x14ac:dyDescent="0.25">
      <c r="A777" t="s">
        <v>2395</v>
      </c>
      <c r="B777" s="8">
        <v>44939</v>
      </c>
      <c r="C777" s="8">
        <v>44943</v>
      </c>
      <c r="D777" t="s">
        <v>73</v>
      </c>
      <c r="E777" t="s">
        <v>2396</v>
      </c>
      <c r="F777" t="s">
        <v>2397</v>
      </c>
      <c r="G777">
        <v>7036587015</v>
      </c>
      <c r="H777" t="s">
        <v>24</v>
      </c>
      <c r="I777" t="s">
        <v>51</v>
      </c>
      <c r="J777" t="s">
        <v>316</v>
      </c>
      <c r="K777" t="s">
        <v>85</v>
      </c>
      <c r="L777" t="s">
        <v>243</v>
      </c>
      <c r="M777" t="s">
        <v>404</v>
      </c>
      <c r="N777">
        <v>1</v>
      </c>
      <c r="O777">
        <v>111822.11</v>
      </c>
      <c r="P777">
        <v>0</v>
      </c>
      <c r="Q777">
        <v>0</v>
      </c>
      <c r="R777">
        <v>111822.11</v>
      </c>
      <c r="S777">
        <v>-8776.44</v>
      </c>
    </row>
    <row r="778" spans="1:19" ht="15" customHeight="1" x14ac:dyDescent="0.25">
      <c r="A778" t="s">
        <v>2398</v>
      </c>
      <c r="B778" s="8">
        <v>44660</v>
      </c>
      <c r="C778" s="8">
        <v>44660</v>
      </c>
      <c r="D778" t="s">
        <v>32</v>
      </c>
      <c r="E778" t="s">
        <v>2399</v>
      </c>
      <c r="F778" t="s">
        <v>2400</v>
      </c>
      <c r="G778">
        <v>9058335114</v>
      </c>
      <c r="H778" t="s">
        <v>43</v>
      </c>
      <c r="I778" t="s">
        <v>69</v>
      </c>
      <c r="J778" t="s">
        <v>70</v>
      </c>
      <c r="K778" t="s">
        <v>96</v>
      </c>
      <c r="L778" t="s">
        <v>254</v>
      </c>
      <c r="M778" t="s">
        <v>455</v>
      </c>
      <c r="N778">
        <v>16</v>
      </c>
      <c r="O778">
        <v>358709.81</v>
      </c>
      <c r="P778">
        <v>10</v>
      </c>
      <c r="Q778">
        <v>573935.69999999995</v>
      </c>
      <c r="R778">
        <v>5165421.26</v>
      </c>
      <c r="S778">
        <v>1006685.24</v>
      </c>
    </row>
    <row r="779" spans="1:19" ht="15" customHeight="1" x14ac:dyDescent="0.25">
      <c r="A779" t="s">
        <v>2401</v>
      </c>
      <c r="B779" s="8">
        <v>44792</v>
      </c>
      <c r="C779" s="8">
        <v>44798</v>
      </c>
      <c r="D779" t="s">
        <v>210</v>
      </c>
      <c r="E779" t="s">
        <v>492</v>
      </c>
      <c r="F779" t="s">
        <v>493</v>
      </c>
      <c r="G779">
        <v>9058859233</v>
      </c>
      <c r="H779" t="s">
        <v>24</v>
      </c>
      <c r="I779" t="s">
        <v>25</v>
      </c>
      <c r="J779" t="s">
        <v>26</v>
      </c>
      <c r="K779" t="s">
        <v>27</v>
      </c>
      <c r="L779" t="s">
        <v>354</v>
      </c>
      <c r="M779" t="s">
        <v>355</v>
      </c>
      <c r="N779">
        <v>14</v>
      </c>
      <c r="O779">
        <v>6206.79</v>
      </c>
      <c r="P779">
        <v>10</v>
      </c>
      <c r="Q779">
        <v>8689.51</v>
      </c>
      <c r="R779">
        <v>78205.55</v>
      </c>
      <c r="S779">
        <v>10122.07</v>
      </c>
    </row>
    <row r="780" spans="1:19" ht="15" customHeight="1" x14ac:dyDescent="0.25">
      <c r="A780" t="s">
        <v>2402</v>
      </c>
      <c r="B780" s="8">
        <v>45257</v>
      </c>
      <c r="C780" s="8">
        <v>45261</v>
      </c>
      <c r="D780" t="s">
        <v>73</v>
      </c>
      <c r="E780" t="s">
        <v>1160</v>
      </c>
      <c r="F780" t="s">
        <v>2403</v>
      </c>
      <c r="G780">
        <v>8037735482</v>
      </c>
      <c r="H780" t="s">
        <v>35</v>
      </c>
      <c r="I780" t="s">
        <v>61</v>
      </c>
      <c r="J780" t="s">
        <v>182</v>
      </c>
      <c r="K780" t="s">
        <v>27</v>
      </c>
      <c r="L780" t="s">
        <v>45</v>
      </c>
      <c r="M780" t="s">
        <v>308</v>
      </c>
      <c r="N780">
        <v>13</v>
      </c>
      <c r="O780">
        <v>5102.41</v>
      </c>
      <c r="P780" t="s">
        <v>376</v>
      </c>
      <c r="Q780">
        <v>0</v>
      </c>
      <c r="S780">
        <v>-9609.9</v>
      </c>
    </row>
    <row r="781" spans="1:19" ht="15" customHeight="1" x14ac:dyDescent="0.25">
      <c r="A781" t="s">
        <v>2404</v>
      </c>
      <c r="B781" s="8">
        <v>45018</v>
      </c>
      <c r="C781" s="8">
        <v>45021</v>
      </c>
      <c r="D781" t="s">
        <v>20</v>
      </c>
      <c r="E781" t="s">
        <v>2405</v>
      </c>
      <c r="F781" t="s">
        <v>2406</v>
      </c>
      <c r="G781">
        <v>9026949960</v>
      </c>
      <c r="H781" t="s">
        <v>35</v>
      </c>
      <c r="I781" t="s">
        <v>51</v>
      </c>
      <c r="J781" t="s">
        <v>316</v>
      </c>
      <c r="K781" t="s">
        <v>27</v>
      </c>
      <c r="L781" t="s">
        <v>354</v>
      </c>
      <c r="M781" t="s">
        <v>625</v>
      </c>
      <c r="N781">
        <v>7</v>
      </c>
      <c r="O781">
        <v>6252.04</v>
      </c>
      <c r="P781">
        <v>10</v>
      </c>
      <c r="Q781">
        <v>4376.43</v>
      </c>
      <c r="R781">
        <v>39387.85</v>
      </c>
      <c r="S781">
        <v>-1616.79</v>
      </c>
    </row>
    <row r="782" spans="1:19" ht="15" customHeight="1" x14ac:dyDescent="0.25">
      <c r="A782" t="s">
        <v>2407</v>
      </c>
      <c r="B782" s="8">
        <v>44822</v>
      </c>
      <c r="C782" s="8">
        <v>44829</v>
      </c>
      <c r="D782" t="s">
        <v>48</v>
      </c>
      <c r="E782" t="s">
        <v>1971</v>
      </c>
      <c r="F782" t="s">
        <v>1972</v>
      </c>
      <c r="G782">
        <v>8134503204</v>
      </c>
      <c r="H782" t="s">
        <v>24</v>
      </c>
      <c r="I782" t="s">
        <v>25</v>
      </c>
      <c r="J782" t="s">
        <v>36</v>
      </c>
      <c r="K782" t="s">
        <v>85</v>
      </c>
      <c r="L782" t="s">
        <v>243</v>
      </c>
      <c r="M782" t="s">
        <v>613</v>
      </c>
      <c r="N782">
        <v>9</v>
      </c>
      <c r="O782">
        <v>80976.789999999994</v>
      </c>
      <c r="P782">
        <v>5</v>
      </c>
      <c r="Q782">
        <v>36439.56</v>
      </c>
      <c r="R782">
        <v>692351.55</v>
      </c>
      <c r="S782">
        <v>285097.46000000002</v>
      </c>
    </row>
    <row r="783" spans="1:19" ht="15" customHeight="1" x14ac:dyDescent="0.25">
      <c r="A783" t="s">
        <v>2408</v>
      </c>
      <c r="B783" s="8">
        <v>45462</v>
      </c>
      <c r="C783" s="8">
        <v>45465</v>
      </c>
      <c r="D783" t="s">
        <v>73</v>
      </c>
      <c r="E783" t="s">
        <v>2409</v>
      </c>
      <c r="F783" t="s">
        <v>2410</v>
      </c>
      <c r="G783">
        <v>8034499464</v>
      </c>
      <c r="H783" t="s">
        <v>35</v>
      </c>
      <c r="I783" t="s">
        <v>61</v>
      </c>
      <c r="J783" t="s">
        <v>182</v>
      </c>
      <c r="K783" t="s">
        <v>108</v>
      </c>
      <c r="L783" t="s">
        <v>114</v>
      </c>
      <c r="M783" t="s">
        <v>115</v>
      </c>
      <c r="N783">
        <v>7</v>
      </c>
      <c r="O783">
        <v>20857.509999999998</v>
      </c>
      <c r="P783">
        <v>5</v>
      </c>
      <c r="Q783">
        <v>7300.13</v>
      </c>
      <c r="R783">
        <v>138702.44</v>
      </c>
      <c r="S783">
        <v>43357.03</v>
      </c>
    </row>
    <row r="784" spans="1:19" ht="15" customHeight="1" x14ac:dyDescent="0.25">
      <c r="A784" t="s">
        <v>2411</v>
      </c>
      <c r="B784" s="8">
        <v>44895</v>
      </c>
      <c r="C784" s="8">
        <v>44901</v>
      </c>
      <c r="D784" t="s">
        <v>48</v>
      </c>
      <c r="E784" t="s">
        <v>1338</v>
      </c>
      <c r="F784" t="s">
        <v>2412</v>
      </c>
      <c r="G784">
        <v>9016316357</v>
      </c>
      <c r="H784" t="s">
        <v>35</v>
      </c>
      <c r="I784" t="s">
        <v>25</v>
      </c>
      <c r="J784" t="s">
        <v>26</v>
      </c>
      <c r="K784" t="s">
        <v>108</v>
      </c>
      <c r="L784" t="s">
        <v>109</v>
      </c>
      <c r="M784" t="s">
        <v>1258</v>
      </c>
      <c r="N784">
        <v>17</v>
      </c>
      <c r="O784">
        <v>44361.54</v>
      </c>
      <c r="P784">
        <v>10</v>
      </c>
      <c r="Q784">
        <v>75414.62</v>
      </c>
      <c r="R784">
        <v>678731.56</v>
      </c>
      <c r="S784">
        <v>92841.91</v>
      </c>
    </row>
    <row r="785" spans="1:19" ht="15" customHeight="1" x14ac:dyDescent="0.25">
      <c r="A785" t="s">
        <v>2413</v>
      </c>
      <c r="B785" s="8">
        <v>45340</v>
      </c>
      <c r="C785" s="8">
        <v>45348</v>
      </c>
      <c r="D785" t="s">
        <v>48</v>
      </c>
      <c r="E785" t="s">
        <v>338</v>
      </c>
      <c r="F785" t="s">
        <v>834</v>
      </c>
      <c r="G785">
        <v>7037046381</v>
      </c>
      <c r="H785" t="s">
        <v>35</v>
      </c>
      <c r="I785" t="s">
        <v>25</v>
      </c>
      <c r="K785" t="s">
        <v>53</v>
      </c>
      <c r="L785" t="s">
        <v>194</v>
      </c>
      <c r="M785" t="s">
        <v>700</v>
      </c>
      <c r="N785">
        <v>10</v>
      </c>
      <c r="O785">
        <v>11136.65</v>
      </c>
      <c r="P785">
        <v>5</v>
      </c>
      <c r="Q785">
        <v>5568.32</v>
      </c>
      <c r="R785">
        <v>105798.18</v>
      </c>
      <c r="S785">
        <v>47590.55</v>
      </c>
    </row>
    <row r="786" spans="1:19" ht="15" customHeight="1" x14ac:dyDescent="0.25">
      <c r="A786" t="s">
        <v>2414</v>
      </c>
      <c r="B786" s="8">
        <v>45124</v>
      </c>
      <c r="C786" s="8">
        <v>45131</v>
      </c>
      <c r="D786" t="s">
        <v>48</v>
      </c>
      <c r="E786" t="s">
        <v>2415</v>
      </c>
      <c r="F786" t="s">
        <v>2416</v>
      </c>
      <c r="G786">
        <v>8101155591</v>
      </c>
      <c r="H786" t="s">
        <v>43</v>
      </c>
      <c r="I786" t="s">
        <v>25</v>
      </c>
      <c r="J786" t="s">
        <v>168</v>
      </c>
      <c r="K786" t="s">
        <v>85</v>
      </c>
      <c r="L786" t="s">
        <v>266</v>
      </c>
      <c r="M786" t="s">
        <v>803</v>
      </c>
      <c r="N786">
        <v>16</v>
      </c>
      <c r="O786">
        <v>32117.9</v>
      </c>
      <c r="P786">
        <v>0</v>
      </c>
      <c r="Q786">
        <v>0</v>
      </c>
      <c r="R786">
        <v>513886.4</v>
      </c>
      <c r="S786">
        <v>-58218.77</v>
      </c>
    </row>
    <row r="787" spans="1:19" ht="15" customHeight="1" x14ac:dyDescent="0.25">
      <c r="A787" t="s">
        <v>2417</v>
      </c>
      <c r="B787" s="8">
        <v>44884</v>
      </c>
      <c r="C787" s="8">
        <v>44885</v>
      </c>
      <c r="D787" t="s">
        <v>32</v>
      </c>
      <c r="E787" t="s">
        <v>954</v>
      </c>
      <c r="F787" t="s">
        <v>2418</v>
      </c>
      <c r="G787">
        <v>9014046988</v>
      </c>
      <c r="H787" t="s">
        <v>43</v>
      </c>
      <c r="I787" t="s">
        <v>61</v>
      </c>
      <c r="J787" t="s">
        <v>182</v>
      </c>
      <c r="K787" t="s">
        <v>63</v>
      </c>
      <c r="L787" t="s">
        <v>249</v>
      </c>
      <c r="M787" t="s">
        <v>2013</v>
      </c>
      <c r="N787">
        <v>7</v>
      </c>
      <c r="O787">
        <v>1234.51</v>
      </c>
      <c r="P787">
        <v>10</v>
      </c>
      <c r="Q787">
        <v>864.16</v>
      </c>
      <c r="R787">
        <v>7777.41</v>
      </c>
      <c r="S787">
        <v>717.02</v>
      </c>
    </row>
    <row r="788" spans="1:19" ht="15" customHeight="1" x14ac:dyDescent="0.25">
      <c r="A788" t="s">
        <v>2419</v>
      </c>
      <c r="B788" s="8" t="s">
        <v>2420</v>
      </c>
      <c r="C788" s="8">
        <v>44622</v>
      </c>
      <c r="D788" t="s">
        <v>20</v>
      </c>
      <c r="E788" t="s">
        <v>2421</v>
      </c>
      <c r="F788" t="s">
        <v>2422</v>
      </c>
      <c r="G788">
        <v>8033421636</v>
      </c>
      <c r="H788" t="s">
        <v>24</v>
      </c>
      <c r="I788" t="s">
        <v>51</v>
      </c>
      <c r="J788" t="s">
        <v>223</v>
      </c>
      <c r="K788" t="s">
        <v>156</v>
      </c>
      <c r="L788" t="s">
        <v>114</v>
      </c>
      <c r="M788" t="s">
        <v>891</v>
      </c>
      <c r="N788">
        <v>20</v>
      </c>
      <c r="O788">
        <v>18212.580000000002</v>
      </c>
      <c r="P788">
        <v>25</v>
      </c>
      <c r="Q788">
        <v>91062.9</v>
      </c>
      <c r="R788">
        <v>273188.7</v>
      </c>
      <c r="S788">
        <v>-13155.64</v>
      </c>
    </row>
    <row r="789" spans="1:19" ht="15" customHeight="1" x14ac:dyDescent="0.25">
      <c r="A789" t="s">
        <v>2423</v>
      </c>
      <c r="B789" s="8">
        <v>44750</v>
      </c>
      <c r="C789" s="8">
        <v>44754</v>
      </c>
      <c r="D789" t="s">
        <v>73</v>
      </c>
      <c r="E789" t="s">
        <v>2424</v>
      </c>
      <c r="F789" t="s">
        <v>2425</v>
      </c>
      <c r="G789">
        <v>8147963833</v>
      </c>
      <c r="H789" t="s">
        <v>43</v>
      </c>
      <c r="I789" t="s">
        <v>25</v>
      </c>
      <c r="J789" t="s">
        <v>26</v>
      </c>
      <c r="K789" t="s">
        <v>857</v>
      </c>
      <c r="L789" t="s">
        <v>28</v>
      </c>
      <c r="M789" t="s">
        <v>508</v>
      </c>
      <c r="N789">
        <v>1</v>
      </c>
      <c r="O789">
        <v>6898.25</v>
      </c>
      <c r="P789">
        <v>10</v>
      </c>
      <c r="Q789">
        <v>689.83</v>
      </c>
      <c r="R789">
        <v>6208.42</v>
      </c>
      <c r="S789">
        <v>842.77</v>
      </c>
    </row>
    <row r="790" spans="1:19" ht="15" customHeight="1" x14ac:dyDescent="0.25">
      <c r="A790" t="s">
        <v>2426</v>
      </c>
      <c r="B790" s="8">
        <v>44759</v>
      </c>
      <c r="C790" s="8">
        <v>44762</v>
      </c>
      <c r="D790" t="s">
        <v>20</v>
      </c>
      <c r="E790" t="s">
        <v>1605</v>
      </c>
      <c r="F790" t="s">
        <v>2427</v>
      </c>
      <c r="G790">
        <v>8104679430</v>
      </c>
      <c r="H790" t="s">
        <v>43</v>
      </c>
      <c r="I790" t="s">
        <v>51</v>
      </c>
      <c r="J790" t="s">
        <v>131</v>
      </c>
      <c r="K790" t="s">
        <v>27</v>
      </c>
      <c r="L790" t="s">
        <v>354</v>
      </c>
      <c r="M790" t="s">
        <v>625</v>
      </c>
      <c r="N790">
        <v>3</v>
      </c>
      <c r="O790">
        <v>2036.75</v>
      </c>
      <c r="P790">
        <v>0</v>
      </c>
      <c r="Q790">
        <v>0</v>
      </c>
      <c r="R790">
        <v>6110.25</v>
      </c>
      <c r="S790">
        <v>1713.07</v>
      </c>
    </row>
    <row r="791" spans="1:19" ht="15" customHeight="1" x14ac:dyDescent="0.25">
      <c r="A791" t="s">
        <v>2428</v>
      </c>
      <c r="B791" s="8">
        <v>45025</v>
      </c>
      <c r="C791" s="8">
        <v>45029</v>
      </c>
      <c r="D791" t="s">
        <v>73</v>
      </c>
      <c r="E791" t="s">
        <v>1056</v>
      </c>
      <c r="F791" t="s">
        <v>2429</v>
      </c>
      <c r="G791">
        <v>7038753576</v>
      </c>
      <c r="H791" t="s">
        <v>35</v>
      </c>
      <c r="I791" t="s">
        <v>51</v>
      </c>
      <c r="J791" t="s">
        <v>227</v>
      </c>
      <c r="K791" t="s">
        <v>27</v>
      </c>
      <c r="L791" t="s">
        <v>173</v>
      </c>
      <c r="M791" t="s">
        <v>1795</v>
      </c>
      <c r="N791">
        <v>9</v>
      </c>
      <c r="O791">
        <v>4744.1899999999996</v>
      </c>
      <c r="P791">
        <v>0</v>
      </c>
      <c r="Q791">
        <v>0</v>
      </c>
      <c r="R791">
        <v>42697.71</v>
      </c>
      <c r="S791">
        <v>1996.82</v>
      </c>
    </row>
    <row r="792" spans="1:19" ht="15" customHeight="1" x14ac:dyDescent="0.25">
      <c r="A792" t="s">
        <v>2430</v>
      </c>
      <c r="B792" s="8">
        <v>45350</v>
      </c>
      <c r="C792" s="8">
        <v>45355</v>
      </c>
      <c r="D792" t="s">
        <v>48</v>
      </c>
      <c r="E792" t="s">
        <v>2431</v>
      </c>
      <c r="F792" t="s">
        <v>2432</v>
      </c>
      <c r="G792">
        <v>8101572338</v>
      </c>
      <c r="H792" t="s">
        <v>24</v>
      </c>
      <c r="I792" t="s">
        <v>51</v>
      </c>
      <c r="J792" t="s">
        <v>131</v>
      </c>
      <c r="K792" t="s">
        <v>85</v>
      </c>
      <c r="L792" t="s">
        <v>218</v>
      </c>
      <c r="M792" t="s">
        <v>219</v>
      </c>
      <c r="N792">
        <v>19</v>
      </c>
      <c r="O792">
        <v>63475.57</v>
      </c>
      <c r="P792">
        <v>20</v>
      </c>
      <c r="Q792">
        <v>241207.17</v>
      </c>
      <c r="R792">
        <v>964828.66</v>
      </c>
      <c r="S792">
        <v>135372.13</v>
      </c>
    </row>
    <row r="793" spans="1:19" ht="15" customHeight="1" x14ac:dyDescent="0.25">
      <c r="A793" t="s">
        <v>2433</v>
      </c>
      <c r="B793" s="8">
        <v>45487</v>
      </c>
      <c r="C793" s="8">
        <v>45487</v>
      </c>
      <c r="D793" t="s">
        <v>32</v>
      </c>
      <c r="E793" t="s">
        <v>2007</v>
      </c>
      <c r="F793" t="s">
        <v>2434</v>
      </c>
      <c r="G793">
        <v>8158379676</v>
      </c>
      <c r="H793" t="s">
        <v>24</v>
      </c>
      <c r="I793" t="s">
        <v>51</v>
      </c>
      <c r="J793" t="s">
        <v>131</v>
      </c>
      <c r="K793" t="s">
        <v>96</v>
      </c>
      <c r="L793" t="s">
        <v>97</v>
      </c>
      <c r="M793" t="s">
        <v>169</v>
      </c>
      <c r="N793">
        <v>11</v>
      </c>
      <c r="O793">
        <v>416890.25</v>
      </c>
      <c r="P793">
        <v>0</v>
      </c>
      <c r="Q793">
        <v>0</v>
      </c>
      <c r="R793">
        <v>4585792.75</v>
      </c>
      <c r="S793">
        <v>14539.96</v>
      </c>
    </row>
    <row r="794" spans="1:19" ht="15" customHeight="1" x14ac:dyDescent="0.25">
      <c r="A794" t="s">
        <v>2435</v>
      </c>
      <c r="B794" s="8">
        <v>45263</v>
      </c>
      <c r="C794" s="8">
        <v>45262</v>
      </c>
      <c r="D794" t="s">
        <v>48</v>
      </c>
      <c r="E794" t="s">
        <v>2436</v>
      </c>
      <c r="F794" t="s">
        <v>2437</v>
      </c>
      <c r="G794">
        <v>7061426375</v>
      </c>
      <c r="H794" t="s">
        <v>43</v>
      </c>
      <c r="I794" t="s">
        <v>69</v>
      </c>
      <c r="J794" t="s">
        <v>155</v>
      </c>
      <c r="K794" t="s">
        <v>27</v>
      </c>
      <c r="L794" t="s">
        <v>354</v>
      </c>
      <c r="M794" t="s">
        <v>355</v>
      </c>
      <c r="N794">
        <v>15</v>
      </c>
      <c r="O794">
        <v>2048.86</v>
      </c>
      <c r="P794">
        <v>0</v>
      </c>
      <c r="Q794">
        <v>0</v>
      </c>
      <c r="R794">
        <v>30732.9</v>
      </c>
      <c r="S794">
        <v>-2392.04</v>
      </c>
    </row>
    <row r="795" spans="1:19" ht="15" customHeight="1" x14ac:dyDescent="0.25">
      <c r="A795" t="s">
        <v>2438</v>
      </c>
      <c r="B795" s="8">
        <v>45488</v>
      </c>
      <c r="C795" s="8">
        <v>45491</v>
      </c>
      <c r="D795" t="s">
        <v>20</v>
      </c>
      <c r="F795" t="s">
        <v>2439</v>
      </c>
      <c r="G795">
        <v>7069571557</v>
      </c>
      <c r="H795" t="s">
        <v>43</v>
      </c>
      <c r="I795" t="s">
        <v>51</v>
      </c>
      <c r="J795" t="s">
        <v>131</v>
      </c>
      <c r="K795" t="s">
        <v>85</v>
      </c>
      <c r="L795" t="s">
        <v>218</v>
      </c>
      <c r="M795" t="s">
        <v>708</v>
      </c>
      <c r="N795">
        <v>7</v>
      </c>
      <c r="O795">
        <v>141456.75</v>
      </c>
      <c r="P795">
        <v>10</v>
      </c>
      <c r="Q795">
        <v>99019.73</v>
      </c>
      <c r="R795">
        <v>891177.52</v>
      </c>
      <c r="S795">
        <v>147351.57999999999</v>
      </c>
    </row>
    <row r="796" spans="1:19" ht="15" customHeight="1" x14ac:dyDescent="0.25">
      <c r="A796" t="s">
        <v>2440</v>
      </c>
      <c r="B796" s="8">
        <v>45653</v>
      </c>
      <c r="C796" s="8">
        <v>45660</v>
      </c>
      <c r="D796" t="s">
        <v>48</v>
      </c>
      <c r="E796" t="s">
        <v>2441</v>
      </c>
      <c r="F796" t="s">
        <v>2442</v>
      </c>
      <c r="G796">
        <v>7033663379</v>
      </c>
      <c r="H796" t="s">
        <v>24</v>
      </c>
      <c r="I796" t="s">
        <v>61</v>
      </c>
      <c r="J796" t="s">
        <v>84</v>
      </c>
      <c r="K796" t="s">
        <v>96</v>
      </c>
      <c r="L796" t="s">
        <v>385</v>
      </c>
      <c r="M796" t="s">
        <v>1010</v>
      </c>
      <c r="N796">
        <v>5</v>
      </c>
      <c r="O796">
        <v>113422.01</v>
      </c>
      <c r="P796">
        <v>25</v>
      </c>
      <c r="Q796">
        <v>141777.51</v>
      </c>
      <c r="R796">
        <v>425332.54</v>
      </c>
      <c r="S796">
        <v>176647.07</v>
      </c>
    </row>
    <row r="797" spans="1:19" ht="15" customHeight="1" x14ac:dyDescent="0.25">
      <c r="A797" t="s">
        <v>2443</v>
      </c>
      <c r="B797" s="8">
        <v>45382</v>
      </c>
      <c r="C797" s="8">
        <v>45389</v>
      </c>
      <c r="D797" t="s">
        <v>48</v>
      </c>
      <c r="E797" t="s">
        <v>2444</v>
      </c>
      <c r="F797" t="s">
        <v>2445</v>
      </c>
      <c r="G797">
        <v>8148851806</v>
      </c>
      <c r="H797" t="s">
        <v>43</v>
      </c>
      <c r="I797" t="s">
        <v>69</v>
      </c>
      <c r="J797" t="s">
        <v>119</v>
      </c>
      <c r="K797" t="s">
        <v>63</v>
      </c>
      <c r="L797" t="s">
        <v>54</v>
      </c>
      <c r="M797" t="s">
        <v>55</v>
      </c>
      <c r="N797">
        <v>9</v>
      </c>
      <c r="O797">
        <v>508.66</v>
      </c>
      <c r="P797">
        <v>25</v>
      </c>
      <c r="Q797">
        <v>1144.49</v>
      </c>
      <c r="R797">
        <v>3433.45</v>
      </c>
      <c r="S797">
        <v>861.36</v>
      </c>
    </row>
    <row r="798" spans="1:19" ht="15" customHeight="1" x14ac:dyDescent="0.25">
      <c r="A798" t="s">
        <v>2446</v>
      </c>
      <c r="B798" s="8">
        <v>44683</v>
      </c>
      <c r="C798" s="8">
        <v>44691</v>
      </c>
      <c r="D798" t="s">
        <v>48</v>
      </c>
      <c r="E798" t="s">
        <v>197</v>
      </c>
      <c r="F798" t="s">
        <v>2447</v>
      </c>
      <c r="G798">
        <v>8033688598</v>
      </c>
      <c r="H798" t="s">
        <v>24</v>
      </c>
      <c r="I798" t="s">
        <v>61</v>
      </c>
      <c r="J798" t="s">
        <v>84</v>
      </c>
      <c r="K798" t="s">
        <v>85</v>
      </c>
      <c r="L798" t="s">
        <v>486</v>
      </c>
      <c r="M798" t="s">
        <v>1193</v>
      </c>
      <c r="N798">
        <v>13</v>
      </c>
      <c r="O798">
        <v>119126.56</v>
      </c>
      <c r="P798">
        <v>5</v>
      </c>
      <c r="Q798">
        <v>77432.259999999995</v>
      </c>
      <c r="R798">
        <v>1471213.02</v>
      </c>
      <c r="S798">
        <v>-1259.3900000000001</v>
      </c>
    </row>
    <row r="799" spans="1:19" ht="15" customHeight="1" x14ac:dyDescent="0.25">
      <c r="A799" t="s">
        <v>2448</v>
      </c>
      <c r="B799" s="8">
        <v>44849</v>
      </c>
      <c r="C799" s="8">
        <v>44852</v>
      </c>
      <c r="D799" t="s">
        <v>20</v>
      </c>
      <c r="E799" t="s">
        <v>1031</v>
      </c>
      <c r="F799" t="s">
        <v>1032</v>
      </c>
      <c r="G799">
        <v>8138438704</v>
      </c>
      <c r="H799" t="s">
        <v>35</v>
      </c>
      <c r="I799" t="s">
        <v>51</v>
      </c>
      <c r="J799" t="s">
        <v>52</v>
      </c>
      <c r="K799" t="s">
        <v>85</v>
      </c>
      <c r="L799" t="s">
        <v>243</v>
      </c>
      <c r="M799" t="s">
        <v>404</v>
      </c>
      <c r="N799">
        <v>4</v>
      </c>
      <c r="O799">
        <v>9852.27</v>
      </c>
      <c r="P799">
        <v>25</v>
      </c>
      <c r="Q799">
        <v>9852.27</v>
      </c>
      <c r="R799">
        <v>29556.81</v>
      </c>
      <c r="S799">
        <v>1084.6300000000001</v>
      </c>
    </row>
    <row r="800" spans="1:19" ht="15" customHeight="1" x14ac:dyDescent="0.25">
      <c r="A800" t="s">
        <v>2449</v>
      </c>
      <c r="B800" s="8">
        <v>45459</v>
      </c>
      <c r="C800" s="8">
        <v>45463</v>
      </c>
      <c r="D800" t="s">
        <v>73</v>
      </c>
      <c r="E800" t="s">
        <v>260</v>
      </c>
      <c r="F800" t="s">
        <v>261</v>
      </c>
      <c r="G800">
        <v>8102181161</v>
      </c>
      <c r="H800" t="s">
        <v>43</v>
      </c>
      <c r="I800" t="s">
        <v>25</v>
      </c>
      <c r="J800" t="s">
        <v>36</v>
      </c>
      <c r="K800" t="s">
        <v>63</v>
      </c>
      <c r="L800" t="s">
        <v>558</v>
      </c>
      <c r="M800" t="s">
        <v>1460</v>
      </c>
      <c r="N800">
        <v>9</v>
      </c>
      <c r="O800">
        <v>9846.7900000000009</v>
      </c>
      <c r="P800" t="s">
        <v>376</v>
      </c>
      <c r="Q800">
        <v>0</v>
      </c>
      <c r="R800">
        <v>88621.11</v>
      </c>
      <c r="S800">
        <v>20040.689999999999</v>
      </c>
    </row>
    <row r="801" spans="1:19" ht="15" customHeight="1" x14ac:dyDescent="0.25">
      <c r="A801" t="s">
        <v>2450</v>
      </c>
      <c r="B801" s="8">
        <v>45158</v>
      </c>
      <c r="C801" s="8">
        <v>45158</v>
      </c>
      <c r="D801" t="s">
        <v>32</v>
      </c>
      <c r="E801" t="s">
        <v>1245</v>
      </c>
      <c r="F801" t="s">
        <v>1246</v>
      </c>
      <c r="G801">
        <v>9017082569</v>
      </c>
      <c r="H801" t="s">
        <v>35</v>
      </c>
      <c r="I801" t="s">
        <v>69</v>
      </c>
      <c r="J801" t="s">
        <v>155</v>
      </c>
      <c r="K801" t="s">
        <v>85</v>
      </c>
      <c r="L801" t="s">
        <v>486</v>
      </c>
      <c r="M801" t="s">
        <v>1018</v>
      </c>
      <c r="N801">
        <v>4</v>
      </c>
      <c r="O801">
        <v>80527.95</v>
      </c>
      <c r="P801">
        <v>10</v>
      </c>
      <c r="Q801">
        <v>32211.18</v>
      </c>
      <c r="R801">
        <v>289900.62</v>
      </c>
      <c r="S801">
        <v>103029.23</v>
      </c>
    </row>
    <row r="802" spans="1:19" ht="15" customHeight="1" x14ac:dyDescent="0.25">
      <c r="A802" t="s">
        <v>2451</v>
      </c>
      <c r="B802" s="8">
        <v>45421</v>
      </c>
      <c r="C802" s="8">
        <v>45424</v>
      </c>
      <c r="D802" t="s">
        <v>20</v>
      </c>
      <c r="E802" t="s">
        <v>2133</v>
      </c>
      <c r="F802" t="s">
        <v>2452</v>
      </c>
      <c r="G802" t="s">
        <v>1508</v>
      </c>
      <c r="H802" t="s">
        <v>24</v>
      </c>
      <c r="I802" t="s">
        <v>51</v>
      </c>
      <c r="J802" t="s">
        <v>223</v>
      </c>
      <c r="K802" t="s">
        <v>85</v>
      </c>
      <c r="L802" t="s">
        <v>266</v>
      </c>
      <c r="M802" t="s">
        <v>952</v>
      </c>
      <c r="N802">
        <v>14</v>
      </c>
      <c r="O802">
        <v>46078.76</v>
      </c>
      <c r="P802">
        <v>10</v>
      </c>
      <c r="Q802">
        <v>64510.26</v>
      </c>
      <c r="R802">
        <v>580592.38</v>
      </c>
      <c r="S802">
        <v>-50871.93</v>
      </c>
    </row>
    <row r="803" spans="1:19" ht="15" customHeight="1" x14ac:dyDescent="0.25">
      <c r="A803" t="s">
        <v>2453</v>
      </c>
      <c r="B803" s="8">
        <v>45624</v>
      </c>
      <c r="C803" s="8">
        <v>45625</v>
      </c>
      <c r="D803" t="s">
        <v>619</v>
      </c>
      <c r="E803" t="s">
        <v>1974</v>
      </c>
      <c r="F803" t="s">
        <v>2454</v>
      </c>
      <c r="G803">
        <v>9052653843</v>
      </c>
      <c r="H803" t="s">
        <v>24</v>
      </c>
      <c r="I803" t="s">
        <v>69</v>
      </c>
      <c r="J803" t="s">
        <v>155</v>
      </c>
      <c r="L803" t="s">
        <v>79</v>
      </c>
      <c r="M803" t="s">
        <v>145</v>
      </c>
      <c r="N803">
        <v>8</v>
      </c>
      <c r="O803">
        <v>7743.82</v>
      </c>
      <c r="P803">
        <v>10</v>
      </c>
      <c r="Q803">
        <v>6195.06</v>
      </c>
      <c r="R803">
        <v>55755.5</v>
      </c>
      <c r="S803">
        <v>11043.67</v>
      </c>
    </row>
    <row r="804" spans="1:19" ht="15" customHeight="1" x14ac:dyDescent="0.25">
      <c r="A804" t="s">
        <v>2455</v>
      </c>
      <c r="B804" s="8">
        <v>45273</v>
      </c>
      <c r="C804" s="8">
        <v>45281</v>
      </c>
      <c r="D804" t="s">
        <v>48</v>
      </c>
      <c r="E804" t="s">
        <v>576</v>
      </c>
      <c r="F804" t="s">
        <v>577</v>
      </c>
      <c r="G804">
        <v>7068244357</v>
      </c>
      <c r="H804" t="s">
        <v>24</v>
      </c>
      <c r="I804" t="s">
        <v>69</v>
      </c>
      <c r="J804" t="s">
        <v>70</v>
      </c>
      <c r="K804" t="s">
        <v>96</v>
      </c>
      <c r="L804" t="s">
        <v>385</v>
      </c>
      <c r="M804" t="s">
        <v>1010</v>
      </c>
      <c r="N804">
        <v>11</v>
      </c>
      <c r="O804">
        <v>93620.89</v>
      </c>
      <c r="P804">
        <v>0</v>
      </c>
      <c r="Q804">
        <v>0</v>
      </c>
      <c r="R804">
        <v>1029829.79</v>
      </c>
      <c r="S804">
        <v>26122.77</v>
      </c>
    </row>
    <row r="805" spans="1:19" ht="15" customHeight="1" x14ac:dyDescent="0.25">
      <c r="A805" t="s">
        <v>2456</v>
      </c>
      <c r="B805" s="8">
        <v>45081</v>
      </c>
      <c r="C805" s="8">
        <v>45082</v>
      </c>
      <c r="D805" t="s">
        <v>32</v>
      </c>
      <c r="E805" t="s">
        <v>2457</v>
      </c>
      <c r="F805" t="s">
        <v>2458</v>
      </c>
      <c r="G805">
        <v>8168482755</v>
      </c>
      <c r="H805" t="s">
        <v>24</v>
      </c>
      <c r="I805" t="s">
        <v>69</v>
      </c>
      <c r="J805" t="s">
        <v>307</v>
      </c>
      <c r="K805" t="s">
        <v>1815</v>
      </c>
      <c r="L805" t="s">
        <v>97</v>
      </c>
      <c r="M805" t="s">
        <v>230</v>
      </c>
      <c r="N805">
        <v>9</v>
      </c>
      <c r="O805">
        <v>319110.43</v>
      </c>
      <c r="P805">
        <v>0</v>
      </c>
      <c r="Q805">
        <v>0</v>
      </c>
      <c r="R805">
        <v>2871993.87</v>
      </c>
      <c r="S805">
        <v>-69994.48</v>
      </c>
    </row>
    <row r="806" spans="1:19" ht="15" customHeight="1" x14ac:dyDescent="0.25">
      <c r="A806" t="s">
        <v>2459</v>
      </c>
      <c r="B806" s="8">
        <v>45585</v>
      </c>
      <c r="C806" s="8">
        <v>45588</v>
      </c>
      <c r="D806" t="s">
        <v>73</v>
      </c>
      <c r="E806" t="s">
        <v>925</v>
      </c>
      <c r="F806" t="s">
        <v>2460</v>
      </c>
      <c r="G806" t="s">
        <v>512</v>
      </c>
      <c r="H806" t="s">
        <v>43</v>
      </c>
      <c r="I806" t="s">
        <v>51</v>
      </c>
      <c r="J806" t="s">
        <v>316</v>
      </c>
      <c r="K806" t="s">
        <v>96</v>
      </c>
      <c r="L806" t="s">
        <v>120</v>
      </c>
      <c r="M806" t="s">
        <v>133</v>
      </c>
      <c r="N806">
        <v>16</v>
      </c>
      <c r="O806">
        <v>151122.09</v>
      </c>
      <c r="P806">
        <v>0</v>
      </c>
      <c r="Q806">
        <v>0</v>
      </c>
      <c r="R806">
        <v>2417953.44</v>
      </c>
      <c r="S806">
        <v>734909.59</v>
      </c>
    </row>
    <row r="807" spans="1:19" ht="15" customHeight="1" x14ac:dyDescent="0.25">
      <c r="A807" t="s">
        <v>280</v>
      </c>
      <c r="B807" s="8">
        <v>45131</v>
      </c>
      <c r="C807" s="8">
        <v>45131</v>
      </c>
      <c r="D807" t="s">
        <v>32</v>
      </c>
      <c r="E807" t="s">
        <v>281</v>
      </c>
      <c r="F807" t="s">
        <v>282</v>
      </c>
      <c r="G807">
        <v>8068885465</v>
      </c>
      <c r="H807" t="s">
        <v>24</v>
      </c>
      <c r="I807" t="s">
        <v>61</v>
      </c>
      <c r="J807" t="s">
        <v>204</v>
      </c>
      <c r="K807" t="s">
        <v>63</v>
      </c>
      <c r="L807" t="s">
        <v>64</v>
      </c>
      <c r="M807" t="s">
        <v>65</v>
      </c>
      <c r="N807">
        <v>4</v>
      </c>
      <c r="O807">
        <v>8365.93</v>
      </c>
      <c r="P807">
        <v>0</v>
      </c>
      <c r="Q807">
        <v>0</v>
      </c>
      <c r="R807">
        <v>33463.72</v>
      </c>
      <c r="S807">
        <v>1602.32</v>
      </c>
    </row>
    <row r="808" spans="1:19" ht="15" customHeight="1" x14ac:dyDescent="0.25">
      <c r="A808" t="s">
        <v>2461</v>
      </c>
      <c r="B808" s="8">
        <v>45280</v>
      </c>
      <c r="C808" s="8">
        <v>45281</v>
      </c>
      <c r="D808" t="s">
        <v>32</v>
      </c>
      <c r="E808" t="s">
        <v>1593</v>
      </c>
      <c r="F808" t="s">
        <v>2462</v>
      </c>
      <c r="G808">
        <v>8106415010</v>
      </c>
      <c r="H808" t="s">
        <v>24</v>
      </c>
      <c r="I808" t="s">
        <v>61</v>
      </c>
      <c r="J808" t="s">
        <v>182</v>
      </c>
      <c r="K808" t="s">
        <v>96</v>
      </c>
      <c r="L808" t="s">
        <v>120</v>
      </c>
      <c r="M808" t="s">
        <v>359</v>
      </c>
      <c r="N808">
        <v>17</v>
      </c>
      <c r="O808">
        <v>268103.37</v>
      </c>
      <c r="P808">
        <v>25</v>
      </c>
      <c r="Q808">
        <v>1139439.32</v>
      </c>
      <c r="R808">
        <v>3418317.97</v>
      </c>
      <c r="S808">
        <v>94763.35</v>
      </c>
    </row>
    <row r="809" spans="1:19" ht="15" customHeight="1" x14ac:dyDescent="0.25">
      <c r="A809" t="s">
        <v>2463</v>
      </c>
      <c r="B809" s="8">
        <v>44968</v>
      </c>
      <c r="C809" s="8">
        <v>44973</v>
      </c>
      <c r="D809" t="s">
        <v>48</v>
      </c>
      <c r="E809" t="s">
        <v>2464</v>
      </c>
      <c r="F809" t="s">
        <v>2465</v>
      </c>
      <c r="G809">
        <v>8035418616</v>
      </c>
      <c r="H809" t="s">
        <v>24</v>
      </c>
      <c r="I809" t="s">
        <v>61</v>
      </c>
      <c r="J809" t="s">
        <v>204</v>
      </c>
      <c r="K809" t="s">
        <v>85</v>
      </c>
      <c r="L809" t="s">
        <v>243</v>
      </c>
      <c r="M809" t="s">
        <v>244</v>
      </c>
      <c r="N809">
        <v>5</v>
      </c>
      <c r="O809">
        <v>68853.539999999994</v>
      </c>
      <c r="P809">
        <v>15</v>
      </c>
      <c r="Q809">
        <v>51640.15</v>
      </c>
      <c r="R809">
        <v>292627.55</v>
      </c>
      <c r="S809">
        <v>-25699.83</v>
      </c>
    </row>
    <row r="810" spans="1:19" ht="15" customHeight="1" x14ac:dyDescent="0.25">
      <c r="A810" t="s">
        <v>2466</v>
      </c>
      <c r="B810" s="8">
        <v>45225</v>
      </c>
      <c r="C810" s="8">
        <v>45231</v>
      </c>
      <c r="D810" t="s">
        <v>48</v>
      </c>
      <c r="E810" t="s">
        <v>1239</v>
      </c>
      <c r="F810" t="s">
        <v>2467</v>
      </c>
      <c r="G810">
        <v>8133600666</v>
      </c>
      <c r="H810" t="s">
        <v>24</v>
      </c>
      <c r="I810" t="s">
        <v>51</v>
      </c>
      <c r="J810" t="s">
        <v>227</v>
      </c>
      <c r="K810" t="s">
        <v>63</v>
      </c>
      <c r="L810" t="s">
        <v>249</v>
      </c>
      <c r="M810" t="s">
        <v>329</v>
      </c>
      <c r="N810">
        <v>8</v>
      </c>
      <c r="O810">
        <v>5999.48</v>
      </c>
      <c r="P810">
        <v>5</v>
      </c>
      <c r="Q810">
        <v>2399.79</v>
      </c>
      <c r="R810">
        <v>45596.05</v>
      </c>
      <c r="S810">
        <v>17102.240000000002</v>
      </c>
    </row>
    <row r="811" spans="1:19" ht="15" customHeight="1" x14ac:dyDescent="0.25">
      <c r="A811" t="s">
        <v>2468</v>
      </c>
      <c r="B811" s="8">
        <v>45169</v>
      </c>
      <c r="C811" s="8">
        <v>45175</v>
      </c>
      <c r="D811" t="s">
        <v>48</v>
      </c>
      <c r="E811" t="s">
        <v>2469</v>
      </c>
      <c r="F811" t="s">
        <v>2470</v>
      </c>
      <c r="G811">
        <v>8038364357</v>
      </c>
      <c r="H811" t="s">
        <v>35</v>
      </c>
      <c r="I811" t="s">
        <v>69</v>
      </c>
      <c r="J811" t="s">
        <v>119</v>
      </c>
      <c r="K811" t="s">
        <v>108</v>
      </c>
      <c r="L811" t="s">
        <v>189</v>
      </c>
      <c r="M811" t="s">
        <v>205</v>
      </c>
      <c r="N811">
        <v>7</v>
      </c>
      <c r="O811">
        <v>44930.02</v>
      </c>
      <c r="P811">
        <v>15</v>
      </c>
      <c r="Q811">
        <v>47176.52</v>
      </c>
      <c r="R811">
        <v>267333.62</v>
      </c>
      <c r="S811">
        <v>-10256.299999999999</v>
      </c>
    </row>
    <row r="812" spans="1:19" ht="15" customHeight="1" x14ac:dyDescent="0.25">
      <c r="A812" t="s">
        <v>2471</v>
      </c>
      <c r="B812" s="8">
        <v>45307</v>
      </c>
      <c r="C812" s="8">
        <v>45310</v>
      </c>
      <c r="D812" t="s">
        <v>20</v>
      </c>
      <c r="E812" t="s">
        <v>1462</v>
      </c>
      <c r="F812" t="s">
        <v>1463</v>
      </c>
      <c r="G812">
        <v>8136371304</v>
      </c>
      <c r="H812" t="s">
        <v>43</v>
      </c>
      <c r="I812" t="s">
        <v>69</v>
      </c>
      <c r="J812" t="s">
        <v>155</v>
      </c>
      <c r="K812" t="s">
        <v>27</v>
      </c>
      <c r="L812" t="s">
        <v>45</v>
      </c>
      <c r="M812" t="s">
        <v>308</v>
      </c>
      <c r="N812">
        <v>5</v>
      </c>
      <c r="O812">
        <v>7677.3</v>
      </c>
      <c r="P812">
        <v>10</v>
      </c>
      <c r="Q812">
        <v>3838.65</v>
      </c>
      <c r="R812">
        <v>34547.85</v>
      </c>
      <c r="S812">
        <v>12643.37</v>
      </c>
    </row>
    <row r="813" spans="1:19" ht="15" customHeight="1" x14ac:dyDescent="0.25">
      <c r="A813" t="s">
        <v>2472</v>
      </c>
      <c r="B813" s="8">
        <v>44759</v>
      </c>
      <c r="C813" s="8">
        <v>44764</v>
      </c>
      <c r="D813" t="s">
        <v>73</v>
      </c>
      <c r="E813" t="s">
        <v>2290</v>
      </c>
      <c r="F813" t="s">
        <v>2473</v>
      </c>
      <c r="G813">
        <v>8064822259</v>
      </c>
      <c r="H813" t="s">
        <v>24</v>
      </c>
      <c r="I813" t="s">
        <v>61</v>
      </c>
      <c r="J813" t="s">
        <v>84</v>
      </c>
      <c r="K813" t="s">
        <v>63</v>
      </c>
      <c r="L813" t="s">
        <v>469</v>
      </c>
      <c r="M813" t="s">
        <v>1099</v>
      </c>
      <c r="N813">
        <v>8</v>
      </c>
      <c r="O813">
        <v>20616.400000000001</v>
      </c>
      <c r="P813">
        <v>20</v>
      </c>
      <c r="Q813">
        <v>32986.239999999998</v>
      </c>
      <c r="R813">
        <v>131944.95999999999</v>
      </c>
      <c r="S813">
        <v>1514.74</v>
      </c>
    </row>
    <row r="814" spans="1:19" ht="15" customHeight="1" x14ac:dyDescent="0.25">
      <c r="A814" t="s">
        <v>2474</v>
      </c>
      <c r="B814" s="8">
        <v>45580</v>
      </c>
      <c r="C814" s="8">
        <v>45581</v>
      </c>
      <c r="D814" t="s">
        <v>32</v>
      </c>
      <c r="E814" t="s">
        <v>2475</v>
      </c>
      <c r="F814" t="s">
        <v>2476</v>
      </c>
      <c r="G814" t="s">
        <v>649</v>
      </c>
      <c r="H814" t="s">
        <v>24</v>
      </c>
      <c r="I814" t="s">
        <v>25</v>
      </c>
      <c r="J814" t="s">
        <v>168</v>
      </c>
      <c r="K814" t="s">
        <v>27</v>
      </c>
      <c r="L814" t="s">
        <v>79</v>
      </c>
      <c r="M814" t="s">
        <v>80</v>
      </c>
      <c r="N814">
        <v>5</v>
      </c>
      <c r="O814">
        <v>3970.02</v>
      </c>
      <c r="P814">
        <v>0</v>
      </c>
      <c r="Q814">
        <v>0</v>
      </c>
      <c r="R814" t="s">
        <v>2477</v>
      </c>
      <c r="S814">
        <v>5145.2299999999996</v>
      </c>
    </row>
    <row r="815" spans="1:19" ht="15" customHeight="1" x14ac:dyDescent="0.25">
      <c r="A815" t="s">
        <v>2478</v>
      </c>
      <c r="B815" s="8">
        <v>44618</v>
      </c>
      <c r="C815" s="8">
        <v>44621</v>
      </c>
      <c r="D815" t="s">
        <v>20</v>
      </c>
      <c r="E815" t="s">
        <v>2479</v>
      </c>
      <c r="F815" t="s">
        <v>2480</v>
      </c>
      <c r="G815">
        <v>7064610526</v>
      </c>
      <c r="H815" t="s">
        <v>24</v>
      </c>
      <c r="I815" t="s">
        <v>25</v>
      </c>
      <c r="J815" t="s">
        <v>44</v>
      </c>
      <c r="K815" t="s">
        <v>108</v>
      </c>
      <c r="L815" t="s">
        <v>38</v>
      </c>
      <c r="M815" t="s">
        <v>296</v>
      </c>
      <c r="N815">
        <v>10</v>
      </c>
      <c r="O815">
        <v>31979.86</v>
      </c>
      <c r="P815">
        <v>10</v>
      </c>
      <c r="Q815">
        <v>31979.86</v>
      </c>
      <c r="R815">
        <v>287818.74</v>
      </c>
      <c r="S815">
        <v>-3010.98</v>
      </c>
    </row>
    <row r="816" spans="1:19" ht="15" customHeight="1" x14ac:dyDescent="0.25">
      <c r="A816" t="s">
        <v>2481</v>
      </c>
      <c r="B816" s="8">
        <v>44575</v>
      </c>
      <c r="C816" s="8">
        <v>44577</v>
      </c>
      <c r="D816" t="s">
        <v>20</v>
      </c>
      <c r="E816" t="s">
        <v>2482</v>
      </c>
      <c r="F816" t="s">
        <v>2483</v>
      </c>
      <c r="G816">
        <v>9022191407</v>
      </c>
      <c r="H816" t="s">
        <v>24</v>
      </c>
      <c r="I816" t="s">
        <v>69</v>
      </c>
      <c r="J816" t="s">
        <v>119</v>
      </c>
      <c r="K816" t="s">
        <v>27</v>
      </c>
      <c r="L816" t="s">
        <v>79</v>
      </c>
      <c r="M816" t="s">
        <v>234</v>
      </c>
      <c r="N816">
        <v>6</v>
      </c>
      <c r="O816">
        <v>3485.58</v>
      </c>
      <c r="P816">
        <v>5</v>
      </c>
      <c r="Q816">
        <v>1045.67</v>
      </c>
      <c r="R816" t="s">
        <v>2484</v>
      </c>
      <c r="S816">
        <v>-14.31</v>
      </c>
    </row>
    <row r="817" spans="1:19" ht="15" customHeight="1" x14ac:dyDescent="0.25">
      <c r="A817" t="s">
        <v>2485</v>
      </c>
      <c r="B817" s="8">
        <v>44806</v>
      </c>
      <c r="C817" s="8">
        <v>44807</v>
      </c>
      <c r="D817" t="s">
        <v>32</v>
      </c>
      <c r="E817" t="s">
        <v>2486</v>
      </c>
      <c r="F817" t="s">
        <v>2487</v>
      </c>
      <c r="G817">
        <v>9057500351</v>
      </c>
      <c r="H817" t="s">
        <v>959</v>
      </c>
      <c r="I817" t="s">
        <v>61</v>
      </c>
      <c r="J817" t="s">
        <v>62</v>
      </c>
      <c r="K817" t="s">
        <v>108</v>
      </c>
      <c r="L817" t="s">
        <v>183</v>
      </c>
      <c r="M817" t="s">
        <v>869</v>
      </c>
      <c r="N817">
        <v>11</v>
      </c>
      <c r="O817">
        <v>7955.91</v>
      </c>
      <c r="P817">
        <v>0</v>
      </c>
      <c r="Q817">
        <v>0</v>
      </c>
      <c r="R817">
        <v>87515.01</v>
      </c>
      <c r="S817">
        <v>-8093.56</v>
      </c>
    </row>
    <row r="818" spans="1:19" ht="15" customHeight="1" x14ac:dyDescent="0.25">
      <c r="A818" t="s">
        <v>2488</v>
      </c>
      <c r="B818" s="8">
        <v>45078</v>
      </c>
      <c r="C818" s="8">
        <v>45079</v>
      </c>
      <c r="D818" t="s">
        <v>32</v>
      </c>
      <c r="E818" t="s">
        <v>2489</v>
      </c>
      <c r="F818" t="s">
        <v>2490</v>
      </c>
      <c r="G818">
        <v>7064365631</v>
      </c>
      <c r="H818" t="s">
        <v>24</v>
      </c>
      <c r="I818" t="s">
        <v>51</v>
      </c>
      <c r="J818" t="s">
        <v>131</v>
      </c>
      <c r="K818" t="s">
        <v>85</v>
      </c>
      <c r="L818" t="s">
        <v>243</v>
      </c>
      <c r="M818" t="s">
        <v>1054</v>
      </c>
      <c r="N818">
        <v>4</v>
      </c>
      <c r="O818">
        <v>66431.87</v>
      </c>
      <c r="P818">
        <v>25</v>
      </c>
      <c r="Q818">
        <v>66431.87</v>
      </c>
      <c r="R818">
        <v>199295.61</v>
      </c>
      <c r="S818">
        <v>928.86</v>
      </c>
    </row>
    <row r="819" spans="1:19" ht="15" customHeight="1" x14ac:dyDescent="0.25">
      <c r="A819" t="s">
        <v>2491</v>
      </c>
      <c r="B819" s="8">
        <v>44757</v>
      </c>
      <c r="C819" s="8">
        <v>44759</v>
      </c>
      <c r="D819" t="s">
        <v>20</v>
      </c>
      <c r="E819" t="s">
        <v>2492</v>
      </c>
      <c r="F819" t="s">
        <v>2493</v>
      </c>
      <c r="G819">
        <v>8036483795</v>
      </c>
      <c r="H819" t="s">
        <v>35</v>
      </c>
      <c r="I819" t="s">
        <v>895</v>
      </c>
      <c r="J819" t="s">
        <v>36</v>
      </c>
      <c r="K819" t="s">
        <v>108</v>
      </c>
      <c r="L819" t="s">
        <v>38</v>
      </c>
      <c r="M819" t="s">
        <v>519</v>
      </c>
      <c r="N819">
        <v>19</v>
      </c>
      <c r="O819">
        <v>36401.64</v>
      </c>
      <c r="P819">
        <v>10</v>
      </c>
      <c r="Q819">
        <v>69163.12</v>
      </c>
      <c r="R819">
        <v>622468.04</v>
      </c>
      <c r="S819">
        <v>227583.76</v>
      </c>
    </row>
    <row r="820" spans="1:19" ht="15" customHeight="1" x14ac:dyDescent="0.25">
      <c r="A820" t="s">
        <v>2494</v>
      </c>
      <c r="B820" s="8">
        <v>44934</v>
      </c>
      <c r="C820" s="8">
        <v>44934</v>
      </c>
      <c r="D820" t="s">
        <v>32</v>
      </c>
      <c r="E820" t="s">
        <v>2495</v>
      </c>
      <c r="F820" t="s">
        <v>2496</v>
      </c>
      <c r="G820">
        <v>9057277502</v>
      </c>
      <c r="H820" t="s">
        <v>24</v>
      </c>
      <c r="I820" t="s">
        <v>61</v>
      </c>
      <c r="J820" t="s">
        <v>62</v>
      </c>
      <c r="K820" t="s">
        <v>27</v>
      </c>
      <c r="L820" t="s">
        <v>354</v>
      </c>
      <c r="M820" t="s">
        <v>433</v>
      </c>
      <c r="N820">
        <v>6</v>
      </c>
      <c r="O820">
        <v>5739.03</v>
      </c>
      <c r="P820">
        <v>25</v>
      </c>
      <c r="Q820">
        <v>8608.5499999999993</v>
      </c>
      <c r="R820">
        <v>25825.63</v>
      </c>
      <c r="S820">
        <v>-1567.36</v>
      </c>
    </row>
    <row r="821" spans="1:19" ht="15" customHeight="1" x14ac:dyDescent="0.25">
      <c r="A821" t="s">
        <v>2497</v>
      </c>
      <c r="B821" s="8">
        <v>44808</v>
      </c>
      <c r="C821" s="8">
        <v>44815</v>
      </c>
      <c r="D821" t="s">
        <v>48</v>
      </c>
      <c r="E821" t="s">
        <v>1728</v>
      </c>
      <c r="F821" t="s">
        <v>2498</v>
      </c>
      <c r="G821">
        <v>9074026890</v>
      </c>
      <c r="H821" t="s">
        <v>24</v>
      </c>
      <c r="I821" t="s">
        <v>69</v>
      </c>
      <c r="J821" t="s">
        <v>307</v>
      </c>
      <c r="K821" t="s">
        <v>27</v>
      </c>
      <c r="L821" t="s">
        <v>173</v>
      </c>
      <c r="M821" t="s">
        <v>380</v>
      </c>
      <c r="N821">
        <v>16</v>
      </c>
      <c r="O821">
        <v>7231.78</v>
      </c>
      <c r="P821">
        <v>5</v>
      </c>
      <c r="Q821">
        <v>5785.42</v>
      </c>
      <c r="R821">
        <v>109923.06</v>
      </c>
      <c r="S821">
        <v>23314.9</v>
      </c>
    </row>
    <row r="822" spans="1:19" ht="15" customHeight="1" x14ac:dyDescent="0.25">
      <c r="A822" t="s">
        <v>2499</v>
      </c>
      <c r="B822" s="8">
        <v>45479</v>
      </c>
      <c r="C822" s="8">
        <v>45479</v>
      </c>
      <c r="D822" t="s">
        <v>32</v>
      </c>
      <c r="E822" t="s">
        <v>2500</v>
      </c>
      <c r="F822" t="s">
        <v>2501</v>
      </c>
      <c r="G822">
        <v>8137135319</v>
      </c>
      <c r="H822" t="s">
        <v>24</v>
      </c>
      <c r="I822" t="s">
        <v>51</v>
      </c>
      <c r="J822" t="s">
        <v>2502</v>
      </c>
      <c r="K822" t="s">
        <v>85</v>
      </c>
      <c r="L822" t="s">
        <v>218</v>
      </c>
      <c r="M822" t="s">
        <v>219</v>
      </c>
      <c r="N822">
        <v>13</v>
      </c>
      <c r="O822">
        <v>40394.51</v>
      </c>
      <c r="P822">
        <v>0</v>
      </c>
      <c r="Q822">
        <v>0</v>
      </c>
      <c r="R822">
        <v>525128.63</v>
      </c>
      <c r="S822">
        <v>34129.599999999999</v>
      </c>
    </row>
    <row r="823" spans="1:19" ht="15" customHeight="1" x14ac:dyDescent="0.25">
      <c r="A823" t="s">
        <v>2503</v>
      </c>
      <c r="B823" s="8">
        <v>45218</v>
      </c>
      <c r="C823" s="8">
        <v>45226</v>
      </c>
      <c r="D823" t="s">
        <v>48</v>
      </c>
      <c r="E823" t="s">
        <v>1799</v>
      </c>
      <c r="F823" t="s">
        <v>2504</v>
      </c>
      <c r="G823">
        <v>8166374017</v>
      </c>
      <c r="H823" t="s">
        <v>35</v>
      </c>
      <c r="I823" t="s">
        <v>69</v>
      </c>
      <c r="J823" t="s">
        <v>155</v>
      </c>
      <c r="K823" t="s">
        <v>85</v>
      </c>
      <c r="L823" t="s">
        <v>486</v>
      </c>
      <c r="M823" t="s">
        <v>1193</v>
      </c>
      <c r="N823">
        <v>14</v>
      </c>
      <c r="O823">
        <v>58388.97</v>
      </c>
      <c r="P823">
        <v>15</v>
      </c>
      <c r="Q823">
        <v>122616.84</v>
      </c>
      <c r="R823">
        <v>694828.74</v>
      </c>
      <c r="S823">
        <v>77183.87</v>
      </c>
    </row>
    <row r="824" spans="1:19" ht="15" customHeight="1" x14ac:dyDescent="0.25">
      <c r="A824" t="s">
        <v>2505</v>
      </c>
      <c r="B824" s="8">
        <v>44775</v>
      </c>
      <c r="C824" s="8">
        <v>44776</v>
      </c>
      <c r="D824" t="s">
        <v>32</v>
      </c>
      <c r="E824" t="s">
        <v>2506</v>
      </c>
      <c r="F824" t="s">
        <v>2507</v>
      </c>
      <c r="G824">
        <v>8169348587</v>
      </c>
      <c r="H824" t="s">
        <v>35</v>
      </c>
      <c r="I824" t="s">
        <v>25</v>
      </c>
      <c r="J824" t="s">
        <v>168</v>
      </c>
      <c r="K824" t="s">
        <v>63</v>
      </c>
      <c r="L824" t="s">
        <v>194</v>
      </c>
      <c r="M824" t="s">
        <v>700</v>
      </c>
      <c r="N824">
        <v>2</v>
      </c>
      <c r="O824">
        <v>13424.98</v>
      </c>
      <c r="P824">
        <v>5</v>
      </c>
      <c r="Q824">
        <v>1342.5</v>
      </c>
      <c r="R824">
        <v>25507.46</v>
      </c>
      <c r="S824">
        <v>10663.85</v>
      </c>
    </row>
    <row r="825" spans="1:19" ht="15" customHeight="1" x14ac:dyDescent="0.25">
      <c r="A825" t="s">
        <v>2508</v>
      </c>
      <c r="B825" s="8">
        <v>45204</v>
      </c>
      <c r="C825" s="8">
        <v>45209</v>
      </c>
      <c r="D825" t="s">
        <v>73</v>
      </c>
      <c r="E825" t="s">
        <v>2509</v>
      </c>
      <c r="F825" t="s">
        <v>2510</v>
      </c>
      <c r="G825">
        <v>8036082589</v>
      </c>
      <c r="H825" t="s">
        <v>24</v>
      </c>
      <c r="I825" t="s">
        <v>51</v>
      </c>
      <c r="J825" t="s">
        <v>227</v>
      </c>
      <c r="K825" t="s">
        <v>108</v>
      </c>
      <c r="L825" t="s">
        <v>109</v>
      </c>
      <c r="M825" t="s">
        <v>157</v>
      </c>
      <c r="N825">
        <v>2</v>
      </c>
      <c r="O825">
        <v>43460.05</v>
      </c>
      <c r="P825">
        <v>15</v>
      </c>
      <c r="Q825">
        <v>13038.01</v>
      </c>
      <c r="R825">
        <v>73882.09</v>
      </c>
      <c r="S825">
        <v>21656.62</v>
      </c>
    </row>
    <row r="826" spans="1:19" ht="15" customHeight="1" x14ac:dyDescent="0.25">
      <c r="A826" t="s">
        <v>2511</v>
      </c>
      <c r="B826" s="8">
        <v>45001</v>
      </c>
      <c r="C826" s="8">
        <v>45006</v>
      </c>
      <c r="D826" t="s">
        <v>48</v>
      </c>
      <c r="E826" t="s">
        <v>2512</v>
      </c>
      <c r="F826" t="s">
        <v>2513</v>
      </c>
      <c r="G826">
        <v>9016373918</v>
      </c>
      <c r="H826" t="s">
        <v>43</v>
      </c>
      <c r="I826" t="s">
        <v>61</v>
      </c>
      <c r="J826" t="s">
        <v>84</v>
      </c>
      <c r="K826" t="s">
        <v>1430</v>
      </c>
      <c r="L826" t="s">
        <v>385</v>
      </c>
      <c r="M826" t="s">
        <v>942</v>
      </c>
      <c r="N826">
        <v>20</v>
      </c>
      <c r="O826">
        <v>104930.57</v>
      </c>
      <c r="P826">
        <v>0</v>
      </c>
      <c r="Q826">
        <v>0</v>
      </c>
      <c r="R826">
        <v>2098611.4</v>
      </c>
      <c r="S826">
        <v>-257834.71</v>
      </c>
    </row>
    <row r="827" spans="1:19" ht="15" customHeight="1" x14ac:dyDescent="0.25">
      <c r="A827" t="s">
        <v>2514</v>
      </c>
      <c r="B827" s="8">
        <v>45156</v>
      </c>
      <c r="C827" s="8">
        <v>45161</v>
      </c>
      <c r="D827" t="s">
        <v>48</v>
      </c>
      <c r="E827" t="s">
        <v>2515</v>
      </c>
      <c r="G827">
        <v>8107541701</v>
      </c>
      <c r="H827" t="s">
        <v>24</v>
      </c>
      <c r="I827" t="s">
        <v>69</v>
      </c>
      <c r="J827" t="s">
        <v>119</v>
      </c>
      <c r="K827" t="s">
        <v>1566</v>
      </c>
      <c r="L827" t="s">
        <v>243</v>
      </c>
      <c r="M827" t="s">
        <v>439</v>
      </c>
      <c r="N827">
        <v>5</v>
      </c>
      <c r="O827">
        <v>15698.17</v>
      </c>
      <c r="P827">
        <v>5</v>
      </c>
      <c r="Q827">
        <v>3924.54</v>
      </c>
      <c r="R827">
        <v>74566.31</v>
      </c>
      <c r="S827">
        <v>16632.63</v>
      </c>
    </row>
    <row r="828" spans="1:19" ht="15" customHeight="1" x14ac:dyDescent="0.25">
      <c r="A828" t="s">
        <v>2516</v>
      </c>
      <c r="B828" s="8">
        <v>44981</v>
      </c>
      <c r="C828" s="8">
        <v>44984</v>
      </c>
      <c r="D828" t="s">
        <v>20</v>
      </c>
      <c r="E828" t="s">
        <v>2517</v>
      </c>
      <c r="F828" t="s">
        <v>2518</v>
      </c>
      <c r="G828">
        <v>7067939725</v>
      </c>
      <c r="H828" t="s">
        <v>24</v>
      </c>
      <c r="I828" t="s">
        <v>51</v>
      </c>
      <c r="J828" t="s">
        <v>316</v>
      </c>
      <c r="K828" t="s">
        <v>108</v>
      </c>
      <c r="L828" t="s">
        <v>38</v>
      </c>
      <c r="M828" t="s">
        <v>303</v>
      </c>
      <c r="N828">
        <v>16</v>
      </c>
      <c r="O828">
        <v>37119.160000000003</v>
      </c>
      <c r="P828">
        <v>10</v>
      </c>
      <c r="Q828">
        <v>59390.66</v>
      </c>
      <c r="R828">
        <v>534515.9</v>
      </c>
      <c r="S828">
        <v>112289.91</v>
      </c>
    </row>
    <row r="829" spans="1:19" ht="15" customHeight="1" x14ac:dyDescent="0.25">
      <c r="A829" t="s">
        <v>2519</v>
      </c>
      <c r="B829" s="8" t="s">
        <v>2520</v>
      </c>
      <c r="C829" s="8">
        <v>44825</v>
      </c>
      <c r="D829" t="s">
        <v>32</v>
      </c>
      <c r="E829" t="s">
        <v>2521</v>
      </c>
      <c r="F829" t="s">
        <v>2522</v>
      </c>
      <c r="G829">
        <v>8063666299</v>
      </c>
      <c r="H829" t="s">
        <v>24</v>
      </c>
      <c r="I829" t="s">
        <v>69</v>
      </c>
      <c r="J829" t="s">
        <v>307</v>
      </c>
      <c r="K829" t="s">
        <v>108</v>
      </c>
      <c r="L829" t="s">
        <v>114</v>
      </c>
      <c r="M829" t="s">
        <v>848</v>
      </c>
      <c r="N829">
        <v>6</v>
      </c>
      <c r="O829">
        <v>25088.41</v>
      </c>
      <c r="P829">
        <v>10</v>
      </c>
      <c r="Q829">
        <v>15053.05</v>
      </c>
      <c r="R829">
        <v>135477.41</v>
      </c>
      <c r="S829">
        <v>57332.73</v>
      </c>
    </row>
    <row r="830" spans="1:19" ht="15" customHeight="1" x14ac:dyDescent="0.25">
      <c r="A830" t="s">
        <v>2523</v>
      </c>
      <c r="B830" s="8">
        <v>45145</v>
      </c>
      <c r="C830" s="8">
        <v>45148</v>
      </c>
      <c r="D830" t="s">
        <v>20</v>
      </c>
      <c r="E830" t="s">
        <v>2524</v>
      </c>
      <c r="F830" t="s">
        <v>2525</v>
      </c>
      <c r="G830">
        <v>7064391113</v>
      </c>
      <c r="H830" t="s">
        <v>24</v>
      </c>
      <c r="I830" t="s">
        <v>2526</v>
      </c>
      <c r="J830" t="s">
        <v>144</v>
      </c>
      <c r="K830" t="s">
        <v>96</v>
      </c>
      <c r="L830" t="s">
        <v>254</v>
      </c>
      <c r="M830" t="s">
        <v>530</v>
      </c>
      <c r="N830">
        <v>17</v>
      </c>
      <c r="O830">
        <v>102342.85</v>
      </c>
      <c r="P830">
        <v>0</v>
      </c>
      <c r="Q830">
        <v>0</v>
      </c>
      <c r="R830">
        <v>1739828.45</v>
      </c>
      <c r="S830">
        <v>228568.56</v>
      </c>
    </row>
    <row r="831" spans="1:19" ht="15" customHeight="1" x14ac:dyDescent="0.25">
      <c r="A831" t="s">
        <v>2527</v>
      </c>
      <c r="B831" s="8">
        <v>45356</v>
      </c>
      <c r="C831" s="8">
        <v>45362</v>
      </c>
      <c r="D831" t="s">
        <v>48</v>
      </c>
      <c r="E831" t="s">
        <v>2528</v>
      </c>
      <c r="F831" t="s">
        <v>2529</v>
      </c>
      <c r="G831">
        <v>8138314004</v>
      </c>
      <c r="H831" t="s">
        <v>35</v>
      </c>
      <c r="I831" t="s">
        <v>699</v>
      </c>
      <c r="J831" t="s">
        <v>26</v>
      </c>
      <c r="K831" t="s">
        <v>27</v>
      </c>
      <c r="L831" t="s">
        <v>45</v>
      </c>
      <c r="M831" t="s">
        <v>875</v>
      </c>
      <c r="N831">
        <v>15</v>
      </c>
      <c r="O831">
        <v>5985.27</v>
      </c>
      <c r="P831">
        <v>0</v>
      </c>
      <c r="Q831">
        <v>0</v>
      </c>
      <c r="R831">
        <v>89779.05</v>
      </c>
      <c r="S831">
        <v>22240.61</v>
      </c>
    </row>
    <row r="832" spans="1:19" ht="15" customHeight="1" x14ac:dyDescent="0.25">
      <c r="A832" t="s">
        <v>2530</v>
      </c>
      <c r="B832" s="8">
        <v>44651</v>
      </c>
      <c r="C832" s="8">
        <v>44653</v>
      </c>
      <c r="D832" t="s">
        <v>20</v>
      </c>
      <c r="E832" t="s">
        <v>2531</v>
      </c>
      <c r="F832" t="s">
        <v>2532</v>
      </c>
      <c r="G832">
        <v>8106873992</v>
      </c>
      <c r="H832" t="s">
        <v>24</v>
      </c>
      <c r="I832" t="s">
        <v>2533</v>
      </c>
      <c r="J832" t="s">
        <v>62</v>
      </c>
      <c r="K832" t="s">
        <v>108</v>
      </c>
      <c r="L832" t="s">
        <v>109</v>
      </c>
      <c r="M832" t="s">
        <v>110</v>
      </c>
      <c r="N832">
        <v>5</v>
      </c>
      <c r="O832">
        <v>18826.41</v>
      </c>
      <c r="P832">
        <v>10</v>
      </c>
      <c r="Q832">
        <v>9413.2000000000007</v>
      </c>
      <c r="R832">
        <v>84718.85</v>
      </c>
      <c r="S832">
        <v>12992.21</v>
      </c>
    </row>
    <row r="833" spans="1:19" ht="15" customHeight="1" x14ac:dyDescent="0.25">
      <c r="A833" t="s">
        <v>2534</v>
      </c>
      <c r="B833" s="8">
        <v>45249</v>
      </c>
      <c r="D833" t="s">
        <v>73</v>
      </c>
      <c r="E833" t="s">
        <v>2535</v>
      </c>
      <c r="F833" t="s">
        <v>2536</v>
      </c>
      <c r="G833">
        <v>8065123439</v>
      </c>
      <c r="H833" t="s">
        <v>24</v>
      </c>
      <c r="I833" t="s">
        <v>61</v>
      </c>
      <c r="J833" t="s">
        <v>62</v>
      </c>
      <c r="K833" t="s">
        <v>27</v>
      </c>
      <c r="L833" t="s">
        <v>173</v>
      </c>
      <c r="M833" t="s">
        <v>174</v>
      </c>
      <c r="N833">
        <v>5</v>
      </c>
      <c r="O833">
        <v>4587.7700000000004</v>
      </c>
      <c r="P833">
        <v>25</v>
      </c>
      <c r="Q833">
        <v>5734.71</v>
      </c>
      <c r="R833">
        <v>17204.14</v>
      </c>
      <c r="S833">
        <v>7372.08</v>
      </c>
    </row>
    <row r="834" spans="1:19" ht="15" customHeight="1" x14ac:dyDescent="0.25">
      <c r="A834" t="s">
        <v>2537</v>
      </c>
      <c r="B834" s="8">
        <v>45401</v>
      </c>
      <c r="C834" s="8">
        <v>45406</v>
      </c>
      <c r="D834" t="s">
        <v>48</v>
      </c>
      <c r="E834" t="s">
        <v>2538</v>
      </c>
      <c r="F834" t="s">
        <v>2539</v>
      </c>
      <c r="G834">
        <v>9016396496</v>
      </c>
      <c r="H834" t="s">
        <v>24</v>
      </c>
      <c r="I834" t="s">
        <v>25</v>
      </c>
      <c r="J834" t="s">
        <v>26</v>
      </c>
      <c r="K834" t="s">
        <v>63</v>
      </c>
      <c r="L834" t="s">
        <v>249</v>
      </c>
      <c r="M834" t="s">
        <v>2013</v>
      </c>
      <c r="N834">
        <v>8</v>
      </c>
      <c r="O834">
        <v>22587.23</v>
      </c>
      <c r="P834">
        <v>0</v>
      </c>
      <c r="Q834">
        <v>0</v>
      </c>
      <c r="R834">
        <v>180697.84</v>
      </c>
      <c r="S834">
        <v>14225.99</v>
      </c>
    </row>
    <row r="835" spans="1:19" ht="15" customHeight="1" x14ac:dyDescent="0.25">
      <c r="A835" t="s">
        <v>2540</v>
      </c>
      <c r="B835" s="8">
        <v>45021</v>
      </c>
      <c r="C835" s="8">
        <v>45026</v>
      </c>
      <c r="D835" t="s">
        <v>48</v>
      </c>
      <c r="E835" t="s">
        <v>2541</v>
      </c>
      <c r="F835" t="s">
        <v>2542</v>
      </c>
      <c r="G835">
        <v>8038993139</v>
      </c>
      <c r="H835" t="s">
        <v>24</v>
      </c>
      <c r="I835" t="s">
        <v>25</v>
      </c>
      <c r="J835" t="s">
        <v>168</v>
      </c>
      <c r="K835" t="s">
        <v>2543</v>
      </c>
      <c r="L835" t="s">
        <v>28</v>
      </c>
      <c r="M835" t="s">
        <v>71</v>
      </c>
      <c r="N835">
        <v>13</v>
      </c>
      <c r="O835">
        <v>5579.2</v>
      </c>
      <c r="P835">
        <v>20</v>
      </c>
      <c r="Q835">
        <v>14505.92</v>
      </c>
      <c r="R835">
        <v>58023.68</v>
      </c>
      <c r="S835">
        <v>22985.77</v>
      </c>
    </row>
    <row r="836" spans="1:19" ht="15" customHeight="1" x14ac:dyDescent="0.25">
      <c r="A836" t="s">
        <v>2544</v>
      </c>
      <c r="B836" s="8">
        <v>45268</v>
      </c>
      <c r="C836" s="8">
        <v>45271</v>
      </c>
      <c r="D836" t="s">
        <v>1309</v>
      </c>
      <c r="E836" t="s">
        <v>570</v>
      </c>
      <c r="F836" t="s">
        <v>571</v>
      </c>
      <c r="G836">
        <v>8157042065</v>
      </c>
      <c r="H836" t="s">
        <v>24</v>
      </c>
      <c r="I836" t="s">
        <v>61</v>
      </c>
      <c r="J836" t="s">
        <v>204</v>
      </c>
      <c r="K836" t="s">
        <v>85</v>
      </c>
      <c r="L836" t="s">
        <v>218</v>
      </c>
      <c r="M836" t="s">
        <v>1058</v>
      </c>
      <c r="N836">
        <v>6</v>
      </c>
      <c r="O836">
        <v>117580.03</v>
      </c>
      <c r="P836">
        <v>15</v>
      </c>
      <c r="Q836">
        <v>105822.03</v>
      </c>
      <c r="R836">
        <v>599658.15</v>
      </c>
      <c r="S836">
        <v>269536.92</v>
      </c>
    </row>
    <row r="837" spans="1:19" ht="15" customHeight="1" x14ac:dyDescent="0.25">
      <c r="A837" t="s">
        <v>2545</v>
      </c>
      <c r="B837" s="8">
        <v>45446</v>
      </c>
      <c r="C837" s="8">
        <v>45453</v>
      </c>
      <c r="D837" t="s">
        <v>48</v>
      </c>
      <c r="E837" t="s">
        <v>1945</v>
      </c>
      <c r="F837" t="s">
        <v>2546</v>
      </c>
      <c r="G837">
        <v>7064808186</v>
      </c>
      <c r="H837" t="s">
        <v>24</v>
      </c>
      <c r="I837" t="s">
        <v>61</v>
      </c>
      <c r="J837" t="s">
        <v>182</v>
      </c>
      <c r="L837" t="s">
        <v>109</v>
      </c>
      <c r="M837" t="s">
        <v>157</v>
      </c>
      <c r="N837">
        <v>13</v>
      </c>
      <c r="O837">
        <v>10948.34</v>
      </c>
      <c r="P837">
        <v>15</v>
      </c>
      <c r="Q837">
        <v>21349.26</v>
      </c>
      <c r="R837">
        <v>120979.16</v>
      </c>
      <c r="S837">
        <v>45993.02</v>
      </c>
    </row>
    <row r="838" spans="1:19" ht="15" customHeight="1" x14ac:dyDescent="0.25">
      <c r="A838" t="s">
        <v>2547</v>
      </c>
      <c r="B838" s="8">
        <v>45511</v>
      </c>
      <c r="C838" s="8">
        <v>45512</v>
      </c>
      <c r="D838" t="s">
        <v>32</v>
      </c>
      <c r="E838" t="s">
        <v>2180</v>
      </c>
      <c r="F838" t="s">
        <v>2548</v>
      </c>
      <c r="G838">
        <v>8109890863</v>
      </c>
      <c r="H838" t="s">
        <v>43</v>
      </c>
      <c r="I838" t="s">
        <v>69</v>
      </c>
      <c r="J838" t="s">
        <v>70</v>
      </c>
      <c r="K838" t="s">
        <v>85</v>
      </c>
      <c r="L838" t="s">
        <v>218</v>
      </c>
      <c r="M838" t="s">
        <v>708</v>
      </c>
      <c r="N838">
        <v>19</v>
      </c>
      <c r="O838">
        <v>130565.46</v>
      </c>
      <c r="P838">
        <v>5</v>
      </c>
      <c r="Q838">
        <v>124037.19</v>
      </c>
      <c r="R838">
        <v>2356706.5499999998</v>
      </c>
      <c r="S838">
        <v>986995.78</v>
      </c>
    </row>
    <row r="839" spans="1:19" ht="15" customHeight="1" x14ac:dyDescent="0.25">
      <c r="A839" t="s">
        <v>2549</v>
      </c>
      <c r="B839" s="8">
        <v>45329</v>
      </c>
      <c r="C839" s="8">
        <v>45330</v>
      </c>
      <c r="D839" t="s">
        <v>32</v>
      </c>
      <c r="E839" t="s">
        <v>2550</v>
      </c>
      <c r="F839" t="s">
        <v>2551</v>
      </c>
      <c r="G839">
        <v>8142822847</v>
      </c>
      <c r="H839" t="s">
        <v>24</v>
      </c>
      <c r="I839" t="s">
        <v>51</v>
      </c>
      <c r="J839" t="s">
        <v>316</v>
      </c>
      <c r="K839" t="s">
        <v>27</v>
      </c>
      <c r="L839" t="s">
        <v>28</v>
      </c>
      <c r="M839" t="s">
        <v>71</v>
      </c>
      <c r="N839">
        <v>20</v>
      </c>
      <c r="O839">
        <v>7266.01</v>
      </c>
      <c r="P839">
        <v>15</v>
      </c>
      <c r="Q839">
        <v>21798.03</v>
      </c>
      <c r="R839">
        <v>123522.17</v>
      </c>
      <c r="S839">
        <v>-14757.02</v>
      </c>
    </row>
    <row r="840" spans="1:19" ht="15" customHeight="1" x14ac:dyDescent="0.25">
      <c r="A840" t="s">
        <v>2552</v>
      </c>
      <c r="B840" s="8">
        <v>45349</v>
      </c>
      <c r="C840" s="8">
        <v>45345</v>
      </c>
      <c r="D840" t="s">
        <v>73</v>
      </c>
      <c r="E840" t="s">
        <v>2553</v>
      </c>
      <c r="F840" t="s">
        <v>2554</v>
      </c>
      <c r="G840">
        <v>8034463711</v>
      </c>
      <c r="H840" t="s">
        <v>24</v>
      </c>
      <c r="I840" t="s">
        <v>61</v>
      </c>
      <c r="J840" t="s">
        <v>182</v>
      </c>
      <c r="K840" t="s">
        <v>108</v>
      </c>
      <c r="L840" t="s">
        <v>189</v>
      </c>
      <c r="M840" t="s">
        <v>190</v>
      </c>
      <c r="N840">
        <v>19</v>
      </c>
      <c r="O840">
        <v>13752.76</v>
      </c>
      <c r="P840">
        <v>0</v>
      </c>
      <c r="Q840">
        <v>0</v>
      </c>
      <c r="R840">
        <v>261302.44</v>
      </c>
      <c r="S840">
        <v>61338.89</v>
      </c>
    </row>
    <row r="841" spans="1:19" ht="15" customHeight="1" x14ac:dyDescent="0.25">
      <c r="A841" t="s">
        <v>2555</v>
      </c>
      <c r="B841" s="8">
        <v>45521</v>
      </c>
      <c r="C841" s="8">
        <v>45523</v>
      </c>
      <c r="D841" t="s">
        <v>20</v>
      </c>
      <c r="E841" t="s">
        <v>706</v>
      </c>
      <c r="F841" t="s">
        <v>707</v>
      </c>
      <c r="G841">
        <v>7039901791</v>
      </c>
      <c r="H841" t="s">
        <v>43</v>
      </c>
      <c r="I841" t="s">
        <v>61</v>
      </c>
      <c r="J841" t="s">
        <v>62</v>
      </c>
      <c r="K841" t="s">
        <v>96</v>
      </c>
      <c r="L841" t="s">
        <v>120</v>
      </c>
      <c r="M841" t="s">
        <v>1307</v>
      </c>
      <c r="N841">
        <v>1</v>
      </c>
      <c r="O841">
        <v>52301.279999999999</v>
      </c>
      <c r="P841">
        <v>0</v>
      </c>
      <c r="Q841">
        <v>0</v>
      </c>
      <c r="R841">
        <v>52301.279999999999</v>
      </c>
      <c r="S841">
        <v>2557.8000000000002</v>
      </c>
    </row>
    <row r="842" spans="1:19" ht="15" customHeight="1" x14ac:dyDescent="0.25">
      <c r="A842" t="s">
        <v>2556</v>
      </c>
      <c r="B842" s="8">
        <v>44870</v>
      </c>
      <c r="C842" s="8">
        <v>44873</v>
      </c>
      <c r="D842" t="s">
        <v>73</v>
      </c>
      <c r="E842" t="s">
        <v>2557</v>
      </c>
      <c r="F842" t="s">
        <v>2558</v>
      </c>
      <c r="G842">
        <v>7036293212</v>
      </c>
      <c r="H842" t="s">
        <v>43</v>
      </c>
      <c r="I842" t="s">
        <v>25</v>
      </c>
      <c r="J842" t="s">
        <v>44</v>
      </c>
      <c r="K842" t="s">
        <v>27</v>
      </c>
      <c r="L842" t="s">
        <v>28</v>
      </c>
      <c r="M842" t="s">
        <v>262</v>
      </c>
      <c r="N842">
        <v>6</v>
      </c>
      <c r="O842">
        <v>2907.38</v>
      </c>
      <c r="P842">
        <v>10</v>
      </c>
      <c r="Q842">
        <v>1744.43</v>
      </c>
      <c r="R842">
        <v>15699.85</v>
      </c>
      <c r="S842">
        <v>501.52</v>
      </c>
    </row>
    <row r="843" spans="1:19" ht="15" customHeight="1" x14ac:dyDescent="0.25">
      <c r="A843" t="s">
        <v>2559</v>
      </c>
      <c r="B843" s="8">
        <v>44804</v>
      </c>
      <c r="C843" s="8">
        <v>44805</v>
      </c>
      <c r="D843" t="s">
        <v>32</v>
      </c>
      <c r="E843" t="s">
        <v>2560</v>
      </c>
      <c r="F843" t="s">
        <v>2561</v>
      </c>
      <c r="G843">
        <v>9015718333</v>
      </c>
      <c r="H843" t="s">
        <v>35</v>
      </c>
      <c r="I843" t="s">
        <v>61</v>
      </c>
      <c r="J843" t="s">
        <v>62</v>
      </c>
      <c r="K843" t="s">
        <v>85</v>
      </c>
      <c r="L843" t="s">
        <v>86</v>
      </c>
      <c r="M843" t="s">
        <v>87</v>
      </c>
      <c r="N843">
        <v>4</v>
      </c>
      <c r="O843">
        <v>164379.79</v>
      </c>
      <c r="P843">
        <v>0</v>
      </c>
      <c r="Q843">
        <v>0</v>
      </c>
      <c r="R843">
        <v>657519.16</v>
      </c>
      <c r="S843">
        <v>-45132.61</v>
      </c>
    </row>
    <row r="844" spans="1:19" ht="15" customHeight="1" x14ac:dyDescent="0.25">
      <c r="A844" t="s">
        <v>2562</v>
      </c>
      <c r="B844" s="8">
        <v>44911</v>
      </c>
      <c r="C844" s="8">
        <v>44911</v>
      </c>
      <c r="D844" t="s">
        <v>32</v>
      </c>
      <c r="E844" t="s">
        <v>2563</v>
      </c>
      <c r="F844" t="s">
        <v>2564</v>
      </c>
      <c r="G844">
        <v>8144050662</v>
      </c>
      <c r="H844" t="s">
        <v>43</v>
      </c>
      <c r="I844" t="s">
        <v>69</v>
      </c>
      <c r="J844" t="s">
        <v>70</v>
      </c>
      <c r="K844" t="s">
        <v>108</v>
      </c>
      <c r="L844" t="s">
        <v>114</v>
      </c>
      <c r="M844" t="s">
        <v>115</v>
      </c>
      <c r="N844">
        <v>19</v>
      </c>
      <c r="O844">
        <v>42703.98</v>
      </c>
      <c r="P844">
        <v>10</v>
      </c>
      <c r="Q844">
        <v>81137.56</v>
      </c>
      <c r="R844">
        <v>730238.06</v>
      </c>
      <c r="S844">
        <v>278485.28000000003</v>
      </c>
    </row>
    <row r="845" spans="1:19" ht="15" customHeight="1" x14ac:dyDescent="0.25">
      <c r="A845" t="s">
        <v>2565</v>
      </c>
      <c r="B845" s="8">
        <v>44838</v>
      </c>
      <c r="C845" s="8">
        <v>44843</v>
      </c>
      <c r="D845" t="s">
        <v>73</v>
      </c>
      <c r="E845" t="s">
        <v>1536</v>
      </c>
      <c r="F845" t="s">
        <v>2566</v>
      </c>
      <c r="G845">
        <v>8102861798</v>
      </c>
      <c r="H845" t="s">
        <v>35</v>
      </c>
      <c r="I845" t="s">
        <v>25</v>
      </c>
      <c r="J845" t="s">
        <v>44</v>
      </c>
      <c r="K845" t="s">
        <v>85</v>
      </c>
      <c r="L845" t="s">
        <v>243</v>
      </c>
      <c r="M845" t="s">
        <v>404</v>
      </c>
      <c r="N845">
        <v>3</v>
      </c>
      <c r="O845">
        <v>130362.21</v>
      </c>
      <c r="P845">
        <v>10</v>
      </c>
      <c r="Q845">
        <v>39108.660000000003</v>
      </c>
      <c r="R845">
        <v>351977.97</v>
      </c>
      <c r="S845">
        <v>74509.350000000006</v>
      </c>
    </row>
    <row r="846" spans="1:19" ht="15" customHeight="1" x14ac:dyDescent="0.25">
      <c r="A846" t="s">
        <v>2567</v>
      </c>
      <c r="B846" s="8">
        <v>44908</v>
      </c>
      <c r="C846" s="8">
        <v>44909</v>
      </c>
      <c r="D846" t="s">
        <v>2568</v>
      </c>
      <c r="E846" t="s">
        <v>601</v>
      </c>
      <c r="F846" t="s">
        <v>602</v>
      </c>
      <c r="G846">
        <v>8151393330</v>
      </c>
      <c r="H846" t="s">
        <v>24</v>
      </c>
      <c r="I846" t="s">
        <v>69</v>
      </c>
      <c r="J846" t="s">
        <v>307</v>
      </c>
      <c r="K846" t="s">
        <v>108</v>
      </c>
      <c r="L846" t="s">
        <v>38</v>
      </c>
      <c r="M846" t="s">
        <v>303</v>
      </c>
      <c r="N846">
        <v>8</v>
      </c>
      <c r="O846">
        <v>4236.4799999999996</v>
      </c>
      <c r="P846">
        <v>10</v>
      </c>
      <c r="Q846">
        <v>3389.18</v>
      </c>
      <c r="R846">
        <v>30502.66</v>
      </c>
      <c r="S846">
        <v>240</v>
      </c>
    </row>
    <row r="847" spans="1:19" ht="15" customHeight="1" x14ac:dyDescent="0.25">
      <c r="A847" t="s">
        <v>2569</v>
      </c>
      <c r="B847" s="8">
        <v>45500</v>
      </c>
      <c r="C847" s="8">
        <v>45502</v>
      </c>
      <c r="D847" t="s">
        <v>20</v>
      </c>
      <c r="E847" t="s">
        <v>2570</v>
      </c>
      <c r="F847" t="s">
        <v>2571</v>
      </c>
      <c r="G847">
        <v>8101179145</v>
      </c>
      <c r="H847" t="s">
        <v>35</v>
      </c>
      <c r="I847" t="s">
        <v>69</v>
      </c>
      <c r="K847" t="s">
        <v>27</v>
      </c>
      <c r="L847" t="s">
        <v>79</v>
      </c>
      <c r="M847" t="s">
        <v>80</v>
      </c>
      <c r="N847">
        <v>16</v>
      </c>
      <c r="O847">
        <v>3231.17</v>
      </c>
      <c r="P847">
        <v>15</v>
      </c>
      <c r="Q847">
        <v>7754.81</v>
      </c>
      <c r="R847">
        <v>43943.91</v>
      </c>
      <c r="S847">
        <v>3649.03</v>
      </c>
    </row>
    <row r="848" spans="1:19" ht="15" customHeight="1" x14ac:dyDescent="0.25">
      <c r="A848" t="s">
        <v>2572</v>
      </c>
      <c r="B848" s="8">
        <v>45611</v>
      </c>
      <c r="C848" s="8">
        <v>45614</v>
      </c>
      <c r="D848" t="s">
        <v>20</v>
      </c>
      <c r="E848" t="s">
        <v>2517</v>
      </c>
      <c r="F848" t="s">
        <v>2573</v>
      </c>
      <c r="G848">
        <v>8106808928</v>
      </c>
      <c r="H848" t="s">
        <v>60</v>
      </c>
      <c r="I848" t="s">
        <v>51</v>
      </c>
      <c r="J848" t="s">
        <v>316</v>
      </c>
      <c r="K848" t="s">
        <v>63</v>
      </c>
      <c r="L848" t="s">
        <v>312</v>
      </c>
      <c r="M848" t="s">
        <v>736</v>
      </c>
      <c r="N848">
        <v>9</v>
      </c>
      <c r="O848">
        <v>12476.35</v>
      </c>
      <c r="P848">
        <v>0</v>
      </c>
      <c r="Q848">
        <v>0</v>
      </c>
      <c r="R848">
        <v>112287.15</v>
      </c>
      <c r="S848">
        <v>44691.9</v>
      </c>
    </row>
    <row r="849" spans="1:19" ht="15" customHeight="1" x14ac:dyDescent="0.25">
      <c r="A849" t="s">
        <v>1464</v>
      </c>
      <c r="B849" s="8">
        <v>44609</v>
      </c>
      <c r="C849" s="8">
        <v>44615</v>
      </c>
      <c r="D849" t="s">
        <v>48</v>
      </c>
      <c r="E849" t="s">
        <v>1465</v>
      </c>
      <c r="F849" t="s">
        <v>1466</v>
      </c>
      <c r="G849">
        <v>8107264416</v>
      </c>
      <c r="H849" t="s">
        <v>24</v>
      </c>
      <c r="J849" t="s">
        <v>44</v>
      </c>
      <c r="K849" t="s">
        <v>96</v>
      </c>
      <c r="L849" t="s">
        <v>385</v>
      </c>
      <c r="M849" t="s">
        <v>1010</v>
      </c>
      <c r="N849">
        <v>3</v>
      </c>
      <c r="O849">
        <v>363633.82</v>
      </c>
      <c r="P849">
        <v>0</v>
      </c>
      <c r="Q849">
        <v>0</v>
      </c>
      <c r="R849">
        <v>1090901.46</v>
      </c>
      <c r="S849">
        <v>-157322.01</v>
      </c>
    </row>
    <row r="850" spans="1:19" ht="15" customHeight="1" x14ac:dyDescent="0.25">
      <c r="A850" t="s">
        <v>2574</v>
      </c>
      <c r="B850" s="8">
        <v>44881</v>
      </c>
      <c r="C850" s="8">
        <v>44889</v>
      </c>
      <c r="D850" t="s">
        <v>48</v>
      </c>
      <c r="E850" t="s">
        <v>2575</v>
      </c>
      <c r="F850" t="s">
        <v>2576</v>
      </c>
      <c r="G850">
        <v>9053046457</v>
      </c>
      <c r="H850" t="s">
        <v>24</v>
      </c>
      <c r="I850" t="s">
        <v>699</v>
      </c>
      <c r="J850" t="s">
        <v>44</v>
      </c>
      <c r="K850" t="s">
        <v>96</v>
      </c>
      <c r="L850" t="s">
        <v>385</v>
      </c>
      <c r="M850" t="s">
        <v>781</v>
      </c>
      <c r="N850">
        <v>3</v>
      </c>
      <c r="O850">
        <v>414330.94</v>
      </c>
      <c r="P850">
        <v>0</v>
      </c>
      <c r="Q850">
        <v>0</v>
      </c>
      <c r="R850">
        <v>1242992.82</v>
      </c>
      <c r="S850">
        <v>-118056.56</v>
      </c>
    </row>
    <row r="851" spans="1:19" ht="15" customHeight="1" x14ac:dyDescent="0.25">
      <c r="A851" t="s">
        <v>1190</v>
      </c>
      <c r="B851" s="8">
        <v>44992</v>
      </c>
      <c r="C851" s="8">
        <v>44995</v>
      </c>
      <c r="D851" t="s">
        <v>73</v>
      </c>
      <c r="E851" t="s">
        <v>1191</v>
      </c>
      <c r="F851" t="s">
        <v>1192</v>
      </c>
      <c r="G851">
        <v>9079880742</v>
      </c>
      <c r="H851" t="s">
        <v>43</v>
      </c>
      <c r="I851" t="s">
        <v>25</v>
      </c>
      <c r="J851" t="s">
        <v>26</v>
      </c>
      <c r="K851" t="s">
        <v>85</v>
      </c>
      <c r="L851" t="s">
        <v>486</v>
      </c>
      <c r="M851" t="s">
        <v>1193</v>
      </c>
      <c r="N851">
        <v>16</v>
      </c>
      <c r="O851">
        <v>129816.87</v>
      </c>
      <c r="P851">
        <v>0</v>
      </c>
      <c r="Q851">
        <v>0</v>
      </c>
      <c r="R851">
        <v>2077069.92</v>
      </c>
      <c r="S851">
        <v>273189.27</v>
      </c>
    </row>
    <row r="852" spans="1:19" ht="15" customHeight="1" x14ac:dyDescent="0.25">
      <c r="A852" t="s">
        <v>2577</v>
      </c>
      <c r="B852" s="8">
        <v>44724</v>
      </c>
      <c r="C852" s="8">
        <v>44730</v>
      </c>
      <c r="D852" t="s">
        <v>48</v>
      </c>
      <c r="E852" t="s">
        <v>2016</v>
      </c>
      <c r="F852" t="s">
        <v>2017</v>
      </c>
      <c r="G852">
        <v>8154176691</v>
      </c>
      <c r="H852" t="s">
        <v>35</v>
      </c>
      <c r="I852" t="s">
        <v>25</v>
      </c>
      <c r="J852" t="s">
        <v>168</v>
      </c>
      <c r="K852" t="s">
        <v>2578</v>
      </c>
      <c r="L852" t="s">
        <v>120</v>
      </c>
      <c r="M852" t="s">
        <v>359</v>
      </c>
      <c r="N852">
        <v>11</v>
      </c>
      <c r="O852">
        <v>96365.9</v>
      </c>
      <c r="P852">
        <v>5</v>
      </c>
      <c r="Q852">
        <v>53001.25</v>
      </c>
      <c r="R852">
        <v>1007023.65</v>
      </c>
      <c r="S852">
        <v>-52914.92</v>
      </c>
    </row>
    <row r="853" spans="1:19" ht="15" customHeight="1" x14ac:dyDescent="0.25">
      <c r="A853" t="s">
        <v>2579</v>
      </c>
      <c r="B853" s="8">
        <v>45008</v>
      </c>
      <c r="C853" s="8">
        <v>45011</v>
      </c>
      <c r="D853" t="s">
        <v>20</v>
      </c>
      <c r="E853" t="s">
        <v>2580</v>
      </c>
      <c r="F853" t="s">
        <v>2581</v>
      </c>
      <c r="G853">
        <v>9015039461</v>
      </c>
      <c r="H853" t="s">
        <v>43</v>
      </c>
      <c r="J853" t="s">
        <v>227</v>
      </c>
      <c r="K853" t="s">
        <v>27</v>
      </c>
      <c r="L853" t="s">
        <v>79</v>
      </c>
      <c r="M853" t="s">
        <v>80</v>
      </c>
      <c r="N853">
        <v>6</v>
      </c>
      <c r="O853">
        <v>2467.16</v>
      </c>
      <c r="P853">
        <v>0</v>
      </c>
      <c r="Q853">
        <v>0</v>
      </c>
      <c r="R853">
        <v>14802.96</v>
      </c>
      <c r="S853">
        <v>-1673.15</v>
      </c>
    </row>
    <row r="854" spans="1:19" ht="15" customHeight="1" x14ac:dyDescent="0.25">
      <c r="A854" t="s">
        <v>2582</v>
      </c>
      <c r="B854" s="8">
        <v>45442</v>
      </c>
      <c r="C854" s="8">
        <v>45447</v>
      </c>
      <c r="D854" t="s">
        <v>48</v>
      </c>
      <c r="E854" t="s">
        <v>2535</v>
      </c>
      <c r="F854" t="s">
        <v>2583</v>
      </c>
      <c r="G854">
        <v>7037064624</v>
      </c>
      <c r="H854" t="s">
        <v>24</v>
      </c>
      <c r="I854" t="s">
        <v>69</v>
      </c>
      <c r="J854" t="s">
        <v>144</v>
      </c>
      <c r="K854" t="s">
        <v>27</v>
      </c>
      <c r="L854" t="s">
        <v>79</v>
      </c>
      <c r="M854" t="s">
        <v>234</v>
      </c>
      <c r="N854">
        <v>11</v>
      </c>
      <c r="O854">
        <v>2320.77</v>
      </c>
      <c r="P854">
        <v>20</v>
      </c>
      <c r="Q854">
        <v>5105.6899999999996</v>
      </c>
      <c r="R854">
        <v>20422.78</v>
      </c>
      <c r="S854">
        <v>1324.78</v>
      </c>
    </row>
    <row r="855" spans="1:19" ht="15" customHeight="1" x14ac:dyDescent="0.25">
      <c r="A855" t="s">
        <v>2584</v>
      </c>
      <c r="B855" s="8">
        <v>45563</v>
      </c>
      <c r="C855" s="8">
        <v>45566</v>
      </c>
      <c r="D855" t="s">
        <v>20</v>
      </c>
      <c r="E855" t="s">
        <v>2585</v>
      </c>
      <c r="G855">
        <v>8133861403</v>
      </c>
      <c r="H855" t="s">
        <v>43</v>
      </c>
      <c r="I855" t="s">
        <v>69</v>
      </c>
      <c r="J855" t="s">
        <v>144</v>
      </c>
      <c r="K855" t="s">
        <v>96</v>
      </c>
      <c r="L855" t="s">
        <v>97</v>
      </c>
      <c r="M855" t="s">
        <v>230</v>
      </c>
      <c r="N855">
        <v>15</v>
      </c>
      <c r="O855">
        <v>217251</v>
      </c>
      <c r="P855">
        <v>10</v>
      </c>
      <c r="Q855">
        <v>325876.5</v>
      </c>
      <c r="R855">
        <v>2932888.5</v>
      </c>
      <c r="S855">
        <v>1185085.25</v>
      </c>
    </row>
    <row r="856" spans="1:19" ht="15" customHeight="1" x14ac:dyDescent="0.25">
      <c r="A856" t="s">
        <v>2586</v>
      </c>
      <c r="B856" s="8">
        <v>44874</v>
      </c>
      <c r="C856" s="8">
        <v>44874</v>
      </c>
      <c r="D856" t="s">
        <v>32</v>
      </c>
      <c r="E856" t="s">
        <v>1768</v>
      </c>
      <c r="F856" t="s">
        <v>2587</v>
      </c>
      <c r="G856">
        <v>8033339281</v>
      </c>
      <c r="H856" t="s">
        <v>43</v>
      </c>
      <c r="I856" t="s">
        <v>69</v>
      </c>
      <c r="J856" t="s">
        <v>70</v>
      </c>
      <c r="K856" t="s">
        <v>271</v>
      </c>
      <c r="L856" t="s">
        <v>64</v>
      </c>
      <c r="M856" t="s">
        <v>501</v>
      </c>
      <c r="N856" t="s">
        <v>317</v>
      </c>
      <c r="O856">
        <v>10285.75</v>
      </c>
      <c r="P856">
        <v>15</v>
      </c>
      <c r="Q856">
        <v>1542.86</v>
      </c>
      <c r="R856">
        <v>8742.89</v>
      </c>
      <c r="S856">
        <v>2839.91</v>
      </c>
    </row>
    <row r="857" spans="1:19" ht="15" customHeight="1" x14ac:dyDescent="0.25">
      <c r="A857" t="s">
        <v>2588</v>
      </c>
      <c r="B857" s="8">
        <v>45006</v>
      </c>
      <c r="C857" s="8">
        <v>45009</v>
      </c>
      <c r="D857" t="s">
        <v>73</v>
      </c>
      <c r="E857" t="s">
        <v>2589</v>
      </c>
      <c r="F857" t="s">
        <v>2590</v>
      </c>
      <c r="G857">
        <v>8105544781</v>
      </c>
      <c r="H857" t="s">
        <v>24</v>
      </c>
      <c r="I857" t="s">
        <v>61</v>
      </c>
      <c r="J857" t="s">
        <v>62</v>
      </c>
      <c r="K857" t="s">
        <v>63</v>
      </c>
      <c r="L857" t="s">
        <v>54</v>
      </c>
      <c r="M857" t="s">
        <v>1039</v>
      </c>
      <c r="N857">
        <v>6</v>
      </c>
      <c r="O857">
        <v>12684.4</v>
      </c>
      <c r="P857">
        <v>10</v>
      </c>
      <c r="Q857">
        <v>7610.64</v>
      </c>
      <c r="R857">
        <v>68495.759999999995</v>
      </c>
      <c r="S857">
        <v>23827.41</v>
      </c>
    </row>
    <row r="858" spans="1:19" ht="15" customHeight="1" x14ac:dyDescent="0.25">
      <c r="A858" t="s">
        <v>2591</v>
      </c>
      <c r="B858" s="8">
        <v>45584</v>
      </c>
      <c r="C858" s="8">
        <v>45585</v>
      </c>
      <c r="D858" t="s">
        <v>32</v>
      </c>
      <c r="E858" t="s">
        <v>382</v>
      </c>
      <c r="F858" t="s">
        <v>2592</v>
      </c>
      <c r="G858">
        <v>8142002613</v>
      </c>
      <c r="H858" t="s">
        <v>35</v>
      </c>
      <c r="I858" t="s">
        <v>51</v>
      </c>
      <c r="J858" t="s">
        <v>131</v>
      </c>
      <c r="K858" t="s">
        <v>63</v>
      </c>
      <c r="L858" t="s">
        <v>249</v>
      </c>
      <c r="M858" t="s">
        <v>465</v>
      </c>
      <c r="N858">
        <v>16</v>
      </c>
      <c r="O858">
        <v>23847.279999999999</v>
      </c>
      <c r="P858">
        <v>10</v>
      </c>
      <c r="Q858">
        <v>38155.65</v>
      </c>
      <c r="R858">
        <v>343400.83</v>
      </c>
      <c r="S858">
        <v>-22359.97</v>
      </c>
    </row>
    <row r="859" spans="1:19" ht="15" customHeight="1" x14ac:dyDescent="0.25">
      <c r="A859" t="s">
        <v>2593</v>
      </c>
      <c r="B859" s="8">
        <v>44588</v>
      </c>
      <c r="C859" s="8">
        <v>44589</v>
      </c>
      <c r="D859" t="s">
        <v>32</v>
      </c>
      <c r="E859" t="s">
        <v>1080</v>
      </c>
      <c r="F859" t="s">
        <v>2594</v>
      </c>
      <c r="G859">
        <v>9078197382</v>
      </c>
      <c r="H859" t="s">
        <v>43</v>
      </c>
      <c r="I859" t="s">
        <v>69</v>
      </c>
      <c r="J859" t="s">
        <v>119</v>
      </c>
      <c r="K859" t="s">
        <v>27</v>
      </c>
      <c r="L859" t="s">
        <v>79</v>
      </c>
      <c r="M859" t="s">
        <v>234</v>
      </c>
      <c r="N859">
        <v>10</v>
      </c>
      <c r="O859">
        <v>1296.5999999999999</v>
      </c>
      <c r="P859">
        <v>10</v>
      </c>
      <c r="Q859">
        <v>1296.5999999999999</v>
      </c>
      <c r="R859">
        <v>11669.4</v>
      </c>
      <c r="S859">
        <v>3324.08</v>
      </c>
    </row>
    <row r="860" spans="1:19" ht="15" customHeight="1" x14ac:dyDescent="0.25">
      <c r="A860" t="s">
        <v>1592</v>
      </c>
      <c r="B860" s="8">
        <v>44691</v>
      </c>
      <c r="C860" s="8">
        <v>44689</v>
      </c>
      <c r="D860" t="s">
        <v>32</v>
      </c>
      <c r="E860" t="s">
        <v>1593</v>
      </c>
      <c r="F860" t="s">
        <v>1594</v>
      </c>
      <c r="G860">
        <v>8134514088</v>
      </c>
      <c r="H860" t="s">
        <v>24</v>
      </c>
      <c r="I860" t="s">
        <v>61</v>
      </c>
      <c r="J860" t="s">
        <v>182</v>
      </c>
      <c r="K860" t="s">
        <v>63</v>
      </c>
      <c r="L860" t="s">
        <v>469</v>
      </c>
      <c r="M860" t="s">
        <v>1595</v>
      </c>
      <c r="N860">
        <v>11</v>
      </c>
      <c r="O860">
        <v>22798.58</v>
      </c>
      <c r="P860">
        <v>20</v>
      </c>
      <c r="Q860">
        <v>50156.88</v>
      </c>
      <c r="R860">
        <v>200627.5</v>
      </c>
      <c r="S860">
        <v>64618.84</v>
      </c>
    </row>
    <row r="861" spans="1:19" ht="15" customHeight="1" x14ac:dyDescent="0.25">
      <c r="A861" t="s">
        <v>2595</v>
      </c>
      <c r="B861" s="8">
        <v>44822</v>
      </c>
      <c r="C861" s="8">
        <v>44826</v>
      </c>
      <c r="D861" t="s">
        <v>73</v>
      </c>
      <c r="E861" t="s">
        <v>2596</v>
      </c>
      <c r="F861" t="s">
        <v>2597</v>
      </c>
      <c r="G861">
        <v>8035179188</v>
      </c>
      <c r="H861" t="s">
        <v>43</v>
      </c>
      <c r="I861" t="s">
        <v>51</v>
      </c>
      <c r="J861" t="s">
        <v>227</v>
      </c>
      <c r="K861" t="s">
        <v>108</v>
      </c>
      <c r="L861" t="s">
        <v>189</v>
      </c>
      <c r="M861" t="s">
        <v>478</v>
      </c>
      <c r="N861">
        <v>11</v>
      </c>
      <c r="O861">
        <v>40293.949999999997</v>
      </c>
      <c r="P861">
        <v>25</v>
      </c>
      <c r="Q861">
        <v>110808.36</v>
      </c>
      <c r="R861">
        <v>332425.09000000003</v>
      </c>
      <c r="S861">
        <v>125801.92</v>
      </c>
    </row>
    <row r="862" spans="1:19" ht="15" customHeight="1" x14ac:dyDescent="0.25">
      <c r="A862" t="s">
        <v>2598</v>
      </c>
      <c r="B862" s="8">
        <v>44728</v>
      </c>
      <c r="C862" s="8">
        <v>44731</v>
      </c>
      <c r="D862" t="s">
        <v>20</v>
      </c>
      <c r="E862" t="s">
        <v>2007</v>
      </c>
      <c r="F862" t="s">
        <v>2434</v>
      </c>
      <c r="G862">
        <v>8068541105</v>
      </c>
      <c r="H862" t="s">
        <v>24</v>
      </c>
      <c r="I862" t="s">
        <v>69</v>
      </c>
      <c r="J862" t="s">
        <v>119</v>
      </c>
      <c r="K862" t="s">
        <v>108</v>
      </c>
      <c r="L862" t="s">
        <v>109</v>
      </c>
      <c r="M862" t="s">
        <v>157</v>
      </c>
      <c r="N862">
        <v>12</v>
      </c>
      <c r="O862">
        <v>32612.03</v>
      </c>
      <c r="P862">
        <v>0</v>
      </c>
      <c r="Q862">
        <v>0</v>
      </c>
      <c r="R862">
        <v>391344.36</v>
      </c>
      <c r="S862">
        <v>52537.26</v>
      </c>
    </row>
    <row r="863" spans="1:19" ht="15" customHeight="1" x14ac:dyDescent="0.25">
      <c r="A863" t="s">
        <v>2599</v>
      </c>
      <c r="B863" s="8">
        <v>45550</v>
      </c>
      <c r="C863" s="8">
        <v>45552</v>
      </c>
      <c r="D863" t="s">
        <v>20</v>
      </c>
      <c r="E863" t="s">
        <v>2600</v>
      </c>
      <c r="F863" t="s">
        <v>2601</v>
      </c>
      <c r="G863">
        <v>7039997791</v>
      </c>
      <c r="H863" t="s">
        <v>43</v>
      </c>
      <c r="I863" t="s">
        <v>61</v>
      </c>
      <c r="J863" t="s">
        <v>95</v>
      </c>
      <c r="K863" t="s">
        <v>85</v>
      </c>
      <c r="L863" t="s">
        <v>218</v>
      </c>
      <c r="M863" t="s">
        <v>842</v>
      </c>
      <c r="N863">
        <v>10</v>
      </c>
      <c r="O863">
        <v>112074</v>
      </c>
      <c r="P863">
        <v>0</v>
      </c>
      <c r="Q863">
        <v>0</v>
      </c>
      <c r="R863">
        <v>1120740</v>
      </c>
      <c r="S863">
        <v>326468.12</v>
      </c>
    </row>
    <row r="864" spans="1:19" ht="15" customHeight="1" x14ac:dyDescent="0.25">
      <c r="A864" t="s">
        <v>2602</v>
      </c>
      <c r="B864" s="8">
        <v>45070</v>
      </c>
      <c r="C864" s="8">
        <v>45069</v>
      </c>
      <c r="D864" t="s">
        <v>20</v>
      </c>
      <c r="E864" t="s">
        <v>2479</v>
      </c>
      <c r="F864" t="s">
        <v>2603</v>
      </c>
      <c r="G864">
        <v>8165378650</v>
      </c>
      <c r="H864" t="s">
        <v>24</v>
      </c>
      <c r="I864" t="s">
        <v>61</v>
      </c>
      <c r="J864" t="s">
        <v>84</v>
      </c>
      <c r="K864" t="s">
        <v>85</v>
      </c>
      <c r="L864" t="s">
        <v>218</v>
      </c>
      <c r="M864" t="s">
        <v>1058</v>
      </c>
      <c r="N864">
        <v>14</v>
      </c>
      <c r="O864">
        <v>12348.8</v>
      </c>
      <c r="P864">
        <v>0</v>
      </c>
      <c r="Q864">
        <v>0</v>
      </c>
      <c r="R864">
        <v>172883.20000000001</v>
      </c>
      <c r="S864">
        <v>12305.65</v>
      </c>
    </row>
    <row r="865" spans="1:19" ht="15" customHeight="1" x14ac:dyDescent="0.25">
      <c r="A865" t="s">
        <v>2604</v>
      </c>
      <c r="B865" s="8">
        <v>44883</v>
      </c>
      <c r="C865" s="8">
        <v>44884</v>
      </c>
      <c r="D865" t="s">
        <v>32</v>
      </c>
      <c r="E865" t="s">
        <v>2605</v>
      </c>
      <c r="F865" t="s">
        <v>2606</v>
      </c>
      <c r="G865">
        <v>8145629663</v>
      </c>
      <c r="H865" t="s">
        <v>24</v>
      </c>
      <c r="I865" t="s">
        <v>61</v>
      </c>
      <c r="J865" t="s">
        <v>204</v>
      </c>
      <c r="K865" t="s">
        <v>85</v>
      </c>
      <c r="L865" t="s">
        <v>266</v>
      </c>
      <c r="M865" t="s">
        <v>952</v>
      </c>
      <c r="N865">
        <v>19</v>
      </c>
      <c r="O865">
        <v>56979.199999999997</v>
      </c>
      <c r="P865">
        <v>0</v>
      </c>
      <c r="Q865">
        <v>0</v>
      </c>
      <c r="R865">
        <v>1082604.8</v>
      </c>
      <c r="S865">
        <v>47290.59</v>
      </c>
    </row>
    <row r="866" spans="1:19" ht="15" customHeight="1" x14ac:dyDescent="0.25">
      <c r="A866" t="s">
        <v>2607</v>
      </c>
      <c r="B866" s="8" t="s">
        <v>2608</v>
      </c>
      <c r="C866" s="8">
        <v>45542</v>
      </c>
      <c r="D866" t="s">
        <v>20</v>
      </c>
      <c r="E866" t="s">
        <v>2531</v>
      </c>
      <c r="F866" t="s">
        <v>2609</v>
      </c>
      <c r="G866">
        <v>8151427236</v>
      </c>
      <c r="H866" t="s">
        <v>35</v>
      </c>
      <c r="I866" t="s">
        <v>25</v>
      </c>
      <c r="J866" t="s">
        <v>26</v>
      </c>
      <c r="K866" t="s">
        <v>108</v>
      </c>
      <c r="L866" t="s">
        <v>38</v>
      </c>
      <c r="M866" t="s">
        <v>213</v>
      </c>
      <c r="N866">
        <v>20</v>
      </c>
      <c r="O866">
        <v>9653.93</v>
      </c>
      <c r="P866">
        <v>0</v>
      </c>
      <c r="Q866">
        <v>0</v>
      </c>
      <c r="R866">
        <v>193078.6</v>
      </c>
      <c r="S866">
        <v>45599.87</v>
      </c>
    </row>
    <row r="867" spans="1:19" ht="15" customHeight="1" x14ac:dyDescent="0.25">
      <c r="A867" t="s">
        <v>2610</v>
      </c>
      <c r="B867" s="8">
        <v>45609</v>
      </c>
      <c r="C867" s="8">
        <v>45614</v>
      </c>
      <c r="D867" t="s">
        <v>48</v>
      </c>
      <c r="E867" t="s">
        <v>2296</v>
      </c>
      <c r="F867" t="s">
        <v>2611</v>
      </c>
      <c r="G867">
        <v>8063347324</v>
      </c>
      <c r="H867" t="s">
        <v>24</v>
      </c>
      <c r="I867" t="s">
        <v>51</v>
      </c>
      <c r="J867" t="s">
        <v>227</v>
      </c>
      <c r="K867" t="s">
        <v>85</v>
      </c>
      <c r="L867" t="s">
        <v>86</v>
      </c>
      <c r="M867" t="s">
        <v>238</v>
      </c>
      <c r="N867">
        <v>8</v>
      </c>
      <c r="O867">
        <v>36101.660000000003</v>
      </c>
      <c r="P867">
        <v>0</v>
      </c>
      <c r="Q867">
        <v>0</v>
      </c>
      <c r="R867">
        <v>288813.28000000003</v>
      </c>
      <c r="S867">
        <v>87451.43</v>
      </c>
    </row>
    <row r="868" spans="1:19" ht="15" customHeight="1" x14ac:dyDescent="0.25">
      <c r="A868" t="s">
        <v>2612</v>
      </c>
      <c r="B868" s="8">
        <v>45265</v>
      </c>
      <c r="C868" s="8">
        <v>45265</v>
      </c>
      <c r="D868" t="s">
        <v>32</v>
      </c>
      <c r="E868" t="s">
        <v>2613</v>
      </c>
      <c r="F868" t="s">
        <v>592</v>
      </c>
      <c r="G868">
        <v>8157985242</v>
      </c>
      <c r="H868" t="s">
        <v>35</v>
      </c>
      <c r="I868" t="s">
        <v>51</v>
      </c>
      <c r="J868" t="s">
        <v>223</v>
      </c>
      <c r="K868" t="s">
        <v>108</v>
      </c>
      <c r="L868" t="s">
        <v>109</v>
      </c>
      <c r="M868" t="s">
        <v>426</v>
      </c>
      <c r="N868">
        <v>7</v>
      </c>
      <c r="O868">
        <v>37382.379999999997</v>
      </c>
      <c r="P868">
        <v>20</v>
      </c>
      <c r="Q868">
        <v>52335.33</v>
      </c>
      <c r="R868">
        <v>209341.33</v>
      </c>
      <c r="S868">
        <v>-11422.44</v>
      </c>
    </row>
    <row r="869" spans="1:19" ht="15" customHeight="1" x14ac:dyDescent="0.25">
      <c r="A869" t="s">
        <v>2614</v>
      </c>
      <c r="B869" s="8">
        <v>44611</v>
      </c>
      <c r="C869" s="8">
        <v>44616</v>
      </c>
      <c r="D869" t="s">
        <v>48</v>
      </c>
      <c r="E869" t="s">
        <v>1390</v>
      </c>
      <c r="F869" t="s">
        <v>2615</v>
      </c>
      <c r="G869">
        <v>8034674225</v>
      </c>
      <c r="H869" t="s">
        <v>35</v>
      </c>
      <c r="I869" t="s">
        <v>51</v>
      </c>
      <c r="J869" t="s">
        <v>131</v>
      </c>
      <c r="K869" t="s">
        <v>85</v>
      </c>
      <c r="L869" t="s">
        <v>218</v>
      </c>
      <c r="M869" t="s">
        <v>708</v>
      </c>
      <c r="N869">
        <v>11</v>
      </c>
      <c r="O869">
        <v>94100.43</v>
      </c>
      <c r="P869">
        <v>15</v>
      </c>
      <c r="Q869">
        <v>155265.71</v>
      </c>
      <c r="R869">
        <v>879839.02</v>
      </c>
      <c r="S869">
        <v>267099.63</v>
      </c>
    </row>
    <row r="870" spans="1:19" ht="15" customHeight="1" x14ac:dyDescent="0.25">
      <c r="A870" t="s">
        <v>2616</v>
      </c>
      <c r="B870" s="8">
        <v>45570</v>
      </c>
      <c r="C870" s="8">
        <v>45572</v>
      </c>
      <c r="D870" t="s">
        <v>20</v>
      </c>
      <c r="E870" t="s">
        <v>2617</v>
      </c>
      <c r="F870" t="s">
        <v>2618</v>
      </c>
      <c r="G870">
        <v>8034357530</v>
      </c>
      <c r="H870" t="s">
        <v>24</v>
      </c>
      <c r="I870" t="s">
        <v>69</v>
      </c>
      <c r="J870" t="s">
        <v>307</v>
      </c>
      <c r="K870" t="s">
        <v>27</v>
      </c>
      <c r="L870" t="s">
        <v>79</v>
      </c>
      <c r="M870" t="s">
        <v>490</v>
      </c>
      <c r="N870">
        <v>16</v>
      </c>
      <c r="O870">
        <v>2067.1999999999998</v>
      </c>
      <c r="P870">
        <v>0</v>
      </c>
      <c r="Q870">
        <v>0</v>
      </c>
      <c r="R870">
        <v>33075.199999999997</v>
      </c>
      <c r="S870">
        <v>1972.24</v>
      </c>
    </row>
    <row r="871" spans="1:19" ht="15" customHeight="1" x14ac:dyDescent="0.25">
      <c r="A871" t="s">
        <v>2619</v>
      </c>
      <c r="B871" s="8">
        <v>45375</v>
      </c>
      <c r="C871" s="8">
        <v>45378</v>
      </c>
      <c r="D871" t="s">
        <v>73</v>
      </c>
      <c r="E871" t="s">
        <v>2620</v>
      </c>
      <c r="F871" t="s">
        <v>2621</v>
      </c>
      <c r="G871">
        <v>9075721396</v>
      </c>
      <c r="H871" t="s">
        <v>43</v>
      </c>
      <c r="I871" t="s">
        <v>25</v>
      </c>
      <c r="J871" t="s">
        <v>36</v>
      </c>
      <c r="K871" t="s">
        <v>63</v>
      </c>
      <c r="L871" t="s">
        <v>312</v>
      </c>
      <c r="M871" t="s">
        <v>761</v>
      </c>
      <c r="N871">
        <v>6</v>
      </c>
      <c r="O871">
        <v>13016.55</v>
      </c>
      <c r="P871">
        <v>5</v>
      </c>
      <c r="Q871">
        <v>3904.96</v>
      </c>
      <c r="R871">
        <v>74194.34</v>
      </c>
      <c r="S871">
        <v>22444</v>
      </c>
    </row>
    <row r="872" spans="1:19" ht="15" customHeight="1" x14ac:dyDescent="0.25">
      <c r="A872" t="s">
        <v>2622</v>
      </c>
      <c r="B872" s="8">
        <v>45095</v>
      </c>
      <c r="C872" s="8">
        <v>45098</v>
      </c>
      <c r="D872" t="s">
        <v>20</v>
      </c>
      <c r="E872" t="s">
        <v>2623</v>
      </c>
      <c r="F872" t="s">
        <v>2624</v>
      </c>
      <c r="G872">
        <v>8141483477</v>
      </c>
      <c r="H872" t="s">
        <v>35</v>
      </c>
      <c r="I872" t="s">
        <v>51</v>
      </c>
      <c r="J872" t="s">
        <v>223</v>
      </c>
      <c r="K872" t="s">
        <v>108</v>
      </c>
      <c r="L872" t="s">
        <v>189</v>
      </c>
      <c r="M872" t="s">
        <v>205</v>
      </c>
      <c r="N872">
        <v>7</v>
      </c>
      <c r="O872">
        <v>35110.720000000001</v>
      </c>
      <c r="P872">
        <v>0</v>
      </c>
      <c r="Q872">
        <v>0</v>
      </c>
      <c r="R872">
        <v>245775.04</v>
      </c>
      <c r="S872">
        <v>-20247.91</v>
      </c>
    </row>
    <row r="873" spans="1:19" ht="15" customHeight="1" x14ac:dyDescent="0.25">
      <c r="A873" t="s">
        <v>2625</v>
      </c>
      <c r="B873" s="8">
        <v>44971</v>
      </c>
      <c r="C873" s="8">
        <v>44976</v>
      </c>
      <c r="D873" t="s">
        <v>73</v>
      </c>
      <c r="E873" t="s">
        <v>2557</v>
      </c>
      <c r="F873" t="s">
        <v>2626</v>
      </c>
      <c r="G873">
        <v>9056089714</v>
      </c>
      <c r="H873" t="s">
        <v>24</v>
      </c>
      <c r="I873" t="s">
        <v>69</v>
      </c>
      <c r="J873" t="s">
        <v>307</v>
      </c>
      <c r="K873" t="s">
        <v>1441</v>
      </c>
      <c r="L873" t="s">
        <v>64</v>
      </c>
      <c r="M873" t="s">
        <v>815</v>
      </c>
      <c r="N873">
        <v>8</v>
      </c>
      <c r="O873">
        <v>16371.84</v>
      </c>
      <c r="P873">
        <v>10</v>
      </c>
      <c r="Q873">
        <v>13097.47</v>
      </c>
      <c r="R873">
        <v>117877.25</v>
      </c>
      <c r="S873">
        <v>-2347.69</v>
      </c>
    </row>
    <row r="874" spans="1:19" ht="15" customHeight="1" x14ac:dyDescent="0.25">
      <c r="A874" t="s">
        <v>2627</v>
      </c>
      <c r="B874" s="8">
        <v>44932</v>
      </c>
      <c r="C874" s="8">
        <v>44936</v>
      </c>
      <c r="D874" t="s">
        <v>73</v>
      </c>
      <c r="E874" t="s">
        <v>1813</v>
      </c>
      <c r="F874" t="s">
        <v>2628</v>
      </c>
      <c r="G874">
        <v>9016492169</v>
      </c>
      <c r="H874" t="s">
        <v>35</v>
      </c>
      <c r="I874" t="s">
        <v>25</v>
      </c>
      <c r="J874" t="s">
        <v>44</v>
      </c>
      <c r="K874" t="s">
        <v>108</v>
      </c>
      <c r="L874" t="s">
        <v>183</v>
      </c>
      <c r="M874" t="s">
        <v>184</v>
      </c>
      <c r="N874">
        <v>16</v>
      </c>
      <c r="O874">
        <v>34415.919999999998</v>
      </c>
      <c r="P874">
        <v>20</v>
      </c>
      <c r="Q874">
        <v>110130.94</v>
      </c>
      <c r="R874">
        <v>440523.78</v>
      </c>
      <c r="S874">
        <v>82156.77</v>
      </c>
    </row>
    <row r="875" spans="1:19" ht="15" customHeight="1" x14ac:dyDescent="0.25">
      <c r="A875" t="s">
        <v>2629</v>
      </c>
      <c r="B875" s="8">
        <v>44562</v>
      </c>
      <c r="C875" s="8">
        <v>44567</v>
      </c>
      <c r="D875" t="s">
        <v>48</v>
      </c>
      <c r="E875" t="s">
        <v>2630</v>
      </c>
      <c r="F875" t="s">
        <v>2631</v>
      </c>
      <c r="G875">
        <v>8161000159</v>
      </c>
      <c r="H875" t="s">
        <v>35</v>
      </c>
      <c r="I875" t="s">
        <v>51</v>
      </c>
      <c r="J875" t="s">
        <v>131</v>
      </c>
      <c r="K875" t="s">
        <v>63</v>
      </c>
      <c r="L875" t="s">
        <v>64</v>
      </c>
      <c r="M875" t="s">
        <v>104</v>
      </c>
      <c r="N875">
        <v>6</v>
      </c>
      <c r="O875">
        <v>18354.330000000002</v>
      </c>
      <c r="P875">
        <v>0</v>
      </c>
      <c r="Q875">
        <v>0</v>
      </c>
      <c r="R875">
        <v>110125.98</v>
      </c>
      <c r="S875">
        <v>-12981.35</v>
      </c>
    </row>
    <row r="876" spans="1:19" ht="15" customHeight="1" x14ac:dyDescent="0.25">
      <c r="A876" t="s">
        <v>2632</v>
      </c>
      <c r="B876" s="8">
        <v>44717</v>
      </c>
      <c r="C876" s="8">
        <v>44720</v>
      </c>
      <c r="D876" t="s">
        <v>20</v>
      </c>
      <c r="E876" t="s">
        <v>2633</v>
      </c>
      <c r="G876">
        <v>8161587080</v>
      </c>
      <c r="H876" t="s">
        <v>43</v>
      </c>
      <c r="I876" t="s">
        <v>61</v>
      </c>
      <c r="J876" t="s">
        <v>62</v>
      </c>
      <c r="K876" t="s">
        <v>96</v>
      </c>
      <c r="L876" t="s">
        <v>97</v>
      </c>
      <c r="M876" t="s">
        <v>443</v>
      </c>
      <c r="N876">
        <v>7</v>
      </c>
      <c r="O876">
        <v>129285.66</v>
      </c>
      <c r="P876">
        <v>0</v>
      </c>
      <c r="Q876">
        <v>0</v>
      </c>
      <c r="R876">
        <v>904999.62</v>
      </c>
      <c r="S876">
        <v>363487.5</v>
      </c>
    </row>
    <row r="877" spans="1:19" ht="15" customHeight="1" x14ac:dyDescent="0.25">
      <c r="A877" t="s">
        <v>2634</v>
      </c>
      <c r="B877" s="8">
        <v>44792</v>
      </c>
      <c r="C877" s="8">
        <v>44797</v>
      </c>
      <c r="D877" t="s">
        <v>48</v>
      </c>
      <c r="E877" t="s">
        <v>2635</v>
      </c>
      <c r="F877" t="s">
        <v>2636</v>
      </c>
      <c r="G877">
        <v>8161378476</v>
      </c>
      <c r="H877" t="s">
        <v>35</v>
      </c>
      <c r="I877" t="s">
        <v>25</v>
      </c>
      <c r="J877" t="s">
        <v>168</v>
      </c>
      <c r="K877" t="s">
        <v>27</v>
      </c>
      <c r="L877" t="s">
        <v>28</v>
      </c>
      <c r="M877" t="s">
        <v>29</v>
      </c>
      <c r="N877">
        <v>5</v>
      </c>
      <c r="O877">
        <v>5932.04</v>
      </c>
      <c r="P877">
        <v>5</v>
      </c>
      <c r="Q877">
        <v>1483.01</v>
      </c>
      <c r="R877">
        <v>28177.19</v>
      </c>
      <c r="S877">
        <v>-3125</v>
      </c>
    </row>
    <row r="878" spans="1:19" ht="15" customHeight="1" x14ac:dyDescent="0.25">
      <c r="A878" t="s">
        <v>2637</v>
      </c>
      <c r="B878" s="8">
        <v>45447</v>
      </c>
      <c r="C878" s="8">
        <v>45448</v>
      </c>
      <c r="D878" t="s">
        <v>32</v>
      </c>
      <c r="E878" t="s">
        <v>2299</v>
      </c>
      <c r="F878" t="s">
        <v>2638</v>
      </c>
      <c r="G878">
        <v>9051738763</v>
      </c>
      <c r="H878" t="s">
        <v>35</v>
      </c>
      <c r="I878" t="s">
        <v>69</v>
      </c>
      <c r="J878" t="s">
        <v>307</v>
      </c>
      <c r="K878" t="s">
        <v>96</v>
      </c>
      <c r="L878" t="s">
        <v>97</v>
      </c>
      <c r="M878" t="s">
        <v>1416</v>
      </c>
      <c r="N878">
        <v>7</v>
      </c>
      <c r="O878">
        <v>327708.81</v>
      </c>
      <c r="P878">
        <v>10</v>
      </c>
      <c r="Q878">
        <v>229396.17</v>
      </c>
      <c r="R878">
        <v>2064565.5</v>
      </c>
      <c r="S878">
        <v>-279443.64</v>
      </c>
    </row>
    <row r="879" spans="1:19" ht="15" customHeight="1" x14ac:dyDescent="0.25">
      <c r="A879" t="s">
        <v>2639</v>
      </c>
      <c r="B879" s="8">
        <v>44565</v>
      </c>
      <c r="C879" s="8">
        <v>44565</v>
      </c>
      <c r="D879" t="s">
        <v>32</v>
      </c>
      <c r="E879" t="s">
        <v>1547</v>
      </c>
      <c r="F879" t="s">
        <v>2640</v>
      </c>
      <c r="G879">
        <v>8159196133</v>
      </c>
      <c r="H879" t="s">
        <v>35</v>
      </c>
      <c r="I879" t="s">
        <v>51</v>
      </c>
      <c r="J879" t="s">
        <v>131</v>
      </c>
      <c r="K879" t="s">
        <v>85</v>
      </c>
      <c r="L879" t="s">
        <v>86</v>
      </c>
      <c r="M879" t="s">
        <v>178</v>
      </c>
      <c r="N879">
        <v>20</v>
      </c>
      <c r="O879">
        <v>70613.98</v>
      </c>
      <c r="P879">
        <v>10</v>
      </c>
      <c r="Q879">
        <v>141227.96</v>
      </c>
      <c r="R879">
        <v>1271051.6399999999</v>
      </c>
      <c r="S879">
        <v>157298.35</v>
      </c>
    </row>
    <row r="880" spans="1:19" ht="15" customHeight="1" x14ac:dyDescent="0.25">
      <c r="A880" t="s">
        <v>2641</v>
      </c>
      <c r="B880" s="8">
        <v>45322</v>
      </c>
      <c r="C880" s="8">
        <v>45324</v>
      </c>
      <c r="D880" t="s">
        <v>20</v>
      </c>
      <c r="E880" t="s">
        <v>2642</v>
      </c>
      <c r="F880" t="s">
        <v>2643</v>
      </c>
      <c r="G880">
        <v>7063918610</v>
      </c>
      <c r="H880" t="s">
        <v>35</v>
      </c>
      <c r="I880" t="s">
        <v>69</v>
      </c>
      <c r="J880" t="s">
        <v>155</v>
      </c>
      <c r="K880" t="s">
        <v>27</v>
      </c>
      <c r="L880" t="s">
        <v>28</v>
      </c>
      <c r="M880" t="s">
        <v>71</v>
      </c>
      <c r="N880">
        <v>12</v>
      </c>
      <c r="O880">
        <v>3899.63</v>
      </c>
      <c r="P880">
        <v>10</v>
      </c>
      <c r="Q880">
        <v>4679.5600000000004</v>
      </c>
      <c r="R880">
        <v>42116</v>
      </c>
      <c r="S880">
        <v>-2586.77</v>
      </c>
    </row>
    <row r="881" spans="1:19" ht="15" customHeight="1" x14ac:dyDescent="0.25">
      <c r="A881" t="s">
        <v>2644</v>
      </c>
      <c r="B881" s="8">
        <v>45446</v>
      </c>
      <c r="C881" s="8">
        <v>45448</v>
      </c>
      <c r="D881" t="s">
        <v>20</v>
      </c>
      <c r="E881" t="s">
        <v>277</v>
      </c>
      <c r="F881" t="s">
        <v>2645</v>
      </c>
      <c r="G881">
        <v>7037017462</v>
      </c>
      <c r="H881" t="s">
        <v>43</v>
      </c>
      <c r="I881" t="s">
        <v>69</v>
      </c>
      <c r="J881" t="s">
        <v>155</v>
      </c>
      <c r="K881" t="s">
        <v>108</v>
      </c>
      <c r="L881" t="s">
        <v>183</v>
      </c>
      <c r="M881" t="s">
        <v>184</v>
      </c>
      <c r="N881">
        <v>6</v>
      </c>
      <c r="O881">
        <v>39057.4</v>
      </c>
      <c r="P881">
        <v>0</v>
      </c>
      <c r="Q881">
        <v>0</v>
      </c>
      <c r="R881">
        <v>234344.4</v>
      </c>
      <c r="S881">
        <v>13140.22</v>
      </c>
    </row>
    <row r="882" spans="1:19" ht="15" customHeight="1" x14ac:dyDescent="0.25">
      <c r="A882" t="s">
        <v>2646</v>
      </c>
      <c r="B882" s="8">
        <v>44847</v>
      </c>
      <c r="C882" s="8">
        <v>44850</v>
      </c>
      <c r="D882" t="s">
        <v>73</v>
      </c>
      <c r="E882" t="s">
        <v>623</v>
      </c>
      <c r="F882" t="s">
        <v>1107</v>
      </c>
      <c r="G882">
        <v>8069411821</v>
      </c>
      <c r="H882" t="s">
        <v>43</v>
      </c>
      <c r="I882" t="s">
        <v>61</v>
      </c>
      <c r="J882" t="s">
        <v>84</v>
      </c>
      <c r="K882" t="s">
        <v>27</v>
      </c>
      <c r="L882" t="s">
        <v>79</v>
      </c>
      <c r="M882" t="s">
        <v>234</v>
      </c>
      <c r="N882">
        <v>1</v>
      </c>
      <c r="O882">
        <v>1099.3800000000001</v>
      </c>
      <c r="P882">
        <v>10</v>
      </c>
      <c r="Q882">
        <v>109.94</v>
      </c>
      <c r="R882">
        <v>989.44</v>
      </c>
      <c r="S882">
        <v>406.37</v>
      </c>
    </row>
    <row r="883" spans="1:19" ht="15" customHeight="1" x14ac:dyDescent="0.25">
      <c r="A883" t="s">
        <v>2647</v>
      </c>
      <c r="B883" s="8">
        <v>45563</v>
      </c>
      <c r="C883" s="8">
        <v>45565</v>
      </c>
      <c r="D883" t="s">
        <v>20</v>
      </c>
      <c r="E883" t="s">
        <v>2642</v>
      </c>
      <c r="F883" t="s">
        <v>2643</v>
      </c>
      <c r="G883">
        <v>8157626337</v>
      </c>
      <c r="H883" t="s">
        <v>24</v>
      </c>
      <c r="I883" t="s">
        <v>61</v>
      </c>
      <c r="J883" t="s">
        <v>62</v>
      </c>
      <c r="K883" t="s">
        <v>27</v>
      </c>
      <c r="L883" t="s">
        <v>28</v>
      </c>
      <c r="M883" t="s">
        <v>508</v>
      </c>
      <c r="N883" t="s">
        <v>2648</v>
      </c>
      <c r="O883">
        <v>4743.05</v>
      </c>
      <c r="P883">
        <v>0</v>
      </c>
      <c r="Q883">
        <v>0</v>
      </c>
      <c r="R883">
        <v>66402.7</v>
      </c>
      <c r="S883">
        <v>-963.58</v>
      </c>
    </row>
    <row r="884" spans="1:19" ht="15" customHeight="1" x14ac:dyDescent="0.25">
      <c r="A884" t="s">
        <v>2649</v>
      </c>
      <c r="B884" s="8">
        <v>44563</v>
      </c>
      <c r="C884" s="8">
        <v>44568</v>
      </c>
      <c r="D884" t="s">
        <v>73</v>
      </c>
      <c r="E884" t="s">
        <v>864</v>
      </c>
      <c r="F884" t="s">
        <v>1723</v>
      </c>
      <c r="G884">
        <v>8066143155</v>
      </c>
      <c r="H884" t="s">
        <v>24</v>
      </c>
      <c r="J884" t="s">
        <v>119</v>
      </c>
      <c r="K884" t="s">
        <v>85</v>
      </c>
      <c r="L884" t="s">
        <v>486</v>
      </c>
      <c r="M884" t="s">
        <v>2650</v>
      </c>
      <c r="N884">
        <v>18</v>
      </c>
      <c r="O884">
        <v>149939.9</v>
      </c>
      <c r="P884">
        <v>0</v>
      </c>
      <c r="Q884">
        <v>0</v>
      </c>
      <c r="R884">
        <v>2698918.2</v>
      </c>
      <c r="S884">
        <v>1136056.56</v>
      </c>
    </row>
    <row r="885" spans="1:19" ht="15" customHeight="1" x14ac:dyDescent="0.25">
      <c r="A885" t="s">
        <v>2651</v>
      </c>
      <c r="B885" s="8">
        <v>45167</v>
      </c>
      <c r="C885" s="8">
        <v>45172</v>
      </c>
      <c r="D885" t="s">
        <v>48</v>
      </c>
      <c r="E885" t="s">
        <v>2652</v>
      </c>
      <c r="F885" t="s">
        <v>2653</v>
      </c>
      <c r="G885">
        <v>8065251915</v>
      </c>
      <c r="H885" t="s">
        <v>35</v>
      </c>
      <c r="I885" t="s">
        <v>61</v>
      </c>
      <c r="J885" t="s">
        <v>95</v>
      </c>
      <c r="K885" t="s">
        <v>108</v>
      </c>
      <c r="L885" t="s">
        <v>114</v>
      </c>
      <c r="M885" t="s">
        <v>115</v>
      </c>
      <c r="N885">
        <v>13</v>
      </c>
      <c r="O885">
        <v>42629.61</v>
      </c>
      <c r="P885">
        <v>0</v>
      </c>
      <c r="Q885">
        <v>0</v>
      </c>
      <c r="R885">
        <v>554184.93000000005</v>
      </c>
      <c r="S885">
        <v>148904.56</v>
      </c>
    </row>
    <row r="886" spans="1:19" ht="15" customHeight="1" x14ac:dyDescent="0.25">
      <c r="A886" t="s">
        <v>2654</v>
      </c>
      <c r="B886" s="8">
        <v>44988</v>
      </c>
      <c r="C886" s="8">
        <v>44991</v>
      </c>
      <c r="D886" t="s">
        <v>20</v>
      </c>
      <c r="E886" t="s">
        <v>2655</v>
      </c>
      <c r="F886" t="s">
        <v>2656</v>
      </c>
      <c r="G886">
        <v>9071702543</v>
      </c>
      <c r="H886" t="s">
        <v>43</v>
      </c>
      <c r="I886" t="s">
        <v>51</v>
      </c>
      <c r="J886" t="s">
        <v>223</v>
      </c>
      <c r="L886" t="s">
        <v>114</v>
      </c>
      <c r="M886" t="s">
        <v>115</v>
      </c>
      <c r="N886">
        <v>1</v>
      </c>
      <c r="O886">
        <v>15744.17</v>
      </c>
      <c r="P886">
        <v>10</v>
      </c>
      <c r="Q886">
        <v>1574.42</v>
      </c>
      <c r="R886">
        <v>14169.75</v>
      </c>
      <c r="S886">
        <v>3831.2</v>
      </c>
    </row>
    <row r="887" spans="1:19" ht="15" customHeight="1" x14ac:dyDescent="0.25">
      <c r="A887" t="s">
        <v>2657</v>
      </c>
      <c r="B887" s="8">
        <v>45280</v>
      </c>
      <c r="C887" s="8">
        <v>45281</v>
      </c>
      <c r="D887" t="s">
        <v>32</v>
      </c>
      <c r="E887" t="s">
        <v>2589</v>
      </c>
      <c r="G887">
        <v>8142456742</v>
      </c>
      <c r="H887" t="s">
        <v>35</v>
      </c>
      <c r="I887" t="s">
        <v>69</v>
      </c>
      <c r="J887" t="s">
        <v>155</v>
      </c>
      <c r="K887" t="s">
        <v>108</v>
      </c>
      <c r="L887" t="s">
        <v>38</v>
      </c>
      <c r="M887" t="s">
        <v>296</v>
      </c>
      <c r="N887">
        <v>8</v>
      </c>
      <c r="O887">
        <v>5958.1</v>
      </c>
      <c r="P887">
        <v>0</v>
      </c>
      <c r="Q887">
        <v>0</v>
      </c>
      <c r="R887">
        <v>47664.800000000003</v>
      </c>
      <c r="S887">
        <v>5853.8</v>
      </c>
    </row>
    <row r="888" spans="1:19" ht="15" customHeight="1" x14ac:dyDescent="0.25">
      <c r="A888" t="s">
        <v>2658</v>
      </c>
      <c r="B888" s="8">
        <v>44632</v>
      </c>
      <c r="C888" s="8">
        <v>44633</v>
      </c>
      <c r="D888" t="s">
        <v>32</v>
      </c>
      <c r="E888" t="s">
        <v>2659</v>
      </c>
      <c r="F888" t="s">
        <v>2660</v>
      </c>
      <c r="G888">
        <v>8137888843</v>
      </c>
      <c r="H888" t="s">
        <v>24</v>
      </c>
      <c r="I888" t="s">
        <v>51</v>
      </c>
      <c r="J888" t="s">
        <v>131</v>
      </c>
      <c r="K888" t="s">
        <v>96</v>
      </c>
      <c r="L888" t="s">
        <v>120</v>
      </c>
      <c r="M888" t="s">
        <v>359</v>
      </c>
      <c r="N888">
        <v>1</v>
      </c>
      <c r="O888">
        <v>273141.64</v>
      </c>
      <c r="P888">
        <v>25</v>
      </c>
      <c r="Q888">
        <v>68285.41</v>
      </c>
      <c r="R888">
        <v>204856.23</v>
      </c>
      <c r="S888">
        <v>23898.11</v>
      </c>
    </row>
    <row r="889" spans="1:19" ht="15" customHeight="1" x14ac:dyDescent="0.25">
      <c r="A889" t="s">
        <v>2661</v>
      </c>
      <c r="B889" s="8">
        <v>44661</v>
      </c>
      <c r="C889" s="8">
        <v>44662</v>
      </c>
      <c r="D889" t="s">
        <v>32</v>
      </c>
      <c r="E889" t="s">
        <v>2662</v>
      </c>
      <c r="F889" t="s">
        <v>2663</v>
      </c>
      <c r="G889">
        <v>8108578703</v>
      </c>
      <c r="H889" t="s">
        <v>43</v>
      </c>
      <c r="I889" t="s">
        <v>61</v>
      </c>
      <c r="J889" t="s">
        <v>204</v>
      </c>
      <c r="K889" t="s">
        <v>63</v>
      </c>
      <c r="L889" t="s">
        <v>194</v>
      </c>
      <c r="M889" t="s">
        <v>336</v>
      </c>
      <c r="N889">
        <v>20</v>
      </c>
      <c r="O889">
        <v>1475.5</v>
      </c>
      <c r="P889">
        <v>10</v>
      </c>
      <c r="Q889">
        <v>2951</v>
      </c>
      <c r="R889">
        <v>26559</v>
      </c>
      <c r="S889">
        <v>2816.29</v>
      </c>
    </row>
    <row r="890" spans="1:19" ht="15" customHeight="1" x14ac:dyDescent="0.25">
      <c r="A890" t="s">
        <v>2664</v>
      </c>
      <c r="B890" s="8">
        <v>45557</v>
      </c>
      <c r="C890" s="8">
        <v>45557</v>
      </c>
      <c r="D890" t="s">
        <v>32</v>
      </c>
      <c r="E890" t="s">
        <v>2665</v>
      </c>
      <c r="F890" t="s">
        <v>2666</v>
      </c>
      <c r="G890">
        <v>9027320306</v>
      </c>
      <c r="H890" t="s">
        <v>35</v>
      </c>
      <c r="I890" t="s">
        <v>61</v>
      </c>
      <c r="J890" t="s">
        <v>95</v>
      </c>
      <c r="K890" t="s">
        <v>96</v>
      </c>
      <c r="L890" t="s">
        <v>97</v>
      </c>
      <c r="M890" t="s">
        <v>443</v>
      </c>
      <c r="N890">
        <v>19</v>
      </c>
      <c r="O890">
        <v>112188.85</v>
      </c>
      <c r="P890">
        <v>20</v>
      </c>
      <c r="Q890">
        <v>426317.63</v>
      </c>
      <c r="R890">
        <v>1705270.52</v>
      </c>
      <c r="S890">
        <v>-21760.080000000002</v>
      </c>
    </row>
    <row r="891" spans="1:19" ht="15" customHeight="1" x14ac:dyDescent="0.25">
      <c r="A891" t="s">
        <v>2667</v>
      </c>
      <c r="B891" s="8">
        <v>44847</v>
      </c>
      <c r="C891" s="8">
        <v>44850</v>
      </c>
      <c r="D891" t="s">
        <v>73</v>
      </c>
      <c r="E891" t="s">
        <v>1013</v>
      </c>
      <c r="F891" t="s">
        <v>1014</v>
      </c>
      <c r="G891">
        <v>8149323942</v>
      </c>
      <c r="H891" t="s">
        <v>35</v>
      </c>
      <c r="I891" t="s">
        <v>69</v>
      </c>
      <c r="J891" t="s">
        <v>307</v>
      </c>
      <c r="K891" t="s">
        <v>63</v>
      </c>
      <c r="L891" t="s">
        <v>194</v>
      </c>
      <c r="M891" t="s">
        <v>257</v>
      </c>
      <c r="N891">
        <v>17</v>
      </c>
      <c r="O891">
        <v>1003.17</v>
      </c>
      <c r="P891">
        <v>10</v>
      </c>
      <c r="Q891">
        <v>1705.39</v>
      </c>
      <c r="R891">
        <v>15348.5</v>
      </c>
      <c r="S891">
        <v>3543.96</v>
      </c>
    </row>
    <row r="892" spans="1:19" ht="15" customHeight="1" x14ac:dyDescent="0.25">
      <c r="A892" t="s">
        <v>2668</v>
      </c>
      <c r="B892" s="8">
        <v>45133</v>
      </c>
      <c r="C892" s="8">
        <v>45141</v>
      </c>
      <c r="D892" t="s">
        <v>48</v>
      </c>
      <c r="E892" t="s">
        <v>2669</v>
      </c>
      <c r="F892" t="s">
        <v>2670</v>
      </c>
      <c r="G892" t="s">
        <v>59</v>
      </c>
      <c r="H892" t="s">
        <v>43</v>
      </c>
      <c r="I892" t="s">
        <v>25</v>
      </c>
      <c r="J892" t="s">
        <v>168</v>
      </c>
      <c r="K892" t="s">
        <v>96</v>
      </c>
      <c r="L892" t="s">
        <v>97</v>
      </c>
      <c r="M892" t="s">
        <v>1416</v>
      </c>
      <c r="N892">
        <v>17</v>
      </c>
      <c r="O892">
        <v>221462.1</v>
      </c>
      <c r="P892">
        <v>5</v>
      </c>
      <c r="Q892">
        <v>188242.79</v>
      </c>
      <c r="R892">
        <v>3576612.91</v>
      </c>
      <c r="S892">
        <v>1409077.27</v>
      </c>
    </row>
    <row r="893" spans="1:19" ht="15" customHeight="1" x14ac:dyDescent="0.25">
      <c r="A893" t="s">
        <v>2616</v>
      </c>
      <c r="B893" s="8">
        <v>45570</v>
      </c>
      <c r="C893" s="8">
        <v>45572</v>
      </c>
      <c r="D893" t="s">
        <v>1309</v>
      </c>
      <c r="E893" t="s">
        <v>2617</v>
      </c>
      <c r="F893" t="s">
        <v>2618</v>
      </c>
      <c r="G893">
        <v>8034357530</v>
      </c>
      <c r="H893" t="s">
        <v>24</v>
      </c>
      <c r="I893" t="s">
        <v>69</v>
      </c>
      <c r="J893" t="s">
        <v>307</v>
      </c>
      <c r="K893" t="s">
        <v>27</v>
      </c>
      <c r="L893" t="s">
        <v>79</v>
      </c>
      <c r="M893" t="s">
        <v>490</v>
      </c>
      <c r="N893">
        <v>16</v>
      </c>
      <c r="O893">
        <v>2067.1999999999998</v>
      </c>
      <c r="P893">
        <v>0</v>
      </c>
      <c r="Q893">
        <v>0</v>
      </c>
      <c r="R893">
        <v>33075.199999999997</v>
      </c>
      <c r="S893">
        <v>1972.24</v>
      </c>
    </row>
    <row r="894" spans="1:19" ht="15" customHeight="1" x14ac:dyDescent="0.25">
      <c r="A894" t="s">
        <v>2671</v>
      </c>
      <c r="B894" s="8">
        <v>44738</v>
      </c>
      <c r="C894" s="8">
        <v>44743</v>
      </c>
      <c r="D894" t="s">
        <v>73</v>
      </c>
      <c r="E894" t="s">
        <v>450</v>
      </c>
      <c r="F894" t="s">
        <v>2672</v>
      </c>
      <c r="G894">
        <v>8147263217</v>
      </c>
      <c r="H894" t="s">
        <v>35</v>
      </c>
      <c r="I894" t="s">
        <v>61</v>
      </c>
      <c r="J894" t="s">
        <v>95</v>
      </c>
      <c r="K894" t="s">
        <v>27</v>
      </c>
      <c r="L894" t="s">
        <v>45</v>
      </c>
      <c r="M894" t="s">
        <v>875</v>
      </c>
      <c r="N894">
        <v>6</v>
      </c>
      <c r="O894">
        <v>814.51</v>
      </c>
      <c r="P894">
        <v>15</v>
      </c>
      <c r="Q894">
        <v>733.06</v>
      </c>
      <c r="R894">
        <v>4154</v>
      </c>
      <c r="S894">
        <v>-334.36</v>
      </c>
    </row>
    <row r="895" spans="1:19" ht="15" customHeight="1" x14ac:dyDescent="0.25">
      <c r="A895" t="s">
        <v>2673</v>
      </c>
      <c r="B895" s="8">
        <v>45177</v>
      </c>
      <c r="C895" s="8">
        <v>45180</v>
      </c>
      <c r="D895" t="s">
        <v>73</v>
      </c>
      <c r="E895" t="s">
        <v>2022</v>
      </c>
      <c r="F895" t="s">
        <v>2674</v>
      </c>
      <c r="G895">
        <v>8039559668</v>
      </c>
      <c r="H895" t="s">
        <v>35</v>
      </c>
      <c r="I895" t="s">
        <v>25</v>
      </c>
      <c r="J895" t="s">
        <v>126</v>
      </c>
      <c r="K895" t="s">
        <v>96</v>
      </c>
      <c r="L895" t="s">
        <v>120</v>
      </c>
      <c r="M895" t="s">
        <v>121</v>
      </c>
      <c r="N895">
        <v>19</v>
      </c>
      <c r="O895">
        <v>304671.37</v>
      </c>
      <c r="P895">
        <v>25</v>
      </c>
      <c r="Q895">
        <v>1447189.01</v>
      </c>
      <c r="R895">
        <v>4341567.0199999996</v>
      </c>
      <c r="S895">
        <v>-628161.81999999995</v>
      </c>
    </row>
    <row r="896" spans="1:19" ht="15" customHeight="1" x14ac:dyDescent="0.25">
      <c r="A896" t="s">
        <v>2675</v>
      </c>
      <c r="B896" s="8">
        <v>44999</v>
      </c>
      <c r="C896" s="8">
        <v>44999</v>
      </c>
      <c r="D896" t="s">
        <v>32</v>
      </c>
      <c r="E896" t="s">
        <v>2676</v>
      </c>
      <c r="F896" t="s">
        <v>2677</v>
      </c>
      <c r="G896">
        <v>8132661733</v>
      </c>
      <c r="H896" t="s">
        <v>35</v>
      </c>
      <c r="I896" t="s">
        <v>61</v>
      </c>
      <c r="J896" t="s">
        <v>182</v>
      </c>
      <c r="K896" t="s">
        <v>85</v>
      </c>
      <c r="L896" t="s">
        <v>486</v>
      </c>
      <c r="M896" t="s">
        <v>527</v>
      </c>
      <c r="N896">
        <v>18</v>
      </c>
      <c r="O896">
        <v>116944.21</v>
      </c>
      <c r="P896">
        <v>0</v>
      </c>
      <c r="Q896">
        <v>0</v>
      </c>
      <c r="R896">
        <v>2104995.7799999998</v>
      </c>
      <c r="S896">
        <v>-131209.78</v>
      </c>
    </row>
    <row r="897" spans="1:19" ht="15" customHeight="1" x14ac:dyDescent="0.25">
      <c r="A897" t="s">
        <v>1985</v>
      </c>
      <c r="B897" s="8">
        <v>44761</v>
      </c>
      <c r="C897" s="8">
        <v>44761</v>
      </c>
      <c r="D897" t="s">
        <v>32</v>
      </c>
      <c r="E897" t="s">
        <v>1986</v>
      </c>
      <c r="F897" t="s">
        <v>1987</v>
      </c>
      <c r="G897">
        <v>7063786712</v>
      </c>
      <c r="H897" t="s">
        <v>35</v>
      </c>
      <c r="I897" t="s">
        <v>1663</v>
      </c>
      <c r="J897" t="s">
        <v>168</v>
      </c>
      <c r="K897" t="s">
        <v>27</v>
      </c>
      <c r="L897" t="s">
        <v>28</v>
      </c>
      <c r="M897" t="s">
        <v>508</v>
      </c>
      <c r="N897">
        <v>7</v>
      </c>
      <c r="O897">
        <v>2980.26</v>
      </c>
      <c r="P897">
        <v>0</v>
      </c>
      <c r="Q897">
        <v>0</v>
      </c>
      <c r="R897">
        <v>20861.82</v>
      </c>
      <c r="S897">
        <v>1505.26</v>
      </c>
    </row>
    <row r="898" spans="1:19" ht="15" customHeight="1" x14ac:dyDescent="0.25">
      <c r="A898" t="s">
        <v>2678</v>
      </c>
      <c r="B898" s="8">
        <v>45540</v>
      </c>
      <c r="C898" s="8">
        <v>45545</v>
      </c>
      <c r="D898" t="s">
        <v>48</v>
      </c>
      <c r="E898" t="s">
        <v>1174</v>
      </c>
      <c r="F898" t="s">
        <v>2679</v>
      </c>
      <c r="G898">
        <v>9077937523</v>
      </c>
      <c r="H898" t="s">
        <v>35</v>
      </c>
      <c r="I898" t="s">
        <v>61</v>
      </c>
      <c r="J898" t="s">
        <v>84</v>
      </c>
      <c r="K898" t="s">
        <v>63</v>
      </c>
      <c r="L898" t="s">
        <v>54</v>
      </c>
      <c r="M898" t="s">
        <v>55</v>
      </c>
      <c r="O898">
        <v>10456.59</v>
      </c>
      <c r="P898">
        <v>0</v>
      </c>
      <c r="Q898">
        <v>0</v>
      </c>
      <c r="R898">
        <v>146392.26</v>
      </c>
      <c r="S898">
        <v>54516.66</v>
      </c>
    </row>
    <row r="899" spans="1:19" ht="15" customHeight="1" x14ac:dyDescent="0.25">
      <c r="A899" t="s">
        <v>2680</v>
      </c>
      <c r="B899" s="8" t="s">
        <v>2681</v>
      </c>
      <c r="C899" s="8">
        <v>45365</v>
      </c>
      <c r="D899" t="s">
        <v>20</v>
      </c>
      <c r="E899" t="s">
        <v>2682</v>
      </c>
      <c r="F899" t="s">
        <v>2683</v>
      </c>
      <c r="G899">
        <v>9013136181</v>
      </c>
      <c r="H899" t="s">
        <v>35</v>
      </c>
      <c r="I899" t="s">
        <v>69</v>
      </c>
      <c r="J899" t="s">
        <v>307</v>
      </c>
      <c r="K899" t="s">
        <v>108</v>
      </c>
      <c r="L899" t="s">
        <v>189</v>
      </c>
      <c r="M899" t="s">
        <v>205</v>
      </c>
      <c r="N899">
        <v>6</v>
      </c>
      <c r="O899">
        <v>40216</v>
      </c>
      <c r="P899">
        <v>5</v>
      </c>
      <c r="Q899">
        <v>12064.8</v>
      </c>
      <c r="R899">
        <v>229231.2</v>
      </c>
      <c r="S899">
        <v>47998.1</v>
      </c>
    </row>
    <row r="900" spans="1:19" ht="15" customHeight="1" x14ac:dyDescent="0.25">
      <c r="A900" t="s">
        <v>2684</v>
      </c>
      <c r="B900" s="8">
        <v>44625</v>
      </c>
      <c r="C900" s="8">
        <v>44626</v>
      </c>
      <c r="D900" t="s">
        <v>32</v>
      </c>
      <c r="E900" t="s">
        <v>1843</v>
      </c>
      <c r="F900" t="s">
        <v>2685</v>
      </c>
      <c r="G900">
        <v>9013442155</v>
      </c>
      <c r="H900" t="s">
        <v>35</v>
      </c>
      <c r="I900" t="s">
        <v>51</v>
      </c>
      <c r="J900" t="s">
        <v>316</v>
      </c>
      <c r="K900" t="s">
        <v>96</v>
      </c>
      <c r="L900" t="s">
        <v>97</v>
      </c>
      <c r="M900" t="s">
        <v>1416</v>
      </c>
      <c r="N900">
        <v>15</v>
      </c>
      <c r="O900">
        <v>186071.29</v>
      </c>
      <c r="P900">
        <v>10</v>
      </c>
      <c r="Q900">
        <v>279106.93</v>
      </c>
      <c r="R900">
        <v>2511962.42</v>
      </c>
      <c r="S900">
        <v>80629.3</v>
      </c>
    </row>
    <row r="901" spans="1:19" ht="15" customHeight="1" x14ac:dyDescent="0.25">
      <c r="A901" t="s">
        <v>2686</v>
      </c>
      <c r="B901" s="8">
        <v>45352</v>
      </c>
      <c r="C901" s="8">
        <v>45352</v>
      </c>
      <c r="D901" t="s">
        <v>32</v>
      </c>
      <c r="E901" t="s">
        <v>1579</v>
      </c>
      <c r="F901" t="s">
        <v>2687</v>
      </c>
      <c r="G901">
        <v>9019215392</v>
      </c>
      <c r="H901" t="s">
        <v>43</v>
      </c>
      <c r="I901" t="s">
        <v>51</v>
      </c>
      <c r="J901" t="s">
        <v>223</v>
      </c>
      <c r="K901" t="s">
        <v>63</v>
      </c>
      <c r="L901" t="s">
        <v>312</v>
      </c>
      <c r="M901" t="s">
        <v>686</v>
      </c>
      <c r="N901">
        <v>3</v>
      </c>
      <c r="O901">
        <v>15600.98</v>
      </c>
      <c r="P901">
        <v>10</v>
      </c>
      <c r="Q901">
        <v>4680.29</v>
      </c>
      <c r="R901">
        <v>42122.65</v>
      </c>
      <c r="S901">
        <v>9581.76</v>
      </c>
    </row>
    <row r="902" spans="1:19" ht="15" customHeight="1" x14ac:dyDescent="0.25">
      <c r="A902" t="s">
        <v>2688</v>
      </c>
      <c r="B902" s="8">
        <v>45203</v>
      </c>
      <c r="C902" s="8">
        <v>45207</v>
      </c>
      <c r="D902" t="s">
        <v>73</v>
      </c>
      <c r="E902" t="s">
        <v>2689</v>
      </c>
      <c r="F902" t="s">
        <v>2690</v>
      </c>
      <c r="G902">
        <v>7036139660</v>
      </c>
      <c r="H902" t="s">
        <v>24</v>
      </c>
      <c r="I902" t="s">
        <v>51</v>
      </c>
      <c r="J902" t="s">
        <v>223</v>
      </c>
      <c r="K902" t="s">
        <v>85</v>
      </c>
      <c r="L902" t="s">
        <v>243</v>
      </c>
      <c r="M902" t="s">
        <v>244</v>
      </c>
      <c r="N902">
        <v>9</v>
      </c>
      <c r="O902">
        <v>124289.22</v>
      </c>
      <c r="P902">
        <v>10</v>
      </c>
      <c r="Q902">
        <v>111860.3</v>
      </c>
      <c r="R902">
        <v>1006742.68</v>
      </c>
      <c r="S902">
        <v>210063.21</v>
      </c>
    </row>
    <row r="903" spans="1:19" ht="15" customHeight="1" x14ac:dyDescent="0.25">
      <c r="A903" t="s">
        <v>2691</v>
      </c>
      <c r="B903" s="8">
        <v>44951</v>
      </c>
      <c r="C903" s="8">
        <v>44954</v>
      </c>
      <c r="D903" t="s">
        <v>20</v>
      </c>
      <c r="E903" t="s">
        <v>1934</v>
      </c>
      <c r="F903" t="s">
        <v>2692</v>
      </c>
      <c r="G903">
        <v>8138762657</v>
      </c>
      <c r="H903" t="s">
        <v>35</v>
      </c>
      <c r="I903" t="s">
        <v>61</v>
      </c>
      <c r="J903" t="s">
        <v>84</v>
      </c>
      <c r="K903" t="s">
        <v>27</v>
      </c>
      <c r="L903" t="s">
        <v>173</v>
      </c>
      <c r="M903" t="s">
        <v>380</v>
      </c>
      <c r="N903">
        <v>10</v>
      </c>
      <c r="O903">
        <v>1202.52</v>
      </c>
      <c r="P903">
        <v>5</v>
      </c>
      <c r="Q903">
        <v>601.26</v>
      </c>
      <c r="R903">
        <v>11423.94</v>
      </c>
      <c r="S903">
        <v>-303.42</v>
      </c>
    </row>
    <row r="904" spans="1:19" ht="15" customHeight="1" x14ac:dyDescent="0.25">
      <c r="A904" t="s">
        <v>2693</v>
      </c>
      <c r="B904" s="8">
        <v>45329</v>
      </c>
      <c r="C904" s="8">
        <v>45329</v>
      </c>
      <c r="D904" t="s">
        <v>32</v>
      </c>
      <c r="E904" t="s">
        <v>1902</v>
      </c>
      <c r="F904" t="s">
        <v>2694</v>
      </c>
      <c r="G904">
        <v>9058702071</v>
      </c>
      <c r="H904" t="s">
        <v>24</v>
      </c>
      <c r="I904" t="s">
        <v>51</v>
      </c>
      <c r="J904" t="s">
        <v>131</v>
      </c>
      <c r="K904" t="s">
        <v>2695</v>
      </c>
      <c r="L904" t="s">
        <v>45</v>
      </c>
      <c r="M904" t="s">
        <v>523</v>
      </c>
      <c r="N904">
        <v>3</v>
      </c>
      <c r="O904">
        <v>2261.39</v>
      </c>
      <c r="P904">
        <v>10</v>
      </c>
      <c r="Q904">
        <v>678.42</v>
      </c>
      <c r="R904">
        <v>6105.75</v>
      </c>
      <c r="S904">
        <v>-460.02</v>
      </c>
    </row>
    <row r="905" spans="1:19" ht="15" customHeight="1" x14ac:dyDescent="0.25">
      <c r="A905" t="s">
        <v>2696</v>
      </c>
      <c r="B905" s="8">
        <v>44698</v>
      </c>
      <c r="C905" s="8">
        <v>44704</v>
      </c>
      <c r="D905" t="s">
        <v>48</v>
      </c>
      <c r="E905" t="s">
        <v>2697</v>
      </c>
      <c r="F905" t="s">
        <v>2698</v>
      </c>
      <c r="G905">
        <v>8155648826</v>
      </c>
      <c r="H905" t="s">
        <v>43</v>
      </c>
      <c r="I905" t="s">
        <v>2526</v>
      </c>
      <c r="J905" t="s">
        <v>155</v>
      </c>
      <c r="K905" t="s">
        <v>27</v>
      </c>
      <c r="L905" t="s">
        <v>173</v>
      </c>
      <c r="M905" t="s">
        <v>662</v>
      </c>
      <c r="N905">
        <v>2</v>
      </c>
      <c r="O905">
        <v>1833.76</v>
      </c>
      <c r="P905">
        <v>15</v>
      </c>
      <c r="Q905">
        <v>550.13</v>
      </c>
      <c r="R905">
        <v>3117.39</v>
      </c>
      <c r="S905">
        <v>707.23</v>
      </c>
    </row>
    <row r="906" spans="1:19" ht="15" customHeight="1" x14ac:dyDescent="0.25">
      <c r="A906" t="s">
        <v>2699</v>
      </c>
      <c r="B906" s="8">
        <v>45457</v>
      </c>
      <c r="C906" s="8">
        <v>45458</v>
      </c>
      <c r="D906" t="s">
        <v>32</v>
      </c>
      <c r="E906" t="s">
        <v>2605</v>
      </c>
      <c r="F906" t="s">
        <v>2700</v>
      </c>
      <c r="G906">
        <v>8103062198</v>
      </c>
      <c r="H906" t="s">
        <v>35</v>
      </c>
      <c r="I906" t="s">
        <v>69</v>
      </c>
      <c r="J906" t="s">
        <v>155</v>
      </c>
      <c r="K906" t="s">
        <v>63</v>
      </c>
      <c r="L906" t="s">
        <v>194</v>
      </c>
      <c r="M906" t="s">
        <v>700</v>
      </c>
      <c r="N906">
        <v>3</v>
      </c>
      <c r="O906">
        <v>1505.35</v>
      </c>
      <c r="P906">
        <v>10</v>
      </c>
      <c r="Q906">
        <v>451.6</v>
      </c>
      <c r="R906">
        <v>4064.45</v>
      </c>
      <c r="S906">
        <v>-347.6</v>
      </c>
    </row>
    <row r="907" spans="1:19" ht="15" customHeight="1" x14ac:dyDescent="0.25">
      <c r="A907" t="s">
        <v>2701</v>
      </c>
      <c r="B907" s="8">
        <v>44981</v>
      </c>
      <c r="C907" s="8">
        <v>44981</v>
      </c>
      <c r="D907" t="s">
        <v>32</v>
      </c>
      <c r="E907" t="s">
        <v>2702</v>
      </c>
      <c r="F907" t="s">
        <v>2703</v>
      </c>
      <c r="G907">
        <v>8066664086</v>
      </c>
      <c r="H907" t="s">
        <v>35</v>
      </c>
      <c r="I907" t="s">
        <v>51</v>
      </c>
      <c r="J907" t="s">
        <v>131</v>
      </c>
      <c r="K907" t="s">
        <v>27</v>
      </c>
      <c r="L907" t="s">
        <v>45</v>
      </c>
      <c r="M907" t="s">
        <v>2704</v>
      </c>
      <c r="N907">
        <v>8</v>
      </c>
      <c r="O907">
        <v>3609.48</v>
      </c>
      <c r="P907">
        <v>5</v>
      </c>
      <c r="Q907">
        <v>1443.79</v>
      </c>
      <c r="R907">
        <v>27432.05</v>
      </c>
      <c r="S907">
        <v>6062.13</v>
      </c>
    </row>
    <row r="908" spans="1:19" ht="15" customHeight="1" x14ac:dyDescent="0.25">
      <c r="A908" t="s">
        <v>2705</v>
      </c>
      <c r="B908" s="8">
        <v>44872</v>
      </c>
      <c r="C908" s="8">
        <v>44875</v>
      </c>
      <c r="D908" t="s">
        <v>73</v>
      </c>
      <c r="E908" t="s">
        <v>2706</v>
      </c>
      <c r="F908" t="s">
        <v>2707</v>
      </c>
      <c r="G908">
        <v>9024688845</v>
      </c>
      <c r="H908" t="s">
        <v>43</v>
      </c>
      <c r="I908" t="s">
        <v>51</v>
      </c>
      <c r="J908" t="s">
        <v>227</v>
      </c>
      <c r="K908" t="s">
        <v>85</v>
      </c>
      <c r="L908" t="s">
        <v>486</v>
      </c>
      <c r="M908" t="s">
        <v>1193</v>
      </c>
      <c r="N908">
        <v>1</v>
      </c>
      <c r="O908">
        <v>101174.34</v>
      </c>
      <c r="P908">
        <v>0</v>
      </c>
      <c r="Q908">
        <v>0</v>
      </c>
      <c r="R908">
        <v>101174.34</v>
      </c>
      <c r="S908">
        <v>-9641.24</v>
      </c>
    </row>
    <row r="909" spans="1:19" ht="15" customHeight="1" x14ac:dyDescent="0.25">
      <c r="A909" t="s">
        <v>2708</v>
      </c>
      <c r="B909" s="8">
        <v>45066</v>
      </c>
      <c r="C909" s="8">
        <v>45074</v>
      </c>
      <c r="D909" t="s">
        <v>48</v>
      </c>
      <c r="E909" t="s">
        <v>159</v>
      </c>
      <c r="F909" t="s">
        <v>2709</v>
      </c>
      <c r="G909">
        <v>9053779020</v>
      </c>
      <c r="H909" t="s">
        <v>35</v>
      </c>
      <c r="I909" t="s">
        <v>51</v>
      </c>
      <c r="J909" t="s">
        <v>316</v>
      </c>
      <c r="K909" t="s">
        <v>85</v>
      </c>
      <c r="L909" t="s">
        <v>218</v>
      </c>
      <c r="M909" t="s">
        <v>1058</v>
      </c>
      <c r="N909">
        <v>8</v>
      </c>
      <c r="O909">
        <v>26470.55</v>
      </c>
      <c r="P909">
        <v>10</v>
      </c>
      <c r="Q909">
        <v>21176.44</v>
      </c>
      <c r="R909">
        <v>190587.96</v>
      </c>
    </row>
    <row r="910" spans="1:19" ht="15" customHeight="1" x14ac:dyDescent="0.25">
      <c r="A910" t="s">
        <v>2710</v>
      </c>
      <c r="B910" s="8">
        <v>44767</v>
      </c>
      <c r="C910" s="8">
        <v>44770</v>
      </c>
      <c r="D910" t="s">
        <v>73</v>
      </c>
      <c r="E910" t="s">
        <v>2517</v>
      </c>
      <c r="F910" t="s">
        <v>2711</v>
      </c>
      <c r="G910">
        <v>8143523050</v>
      </c>
      <c r="H910" t="s">
        <v>35</v>
      </c>
      <c r="I910" t="s">
        <v>69</v>
      </c>
      <c r="J910" t="s">
        <v>70</v>
      </c>
      <c r="K910" t="s">
        <v>108</v>
      </c>
      <c r="L910" t="s">
        <v>189</v>
      </c>
      <c r="M910" t="s">
        <v>478</v>
      </c>
      <c r="N910">
        <v>9</v>
      </c>
      <c r="O910">
        <v>2990.14</v>
      </c>
      <c r="P910">
        <v>5</v>
      </c>
      <c r="Q910">
        <v>1345.56</v>
      </c>
      <c r="R910">
        <v>25565.7</v>
      </c>
      <c r="S910">
        <v>9691.5400000000009</v>
      </c>
    </row>
    <row r="911" spans="1:19" ht="15" customHeight="1" x14ac:dyDescent="0.25">
      <c r="A911" t="s">
        <v>2712</v>
      </c>
      <c r="B911" s="8">
        <v>45221</v>
      </c>
      <c r="C911" s="8">
        <v>45223</v>
      </c>
      <c r="D911" t="s">
        <v>20</v>
      </c>
      <c r="E911" t="s">
        <v>2713</v>
      </c>
      <c r="F911" t="s">
        <v>2427</v>
      </c>
      <c r="G911">
        <v>8038418708</v>
      </c>
      <c r="H911" t="s">
        <v>24</v>
      </c>
      <c r="I911" t="s">
        <v>69</v>
      </c>
      <c r="J911" t="s">
        <v>70</v>
      </c>
      <c r="K911" t="s">
        <v>27</v>
      </c>
      <c r="L911" t="s">
        <v>354</v>
      </c>
      <c r="M911" t="s">
        <v>494</v>
      </c>
      <c r="N911">
        <v>3</v>
      </c>
      <c r="O911">
        <v>1412.77</v>
      </c>
      <c r="P911">
        <v>15</v>
      </c>
      <c r="Q911">
        <v>635.75</v>
      </c>
      <c r="R911">
        <v>3602.56</v>
      </c>
      <c r="S911">
        <v>-176.42</v>
      </c>
    </row>
    <row r="912" spans="1:19" ht="15" customHeight="1" x14ac:dyDescent="0.25">
      <c r="A912" t="s">
        <v>2714</v>
      </c>
      <c r="B912" s="8">
        <v>45285</v>
      </c>
      <c r="C912" s="8">
        <v>45288</v>
      </c>
      <c r="D912" t="s">
        <v>20</v>
      </c>
      <c r="E912" t="s">
        <v>476</v>
      </c>
      <c r="F912" t="s">
        <v>2715</v>
      </c>
      <c r="G912">
        <v>8137366014</v>
      </c>
      <c r="H912" t="s">
        <v>125</v>
      </c>
      <c r="I912" t="s">
        <v>69</v>
      </c>
      <c r="J912" t="s">
        <v>119</v>
      </c>
      <c r="K912" t="s">
        <v>27</v>
      </c>
      <c r="L912" t="s">
        <v>28</v>
      </c>
      <c r="M912" t="s">
        <v>29</v>
      </c>
      <c r="N912">
        <v>19</v>
      </c>
      <c r="O912">
        <v>5585.99</v>
      </c>
      <c r="P912">
        <v>5</v>
      </c>
      <c r="Q912">
        <v>5306.69</v>
      </c>
      <c r="R912">
        <v>100827.12</v>
      </c>
      <c r="S912">
        <v>23924.9</v>
      </c>
    </row>
    <row r="913" spans="1:19" ht="15" customHeight="1" x14ac:dyDescent="0.25">
      <c r="A913" t="s">
        <v>2716</v>
      </c>
      <c r="B913" s="8">
        <v>45358</v>
      </c>
      <c r="C913" s="8">
        <v>45365</v>
      </c>
      <c r="D913" t="s">
        <v>48</v>
      </c>
      <c r="E913" t="s">
        <v>2717</v>
      </c>
      <c r="F913" t="s">
        <v>2718</v>
      </c>
      <c r="G913">
        <v>8148319762</v>
      </c>
      <c r="H913" t="s">
        <v>24</v>
      </c>
      <c r="I913" t="s">
        <v>25</v>
      </c>
      <c r="J913" t="s">
        <v>168</v>
      </c>
      <c r="K913" t="s">
        <v>108</v>
      </c>
      <c r="L913" t="s">
        <v>183</v>
      </c>
      <c r="M913" t="s">
        <v>719</v>
      </c>
      <c r="N913">
        <v>12</v>
      </c>
      <c r="O913">
        <v>20806.580000000002</v>
      </c>
      <c r="P913" t="s">
        <v>30</v>
      </c>
      <c r="Q913">
        <v>12483.95</v>
      </c>
      <c r="R913">
        <v>237195.01</v>
      </c>
      <c r="S913">
        <v>2721.33</v>
      </c>
    </row>
    <row r="914" spans="1:19" ht="15" customHeight="1" x14ac:dyDescent="0.25">
      <c r="A914" t="s">
        <v>2719</v>
      </c>
      <c r="B914" s="8">
        <v>45010</v>
      </c>
      <c r="C914" s="8">
        <v>45015</v>
      </c>
      <c r="D914" t="s">
        <v>73</v>
      </c>
      <c r="E914" t="s">
        <v>2720</v>
      </c>
      <c r="F914" t="s">
        <v>2721</v>
      </c>
      <c r="G914">
        <v>8031608900</v>
      </c>
      <c r="H914" t="s">
        <v>35</v>
      </c>
      <c r="J914" t="s">
        <v>316</v>
      </c>
      <c r="K914" t="s">
        <v>108</v>
      </c>
      <c r="L914" t="s">
        <v>38</v>
      </c>
      <c r="M914" t="s">
        <v>519</v>
      </c>
      <c r="N914">
        <v>3</v>
      </c>
      <c r="O914">
        <v>34710.54</v>
      </c>
      <c r="P914">
        <v>0</v>
      </c>
      <c r="Q914">
        <v>0</v>
      </c>
      <c r="R914">
        <v>104131.62</v>
      </c>
      <c r="S914">
        <v>-9848.14</v>
      </c>
    </row>
    <row r="915" spans="1:19" ht="15" customHeight="1" x14ac:dyDescent="0.25">
      <c r="A915" t="s">
        <v>2722</v>
      </c>
      <c r="B915" s="8">
        <v>45489</v>
      </c>
      <c r="C915" s="8">
        <v>45491</v>
      </c>
      <c r="D915" t="s">
        <v>20</v>
      </c>
      <c r="E915" t="s">
        <v>2723</v>
      </c>
      <c r="F915" t="s">
        <v>2724</v>
      </c>
      <c r="G915">
        <v>8164120898</v>
      </c>
      <c r="H915" t="s">
        <v>35</v>
      </c>
      <c r="I915" t="s">
        <v>25</v>
      </c>
      <c r="J915" t="s">
        <v>44</v>
      </c>
      <c r="K915" t="s">
        <v>85</v>
      </c>
      <c r="L915" t="s">
        <v>486</v>
      </c>
      <c r="M915" t="s">
        <v>543</v>
      </c>
      <c r="N915">
        <v>3</v>
      </c>
      <c r="O915">
        <v>36660.15</v>
      </c>
      <c r="P915">
        <v>5</v>
      </c>
      <c r="Q915">
        <v>5499.02</v>
      </c>
      <c r="R915">
        <v>104481.43</v>
      </c>
      <c r="S915">
        <v>38980.57</v>
      </c>
    </row>
    <row r="916" spans="1:19" ht="15" customHeight="1" x14ac:dyDescent="0.25">
      <c r="A916" t="s">
        <v>100</v>
      </c>
      <c r="B916" s="8">
        <v>45059</v>
      </c>
      <c r="C916" s="8">
        <v>45060</v>
      </c>
      <c r="D916" t="s">
        <v>32</v>
      </c>
      <c r="E916" t="s">
        <v>101</v>
      </c>
      <c r="F916" t="s">
        <v>102</v>
      </c>
      <c r="G916">
        <v>8068231838</v>
      </c>
      <c r="H916" t="s">
        <v>1669</v>
      </c>
      <c r="I916" t="s">
        <v>61</v>
      </c>
      <c r="J916" t="s">
        <v>84</v>
      </c>
      <c r="K916" t="s">
        <v>63</v>
      </c>
      <c r="L916" t="s">
        <v>64</v>
      </c>
      <c r="M916" t="s">
        <v>104</v>
      </c>
      <c r="N916">
        <v>2</v>
      </c>
      <c r="O916">
        <v>11942.1</v>
      </c>
      <c r="P916">
        <v>0</v>
      </c>
      <c r="Q916">
        <v>0</v>
      </c>
      <c r="R916">
        <v>23884.2</v>
      </c>
      <c r="S916">
        <v>-2714.02</v>
      </c>
    </row>
    <row r="917" spans="1:19" ht="15" customHeight="1" x14ac:dyDescent="0.25">
      <c r="A917" t="s">
        <v>2725</v>
      </c>
      <c r="B917" s="8">
        <v>45152</v>
      </c>
      <c r="C917" s="8">
        <v>45157</v>
      </c>
      <c r="D917" t="s">
        <v>73</v>
      </c>
      <c r="E917" t="s">
        <v>2726</v>
      </c>
      <c r="G917">
        <v>8131288262</v>
      </c>
      <c r="H917" t="s">
        <v>24</v>
      </c>
      <c r="I917" t="s">
        <v>25</v>
      </c>
      <c r="J917" t="s">
        <v>36</v>
      </c>
      <c r="K917" t="s">
        <v>85</v>
      </c>
      <c r="L917" t="s">
        <v>266</v>
      </c>
      <c r="M917" t="s">
        <v>267</v>
      </c>
      <c r="N917">
        <v>4</v>
      </c>
      <c r="O917">
        <v>19589.72</v>
      </c>
      <c r="P917">
        <v>10</v>
      </c>
      <c r="Q917">
        <v>7835.89</v>
      </c>
      <c r="R917">
        <v>70522.990000000005</v>
      </c>
      <c r="S917">
        <v>24004.18</v>
      </c>
    </row>
    <row r="918" spans="1:19" ht="15" customHeight="1" x14ac:dyDescent="0.25">
      <c r="A918" t="s">
        <v>2727</v>
      </c>
      <c r="B918" s="8">
        <v>45317</v>
      </c>
      <c r="C918" s="8">
        <v>45317</v>
      </c>
      <c r="D918" t="s">
        <v>32</v>
      </c>
      <c r="E918" t="s">
        <v>2620</v>
      </c>
      <c r="F918" t="s">
        <v>2728</v>
      </c>
      <c r="G918">
        <v>8131146741</v>
      </c>
      <c r="H918" t="s">
        <v>35</v>
      </c>
      <c r="I918" t="s">
        <v>61</v>
      </c>
      <c r="J918" t="s">
        <v>84</v>
      </c>
      <c r="K918" t="s">
        <v>63</v>
      </c>
      <c r="L918" t="s">
        <v>194</v>
      </c>
      <c r="M918" t="s">
        <v>336</v>
      </c>
      <c r="N918">
        <v>17</v>
      </c>
      <c r="O918">
        <v>19275.57</v>
      </c>
      <c r="P918">
        <v>0</v>
      </c>
      <c r="Q918">
        <v>0</v>
      </c>
      <c r="R918">
        <v>327684.69</v>
      </c>
      <c r="S918">
        <v>49332.23</v>
      </c>
    </row>
    <row r="919" spans="1:19" ht="15" customHeight="1" x14ac:dyDescent="0.25">
      <c r="A919" t="s">
        <v>2729</v>
      </c>
      <c r="B919" s="8">
        <v>44661</v>
      </c>
      <c r="C919" s="8">
        <v>44665</v>
      </c>
      <c r="D919" t="s">
        <v>73</v>
      </c>
      <c r="E919" t="s">
        <v>2730</v>
      </c>
      <c r="F919" t="s">
        <v>2731</v>
      </c>
      <c r="G919">
        <v>8137160440</v>
      </c>
      <c r="H919" t="s">
        <v>35</v>
      </c>
      <c r="I919" t="s">
        <v>414</v>
      </c>
      <c r="J919" t="s">
        <v>168</v>
      </c>
      <c r="K919" t="s">
        <v>27</v>
      </c>
      <c r="L919" t="s">
        <v>45</v>
      </c>
      <c r="M919" t="s">
        <v>875</v>
      </c>
      <c r="N919">
        <v>6</v>
      </c>
      <c r="O919">
        <v>2192.5700000000002</v>
      </c>
      <c r="P919">
        <v>0</v>
      </c>
      <c r="Q919">
        <v>0</v>
      </c>
      <c r="R919">
        <v>13155.42</v>
      </c>
      <c r="S919">
        <v>3657.97</v>
      </c>
    </row>
    <row r="920" spans="1:19" ht="15" customHeight="1" x14ac:dyDescent="0.25">
      <c r="A920" t="s">
        <v>2732</v>
      </c>
      <c r="B920" s="8">
        <v>45334</v>
      </c>
      <c r="C920" s="8">
        <v>45340</v>
      </c>
      <c r="D920" t="s">
        <v>48</v>
      </c>
      <c r="E920" t="s">
        <v>2733</v>
      </c>
      <c r="F920" t="s">
        <v>2734</v>
      </c>
      <c r="G920">
        <v>8159220106</v>
      </c>
      <c r="H920" t="s">
        <v>35</v>
      </c>
      <c r="I920" t="s">
        <v>61</v>
      </c>
      <c r="J920" t="s">
        <v>84</v>
      </c>
      <c r="K920" t="s">
        <v>108</v>
      </c>
      <c r="L920" t="s">
        <v>189</v>
      </c>
      <c r="M920" t="s">
        <v>205</v>
      </c>
      <c r="N920">
        <v>17</v>
      </c>
      <c r="O920">
        <v>33228.1</v>
      </c>
      <c r="P920">
        <v>20</v>
      </c>
      <c r="Q920">
        <v>112975.54</v>
      </c>
      <c r="R920">
        <v>451902.16</v>
      </c>
      <c r="S920">
        <v>193081.05</v>
      </c>
    </row>
    <row r="921" spans="1:19" ht="15" customHeight="1" x14ac:dyDescent="0.25">
      <c r="A921" t="s">
        <v>235</v>
      </c>
      <c r="B921" s="8">
        <v>45076</v>
      </c>
      <c r="C921" s="8">
        <v>45077</v>
      </c>
      <c r="D921" t="s">
        <v>32</v>
      </c>
      <c r="E921" t="s">
        <v>236</v>
      </c>
      <c r="F921" t="s">
        <v>237</v>
      </c>
      <c r="G921">
        <v>8101610970</v>
      </c>
      <c r="H921" t="s">
        <v>24</v>
      </c>
      <c r="I921" t="s">
        <v>51</v>
      </c>
      <c r="J921" t="s">
        <v>227</v>
      </c>
      <c r="K921" t="s">
        <v>85</v>
      </c>
      <c r="L921" t="s">
        <v>86</v>
      </c>
      <c r="M921" t="s">
        <v>238</v>
      </c>
      <c r="N921">
        <v>10</v>
      </c>
      <c r="O921">
        <v>179090.91</v>
      </c>
      <c r="P921">
        <v>0</v>
      </c>
      <c r="Q921">
        <v>0</v>
      </c>
      <c r="R921">
        <v>1790909.1</v>
      </c>
      <c r="S921">
        <v>380814.35</v>
      </c>
    </row>
    <row r="922" spans="1:19" ht="15" customHeight="1" x14ac:dyDescent="0.25">
      <c r="A922" t="s">
        <v>2735</v>
      </c>
      <c r="B922" s="8">
        <v>45327</v>
      </c>
      <c r="C922" s="8">
        <v>45329</v>
      </c>
      <c r="D922" t="s">
        <v>20</v>
      </c>
      <c r="E922" t="s">
        <v>2736</v>
      </c>
      <c r="F922" t="s">
        <v>2737</v>
      </c>
      <c r="G922">
        <v>9021269132</v>
      </c>
      <c r="H922" t="s">
        <v>43</v>
      </c>
      <c r="I922" t="s">
        <v>69</v>
      </c>
      <c r="J922" t="s">
        <v>70</v>
      </c>
      <c r="K922" t="s">
        <v>85</v>
      </c>
      <c r="L922" t="s">
        <v>486</v>
      </c>
      <c r="M922" t="s">
        <v>1193</v>
      </c>
      <c r="N922">
        <v>19</v>
      </c>
      <c r="O922">
        <v>85389.75</v>
      </c>
      <c r="P922">
        <v>0</v>
      </c>
      <c r="Q922">
        <v>0</v>
      </c>
      <c r="R922">
        <v>1622405.25</v>
      </c>
      <c r="S922">
        <v>388473.24</v>
      </c>
    </row>
    <row r="923" spans="1:19" ht="15" customHeight="1" x14ac:dyDescent="0.25">
      <c r="A923" t="s">
        <v>2738</v>
      </c>
      <c r="B923" s="8">
        <v>44595</v>
      </c>
      <c r="C923" s="8">
        <v>44598</v>
      </c>
      <c r="D923" t="s">
        <v>73</v>
      </c>
      <c r="E923" t="s">
        <v>2274</v>
      </c>
      <c r="F923" t="s">
        <v>2739</v>
      </c>
      <c r="G923">
        <v>7068824038</v>
      </c>
      <c r="H923" t="s">
        <v>35</v>
      </c>
      <c r="I923" t="s">
        <v>51</v>
      </c>
      <c r="J923" t="s">
        <v>316</v>
      </c>
      <c r="K923" t="s">
        <v>108</v>
      </c>
      <c r="L923" t="s">
        <v>38</v>
      </c>
      <c r="M923" t="s">
        <v>303</v>
      </c>
      <c r="N923">
        <v>14</v>
      </c>
      <c r="O923">
        <v>21921.87</v>
      </c>
      <c r="P923">
        <v>0</v>
      </c>
      <c r="Q923">
        <v>0</v>
      </c>
      <c r="R923" t="s">
        <v>2740</v>
      </c>
      <c r="S923">
        <v>-853.32</v>
      </c>
    </row>
    <row r="924" spans="1:19" ht="15" customHeight="1" x14ac:dyDescent="0.25">
      <c r="A924" t="s">
        <v>2741</v>
      </c>
      <c r="B924" s="8">
        <v>44670</v>
      </c>
      <c r="C924" s="8">
        <v>44673</v>
      </c>
      <c r="D924" t="s">
        <v>20</v>
      </c>
      <c r="E924" t="s">
        <v>2742</v>
      </c>
      <c r="F924" t="s">
        <v>2743</v>
      </c>
      <c r="G924">
        <v>8065931680</v>
      </c>
      <c r="H924" t="s">
        <v>43</v>
      </c>
      <c r="I924" t="s">
        <v>61</v>
      </c>
      <c r="J924" t="s">
        <v>95</v>
      </c>
      <c r="K924" t="s">
        <v>63</v>
      </c>
      <c r="L924" t="s">
        <v>194</v>
      </c>
      <c r="M924" t="s">
        <v>195</v>
      </c>
      <c r="N924">
        <v>2</v>
      </c>
      <c r="O924">
        <v>14014.36</v>
      </c>
      <c r="P924">
        <v>20</v>
      </c>
      <c r="Q924">
        <v>5605.74</v>
      </c>
      <c r="R924">
        <v>22422.98</v>
      </c>
      <c r="S924">
        <v>-2451.88</v>
      </c>
    </row>
    <row r="925" spans="1:19" ht="15" customHeight="1" x14ac:dyDescent="0.25">
      <c r="A925" t="s">
        <v>2744</v>
      </c>
      <c r="B925" s="8">
        <v>44584</v>
      </c>
      <c r="C925" s="8">
        <v>44587</v>
      </c>
      <c r="D925" t="s">
        <v>73</v>
      </c>
      <c r="E925" t="s">
        <v>2745</v>
      </c>
      <c r="G925">
        <v>8031414120</v>
      </c>
      <c r="H925" t="s">
        <v>43</v>
      </c>
      <c r="I925" t="s">
        <v>51</v>
      </c>
      <c r="J925" t="s">
        <v>131</v>
      </c>
      <c r="K925" t="s">
        <v>27</v>
      </c>
      <c r="L925" t="s">
        <v>354</v>
      </c>
      <c r="M925" t="s">
        <v>789</v>
      </c>
      <c r="N925">
        <v>15</v>
      </c>
      <c r="O925">
        <v>3158.75</v>
      </c>
      <c r="P925">
        <v>15</v>
      </c>
      <c r="Q925">
        <v>7107.19</v>
      </c>
      <c r="R925">
        <v>40274.06</v>
      </c>
      <c r="S925">
        <v>2030.8</v>
      </c>
    </row>
    <row r="926" spans="1:19" ht="15" customHeight="1" x14ac:dyDescent="0.25">
      <c r="A926" t="s">
        <v>2746</v>
      </c>
      <c r="B926" s="8">
        <v>45145</v>
      </c>
      <c r="C926" s="8">
        <v>45148</v>
      </c>
      <c r="D926" t="s">
        <v>20</v>
      </c>
      <c r="E926" t="s">
        <v>352</v>
      </c>
      <c r="F926" t="s">
        <v>2747</v>
      </c>
      <c r="G926">
        <v>8149179175</v>
      </c>
      <c r="H926" t="s">
        <v>24</v>
      </c>
      <c r="I926" t="s">
        <v>69</v>
      </c>
      <c r="J926" t="s">
        <v>144</v>
      </c>
      <c r="K926" t="s">
        <v>108</v>
      </c>
      <c r="L926" t="s">
        <v>189</v>
      </c>
      <c r="M926" t="s">
        <v>287</v>
      </c>
      <c r="N926">
        <v>18</v>
      </c>
      <c r="O926">
        <v>30651.759999999998</v>
      </c>
      <c r="P926">
        <v>25</v>
      </c>
      <c r="Q926">
        <v>137932.92000000001</v>
      </c>
      <c r="R926">
        <v>413798.76</v>
      </c>
      <c r="S926">
        <v>-45363.31</v>
      </c>
    </row>
    <row r="927" spans="1:19" ht="15" customHeight="1" x14ac:dyDescent="0.25">
      <c r="A927" t="s">
        <v>2748</v>
      </c>
      <c r="B927" s="8">
        <v>45109</v>
      </c>
      <c r="C927" s="8">
        <v>45109</v>
      </c>
      <c r="D927" t="s">
        <v>32</v>
      </c>
      <c r="E927" t="s">
        <v>2040</v>
      </c>
      <c r="F927" t="s">
        <v>2749</v>
      </c>
      <c r="G927">
        <v>8067440597</v>
      </c>
      <c r="H927" t="s">
        <v>43</v>
      </c>
      <c r="J927" t="s">
        <v>204</v>
      </c>
      <c r="K927" t="s">
        <v>63</v>
      </c>
      <c r="L927" t="s">
        <v>64</v>
      </c>
      <c r="M927" t="s">
        <v>501</v>
      </c>
      <c r="N927">
        <v>10</v>
      </c>
      <c r="O927">
        <v>1526.35</v>
      </c>
      <c r="P927">
        <v>0</v>
      </c>
      <c r="Q927">
        <v>0</v>
      </c>
      <c r="R927">
        <v>15263.5</v>
      </c>
      <c r="S927">
        <v>6443.27</v>
      </c>
    </row>
    <row r="928" spans="1:19" ht="15" customHeight="1" x14ac:dyDescent="0.25">
      <c r="A928" t="s">
        <v>2750</v>
      </c>
      <c r="B928" s="8" t="s">
        <v>2751</v>
      </c>
      <c r="C928" s="8">
        <v>45420</v>
      </c>
      <c r="D928" t="s">
        <v>73</v>
      </c>
      <c r="E928" t="s">
        <v>2137</v>
      </c>
      <c r="F928" t="s">
        <v>2752</v>
      </c>
      <c r="G928">
        <v>8131009512</v>
      </c>
      <c r="H928" t="s">
        <v>24</v>
      </c>
      <c r="I928" t="s">
        <v>61</v>
      </c>
      <c r="J928" t="s">
        <v>204</v>
      </c>
      <c r="K928" t="s">
        <v>96</v>
      </c>
      <c r="L928" t="s">
        <v>385</v>
      </c>
      <c r="M928" t="s">
        <v>743</v>
      </c>
      <c r="N928">
        <v>16</v>
      </c>
      <c r="O928">
        <v>130495.84</v>
      </c>
      <c r="P928">
        <v>0</v>
      </c>
      <c r="Q928">
        <v>0</v>
      </c>
      <c r="R928">
        <v>2087933.44</v>
      </c>
      <c r="S928">
        <v>-38717.24</v>
      </c>
    </row>
    <row r="929" spans="1:19" ht="15" customHeight="1" x14ac:dyDescent="0.25">
      <c r="A929" t="s">
        <v>2753</v>
      </c>
      <c r="B929" s="8">
        <v>45503</v>
      </c>
      <c r="C929" s="8">
        <v>45510</v>
      </c>
      <c r="D929" t="s">
        <v>48</v>
      </c>
      <c r="E929" t="s">
        <v>2538</v>
      </c>
      <c r="F929" t="s">
        <v>2754</v>
      </c>
      <c r="G929">
        <v>8038867277</v>
      </c>
      <c r="H929" t="s">
        <v>35</v>
      </c>
      <c r="I929" t="s">
        <v>61</v>
      </c>
      <c r="J929" t="s">
        <v>204</v>
      </c>
      <c r="K929" t="s">
        <v>63</v>
      </c>
      <c r="L929" t="s">
        <v>312</v>
      </c>
      <c r="M929" t="s">
        <v>686</v>
      </c>
      <c r="N929">
        <v>11</v>
      </c>
      <c r="O929">
        <v>13924.17</v>
      </c>
      <c r="P929">
        <v>10</v>
      </c>
      <c r="Q929">
        <v>15316.59</v>
      </c>
      <c r="R929">
        <v>137849.28</v>
      </c>
      <c r="S929">
        <v>22886.49</v>
      </c>
    </row>
    <row r="930" spans="1:19" ht="15" customHeight="1" x14ac:dyDescent="0.25">
      <c r="A930" t="s">
        <v>2755</v>
      </c>
      <c r="B930" s="8">
        <v>44607</v>
      </c>
      <c r="C930" s="8">
        <v>44611</v>
      </c>
      <c r="D930" t="s">
        <v>73</v>
      </c>
      <c r="E930" t="s">
        <v>1638</v>
      </c>
      <c r="F930" t="s">
        <v>1639</v>
      </c>
      <c r="G930">
        <v>8156042710</v>
      </c>
      <c r="H930" t="s">
        <v>35</v>
      </c>
      <c r="I930" t="s">
        <v>51</v>
      </c>
      <c r="J930" t="s">
        <v>227</v>
      </c>
      <c r="K930" t="s">
        <v>108</v>
      </c>
      <c r="L930" t="s">
        <v>183</v>
      </c>
      <c r="M930" t="s">
        <v>719</v>
      </c>
      <c r="N930">
        <v>10</v>
      </c>
      <c r="O930">
        <v>42940.32</v>
      </c>
      <c r="P930">
        <v>10</v>
      </c>
      <c r="Q930">
        <v>42940.32</v>
      </c>
      <c r="R930">
        <v>386462.88</v>
      </c>
      <c r="S930">
        <v>-33275.199999999997</v>
      </c>
    </row>
    <row r="931" spans="1:19" ht="15" customHeight="1" x14ac:dyDescent="0.25">
      <c r="A931" t="s">
        <v>2756</v>
      </c>
      <c r="B931" s="8">
        <v>45071</v>
      </c>
      <c r="C931" s="8">
        <v>45075</v>
      </c>
      <c r="D931" t="s">
        <v>73</v>
      </c>
      <c r="E931" t="s">
        <v>506</v>
      </c>
      <c r="F931" t="s">
        <v>2757</v>
      </c>
      <c r="G931">
        <v>7067708381</v>
      </c>
      <c r="H931" t="s">
        <v>35</v>
      </c>
      <c r="I931" t="s">
        <v>1118</v>
      </c>
      <c r="J931" t="s">
        <v>84</v>
      </c>
      <c r="K931" t="s">
        <v>108</v>
      </c>
      <c r="L931" t="s">
        <v>189</v>
      </c>
      <c r="M931" t="s">
        <v>325</v>
      </c>
      <c r="N931">
        <v>8</v>
      </c>
      <c r="O931">
        <v>14860.63</v>
      </c>
      <c r="P931">
        <v>0</v>
      </c>
      <c r="Q931">
        <v>0</v>
      </c>
      <c r="R931">
        <v>118885.04</v>
      </c>
      <c r="S931">
        <v>26610.62</v>
      </c>
    </row>
    <row r="932" spans="1:19" ht="15" customHeight="1" x14ac:dyDescent="0.25">
      <c r="A932" t="s">
        <v>2758</v>
      </c>
      <c r="B932" s="8">
        <v>45393</v>
      </c>
      <c r="C932" s="8">
        <v>45394</v>
      </c>
      <c r="D932" t="s">
        <v>32</v>
      </c>
      <c r="E932" t="s">
        <v>2759</v>
      </c>
      <c r="F932" t="s">
        <v>2760</v>
      </c>
      <c r="G932">
        <v>8036599997</v>
      </c>
      <c r="H932" t="s">
        <v>35</v>
      </c>
      <c r="I932" t="s">
        <v>25</v>
      </c>
      <c r="J932" t="s">
        <v>44</v>
      </c>
      <c r="K932" t="s">
        <v>63</v>
      </c>
      <c r="L932" t="s">
        <v>249</v>
      </c>
      <c r="M932" t="s">
        <v>1141</v>
      </c>
      <c r="N932">
        <v>16</v>
      </c>
      <c r="O932">
        <v>6274.22</v>
      </c>
      <c r="P932">
        <v>15</v>
      </c>
      <c r="Q932">
        <v>15058.13</v>
      </c>
      <c r="R932">
        <v>85329.39</v>
      </c>
      <c r="S932">
        <v>17326.47</v>
      </c>
    </row>
    <row r="933" spans="1:19" ht="15" customHeight="1" x14ac:dyDescent="0.25">
      <c r="A933" t="s">
        <v>2761</v>
      </c>
      <c r="B933" s="8">
        <v>45060</v>
      </c>
      <c r="C933" s="8">
        <v>45062</v>
      </c>
      <c r="D933" t="s">
        <v>20</v>
      </c>
      <c r="E933" t="s">
        <v>561</v>
      </c>
      <c r="F933" t="s">
        <v>2762</v>
      </c>
      <c r="G933">
        <v>9057322454</v>
      </c>
      <c r="H933" t="s">
        <v>35</v>
      </c>
      <c r="I933" t="s">
        <v>69</v>
      </c>
      <c r="J933" t="s">
        <v>70</v>
      </c>
      <c r="K933" t="s">
        <v>96</v>
      </c>
      <c r="L933" t="s">
        <v>120</v>
      </c>
      <c r="M933" t="s">
        <v>1307</v>
      </c>
      <c r="N933">
        <v>1</v>
      </c>
      <c r="O933">
        <v>50804.959999999999</v>
      </c>
      <c r="P933">
        <v>0</v>
      </c>
      <c r="Q933">
        <v>0</v>
      </c>
      <c r="R933">
        <v>50804.959999999999</v>
      </c>
      <c r="S933">
        <v>8851.36</v>
      </c>
    </row>
    <row r="934" spans="1:19" ht="15" customHeight="1" x14ac:dyDescent="0.25">
      <c r="A934" t="s">
        <v>2763</v>
      </c>
      <c r="B934" s="8">
        <v>44667</v>
      </c>
      <c r="C934" s="8">
        <v>44670</v>
      </c>
      <c r="D934" t="s">
        <v>73</v>
      </c>
      <c r="E934" t="s">
        <v>2764</v>
      </c>
      <c r="F934" t="s">
        <v>2765</v>
      </c>
      <c r="G934">
        <v>8105889267</v>
      </c>
      <c r="H934" t="s">
        <v>24</v>
      </c>
      <c r="I934" t="s">
        <v>69</v>
      </c>
      <c r="J934" t="s">
        <v>307</v>
      </c>
      <c r="K934" t="s">
        <v>63</v>
      </c>
      <c r="L934" t="s">
        <v>469</v>
      </c>
      <c r="M934" t="s">
        <v>1082</v>
      </c>
      <c r="N934">
        <v>3</v>
      </c>
      <c r="O934">
        <v>16818.43</v>
      </c>
      <c r="P934">
        <v>0</v>
      </c>
      <c r="Q934">
        <v>0</v>
      </c>
      <c r="S934">
        <v>-2566.5100000000002</v>
      </c>
    </row>
    <row r="935" spans="1:19" ht="15" customHeight="1" x14ac:dyDescent="0.25">
      <c r="A935" t="s">
        <v>2766</v>
      </c>
      <c r="B935" s="8">
        <v>44730</v>
      </c>
      <c r="C935" s="8">
        <v>44735</v>
      </c>
      <c r="D935" t="s">
        <v>48</v>
      </c>
      <c r="E935" t="s">
        <v>1060</v>
      </c>
      <c r="F935" t="s">
        <v>2767</v>
      </c>
      <c r="G935">
        <v>9023851025</v>
      </c>
      <c r="H935" t="s">
        <v>35</v>
      </c>
      <c r="I935" t="s">
        <v>51</v>
      </c>
      <c r="J935" t="s">
        <v>223</v>
      </c>
      <c r="K935" t="s">
        <v>108</v>
      </c>
      <c r="L935" t="s">
        <v>183</v>
      </c>
      <c r="M935" t="s">
        <v>719</v>
      </c>
      <c r="N935">
        <v>10</v>
      </c>
      <c r="O935">
        <v>13495.2</v>
      </c>
      <c r="P935">
        <v>25</v>
      </c>
      <c r="Q935">
        <v>33738</v>
      </c>
      <c r="R935">
        <v>101214</v>
      </c>
      <c r="S935">
        <v>-10828.89</v>
      </c>
    </row>
    <row r="936" spans="1:19" ht="15" customHeight="1" x14ac:dyDescent="0.25">
      <c r="A936" t="s">
        <v>2768</v>
      </c>
      <c r="B936" s="8">
        <v>45094</v>
      </c>
      <c r="C936" s="8">
        <v>45094</v>
      </c>
      <c r="D936" t="s">
        <v>32</v>
      </c>
      <c r="E936" t="s">
        <v>2769</v>
      </c>
      <c r="F936" t="s">
        <v>2770</v>
      </c>
      <c r="G936">
        <v>9054754605</v>
      </c>
      <c r="H936" t="s">
        <v>959</v>
      </c>
      <c r="I936" t="s">
        <v>51</v>
      </c>
      <c r="J936" t="s">
        <v>131</v>
      </c>
      <c r="K936" t="s">
        <v>63</v>
      </c>
      <c r="L936" t="s">
        <v>249</v>
      </c>
      <c r="M936" t="s">
        <v>329</v>
      </c>
      <c r="N936">
        <v>6</v>
      </c>
      <c r="O936">
        <v>21377.83</v>
      </c>
      <c r="P936">
        <v>20</v>
      </c>
      <c r="Q936">
        <v>25653.4</v>
      </c>
      <c r="R936">
        <v>102613.58</v>
      </c>
      <c r="S936">
        <v>34494.83</v>
      </c>
    </row>
    <row r="937" spans="1:19" ht="15" customHeight="1" x14ac:dyDescent="0.25">
      <c r="A937" t="s">
        <v>2771</v>
      </c>
      <c r="B937" s="8">
        <v>45383</v>
      </c>
      <c r="C937" s="8">
        <v>45386</v>
      </c>
      <c r="D937" t="s">
        <v>20</v>
      </c>
      <c r="E937" t="s">
        <v>2346</v>
      </c>
      <c r="F937" t="s">
        <v>2772</v>
      </c>
      <c r="G937">
        <v>9076479600</v>
      </c>
      <c r="H937" t="s">
        <v>43</v>
      </c>
      <c r="I937" t="s">
        <v>51</v>
      </c>
      <c r="J937" t="s">
        <v>227</v>
      </c>
      <c r="K937" t="s">
        <v>2773</v>
      </c>
      <c r="L937" t="s">
        <v>218</v>
      </c>
      <c r="M937" t="s">
        <v>219</v>
      </c>
      <c r="N937">
        <v>5</v>
      </c>
      <c r="O937">
        <v>33580</v>
      </c>
      <c r="P937">
        <v>0</v>
      </c>
      <c r="Q937">
        <v>0</v>
      </c>
      <c r="R937">
        <v>167900</v>
      </c>
      <c r="S937">
        <v>-17180.89</v>
      </c>
    </row>
    <row r="938" spans="1:19" ht="15" customHeight="1" x14ac:dyDescent="0.25">
      <c r="A938" t="s">
        <v>2774</v>
      </c>
      <c r="B938" s="8">
        <v>44820</v>
      </c>
      <c r="C938" s="8">
        <v>44820</v>
      </c>
      <c r="D938" t="s">
        <v>32</v>
      </c>
      <c r="E938" t="s">
        <v>2775</v>
      </c>
      <c r="F938" t="s">
        <v>2776</v>
      </c>
      <c r="G938">
        <v>9016367876</v>
      </c>
      <c r="H938" t="s">
        <v>35</v>
      </c>
      <c r="I938" t="s">
        <v>25</v>
      </c>
      <c r="J938" t="s">
        <v>126</v>
      </c>
      <c r="K938" t="s">
        <v>27</v>
      </c>
      <c r="L938" t="s">
        <v>354</v>
      </c>
      <c r="M938" t="s">
        <v>433</v>
      </c>
      <c r="N938">
        <v>4</v>
      </c>
      <c r="O938">
        <v>3652.08</v>
      </c>
      <c r="P938">
        <v>25</v>
      </c>
      <c r="Q938">
        <v>3652.08</v>
      </c>
      <c r="R938">
        <v>10956.24</v>
      </c>
      <c r="S938">
        <v>3151.32</v>
      </c>
    </row>
    <row r="939" spans="1:19" ht="15" customHeight="1" x14ac:dyDescent="0.25">
      <c r="A939" t="s">
        <v>2777</v>
      </c>
      <c r="B939" s="8">
        <v>45307</v>
      </c>
      <c r="C939" s="8">
        <v>45313</v>
      </c>
      <c r="D939" t="s">
        <v>48</v>
      </c>
      <c r="E939" t="s">
        <v>931</v>
      </c>
      <c r="F939" t="s">
        <v>2778</v>
      </c>
      <c r="G939">
        <v>8061820610</v>
      </c>
      <c r="H939" t="s">
        <v>785</v>
      </c>
      <c r="I939" t="s">
        <v>51</v>
      </c>
      <c r="J939" t="s">
        <v>131</v>
      </c>
      <c r="K939" t="s">
        <v>96</v>
      </c>
      <c r="L939" t="s">
        <v>97</v>
      </c>
      <c r="M939" t="s">
        <v>230</v>
      </c>
      <c r="N939">
        <v>16</v>
      </c>
      <c r="O939">
        <v>96154.68</v>
      </c>
      <c r="P939">
        <v>20</v>
      </c>
      <c r="Q939">
        <v>307694.98</v>
      </c>
      <c r="R939">
        <v>1230779.8999999999</v>
      </c>
      <c r="S939">
        <v>301538.21000000002</v>
      </c>
    </row>
    <row r="940" spans="1:19" ht="15" customHeight="1" x14ac:dyDescent="0.25">
      <c r="A940" t="s">
        <v>2779</v>
      </c>
      <c r="B940" s="8">
        <v>45231</v>
      </c>
      <c r="C940" s="8">
        <v>45236</v>
      </c>
      <c r="D940" t="s">
        <v>73</v>
      </c>
      <c r="E940" t="s">
        <v>2780</v>
      </c>
      <c r="F940" t="s">
        <v>2781</v>
      </c>
      <c r="G940">
        <v>9024086368</v>
      </c>
      <c r="H940" t="s">
        <v>43</v>
      </c>
      <c r="I940" t="s">
        <v>69</v>
      </c>
      <c r="J940" t="s">
        <v>144</v>
      </c>
      <c r="K940" t="s">
        <v>96</v>
      </c>
      <c r="L940" t="s">
        <v>385</v>
      </c>
      <c r="M940" t="s">
        <v>386</v>
      </c>
      <c r="N940">
        <v>16</v>
      </c>
      <c r="O940">
        <v>195873.45</v>
      </c>
      <c r="P940">
        <v>10</v>
      </c>
      <c r="Q940">
        <v>313397.52</v>
      </c>
      <c r="R940">
        <v>2820577.68</v>
      </c>
      <c r="S940">
        <v>-172335.42</v>
      </c>
    </row>
    <row r="941" spans="1:19" ht="15" customHeight="1" x14ac:dyDescent="0.25">
      <c r="A941" t="s">
        <v>2782</v>
      </c>
      <c r="B941" s="8">
        <v>45131</v>
      </c>
      <c r="C941" s="8">
        <v>45131</v>
      </c>
      <c r="D941" t="s">
        <v>32</v>
      </c>
      <c r="E941" t="s">
        <v>152</v>
      </c>
      <c r="F941" t="s">
        <v>153</v>
      </c>
      <c r="G941">
        <v>9021154772</v>
      </c>
      <c r="H941" t="s">
        <v>24</v>
      </c>
      <c r="I941" t="s">
        <v>61</v>
      </c>
      <c r="J941" t="s">
        <v>62</v>
      </c>
      <c r="K941" t="s">
        <v>63</v>
      </c>
      <c r="L941" t="s">
        <v>469</v>
      </c>
      <c r="M941" t="s">
        <v>1082</v>
      </c>
      <c r="N941">
        <v>12</v>
      </c>
      <c r="O941">
        <v>20105.11</v>
      </c>
      <c r="P941">
        <v>10</v>
      </c>
      <c r="Q941">
        <v>24126.13</v>
      </c>
      <c r="R941">
        <v>217135.19</v>
      </c>
      <c r="S941">
        <v>-32213.66</v>
      </c>
    </row>
    <row r="942" spans="1:19" ht="15" customHeight="1" x14ac:dyDescent="0.25">
      <c r="A942" t="s">
        <v>2783</v>
      </c>
      <c r="B942" s="8">
        <v>44864</v>
      </c>
      <c r="C942" s="8">
        <v>44868</v>
      </c>
      <c r="D942" t="s">
        <v>73</v>
      </c>
      <c r="E942" t="s">
        <v>1446</v>
      </c>
      <c r="F942" t="s">
        <v>2784</v>
      </c>
      <c r="G942">
        <v>8154299424</v>
      </c>
      <c r="H942" t="s">
        <v>35</v>
      </c>
      <c r="I942" t="s">
        <v>69</v>
      </c>
      <c r="J942" t="s">
        <v>155</v>
      </c>
      <c r="K942" t="s">
        <v>108</v>
      </c>
      <c r="L942" t="s">
        <v>114</v>
      </c>
      <c r="M942" t="s">
        <v>115</v>
      </c>
      <c r="N942">
        <v>19</v>
      </c>
      <c r="O942">
        <v>43458.13</v>
      </c>
      <c r="P942">
        <v>25</v>
      </c>
      <c r="Q942">
        <v>206426.12</v>
      </c>
      <c r="R942">
        <v>619278.35</v>
      </c>
      <c r="S942">
        <v>14934.5</v>
      </c>
    </row>
    <row r="943" spans="1:19" ht="15" customHeight="1" x14ac:dyDescent="0.25">
      <c r="A943" t="s">
        <v>2785</v>
      </c>
      <c r="B943" s="8">
        <v>44598</v>
      </c>
      <c r="C943" s="8">
        <v>44601</v>
      </c>
      <c r="D943" t="s">
        <v>20</v>
      </c>
      <c r="E943" t="s">
        <v>2786</v>
      </c>
      <c r="F943" t="s">
        <v>2787</v>
      </c>
      <c r="G943">
        <v>8148000211</v>
      </c>
      <c r="H943" t="s">
        <v>43</v>
      </c>
      <c r="I943" t="s">
        <v>69</v>
      </c>
      <c r="J943" t="s">
        <v>307</v>
      </c>
      <c r="K943" t="s">
        <v>108</v>
      </c>
      <c r="L943" t="s">
        <v>189</v>
      </c>
      <c r="M943" t="s">
        <v>205</v>
      </c>
      <c r="N943">
        <v>11</v>
      </c>
      <c r="O943">
        <v>11930.65</v>
      </c>
      <c r="P943">
        <v>5</v>
      </c>
      <c r="Q943">
        <v>6561.86</v>
      </c>
      <c r="R943">
        <v>124675.29</v>
      </c>
      <c r="S943">
        <v>14906.53</v>
      </c>
    </row>
    <row r="944" spans="1:19" ht="15" customHeight="1" x14ac:dyDescent="0.25">
      <c r="A944" t="s">
        <v>2788</v>
      </c>
      <c r="B944" s="8">
        <v>45370</v>
      </c>
      <c r="C944" s="8">
        <v>45373</v>
      </c>
      <c r="D944" t="s">
        <v>20</v>
      </c>
      <c r="E944" t="s">
        <v>2492</v>
      </c>
      <c r="F944" t="s">
        <v>2789</v>
      </c>
      <c r="G944">
        <v>8034721202</v>
      </c>
      <c r="H944" t="s">
        <v>35</v>
      </c>
      <c r="I944" t="s">
        <v>51</v>
      </c>
      <c r="J944" t="s">
        <v>52</v>
      </c>
      <c r="K944" t="s">
        <v>108</v>
      </c>
      <c r="L944" t="s">
        <v>109</v>
      </c>
      <c r="M944" t="s">
        <v>690</v>
      </c>
      <c r="N944">
        <v>2</v>
      </c>
      <c r="O944">
        <v>2096.77</v>
      </c>
      <c r="P944">
        <v>0</v>
      </c>
      <c r="Q944">
        <v>0</v>
      </c>
      <c r="R944">
        <v>4193.54</v>
      </c>
      <c r="S944">
        <v>1389.88</v>
      </c>
    </row>
    <row r="945" spans="1:19" ht="15" customHeight="1" x14ac:dyDescent="0.25">
      <c r="A945" t="s">
        <v>2790</v>
      </c>
      <c r="B945" s="8">
        <v>44595</v>
      </c>
      <c r="C945" s="8">
        <v>44596</v>
      </c>
      <c r="D945" t="s">
        <v>32</v>
      </c>
      <c r="E945" t="s">
        <v>1449</v>
      </c>
      <c r="F945" t="s">
        <v>2791</v>
      </c>
      <c r="G945">
        <v>8144580502</v>
      </c>
      <c r="H945" t="s">
        <v>24</v>
      </c>
      <c r="I945" t="s">
        <v>51</v>
      </c>
      <c r="J945" t="s">
        <v>227</v>
      </c>
      <c r="K945" t="s">
        <v>27</v>
      </c>
      <c r="L945" t="s">
        <v>173</v>
      </c>
      <c r="M945" t="s">
        <v>174</v>
      </c>
      <c r="N945">
        <v>8</v>
      </c>
      <c r="O945">
        <v>6303.5</v>
      </c>
      <c r="P945">
        <v>15</v>
      </c>
      <c r="Q945">
        <v>7564.2</v>
      </c>
      <c r="R945">
        <v>42863.8</v>
      </c>
      <c r="S945">
        <v>7992.08</v>
      </c>
    </row>
    <row r="946" spans="1:19" ht="15" customHeight="1" x14ac:dyDescent="0.25">
      <c r="A946" t="s">
        <v>2792</v>
      </c>
      <c r="B946" s="8">
        <v>44591</v>
      </c>
      <c r="C946" s="8">
        <v>44596</v>
      </c>
      <c r="D946" t="s">
        <v>73</v>
      </c>
      <c r="E946" t="s">
        <v>1539</v>
      </c>
      <c r="F946" t="s">
        <v>2793</v>
      </c>
      <c r="G946">
        <v>9075120422</v>
      </c>
      <c r="H946" t="s">
        <v>24</v>
      </c>
      <c r="I946" t="s">
        <v>51</v>
      </c>
      <c r="J946" t="s">
        <v>131</v>
      </c>
      <c r="K946" t="s">
        <v>108</v>
      </c>
      <c r="L946" t="s">
        <v>114</v>
      </c>
      <c r="M946" t="s">
        <v>291</v>
      </c>
      <c r="N946">
        <v>9</v>
      </c>
      <c r="O946">
        <v>7584.73</v>
      </c>
      <c r="P946">
        <v>0</v>
      </c>
      <c r="Q946">
        <v>0</v>
      </c>
      <c r="R946">
        <v>68262.570000000007</v>
      </c>
      <c r="S946">
        <v>16688.439999999999</v>
      </c>
    </row>
    <row r="947" spans="1:19" ht="15" customHeight="1" x14ac:dyDescent="0.25">
      <c r="A947" t="s">
        <v>2794</v>
      </c>
      <c r="B947" s="8">
        <v>44979</v>
      </c>
      <c r="C947" s="8">
        <v>44979</v>
      </c>
      <c r="D947" t="s">
        <v>32</v>
      </c>
      <c r="E947" t="s">
        <v>2795</v>
      </c>
      <c r="G947">
        <v>8162150745</v>
      </c>
      <c r="H947" t="s">
        <v>35</v>
      </c>
      <c r="I947" t="s">
        <v>51</v>
      </c>
      <c r="J947" t="s">
        <v>316</v>
      </c>
      <c r="K947" t="s">
        <v>96</v>
      </c>
      <c r="L947" t="s">
        <v>385</v>
      </c>
      <c r="M947" t="s">
        <v>743</v>
      </c>
      <c r="N947">
        <v>1</v>
      </c>
      <c r="O947">
        <v>386068.17</v>
      </c>
      <c r="P947">
        <v>5</v>
      </c>
      <c r="Q947">
        <v>19303.41</v>
      </c>
      <c r="R947" t="s">
        <v>2796</v>
      </c>
      <c r="S947">
        <v>-40494.730000000003</v>
      </c>
    </row>
    <row r="948" spans="1:19" ht="15" customHeight="1" x14ac:dyDescent="0.25">
      <c r="A948" t="s">
        <v>2797</v>
      </c>
      <c r="B948" s="8">
        <v>45253</v>
      </c>
      <c r="C948" s="8">
        <v>45253</v>
      </c>
      <c r="D948" t="s">
        <v>32</v>
      </c>
      <c r="E948" t="s">
        <v>2798</v>
      </c>
      <c r="F948" t="s">
        <v>2799</v>
      </c>
      <c r="G948">
        <v>8153048456</v>
      </c>
      <c r="H948" t="s">
        <v>35</v>
      </c>
      <c r="I948" t="s">
        <v>51</v>
      </c>
      <c r="J948" t="s">
        <v>131</v>
      </c>
      <c r="K948" t="s">
        <v>108</v>
      </c>
      <c r="L948" t="s">
        <v>189</v>
      </c>
      <c r="M948" t="s">
        <v>325</v>
      </c>
      <c r="N948">
        <v>12</v>
      </c>
      <c r="O948">
        <v>35776.370000000003</v>
      </c>
      <c r="P948">
        <v>0</v>
      </c>
      <c r="Q948">
        <v>0</v>
      </c>
      <c r="R948">
        <v>429316.44</v>
      </c>
      <c r="S948">
        <v>26593.62</v>
      </c>
    </row>
    <row r="949" spans="1:19" ht="15" customHeight="1" x14ac:dyDescent="0.25">
      <c r="A949" t="s">
        <v>2800</v>
      </c>
      <c r="B949" s="8">
        <v>44599</v>
      </c>
      <c r="C949" s="8">
        <v>44601</v>
      </c>
      <c r="D949" t="s">
        <v>20</v>
      </c>
      <c r="E949" t="s">
        <v>2475</v>
      </c>
      <c r="F949" t="s">
        <v>2801</v>
      </c>
      <c r="G949">
        <v>7033690055</v>
      </c>
      <c r="H949" t="s">
        <v>24</v>
      </c>
      <c r="I949" t="s">
        <v>69</v>
      </c>
      <c r="J949" t="s">
        <v>119</v>
      </c>
      <c r="K949" t="s">
        <v>27</v>
      </c>
      <c r="L949" t="s">
        <v>173</v>
      </c>
      <c r="M949" t="s">
        <v>380</v>
      </c>
      <c r="N949">
        <v>12</v>
      </c>
      <c r="O949">
        <v>3985.92</v>
      </c>
      <c r="P949">
        <v>0</v>
      </c>
      <c r="Q949">
        <v>0</v>
      </c>
      <c r="R949" t="s">
        <v>2802</v>
      </c>
      <c r="S949">
        <v>2588.06</v>
      </c>
    </row>
    <row r="950" spans="1:19" ht="15" customHeight="1" x14ac:dyDescent="0.25">
      <c r="A950" t="s">
        <v>2803</v>
      </c>
      <c r="B950" s="8">
        <v>44996</v>
      </c>
      <c r="C950" s="8">
        <v>44996</v>
      </c>
      <c r="D950" t="s">
        <v>32</v>
      </c>
      <c r="E950" t="s">
        <v>2804</v>
      </c>
      <c r="F950" t="s">
        <v>2805</v>
      </c>
      <c r="G950">
        <v>9022122405</v>
      </c>
      <c r="H950" t="s">
        <v>35</v>
      </c>
      <c r="I950" t="s">
        <v>69</v>
      </c>
      <c r="J950" t="s">
        <v>70</v>
      </c>
      <c r="K950" t="s">
        <v>85</v>
      </c>
      <c r="L950" t="s">
        <v>486</v>
      </c>
      <c r="M950" t="s">
        <v>527</v>
      </c>
      <c r="N950">
        <v>13</v>
      </c>
      <c r="O950">
        <v>140584.31</v>
      </c>
      <c r="P950">
        <v>10</v>
      </c>
      <c r="Q950">
        <v>182759.6</v>
      </c>
      <c r="R950">
        <v>1644836.43</v>
      </c>
      <c r="S950">
        <v>387386</v>
      </c>
    </row>
    <row r="951" spans="1:19" ht="15" customHeight="1" x14ac:dyDescent="0.25">
      <c r="A951" t="s">
        <v>2806</v>
      </c>
      <c r="B951" s="8">
        <v>44947</v>
      </c>
      <c r="C951" s="8">
        <v>44947</v>
      </c>
      <c r="D951" t="s">
        <v>32</v>
      </c>
      <c r="E951" t="s">
        <v>1027</v>
      </c>
      <c r="F951" t="s">
        <v>2807</v>
      </c>
      <c r="G951">
        <v>9077250140</v>
      </c>
      <c r="H951" t="s">
        <v>35</v>
      </c>
      <c r="I951" t="s">
        <v>61</v>
      </c>
      <c r="J951" t="s">
        <v>95</v>
      </c>
      <c r="K951" t="s">
        <v>63</v>
      </c>
      <c r="L951" t="s">
        <v>64</v>
      </c>
      <c r="M951" t="s">
        <v>815</v>
      </c>
      <c r="N951">
        <v>15</v>
      </c>
      <c r="O951">
        <v>24254.799999999999</v>
      </c>
      <c r="P951">
        <v>0</v>
      </c>
      <c r="Q951">
        <v>0</v>
      </c>
      <c r="R951">
        <v>363822</v>
      </c>
      <c r="S951">
        <v>-25304.63</v>
      </c>
    </row>
    <row r="952" spans="1:19" ht="15" customHeight="1" x14ac:dyDescent="0.25">
      <c r="A952" t="s">
        <v>2808</v>
      </c>
      <c r="B952" s="8">
        <v>44840</v>
      </c>
      <c r="C952" s="8">
        <v>44848</v>
      </c>
      <c r="D952" t="s">
        <v>48</v>
      </c>
      <c r="E952" t="s">
        <v>991</v>
      </c>
      <c r="F952" t="s">
        <v>2809</v>
      </c>
      <c r="G952">
        <v>8061544925</v>
      </c>
      <c r="H952" t="s">
        <v>24</v>
      </c>
      <c r="I952" t="s">
        <v>25</v>
      </c>
      <c r="J952" t="s">
        <v>36</v>
      </c>
      <c r="K952" t="s">
        <v>63</v>
      </c>
      <c r="L952" t="s">
        <v>54</v>
      </c>
      <c r="M952" t="s">
        <v>55</v>
      </c>
      <c r="N952">
        <v>14</v>
      </c>
      <c r="O952">
        <v>13658.5</v>
      </c>
      <c r="P952">
        <v>10</v>
      </c>
      <c r="Q952">
        <v>19121.900000000001</v>
      </c>
      <c r="R952">
        <v>172097.1</v>
      </c>
      <c r="S952">
        <v>-21793.81</v>
      </c>
    </row>
    <row r="953" spans="1:19" ht="15" customHeight="1" x14ac:dyDescent="0.25">
      <c r="A953" t="s">
        <v>2810</v>
      </c>
      <c r="B953" s="8">
        <v>45090</v>
      </c>
      <c r="C953" s="8">
        <v>45094</v>
      </c>
      <c r="D953" t="s">
        <v>73</v>
      </c>
      <c r="E953" t="s">
        <v>2811</v>
      </c>
      <c r="F953" t="s">
        <v>2812</v>
      </c>
      <c r="G953">
        <v>8037912713</v>
      </c>
      <c r="H953" t="s">
        <v>43</v>
      </c>
      <c r="I953" t="s">
        <v>25</v>
      </c>
      <c r="J953" t="s">
        <v>26</v>
      </c>
      <c r="K953" t="s">
        <v>96</v>
      </c>
      <c r="L953" t="s">
        <v>254</v>
      </c>
      <c r="M953" t="s">
        <v>455</v>
      </c>
      <c r="N953">
        <v>10</v>
      </c>
      <c r="O953">
        <v>47673.57</v>
      </c>
      <c r="P953">
        <v>10</v>
      </c>
      <c r="Q953">
        <v>47673.57</v>
      </c>
      <c r="R953">
        <v>429062.13</v>
      </c>
      <c r="S953">
        <v>40384.410000000003</v>
      </c>
    </row>
    <row r="954" spans="1:19" ht="15" customHeight="1" x14ac:dyDescent="0.25">
      <c r="A954" t="s">
        <v>2813</v>
      </c>
      <c r="B954" s="8" t="s">
        <v>2814</v>
      </c>
      <c r="C954" s="8">
        <v>44755</v>
      </c>
      <c r="D954" t="s">
        <v>73</v>
      </c>
      <c r="E954" t="s">
        <v>2720</v>
      </c>
      <c r="F954" t="s">
        <v>2815</v>
      </c>
      <c r="G954">
        <v>7032902103</v>
      </c>
      <c r="H954" t="s">
        <v>43</v>
      </c>
      <c r="I954" t="s">
        <v>25</v>
      </c>
      <c r="J954" t="s">
        <v>44</v>
      </c>
      <c r="K954" t="s">
        <v>96</v>
      </c>
      <c r="L954" t="s">
        <v>97</v>
      </c>
      <c r="M954" t="s">
        <v>1416</v>
      </c>
      <c r="N954">
        <v>4</v>
      </c>
      <c r="O954">
        <v>153465.60000000001</v>
      </c>
      <c r="P954">
        <v>0</v>
      </c>
      <c r="Q954">
        <v>0</v>
      </c>
      <c r="R954">
        <v>613862.40000000002</v>
      </c>
      <c r="S954">
        <v>120223</v>
      </c>
    </row>
    <row r="955" spans="1:19" ht="15" customHeight="1" x14ac:dyDescent="0.25">
      <c r="A955" t="s">
        <v>2816</v>
      </c>
      <c r="B955" s="8">
        <v>45199</v>
      </c>
      <c r="C955" s="8">
        <v>45201</v>
      </c>
      <c r="D955" t="s">
        <v>20</v>
      </c>
      <c r="E955" t="s">
        <v>2706</v>
      </c>
      <c r="F955" t="s">
        <v>2707</v>
      </c>
      <c r="G955">
        <v>8155991994</v>
      </c>
      <c r="H955" t="s">
        <v>35</v>
      </c>
      <c r="I955" t="s">
        <v>25</v>
      </c>
      <c r="J955" t="s">
        <v>126</v>
      </c>
      <c r="K955" t="s">
        <v>96</v>
      </c>
      <c r="L955" t="s">
        <v>189</v>
      </c>
      <c r="M955" t="s">
        <v>287</v>
      </c>
      <c r="N955">
        <v>14</v>
      </c>
      <c r="O955">
        <v>150673.10999999999</v>
      </c>
      <c r="P955">
        <v>0</v>
      </c>
      <c r="Q955">
        <v>0</v>
      </c>
      <c r="R955">
        <v>2109423.54</v>
      </c>
      <c r="S955">
        <v>516257.17</v>
      </c>
    </row>
    <row r="956" spans="1:19" ht="15" customHeight="1" x14ac:dyDescent="0.25">
      <c r="A956" t="s">
        <v>2817</v>
      </c>
      <c r="B956" s="8">
        <v>44755</v>
      </c>
      <c r="C956" s="8">
        <v>44760</v>
      </c>
      <c r="D956" t="s">
        <v>48</v>
      </c>
      <c r="E956" t="s">
        <v>864</v>
      </c>
      <c r="F956" t="s">
        <v>865</v>
      </c>
      <c r="G956">
        <v>8147058725</v>
      </c>
      <c r="H956" t="s">
        <v>35</v>
      </c>
      <c r="I956" t="s">
        <v>51</v>
      </c>
      <c r="J956" t="s">
        <v>52</v>
      </c>
      <c r="K956" t="s">
        <v>108</v>
      </c>
      <c r="L956" t="s">
        <v>189</v>
      </c>
      <c r="M956" t="s">
        <v>287</v>
      </c>
      <c r="N956">
        <v>19</v>
      </c>
      <c r="O956">
        <v>13364.14</v>
      </c>
      <c r="P956">
        <v>25</v>
      </c>
      <c r="Q956">
        <v>63479.66</v>
      </c>
      <c r="R956">
        <v>190439</v>
      </c>
      <c r="S956">
        <v>73702.69</v>
      </c>
    </row>
    <row r="957" spans="1:19" ht="15" customHeight="1" x14ac:dyDescent="0.25">
      <c r="A957" t="s">
        <v>2818</v>
      </c>
      <c r="B957" s="8">
        <v>44941</v>
      </c>
      <c r="C957" s="8">
        <v>44946</v>
      </c>
      <c r="D957" t="s">
        <v>73</v>
      </c>
      <c r="E957" t="s">
        <v>2819</v>
      </c>
      <c r="F957" t="s">
        <v>2820</v>
      </c>
      <c r="G957">
        <v>9071282620</v>
      </c>
      <c r="H957" t="s">
        <v>43</v>
      </c>
      <c r="I957" t="s">
        <v>61</v>
      </c>
      <c r="J957" t="s">
        <v>95</v>
      </c>
      <c r="K957" t="s">
        <v>534</v>
      </c>
      <c r="L957" t="s">
        <v>109</v>
      </c>
      <c r="M957" t="s">
        <v>1258</v>
      </c>
      <c r="N957">
        <v>17</v>
      </c>
      <c r="O957">
        <v>9282.89</v>
      </c>
      <c r="P957">
        <v>5</v>
      </c>
      <c r="Q957">
        <v>7890.46</v>
      </c>
      <c r="R957">
        <v>149918.67000000001</v>
      </c>
      <c r="S957">
        <v>66532.12</v>
      </c>
    </row>
    <row r="958" spans="1:19" ht="15" customHeight="1" x14ac:dyDescent="0.25">
      <c r="A958" t="s">
        <v>2821</v>
      </c>
      <c r="B958" s="8">
        <v>45570</v>
      </c>
      <c r="C958" s="8">
        <v>45575</v>
      </c>
      <c r="D958" t="s">
        <v>73</v>
      </c>
      <c r="E958" t="s">
        <v>567</v>
      </c>
      <c r="F958" t="s">
        <v>2822</v>
      </c>
      <c r="G958">
        <v>8137516960</v>
      </c>
      <c r="H958" t="s">
        <v>43</v>
      </c>
      <c r="I958" t="s">
        <v>25</v>
      </c>
      <c r="J958" t="s">
        <v>36</v>
      </c>
      <c r="K958" t="s">
        <v>85</v>
      </c>
      <c r="L958" t="s">
        <v>266</v>
      </c>
      <c r="M958" t="s">
        <v>593</v>
      </c>
      <c r="N958">
        <v>13</v>
      </c>
      <c r="O958">
        <v>67214.070000000007</v>
      </c>
      <c r="P958">
        <v>15</v>
      </c>
      <c r="Q958">
        <v>131067.44</v>
      </c>
      <c r="R958">
        <v>742715.47</v>
      </c>
      <c r="S958">
        <v>294447.87</v>
      </c>
    </row>
    <row r="959" spans="1:19" ht="15" customHeight="1" x14ac:dyDescent="0.25">
      <c r="A959" t="s">
        <v>2823</v>
      </c>
      <c r="B959" s="8">
        <v>45422</v>
      </c>
      <c r="C959" s="8">
        <v>45429</v>
      </c>
      <c r="D959" t="s">
        <v>48</v>
      </c>
      <c r="E959" t="s">
        <v>2824</v>
      </c>
      <c r="F959" t="s">
        <v>2825</v>
      </c>
      <c r="G959">
        <v>8067803915</v>
      </c>
      <c r="H959" t="s">
        <v>35</v>
      </c>
      <c r="I959" t="s">
        <v>51</v>
      </c>
      <c r="J959" t="s">
        <v>223</v>
      </c>
      <c r="K959" t="s">
        <v>27</v>
      </c>
      <c r="L959" t="s">
        <v>354</v>
      </c>
      <c r="M959" t="s">
        <v>494</v>
      </c>
      <c r="N959">
        <v>19</v>
      </c>
      <c r="O959">
        <v>5623.01</v>
      </c>
      <c r="P959">
        <v>0</v>
      </c>
      <c r="Q959">
        <v>0</v>
      </c>
      <c r="R959">
        <v>106837.19</v>
      </c>
      <c r="S959">
        <v>36182.31</v>
      </c>
    </row>
    <row r="960" spans="1:19" ht="15" customHeight="1" x14ac:dyDescent="0.25">
      <c r="A960" t="s">
        <v>2826</v>
      </c>
      <c r="B960" s="8">
        <v>45034</v>
      </c>
      <c r="C960" s="8">
        <v>45040</v>
      </c>
      <c r="D960" t="s">
        <v>48</v>
      </c>
      <c r="E960" t="s">
        <v>467</v>
      </c>
      <c r="F960" t="s">
        <v>2827</v>
      </c>
      <c r="G960">
        <v>9077622282</v>
      </c>
      <c r="H960" t="s">
        <v>35</v>
      </c>
      <c r="I960" t="s">
        <v>25</v>
      </c>
      <c r="J960" t="s">
        <v>126</v>
      </c>
      <c r="K960" t="s">
        <v>85</v>
      </c>
      <c r="L960" t="s">
        <v>218</v>
      </c>
      <c r="M960" t="s">
        <v>1058</v>
      </c>
      <c r="N960">
        <v>19</v>
      </c>
      <c r="O960">
        <v>173016.77</v>
      </c>
      <c r="P960">
        <v>0</v>
      </c>
      <c r="Q960">
        <v>0</v>
      </c>
      <c r="R960">
        <v>3287318.63</v>
      </c>
      <c r="S960">
        <v>792611.31</v>
      </c>
    </row>
    <row r="961" spans="1:19" ht="15" customHeight="1" x14ac:dyDescent="0.25">
      <c r="A961" t="s">
        <v>2828</v>
      </c>
      <c r="B961" s="8">
        <v>45261</v>
      </c>
      <c r="C961" s="8">
        <v>45267</v>
      </c>
      <c r="D961" t="s">
        <v>48</v>
      </c>
      <c r="E961" t="s">
        <v>106</v>
      </c>
      <c r="F961" t="s">
        <v>2829</v>
      </c>
      <c r="G961">
        <v>9013067693</v>
      </c>
      <c r="H961" t="s">
        <v>60</v>
      </c>
      <c r="I961" t="s">
        <v>25</v>
      </c>
      <c r="J961" t="s">
        <v>26</v>
      </c>
      <c r="K961" t="s">
        <v>63</v>
      </c>
      <c r="L961" t="s">
        <v>558</v>
      </c>
      <c r="M961" t="s">
        <v>559</v>
      </c>
      <c r="N961">
        <v>17</v>
      </c>
      <c r="O961">
        <v>9778.75</v>
      </c>
      <c r="P961">
        <v>10</v>
      </c>
      <c r="Q961">
        <v>16623.88</v>
      </c>
      <c r="R961">
        <v>149614.87</v>
      </c>
      <c r="S961">
        <v>17362.37</v>
      </c>
    </row>
    <row r="962" spans="1:19" ht="15" customHeight="1" x14ac:dyDescent="0.25">
      <c r="A962" t="s">
        <v>2830</v>
      </c>
      <c r="B962" s="8">
        <v>45285</v>
      </c>
      <c r="C962" s="8">
        <v>45285</v>
      </c>
      <c r="D962" t="s">
        <v>32</v>
      </c>
      <c r="E962" t="s">
        <v>2069</v>
      </c>
      <c r="F962" t="s">
        <v>2831</v>
      </c>
      <c r="G962">
        <v>8168339206</v>
      </c>
      <c r="H962" t="s">
        <v>35</v>
      </c>
      <c r="I962" t="s">
        <v>61</v>
      </c>
      <c r="J962" t="s">
        <v>62</v>
      </c>
      <c r="K962" t="s">
        <v>96</v>
      </c>
      <c r="L962" t="s">
        <v>97</v>
      </c>
      <c r="M962" t="s">
        <v>98</v>
      </c>
      <c r="N962">
        <v>6</v>
      </c>
      <c r="O962">
        <v>203482.62</v>
      </c>
      <c r="P962">
        <v>0</v>
      </c>
      <c r="Q962">
        <v>0</v>
      </c>
      <c r="R962">
        <v>1220895.72</v>
      </c>
      <c r="S962">
        <v>389265.33</v>
      </c>
    </row>
    <row r="963" spans="1:19" ht="15" customHeight="1" x14ac:dyDescent="0.25">
      <c r="A963" t="s">
        <v>2832</v>
      </c>
      <c r="B963" s="8">
        <v>44979</v>
      </c>
      <c r="C963" s="8">
        <v>44982</v>
      </c>
      <c r="D963" t="s">
        <v>20</v>
      </c>
      <c r="E963" t="s">
        <v>1802</v>
      </c>
      <c r="F963" t="s">
        <v>2833</v>
      </c>
      <c r="G963">
        <v>8165686347</v>
      </c>
      <c r="H963" t="s">
        <v>24</v>
      </c>
      <c r="I963" t="s">
        <v>25</v>
      </c>
      <c r="J963" t="s">
        <v>168</v>
      </c>
      <c r="K963" t="s">
        <v>85</v>
      </c>
      <c r="L963" t="s">
        <v>486</v>
      </c>
      <c r="M963" t="s">
        <v>487</v>
      </c>
      <c r="N963">
        <v>17</v>
      </c>
      <c r="O963">
        <v>89396.24</v>
      </c>
      <c r="P963">
        <v>0</v>
      </c>
      <c r="Q963">
        <v>0</v>
      </c>
      <c r="R963">
        <v>1519736.08</v>
      </c>
      <c r="S963">
        <v>306820.53999999998</v>
      </c>
    </row>
    <row r="964" spans="1:19" ht="15" customHeight="1" x14ac:dyDescent="0.25">
      <c r="A964" t="s">
        <v>2834</v>
      </c>
      <c r="B964" s="8">
        <v>45482</v>
      </c>
      <c r="C964" s="8">
        <v>45485</v>
      </c>
      <c r="D964" t="s">
        <v>73</v>
      </c>
      <c r="E964" t="s">
        <v>907</v>
      </c>
      <c r="F964" t="s">
        <v>908</v>
      </c>
      <c r="G964">
        <v>7065523800</v>
      </c>
      <c r="H964" t="s">
        <v>24</v>
      </c>
      <c r="I964" t="s">
        <v>51</v>
      </c>
      <c r="J964" t="s">
        <v>223</v>
      </c>
      <c r="K964" t="s">
        <v>85</v>
      </c>
      <c r="L964" t="s">
        <v>486</v>
      </c>
      <c r="M964" t="s">
        <v>1193</v>
      </c>
      <c r="N964">
        <v>5</v>
      </c>
      <c r="O964">
        <v>83358.240000000005</v>
      </c>
      <c r="P964">
        <v>0</v>
      </c>
      <c r="Q964">
        <v>0</v>
      </c>
      <c r="R964">
        <v>416791.2</v>
      </c>
      <c r="S964">
        <v>132791.63</v>
      </c>
    </row>
    <row r="965" spans="1:19" ht="15" customHeight="1" x14ac:dyDescent="0.25">
      <c r="A965" t="s">
        <v>2835</v>
      </c>
      <c r="B965" s="8">
        <v>44786</v>
      </c>
      <c r="C965" s="8">
        <v>44790</v>
      </c>
      <c r="D965" t="s">
        <v>73</v>
      </c>
      <c r="E965" t="s">
        <v>2836</v>
      </c>
      <c r="F965" t="s">
        <v>2837</v>
      </c>
      <c r="G965">
        <v>9012658169</v>
      </c>
      <c r="H965" t="s">
        <v>35</v>
      </c>
      <c r="I965" t="s">
        <v>69</v>
      </c>
      <c r="J965" t="s">
        <v>70</v>
      </c>
      <c r="K965" t="s">
        <v>63</v>
      </c>
      <c r="L965" t="s">
        <v>194</v>
      </c>
      <c r="M965" t="s">
        <v>195</v>
      </c>
      <c r="O965">
        <v>20086.8</v>
      </c>
      <c r="P965">
        <v>0</v>
      </c>
      <c r="Q965">
        <v>0</v>
      </c>
      <c r="R965">
        <v>261128.4</v>
      </c>
      <c r="S965">
        <v>-29303.66</v>
      </c>
    </row>
    <row r="966" spans="1:19" ht="15" customHeight="1" x14ac:dyDescent="0.25">
      <c r="A966" t="s">
        <v>2838</v>
      </c>
      <c r="B966" s="8">
        <v>45062</v>
      </c>
      <c r="C966" s="8">
        <v>45064</v>
      </c>
      <c r="D966" t="s">
        <v>20</v>
      </c>
      <c r="E966" t="s">
        <v>2713</v>
      </c>
      <c r="F966" t="s">
        <v>2839</v>
      </c>
      <c r="G966">
        <v>8101328330</v>
      </c>
      <c r="H966" t="s">
        <v>43</v>
      </c>
      <c r="I966" t="s">
        <v>25</v>
      </c>
      <c r="J966" t="s">
        <v>126</v>
      </c>
      <c r="K966" t="s">
        <v>63</v>
      </c>
      <c r="L966" t="s">
        <v>194</v>
      </c>
      <c r="M966" t="s">
        <v>195</v>
      </c>
      <c r="N966">
        <v>11</v>
      </c>
      <c r="O966">
        <v>10783.29</v>
      </c>
      <c r="P966" t="s">
        <v>376</v>
      </c>
      <c r="Q966">
        <v>0</v>
      </c>
      <c r="R966">
        <v>118616.19</v>
      </c>
      <c r="S966">
        <v>16441.57</v>
      </c>
    </row>
    <row r="967" spans="1:19" ht="15" customHeight="1" x14ac:dyDescent="0.25">
      <c r="A967" t="s">
        <v>1123</v>
      </c>
      <c r="B967" s="8">
        <v>45051</v>
      </c>
      <c r="C967" s="8">
        <v>45054</v>
      </c>
      <c r="D967" t="s">
        <v>20</v>
      </c>
      <c r="E967" t="s">
        <v>1124</v>
      </c>
      <c r="F967" t="s">
        <v>1125</v>
      </c>
      <c r="G967">
        <v>8139792431</v>
      </c>
      <c r="H967" t="s">
        <v>1126</v>
      </c>
      <c r="I967" t="s">
        <v>69</v>
      </c>
      <c r="J967" t="s">
        <v>119</v>
      </c>
      <c r="K967" t="s">
        <v>108</v>
      </c>
      <c r="L967" t="s">
        <v>189</v>
      </c>
      <c r="M967" t="s">
        <v>190</v>
      </c>
      <c r="N967">
        <v>11</v>
      </c>
      <c r="O967">
        <v>28360.69</v>
      </c>
      <c r="P967">
        <v>15</v>
      </c>
      <c r="Q967">
        <v>46795.14</v>
      </c>
      <c r="R967" t="s">
        <v>1127</v>
      </c>
      <c r="S967">
        <v>62194.17</v>
      </c>
    </row>
    <row r="968" spans="1:19" ht="15" customHeight="1" x14ac:dyDescent="0.25">
      <c r="A968" t="s">
        <v>2840</v>
      </c>
      <c r="B968" s="8">
        <v>45432</v>
      </c>
      <c r="C968" s="8">
        <v>45435</v>
      </c>
      <c r="D968" t="s">
        <v>20</v>
      </c>
      <c r="E968" t="s">
        <v>2841</v>
      </c>
      <c r="F968" t="s">
        <v>2842</v>
      </c>
      <c r="G968">
        <v>9077743663</v>
      </c>
      <c r="H968" t="s">
        <v>24</v>
      </c>
      <c r="I968" t="s">
        <v>61</v>
      </c>
      <c r="J968" t="s">
        <v>95</v>
      </c>
      <c r="K968" t="s">
        <v>27</v>
      </c>
      <c r="L968" t="s">
        <v>173</v>
      </c>
      <c r="M968" t="s">
        <v>2843</v>
      </c>
      <c r="N968" t="s">
        <v>185</v>
      </c>
      <c r="O968">
        <v>3048.03</v>
      </c>
      <c r="P968">
        <v>20</v>
      </c>
      <c r="Q968">
        <v>7924.88</v>
      </c>
      <c r="R968">
        <v>31699.51</v>
      </c>
      <c r="S968">
        <v>7125.15</v>
      </c>
    </row>
    <row r="969" spans="1:19" ht="15" customHeight="1" x14ac:dyDescent="0.25">
      <c r="A969" t="s">
        <v>2844</v>
      </c>
      <c r="B969" s="8">
        <v>45292</v>
      </c>
      <c r="C969" s="8">
        <v>45295</v>
      </c>
      <c r="D969" t="s">
        <v>20</v>
      </c>
      <c r="E969" t="s">
        <v>2845</v>
      </c>
      <c r="F969" t="s">
        <v>2846</v>
      </c>
      <c r="G969">
        <v>8144818119</v>
      </c>
      <c r="H969" t="s">
        <v>35</v>
      </c>
      <c r="J969" t="s">
        <v>182</v>
      </c>
      <c r="K969" t="s">
        <v>108</v>
      </c>
      <c r="L969" t="s">
        <v>189</v>
      </c>
      <c r="M969" t="s">
        <v>287</v>
      </c>
      <c r="N969">
        <v>4</v>
      </c>
      <c r="O969">
        <v>31658.36</v>
      </c>
      <c r="P969">
        <v>0</v>
      </c>
      <c r="Q969">
        <v>0</v>
      </c>
      <c r="R969">
        <v>126633.44</v>
      </c>
      <c r="S969">
        <v>-1420.49</v>
      </c>
    </row>
    <row r="970" spans="1:19" ht="15" customHeight="1" x14ac:dyDescent="0.25">
      <c r="A970" t="s">
        <v>2847</v>
      </c>
      <c r="B970" s="8">
        <v>45657</v>
      </c>
      <c r="C970" s="8">
        <v>45657</v>
      </c>
      <c r="D970" t="s">
        <v>32</v>
      </c>
      <c r="E970" t="s">
        <v>2336</v>
      </c>
      <c r="F970" t="s">
        <v>2848</v>
      </c>
      <c r="G970">
        <v>9013277024</v>
      </c>
      <c r="H970" t="s">
        <v>43</v>
      </c>
      <c r="I970" t="s">
        <v>25</v>
      </c>
      <c r="J970" t="s">
        <v>126</v>
      </c>
      <c r="K970" t="s">
        <v>85</v>
      </c>
      <c r="L970" t="s">
        <v>218</v>
      </c>
      <c r="M970" t="s">
        <v>708</v>
      </c>
      <c r="N970">
        <v>2</v>
      </c>
      <c r="O970">
        <v>71790.84</v>
      </c>
      <c r="P970">
        <v>10</v>
      </c>
      <c r="Q970">
        <v>14358.17</v>
      </c>
      <c r="R970">
        <v>129223.51</v>
      </c>
      <c r="S970">
        <v>-18476.55</v>
      </c>
    </row>
    <row r="971" spans="1:19" ht="15" customHeight="1" x14ac:dyDescent="0.25">
      <c r="A971" t="s">
        <v>2849</v>
      </c>
      <c r="B971" s="8">
        <v>44990</v>
      </c>
      <c r="C971" s="8">
        <v>44990</v>
      </c>
      <c r="D971" t="s">
        <v>32</v>
      </c>
      <c r="E971" t="s">
        <v>1707</v>
      </c>
      <c r="F971" t="s">
        <v>2850</v>
      </c>
      <c r="G971">
        <v>8065199616</v>
      </c>
      <c r="H971" t="s">
        <v>43</v>
      </c>
      <c r="I971" t="s">
        <v>69</v>
      </c>
      <c r="J971" t="s">
        <v>307</v>
      </c>
      <c r="K971" t="s">
        <v>27</v>
      </c>
      <c r="L971" t="s">
        <v>173</v>
      </c>
      <c r="M971" t="s">
        <v>380</v>
      </c>
      <c r="N971">
        <v>9</v>
      </c>
      <c r="O971">
        <v>640.11</v>
      </c>
      <c r="P971">
        <v>25</v>
      </c>
      <c r="Q971">
        <v>1440.25</v>
      </c>
      <c r="R971">
        <v>4320.74</v>
      </c>
      <c r="S971">
        <v>-215.08</v>
      </c>
    </row>
    <row r="972" spans="1:19" ht="15" customHeight="1" x14ac:dyDescent="0.25">
      <c r="A972" t="s">
        <v>2851</v>
      </c>
      <c r="B972" s="8">
        <v>45239</v>
      </c>
      <c r="C972" s="8">
        <v>45239</v>
      </c>
      <c r="D972" t="s">
        <v>32</v>
      </c>
      <c r="E972" t="s">
        <v>2852</v>
      </c>
      <c r="F972" t="s">
        <v>2853</v>
      </c>
      <c r="G972">
        <v>9055658528</v>
      </c>
      <c r="H972" t="s">
        <v>35</v>
      </c>
      <c r="I972" t="s">
        <v>25</v>
      </c>
      <c r="J972" t="s">
        <v>168</v>
      </c>
      <c r="K972" t="s">
        <v>96</v>
      </c>
      <c r="L972" t="s">
        <v>189</v>
      </c>
      <c r="M972" t="s">
        <v>325</v>
      </c>
      <c r="N972">
        <v>15</v>
      </c>
      <c r="O972">
        <v>421574.85</v>
      </c>
      <c r="P972">
        <v>25</v>
      </c>
      <c r="Q972">
        <v>1580905.69</v>
      </c>
      <c r="R972">
        <v>4742717.0599999996</v>
      </c>
      <c r="S972">
        <v>1268977.52</v>
      </c>
    </row>
    <row r="973" spans="1:19" ht="15" customHeight="1" x14ac:dyDescent="0.25">
      <c r="A973" t="s">
        <v>2854</v>
      </c>
      <c r="B973" s="8">
        <v>45125</v>
      </c>
      <c r="C973" s="8">
        <v>45131</v>
      </c>
      <c r="D973" t="s">
        <v>48</v>
      </c>
      <c r="E973" t="s">
        <v>2855</v>
      </c>
      <c r="F973" t="s">
        <v>2856</v>
      </c>
      <c r="G973">
        <v>8131758400</v>
      </c>
      <c r="H973" t="s">
        <v>24</v>
      </c>
      <c r="I973" t="s">
        <v>25</v>
      </c>
      <c r="J973" t="s">
        <v>26</v>
      </c>
      <c r="K973" t="s">
        <v>85</v>
      </c>
      <c r="L973" t="s">
        <v>218</v>
      </c>
      <c r="M973" t="s">
        <v>708</v>
      </c>
      <c r="N973">
        <v>10</v>
      </c>
      <c r="O973">
        <v>41994.879999999997</v>
      </c>
      <c r="P973">
        <v>20</v>
      </c>
      <c r="Q973">
        <v>83989.759999999995</v>
      </c>
      <c r="R973">
        <v>335959.03999999998</v>
      </c>
      <c r="S973">
        <v>-38042.29</v>
      </c>
    </row>
    <row r="974" spans="1:19" ht="15" customHeight="1" x14ac:dyDescent="0.25">
      <c r="A974" t="s">
        <v>2857</v>
      </c>
      <c r="B974" s="8">
        <v>44626</v>
      </c>
      <c r="C974" s="8">
        <v>44629</v>
      </c>
      <c r="D974" t="s">
        <v>73</v>
      </c>
      <c r="E974" t="s">
        <v>2858</v>
      </c>
      <c r="F974" t="s">
        <v>2859</v>
      </c>
      <c r="G974">
        <v>8038244779</v>
      </c>
      <c r="H974" t="s">
        <v>24</v>
      </c>
      <c r="I974" t="s">
        <v>69</v>
      </c>
      <c r="J974" t="s">
        <v>119</v>
      </c>
      <c r="K974" t="s">
        <v>841</v>
      </c>
      <c r="L974" t="s">
        <v>86</v>
      </c>
      <c r="M974" t="s">
        <v>87</v>
      </c>
      <c r="N974">
        <v>1</v>
      </c>
      <c r="O974">
        <v>89481.57</v>
      </c>
      <c r="P974">
        <v>0</v>
      </c>
      <c r="Q974">
        <v>0</v>
      </c>
      <c r="R974">
        <v>89481.57</v>
      </c>
      <c r="S974">
        <v>6686.19</v>
      </c>
    </row>
    <row r="975" spans="1:19" ht="15" customHeight="1" x14ac:dyDescent="0.25">
      <c r="A975" t="s">
        <v>2860</v>
      </c>
      <c r="B975" s="8">
        <v>44884</v>
      </c>
      <c r="C975" s="8">
        <v>44890</v>
      </c>
      <c r="D975" t="s">
        <v>48</v>
      </c>
      <c r="E975" t="s">
        <v>2861</v>
      </c>
      <c r="F975" t="s">
        <v>2862</v>
      </c>
      <c r="G975">
        <v>8068291687</v>
      </c>
      <c r="H975" t="s">
        <v>35</v>
      </c>
      <c r="I975" t="s">
        <v>61</v>
      </c>
      <c r="J975" t="s">
        <v>204</v>
      </c>
      <c r="K975" t="s">
        <v>85</v>
      </c>
      <c r="L975" t="s">
        <v>218</v>
      </c>
      <c r="M975" t="s">
        <v>1058</v>
      </c>
      <c r="N975">
        <v>18</v>
      </c>
      <c r="O975">
        <v>130755.89</v>
      </c>
      <c r="P975">
        <v>25</v>
      </c>
      <c r="Q975">
        <v>588401.51</v>
      </c>
      <c r="R975">
        <v>1765204.51</v>
      </c>
      <c r="S975">
        <v>741350.81</v>
      </c>
    </row>
    <row r="976" spans="1:19" ht="15" customHeight="1" x14ac:dyDescent="0.25">
      <c r="A976" t="s">
        <v>2863</v>
      </c>
      <c r="B976" s="8">
        <v>45481</v>
      </c>
      <c r="C976" s="8">
        <v>45485</v>
      </c>
      <c r="D976" t="s">
        <v>73</v>
      </c>
      <c r="E976" t="s">
        <v>2864</v>
      </c>
      <c r="F976" t="s">
        <v>2865</v>
      </c>
      <c r="G976">
        <v>8166297073</v>
      </c>
      <c r="H976" t="s">
        <v>35</v>
      </c>
      <c r="I976" t="s">
        <v>51</v>
      </c>
      <c r="J976" t="s">
        <v>316</v>
      </c>
      <c r="K976" t="s">
        <v>63</v>
      </c>
      <c r="L976" t="s">
        <v>312</v>
      </c>
      <c r="M976" t="s">
        <v>736</v>
      </c>
      <c r="N976">
        <v>1</v>
      </c>
      <c r="O976">
        <v>23192.22</v>
      </c>
      <c r="P976">
        <v>5</v>
      </c>
      <c r="Q976">
        <v>1159.6099999999999</v>
      </c>
      <c r="R976">
        <v>22032.61</v>
      </c>
      <c r="S976">
        <v>2059.8200000000002</v>
      </c>
    </row>
    <row r="977" spans="1:19" ht="15" customHeight="1" x14ac:dyDescent="0.25">
      <c r="A977" t="s">
        <v>2866</v>
      </c>
      <c r="B977" s="8">
        <v>44798</v>
      </c>
      <c r="C977" s="8">
        <v>44804</v>
      </c>
      <c r="D977" t="s">
        <v>48</v>
      </c>
      <c r="E977" t="s">
        <v>2867</v>
      </c>
      <c r="F977" t="s">
        <v>2868</v>
      </c>
      <c r="G977">
        <v>8159041683</v>
      </c>
      <c r="H977" t="s">
        <v>43</v>
      </c>
      <c r="I977" t="s">
        <v>69</v>
      </c>
      <c r="J977" t="s">
        <v>155</v>
      </c>
      <c r="K977" t="s">
        <v>108</v>
      </c>
      <c r="L977" t="s">
        <v>189</v>
      </c>
      <c r="M977" t="s">
        <v>190</v>
      </c>
      <c r="N977">
        <v>6</v>
      </c>
      <c r="O977">
        <v>4271.76</v>
      </c>
      <c r="P977">
        <v>25</v>
      </c>
      <c r="Q977">
        <v>6407.64</v>
      </c>
      <c r="R977">
        <v>19222.919999999998</v>
      </c>
      <c r="S977">
        <v>7217.81</v>
      </c>
    </row>
    <row r="978" spans="1:19" ht="15" customHeight="1" x14ac:dyDescent="0.25">
      <c r="A978" t="s">
        <v>2869</v>
      </c>
      <c r="B978" s="8">
        <v>45056</v>
      </c>
      <c r="C978" s="8">
        <v>45061</v>
      </c>
      <c r="D978" t="s">
        <v>48</v>
      </c>
      <c r="E978" t="s">
        <v>2366</v>
      </c>
      <c r="F978" t="s">
        <v>2367</v>
      </c>
      <c r="G978">
        <v>8165381205</v>
      </c>
      <c r="H978" t="s">
        <v>35</v>
      </c>
      <c r="I978" t="s">
        <v>61</v>
      </c>
      <c r="J978" t="s">
        <v>62</v>
      </c>
      <c r="K978" t="s">
        <v>63</v>
      </c>
      <c r="L978" t="s">
        <v>312</v>
      </c>
      <c r="M978" t="s">
        <v>736</v>
      </c>
      <c r="N978">
        <v>2</v>
      </c>
      <c r="O978">
        <v>20788.7</v>
      </c>
      <c r="P978">
        <v>15</v>
      </c>
      <c r="Q978">
        <v>6236.61</v>
      </c>
      <c r="R978">
        <v>35340.79</v>
      </c>
      <c r="S978">
        <v>5099.8500000000004</v>
      </c>
    </row>
    <row r="979" spans="1:19" ht="15" customHeight="1" x14ac:dyDescent="0.25">
      <c r="A979" t="s">
        <v>2870</v>
      </c>
      <c r="B979" s="8">
        <v>45622</v>
      </c>
      <c r="C979" s="8">
        <v>45628</v>
      </c>
      <c r="D979" t="s">
        <v>2871</v>
      </c>
      <c r="E979" t="s">
        <v>1661</v>
      </c>
      <c r="F979" t="s">
        <v>1662</v>
      </c>
      <c r="G979">
        <v>7062344809</v>
      </c>
      <c r="H979" t="s">
        <v>35</v>
      </c>
      <c r="I979" t="s">
        <v>61</v>
      </c>
      <c r="J979" t="s">
        <v>62</v>
      </c>
      <c r="K979" t="s">
        <v>63</v>
      </c>
      <c r="L979" t="s">
        <v>64</v>
      </c>
      <c r="M979" t="s">
        <v>501</v>
      </c>
      <c r="N979">
        <v>11</v>
      </c>
      <c r="O979">
        <v>17192.8</v>
      </c>
      <c r="P979">
        <v>0</v>
      </c>
      <c r="Q979">
        <v>0</v>
      </c>
      <c r="R979">
        <v>189120.8</v>
      </c>
      <c r="S979">
        <v>-24611.49</v>
      </c>
    </row>
    <row r="980" spans="1:19" ht="15" customHeight="1" x14ac:dyDescent="0.25">
      <c r="A980" t="s">
        <v>2872</v>
      </c>
      <c r="B980" s="8">
        <v>44624</v>
      </c>
      <c r="C980" s="8">
        <v>44629</v>
      </c>
      <c r="D980" t="s">
        <v>48</v>
      </c>
      <c r="E980" t="s">
        <v>399</v>
      </c>
      <c r="F980" t="s">
        <v>2873</v>
      </c>
      <c r="G980">
        <v>8064194751</v>
      </c>
      <c r="H980" t="s">
        <v>24</v>
      </c>
      <c r="I980" t="s">
        <v>895</v>
      </c>
      <c r="J980" t="s">
        <v>26</v>
      </c>
      <c r="K980" t="s">
        <v>108</v>
      </c>
      <c r="L980" t="s">
        <v>114</v>
      </c>
      <c r="M980" t="s">
        <v>115</v>
      </c>
      <c r="N980">
        <v>18</v>
      </c>
      <c r="O980">
        <v>35696.94</v>
      </c>
      <c r="P980">
        <v>10</v>
      </c>
      <c r="Q980">
        <v>64254.49</v>
      </c>
      <c r="R980">
        <v>578290.43000000005</v>
      </c>
      <c r="S980">
        <v>-66880.13</v>
      </c>
    </row>
    <row r="981" spans="1:19" ht="15" customHeight="1" x14ac:dyDescent="0.25">
      <c r="A981" t="s">
        <v>2874</v>
      </c>
      <c r="B981" s="8">
        <v>45338</v>
      </c>
      <c r="C981" s="8">
        <v>45340</v>
      </c>
      <c r="D981" t="s">
        <v>20</v>
      </c>
      <c r="E981" t="s">
        <v>2875</v>
      </c>
      <c r="F981" t="s">
        <v>2876</v>
      </c>
      <c r="G981">
        <v>9025901261</v>
      </c>
      <c r="H981" t="s">
        <v>43</v>
      </c>
      <c r="I981" t="s">
        <v>25</v>
      </c>
      <c r="J981" t="s">
        <v>126</v>
      </c>
      <c r="K981" t="s">
        <v>63</v>
      </c>
      <c r="L981" t="s">
        <v>54</v>
      </c>
      <c r="M981" t="s">
        <v>1039</v>
      </c>
      <c r="N981">
        <v>5</v>
      </c>
      <c r="O981">
        <v>13871.49</v>
      </c>
      <c r="P981">
        <v>25</v>
      </c>
      <c r="Q981">
        <v>17339.36</v>
      </c>
      <c r="R981">
        <v>52018.09</v>
      </c>
      <c r="S981">
        <v>7077.95</v>
      </c>
    </row>
    <row r="982" spans="1:19" ht="15" customHeight="1" x14ac:dyDescent="0.25">
      <c r="A982" t="s">
        <v>2877</v>
      </c>
      <c r="B982" s="8">
        <v>44921</v>
      </c>
      <c r="C982" s="8">
        <v>44925</v>
      </c>
      <c r="D982" t="s">
        <v>73</v>
      </c>
      <c r="F982" t="s">
        <v>2878</v>
      </c>
      <c r="G982">
        <v>7037366035</v>
      </c>
      <c r="H982" t="s">
        <v>35</v>
      </c>
      <c r="I982" t="s">
        <v>69</v>
      </c>
      <c r="J982" t="s">
        <v>155</v>
      </c>
      <c r="K982" t="s">
        <v>108</v>
      </c>
      <c r="L982" t="s">
        <v>114</v>
      </c>
      <c r="M982" t="s">
        <v>891</v>
      </c>
      <c r="N982">
        <v>1</v>
      </c>
      <c r="O982">
        <v>20691.669999999998</v>
      </c>
      <c r="P982">
        <v>0</v>
      </c>
      <c r="Q982">
        <v>0</v>
      </c>
      <c r="R982" t="s">
        <v>2879</v>
      </c>
      <c r="S982">
        <v>4335.46</v>
      </c>
    </row>
    <row r="983" spans="1:19" ht="15" customHeight="1" x14ac:dyDescent="0.25">
      <c r="A983" t="s">
        <v>2880</v>
      </c>
      <c r="B983" s="8">
        <v>45269</v>
      </c>
      <c r="C983" s="8">
        <v>45270</v>
      </c>
      <c r="D983" t="s">
        <v>32</v>
      </c>
      <c r="E983" t="s">
        <v>644</v>
      </c>
      <c r="F983" t="s">
        <v>1326</v>
      </c>
      <c r="G983">
        <v>8153515887</v>
      </c>
      <c r="H983" t="s">
        <v>35</v>
      </c>
      <c r="I983" t="s">
        <v>25</v>
      </c>
      <c r="J983" t="s">
        <v>44</v>
      </c>
      <c r="K983" t="s">
        <v>108</v>
      </c>
      <c r="L983" t="s">
        <v>183</v>
      </c>
      <c r="M983" t="s">
        <v>184</v>
      </c>
      <c r="N983" t="s">
        <v>2648</v>
      </c>
      <c r="O983">
        <v>7286.52</v>
      </c>
      <c r="P983">
        <v>0</v>
      </c>
      <c r="Q983">
        <v>0</v>
      </c>
      <c r="R983">
        <v>102011.28</v>
      </c>
      <c r="S983">
        <v>33522.949999999997</v>
      </c>
    </row>
    <row r="984" spans="1:19" ht="15" customHeight="1" x14ac:dyDescent="0.25">
      <c r="A984" t="s">
        <v>2881</v>
      </c>
      <c r="B984" s="8">
        <v>45311</v>
      </c>
      <c r="C984" s="8">
        <v>45318</v>
      </c>
      <c r="D984" t="s">
        <v>210</v>
      </c>
      <c r="E984" t="s">
        <v>274</v>
      </c>
      <c r="F984" t="s">
        <v>2882</v>
      </c>
      <c r="G984">
        <v>9011702514</v>
      </c>
      <c r="H984" t="s">
        <v>43</v>
      </c>
      <c r="I984" t="s">
        <v>61</v>
      </c>
      <c r="J984" t="s">
        <v>182</v>
      </c>
      <c r="K984" t="s">
        <v>27</v>
      </c>
      <c r="L984" t="s">
        <v>79</v>
      </c>
      <c r="M984" t="s">
        <v>127</v>
      </c>
      <c r="N984">
        <v>7</v>
      </c>
      <c r="O984">
        <v>708.38</v>
      </c>
      <c r="P984">
        <v>5</v>
      </c>
      <c r="Q984">
        <v>247.93</v>
      </c>
      <c r="R984">
        <v>4710.7299999999996</v>
      </c>
      <c r="S984">
        <v>452.75</v>
      </c>
    </row>
    <row r="985" spans="1:19" ht="15" customHeight="1" x14ac:dyDescent="0.25">
      <c r="A985" t="s">
        <v>2883</v>
      </c>
      <c r="B985" s="8">
        <v>45638</v>
      </c>
      <c r="C985" s="8">
        <v>45644</v>
      </c>
      <c r="D985" t="s">
        <v>48</v>
      </c>
      <c r="E985" t="s">
        <v>2884</v>
      </c>
      <c r="F985" t="s">
        <v>2885</v>
      </c>
      <c r="G985">
        <v>8161788304</v>
      </c>
      <c r="H985" t="s">
        <v>43</v>
      </c>
      <c r="I985" t="s">
        <v>154</v>
      </c>
      <c r="J985" t="s">
        <v>155</v>
      </c>
      <c r="K985" t="s">
        <v>96</v>
      </c>
      <c r="L985" t="s">
        <v>189</v>
      </c>
      <c r="M985" t="s">
        <v>325</v>
      </c>
      <c r="N985">
        <v>4</v>
      </c>
      <c r="O985">
        <v>378180.72</v>
      </c>
      <c r="P985">
        <v>25</v>
      </c>
      <c r="Q985">
        <v>378180.72</v>
      </c>
      <c r="R985">
        <v>1134542.1599999999</v>
      </c>
      <c r="S985">
        <v>452842.23999999999</v>
      </c>
    </row>
    <row r="986" spans="1:19" ht="15" customHeight="1" x14ac:dyDescent="0.25">
      <c r="A986" t="s">
        <v>2886</v>
      </c>
      <c r="B986" s="8">
        <v>44925</v>
      </c>
      <c r="C986" s="8">
        <v>44928</v>
      </c>
      <c r="D986" t="s">
        <v>20</v>
      </c>
      <c r="E986" t="s">
        <v>1678</v>
      </c>
      <c r="F986" t="s">
        <v>2887</v>
      </c>
      <c r="G986">
        <v>7064148815</v>
      </c>
      <c r="H986" t="s">
        <v>24</v>
      </c>
      <c r="I986" t="s">
        <v>25</v>
      </c>
      <c r="J986" t="s">
        <v>44</v>
      </c>
      <c r="K986" t="s">
        <v>27</v>
      </c>
      <c r="L986" t="s">
        <v>79</v>
      </c>
      <c r="M986" t="s">
        <v>127</v>
      </c>
      <c r="N986">
        <v>5</v>
      </c>
      <c r="O986">
        <v>2362.06</v>
      </c>
      <c r="P986">
        <v>0</v>
      </c>
      <c r="Q986">
        <v>0</v>
      </c>
      <c r="R986">
        <v>11810.3</v>
      </c>
      <c r="S986">
        <v>-768.84</v>
      </c>
    </row>
    <row r="987" spans="1:19" ht="15" customHeight="1" x14ac:dyDescent="0.25">
      <c r="A987" t="s">
        <v>2888</v>
      </c>
      <c r="B987" s="8">
        <v>44911</v>
      </c>
      <c r="C987" s="8">
        <v>44914</v>
      </c>
      <c r="D987" t="s">
        <v>20</v>
      </c>
      <c r="E987" t="s">
        <v>595</v>
      </c>
      <c r="F987" t="s">
        <v>898</v>
      </c>
      <c r="G987">
        <v>8035072102</v>
      </c>
      <c r="H987" t="s">
        <v>24</v>
      </c>
      <c r="I987" t="s">
        <v>69</v>
      </c>
      <c r="J987" t="s">
        <v>155</v>
      </c>
      <c r="K987" t="s">
        <v>108</v>
      </c>
      <c r="L987" t="s">
        <v>109</v>
      </c>
      <c r="M987" t="s">
        <v>157</v>
      </c>
      <c r="N987">
        <v>17</v>
      </c>
      <c r="O987">
        <v>33056.730000000003</v>
      </c>
      <c r="P987">
        <v>15</v>
      </c>
      <c r="Q987">
        <v>84294.66</v>
      </c>
      <c r="R987">
        <v>477669.75</v>
      </c>
      <c r="S987">
        <v>-10353.69</v>
      </c>
    </row>
    <row r="988" spans="1:19" ht="15" customHeight="1" x14ac:dyDescent="0.25">
      <c r="A988" t="s">
        <v>2889</v>
      </c>
      <c r="B988" s="8">
        <v>44645</v>
      </c>
      <c r="C988" s="8">
        <v>44646</v>
      </c>
      <c r="D988" t="s">
        <v>32</v>
      </c>
      <c r="E988" t="s">
        <v>2890</v>
      </c>
      <c r="F988" t="s">
        <v>2891</v>
      </c>
      <c r="G988">
        <v>8106950477</v>
      </c>
      <c r="H988" t="s">
        <v>35</v>
      </c>
      <c r="I988" t="s">
        <v>1009</v>
      </c>
      <c r="J988" t="s">
        <v>223</v>
      </c>
      <c r="K988" t="s">
        <v>63</v>
      </c>
      <c r="L988" t="s">
        <v>194</v>
      </c>
      <c r="M988" t="s">
        <v>716</v>
      </c>
      <c r="N988">
        <v>2</v>
      </c>
      <c r="O988">
        <v>21723.7</v>
      </c>
      <c r="P988">
        <v>0</v>
      </c>
      <c r="Q988">
        <v>0</v>
      </c>
      <c r="R988">
        <v>43447.4</v>
      </c>
      <c r="S988">
        <v>3995.75</v>
      </c>
    </row>
    <row r="989" spans="1:19" ht="15" customHeight="1" x14ac:dyDescent="0.25">
      <c r="A989" t="s">
        <v>2892</v>
      </c>
      <c r="B989" s="8">
        <v>45163</v>
      </c>
      <c r="C989" s="8">
        <v>45166</v>
      </c>
      <c r="D989" t="s">
        <v>73</v>
      </c>
      <c r="E989" t="s">
        <v>2893</v>
      </c>
      <c r="F989" t="s">
        <v>2894</v>
      </c>
      <c r="G989">
        <v>8147329559</v>
      </c>
      <c r="H989" t="s">
        <v>43</v>
      </c>
      <c r="I989" t="s">
        <v>61</v>
      </c>
      <c r="J989" t="s">
        <v>182</v>
      </c>
      <c r="K989" t="s">
        <v>63</v>
      </c>
      <c r="L989" t="s">
        <v>64</v>
      </c>
      <c r="M989" t="s">
        <v>65</v>
      </c>
      <c r="N989">
        <v>17</v>
      </c>
      <c r="O989">
        <v>21645.56</v>
      </c>
      <c r="P989">
        <v>25</v>
      </c>
      <c r="Q989">
        <v>91993.63</v>
      </c>
      <c r="R989">
        <v>275980.89</v>
      </c>
      <c r="S989">
        <v>42260.9</v>
      </c>
    </row>
    <row r="990" spans="1:19" ht="15" customHeight="1" x14ac:dyDescent="0.25">
      <c r="A990" t="s">
        <v>2895</v>
      </c>
      <c r="B990" s="8">
        <v>45316</v>
      </c>
      <c r="C990" s="8">
        <v>45322</v>
      </c>
      <c r="D990" t="s">
        <v>48</v>
      </c>
      <c r="E990" t="s">
        <v>2669</v>
      </c>
      <c r="F990" t="s">
        <v>2896</v>
      </c>
      <c r="G990">
        <v>8035621002</v>
      </c>
      <c r="H990" t="s">
        <v>24</v>
      </c>
      <c r="I990" t="s">
        <v>25</v>
      </c>
      <c r="J990" t="s">
        <v>126</v>
      </c>
      <c r="K990" t="s">
        <v>63</v>
      </c>
      <c r="L990" t="s">
        <v>469</v>
      </c>
      <c r="M990" t="s">
        <v>1595</v>
      </c>
      <c r="N990">
        <v>2</v>
      </c>
      <c r="O990">
        <v>11909.23</v>
      </c>
      <c r="P990">
        <v>10</v>
      </c>
      <c r="Q990">
        <v>2381.85</v>
      </c>
      <c r="R990">
        <v>21436.61</v>
      </c>
      <c r="S990">
        <v>-2732.64</v>
      </c>
    </row>
    <row r="991" spans="1:19" ht="15" customHeight="1" x14ac:dyDescent="0.25">
      <c r="A991" t="s">
        <v>2897</v>
      </c>
      <c r="B991" s="8">
        <v>45004</v>
      </c>
      <c r="C991" s="8">
        <v>45007</v>
      </c>
      <c r="D991" t="s">
        <v>73</v>
      </c>
      <c r="E991" t="s">
        <v>2898</v>
      </c>
      <c r="F991" t="s">
        <v>2899</v>
      </c>
      <c r="G991">
        <v>9056286061</v>
      </c>
      <c r="H991" t="s">
        <v>35</v>
      </c>
      <c r="I991" t="s">
        <v>25</v>
      </c>
      <c r="J991" t="s">
        <v>44</v>
      </c>
      <c r="K991" t="s">
        <v>96</v>
      </c>
      <c r="L991" t="s">
        <v>189</v>
      </c>
      <c r="M991" t="s">
        <v>190</v>
      </c>
      <c r="N991">
        <v>4</v>
      </c>
      <c r="O991">
        <v>365916.67</v>
      </c>
      <c r="P991">
        <v>0</v>
      </c>
      <c r="Q991">
        <v>0</v>
      </c>
      <c r="R991">
        <v>1463666.68</v>
      </c>
      <c r="S991">
        <v>-136494.32999999999</v>
      </c>
    </row>
    <row r="992" spans="1:19" ht="15" customHeight="1" x14ac:dyDescent="0.25">
      <c r="A992" t="s">
        <v>2900</v>
      </c>
      <c r="B992" s="8">
        <v>44660</v>
      </c>
      <c r="C992" s="8">
        <v>44666</v>
      </c>
      <c r="D992" t="s">
        <v>48</v>
      </c>
      <c r="E992" t="s">
        <v>2689</v>
      </c>
      <c r="F992" t="s">
        <v>2901</v>
      </c>
      <c r="G992">
        <v>9074321723</v>
      </c>
      <c r="H992" t="s">
        <v>43</v>
      </c>
      <c r="I992" t="s">
        <v>69</v>
      </c>
      <c r="J992" t="s">
        <v>155</v>
      </c>
      <c r="K992" t="s">
        <v>108</v>
      </c>
      <c r="L992" t="s">
        <v>109</v>
      </c>
      <c r="M992" t="s">
        <v>1258</v>
      </c>
      <c r="N992">
        <v>11</v>
      </c>
      <c r="O992">
        <v>19414.759999999998</v>
      </c>
      <c r="P992">
        <v>5</v>
      </c>
      <c r="Q992">
        <v>10678.12</v>
      </c>
      <c r="R992">
        <v>202884.24</v>
      </c>
      <c r="S992">
        <v>-25659.439999999999</v>
      </c>
    </row>
    <row r="993" spans="1:19" ht="15" customHeight="1" x14ac:dyDescent="0.25">
      <c r="A993" t="s">
        <v>2902</v>
      </c>
      <c r="B993" s="8">
        <v>44733</v>
      </c>
      <c r="C993" s="8">
        <v>44741</v>
      </c>
      <c r="D993" t="s">
        <v>48</v>
      </c>
      <c r="E993" t="s">
        <v>965</v>
      </c>
      <c r="F993" t="s">
        <v>966</v>
      </c>
      <c r="G993">
        <v>8149400075</v>
      </c>
      <c r="H993" t="s">
        <v>24</v>
      </c>
      <c r="I993" t="s">
        <v>588</v>
      </c>
      <c r="J993" t="s">
        <v>307</v>
      </c>
      <c r="K993" t="s">
        <v>108</v>
      </c>
      <c r="L993" t="s">
        <v>189</v>
      </c>
      <c r="M993" t="s">
        <v>205</v>
      </c>
      <c r="N993">
        <v>1</v>
      </c>
      <c r="O993">
        <v>40348.43</v>
      </c>
      <c r="P993">
        <v>0</v>
      </c>
      <c r="Q993">
        <v>0</v>
      </c>
      <c r="R993">
        <v>40348.43</v>
      </c>
      <c r="S993">
        <v>-999.75</v>
      </c>
    </row>
    <row r="994" spans="1:19" ht="15" customHeight="1" x14ac:dyDescent="0.25">
      <c r="A994" t="s">
        <v>2903</v>
      </c>
      <c r="B994" s="8">
        <v>45247</v>
      </c>
      <c r="C994" s="8">
        <v>45255</v>
      </c>
      <c r="D994" t="s">
        <v>48</v>
      </c>
      <c r="E994" t="s">
        <v>260</v>
      </c>
      <c r="F994" t="s">
        <v>2904</v>
      </c>
      <c r="G994">
        <v>8039789075</v>
      </c>
      <c r="H994" t="s">
        <v>24</v>
      </c>
      <c r="I994" t="s">
        <v>25</v>
      </c>
      <c r="J994" t="s">
        <v>26</v>
      </c>
      <c r="K994" t="s">
        <v>96</v>
      </c>
      <c r="L994" t="s">
        <v>385</v>
      </c>
      <c r="M994" t="s">
        <v>942</v>
      </c>
      <c r="N994">
        <v>16</v>
      </c>
      <c r="O994">
        <v>160225.60000000001</v>
      </c>
      <c r="P994">
        <v>10</v>
      </c>
      <c r="Q994">
        <v>256360.95999999999</v>
      </c>
      <c r="R994">
        <v>2307248.64</v>
      </c>
      <c r="S994">
        <v>663464.79</v>
      </c>
    </row>
    <row r="995" spans="1:19" ht="15" customHeight="1" x14ac:dyDescent="0.25">
      <c r="A995" t="s">
        <v>2905</v>
      </c>
      <c r="B995" s="8">
        <v>45364</v>
      </c>
      <c r="C995" s="8">
        <v>45368</v>
      </c>
      <c r="D995" t="s">
        <v>73</v>
      </c>
      <c r="E995" t="s">
        <v>2906</v>
      </c>
      <c r="F995" t="s">
        <v>2907</v>
      </c>
      <c r="G995">
        <v>8101972156</v>
      </c>
      <c r="H995" t="s">
        <v>35</v>
      </c>
      <c r="I995" t="s">
        <v>25</v>
      </c>
      <c r="J995" t="s">
        <v>168</v>
      </c>
      <c r="K995" t="s">
        <v>96</v>
      </c>
      <c r="L995" t="s">
        <v>97</v>
      </c>
      <c r="M995" t="s">
        <v>169</v>
      </c>
      <c r="N995">
        <v>4</v>
      </c>
      <c r="O995">
        <v>45847.02</v>
      </c>
      <c r="P995">
        <v>25</v>
      </c>
      <c r="Q995">
        <v>45847.02</v>
      </c>
      <c r="R995">
        <v>137541.06</v>
      </c>
      <c r="S995">
        <v>32125.89</v>
      </c>
    </row>
    <row r="996" spans="1:19" ht="15" customHeight="1" x14ac:dyDescent="0.25">
      <c r="A996" t="s">
        <v>2908</v>
      </c>
      <c r="B996" s="8">
        <v>45024</v>
      </c>
      <c r="C996" s="8">
        <v>45026</v>
      </c>
      <c r="D996" t="s">
        <v>20</v>
      </c>
      <c r="E996" t="s">
        <v>441</v>
      </c>
      <c r="F996" t="s">
        <v>2909</v>
      </c>
      <c r="G996">
        <v>7031442518</v>
      </c>
      <c r="H996" t="s">
        <v>24</v>
      </c>
      <c r="I996" t="s">
        <v>51</v>
      </c>
      <c r="J996" t="s">
        <v>52</v>
      </c>
      <c r="K996" t="s">
        <v>27</v>
      </c>
      <c r="L996" t="s">
        <v>354</v>
      </c>
      <c r="M996" t="s">
        <v>433</v>
      </c>
      <c r="N996">
        <v>6</v>
      </c>
      <c r="O996">
        <v>1799.24</v>
      </c>
      <c r="P996">
        <v>5</v>
      </c>
      <c r="Q996">
        <v>539.77</v>
      </c>
      <c r="R996">
        <v>10255.67</v>
      </c>
      <c r="S996">
        <v>2194.11</v>
      </c>
    </row>
    <row r="997" spans="1:19" ht="15" customHeight="1" x14ac:dyDescent="0.25">
      <c r="A997" t="s">
        <v>2910</v>
      </c>
      <c r="B997" s="8">
        <v>45125</v>
      </c>
      <c r="C997" s="8">
        <v>45126</v>
      </c>
      <c r="D997" t="s">
        <v>32</v>
      </c>
      <c r="E997" t="s">
        <v>2911</v>
      </c>
      <c r="F997" t="s">
        <v>2912</v>
      </c>
      <c r="G997">
        <v>8065280661</v>
      </c>
      <c r="H997" t="s">
        <v>35</v>
      </c>
      <c r="I997" t="s">
        <v>61</v>
      </c>
      <c r="J997" t="s">
        <v>95</v>
      </c>
      <c r="K997" t="s">
        <v>96</v>
      </c>
      <c r="L997" t="s">
        <v>97</v>
      </c>
      <c r="M997" t="s">
        <v>443</v>
      </c>
      <c r="N997">
        <v>14</v>
      </c>
      <c r="O997">
        <v>241060.91</v>
      </c>
      <c r="P997">
        <v>0</v>
      </c>
      <c r="Q997">
        <v>0</v>
      </c>
      <c r="R997">
        <v>3374852.74</v>
      </c>
      <c r="S997">
        <v>1173604.52</v>
      </c>
    </row>
    <row r="998" spans="1:19" ht="15" customHeight="1" x14ac:dyDescent="0.25">
      <c r="A998" t="s">
        <v>2913</v>
      </c>
      <c r="B998" s="8" t="s">
        <v>2914</v>
      </c>
      <c r="C998" s="8">
        <v>45372</v>
      </c>
      <c r="D998" t="s">
        <v>32</v>
      </c>
      <c r="E998" t="s">
        <v>944</v>
      </c>
      <c r="F998" t="s">
        <v>945</v>
      </c>
      <c r="G998">
        <v>8152610366</v>
      </c>
      <c r="H998" t="s">
        <v>35</v>
      </c>
      <c r="I998" t="s">
        <v>25</v>
      </c>
      <c r="J998" t="s">
        <v>44</v>
      </c>
      <c r="K998" t="s">
        <v>96</v>
      </c>
      <c r="L998" t="s">
        <v>385</v>
      </c>
      <c r="M998" t="s">
        <v>942</v>
      </c>
      <c r="N998">
        <v>1</v>
      </c>
      <c r="O998">
        <v>354433.44</v>
      </c>
      <c r="P998">
        <v>0</v>
      </c>
      <c r="Q998">
        <v>0</v>
      </c>
      <c r="R998">
        <v>354433.44</v>
      </c>
      <c r="S998">
        <v>147553.75</v>
      </c>
    </row>
    <row r="999" spans="1:19" ht="15" customHeight="1" x14ac:dyDescent="0.25">
      <c r="A999" t="s">
        <v>2915</v>
      </c>
      <c r="B999" s="8">
        <v>45361</v>
      </c>
      <c r="C999" s="8">
        <v>45364</v>
      </c>
      <c r="D999" t="s">
        <v>20</v>
      </c>
      <c r="E999" t="s">
        <v>978</v>
      </c>
      <c r="F999" t="s">
        <v>2916</v>
      </c>
      <c r="G999">
        <v>7063583553</v>
      </c>
      <c r="H999" t="s">
        <v>35</v>
      </c>
      <c r="I999" t="s">
        <v>25</v>
      </c>
      <c r="J999" t="s">
        <v>36</v>
      </c>
      <c r="K999" t="s">
        <v>108</v>
      </c>
      <c r="L999" t="s">
        <v>114</v>
      </c>
      <c r="M999" t="s">
        <v>482</v>
      </c>
      <c r="N999">
        <v>7</v>
      </c>
      <c r="O999">
        <v>42433.3</v>
      </c>
      <c r="P999">
        <v>0</v>
      </c>
      <c r="Q999">
        <v>0</v>
      </c>
      <c r="R999">
        <v>297033.09999999998</v>
      </c>
      <c r="S999">
        <v>125250.55</v>
      </c>
    </row>
    <row r="1000" spans="1:19" ht="15" customHeight="1" x14ac:dyDescent="0.25">
      <c r="A1000" t="s">
        <v>2917</v>
      </c>
      <c r="B1000" s="8">
        <v>44668</v>
      </c>
      <c r="C1000" s="8">
        <v>44671</v>
      </c>
      <c r="D1000" t="s">
        <v>20</v>
      </c>
      <c r="E1000" t="s">
        <v>2918</v>
      </c>
      <c r="F1000" t="s">
        <v>2919</v>
      </c>
      <c r="G1000">
        <v>7062824919</v>
      </c>
      <c r="H1000" t="s">
        <v>43</v>
      </c>
      <c r="I1000" t="s">
        <v>61</v>
      </c>
      <c r="J1000" t="s">
        <v>182</v>
      </c>
      <c r="K1000" t="s">
        <v>108</v>
      </c>
      <c r="L1000" t="s">
        <v>183</v>
      </c>
      <c r="M1000" t="s">
        <v>869</v>
      </c>
      <c r="N1000">
        <v>5</v>
      </c>
      <c r="O1000">
        <v>34811.24</v>
      </c>
      <c r="P1000">
        <v>5</v>
      </c>
      <c r="Q1000">
        <v>8702.81</v>
      </c>
      <c r="R1000">
        <v>165353.39000000001</v>
      </c>
      <c r="S1000">
        <v>72813.679999999993</v>
      </c>
    </row>
    <row r="1001" spans="1:19" ht="15" customHeight="1" x14ac:dyDescent="0.25">
      <c r="A1001" t="s">
        <v>2920</v>
      </c>
      <c r="B1001" s="8">
        <v>44799</v>
      </c>
      <c r="C1001" s="8">
        <v>44805</v>
      </c>
      <c r="D1001" t="s">
        <v>48</v>
      </c>
      <c r="E1001" t="s">
        <v>2659</v>
      </c>
      <c r="F1001" t="s">
        <v>2921</v>
      </c>
      <c r="G1001">
        <v>9029855180</v>
      </c>
      <c r="H1001" t="s">
        <v>24</v>
      </c>
      <c r="I1001" t="s">
        <v>51</v>
      </c>
      <c r="J1001" t="s">
        <v>223</v>
      </c>
      <c r="K1001" t="s">
        <v>108</v>
      </c>
      <c r="L1001" t="s">
        <v>109</v>
      </c>
      <c r="M1001" t="s">
        <v>157</v>
      </c>
      <c r="N1001">
        <v>16</v>
      </c>
      <c r="O1001">
        <v>14832.93</v>
      </c>
      <c r="P1001">
        <v>25</v>
      </c>
      <c r="Q1001">
        <v>59331.72</v>
      </c>
      <c r="R1001">
        <v>177995.16</v>
      </c>
      <c r="S1001">
        <v>51973.67</v>
      </c>
    </row>
    <row r="1002" spans="1:19" x14ac:dyDescent="0.25">
      <c r="A1002" t="s">
        <v>2922</v>
      </c>
      <c r="B1002" s="8">
        <v>45040</v>
      </c>
      <c r="C1002" s="8">
        <v>45045</v>
      </c>
      <c r="D1002" t="s">
        <v>73</v>
      </c>
      <c r="E1002" t="s">
        <v>2923</v>
      </c>
      <c r="F1002" t="s">
        <v>2924</v>
      </c>
      <c r="G1002">
        <v>8032719240</v>
      </c>
      <c r="H1002" t="s">
        <v>35</v>
      </c>
      <c r="I1002" t="s">
        <v>61</v>
      </c>
      <c r="J1002" t="s">
        <v>204</v>
      </c>
      <c r="K1002" t="s">
        <v>63</v>
      </c>
      <c r="L1002" t="s">
        <v>64</v>
      </c>
      <c r="M1002" t="s">
        <v>815</v>
      </c>
      <c r="N1002">
        <v>2</v>
      </c>
      <c r="O1002">
        <v>15339.21</v>
      </c>
      <c r="P1002">
        <v>25</v>
      </c>
      <c r="Q1002">
        <v>7669.6</v>
      </c>
      <c r="R1002">
        <v>23008.82</v>
      </c>
      <c r="S1002">
        <v>1632.38</v>
      </c>
    </row>
    <row r="1003" spans="1:19" x14ac:dyDescent="0.25">
      <c r="A1003" t="s">
        <v>2925</v>
      </c>
      <c r="B1003" s="8">
        <v>44594</v>
      </c>
      <c r="C1003" s="8">
        <v>44599</v>
      </c>
      <c r="D1003" t="s">
        <v>73</v>
      </c>
      <c r="E1003" t="s">
        <v>2274</v>
      </c>
      <c r="F1003" t="s">
        <v>2926</v>
      </c>
      <c r="G1003">
        <v>7068058810</v>
      </c>
      <c r="H1003" t="s">
        <v>43</v>
      </c>
      <c r="I1003" t="s">
        <v>25</v>
      </c>
      <c r="J1003" t="s">
        <v>44</v>
      </c>
      <c r="K1003" t="s">
        <v>2052</v>
      </c>
      <c r="L1003" t="s">
        <v>173</v>
      </c>
      <c r="M1003" t="s">
        <v>662</v>
      </c>
      <c r="N1003">
        <v>10</v>
      </c>
      <c r="O1003">
        <v>6995.77</v>
      </c>
      <c r="P1003">
        <v>25</v>
      </c>
      <c r="Q1003">
        <v>17489.43</v>
      </c>
      <c r="R1003">
        <v>52468.27</v>
      </c>
      <c r="S1003">
        <v>12332.65</v>
      </c>
    </row>
    <row r="1004" spans="1:19" x14ac:dyDescent="0.25">
      <c r="A1004" t="s">
        <v>2927</v>
      </c>
      <c r="B1004" s="8">
        <v>44859</v>
      </c>
      <c r="C1004" s="8">
        <v>44862</v>
      </c>
      <c r="D1004" t="s">
        <v>20</v>
      </c>
      <c r="E1004" t="s">
        <v>2928</v>
      </c>
      <c r="F1004" t="s">
        <v>2929</v>
      </c>
      <c r="G1004">
        <v>8106542417</v>
      </c>
      <c r="H1004" t="s">
        <v>24</v>
      </c>
      <c r="I1004" t="s">
        <v>69</v>
      </c>
      <c r="J1004" t="s">
        <v>307</v>
      </c>
      <c r="K1004" t="s">
        <v>27</v>
      </c>
      <c r="L1004" t="s">
        <v>79</v>
      </c>
      <c r="M1004" t="s">
        <v>80</v>
      </c>
      <c r="N1004">
        <v>17</v>
      </c>
      <c r="O1004">
        <v>463.8</v>
      </c>
      <c r="P1004">
        <v>10</v>
      </c>
      <c r="Q1004">
        <v>788.46</v>
      </c>
      <c r="R1004">
        <v>7096.14</v>
      </c>
      <c r="S1004">
        <v>1360.25</v>
      </c>
    </row>
    <row r="1005" spans="1:19" x14ac:dyDescent="0.25">
      <c r="A1005" t="s">
        <v>2930</v>
      </c>
      <c r="B1005" s="8">
        <v>44940</v>
      </c>
      <c r="C1005" s="8">
        <v>44946</v>
      </c>
      <c r="D1005" t="s">
        <v>48</v>
      </c>
      <c r="E1005" t="s">
        <v>2931</v>
      </c>
      <c r="F1005" t="s">
        <v>2932</v>
      </c>
      <c r="G1005">
        <v>9028212098</v>
      </c>
      <c r="H1005" t="s">
        <v>125</v>
      </c>
      <c r="I1005" t="s">
        <v>61</v>
      </c>
      <c r="J1005" t="s">
        <v>62</v>
      </c>
      <c r="L1005" t="s">
        <v>189</v>
      </c>
      <c r="M1005" t="s">
        <v>205</v>
      </c>
      <c r="N1005">
        <v>2</v>
      </c>
      <c r="O1005">
        <v>43307.01</v>
      </c>
      <c r="P1005">
        <v>15</v>
      </c>
      <c r="Q1005">
        <v>12992.1</v>
      </c>
      <c r="R1005">
        <v>73621.919999999998</v>
      </c>
      <c r="S1005">
        <v>16442.04</v>
      </c>
    </row>
    <row r="1006" spans="1:19" x14ac:dyDescent="0.25">
      <c r="A1006" t="s">
        <v>2933</v>
      </c>
      <c r="B1006" s="8">
        <v>45377</v>
      </c>
      <c r="D1006" t="s">
        <v>73</v>
      </c>
      <c r="E1006" t="s">
        <v>294</v>
      </c>
      <c r="F1006" t="s">
        <v>2934</v>
      </c>
      <c r="G1006">
        <v>8038415350</v>
      </c>
      <c r="H1006" t="s">
        <v>43</v>
      </c>
      <c r="I1006" t="s">
        <v>25</v>
      </c>
      <c r="J1006" t="s">
        <v>36</v>
      </c>
      <c r="K1006" t="s">
        <v>85</v>
      </c>
      <c r="L1006" t="s">
        <v>218</v>
      </c>
      <c r="M1006" t="s">
        <v>1058</v>
      </c>
      <c r="N1006">
        <v>8</v>
      </c>
      <c r="O1006">
        <v>104605.46</v>
      </c>
      <c r="P1006">
        <v>25</v>
      </c>
      <c r="Q1006">
        <v>209210.92</v>
      </c>
      <c r="R1006">
        <v>627632.76</v>
      </c>
      <c r="S1006">
        <v>134337.67000000001</v>
      </c>
    </row>
    <row r="1007" spans="1:19" x14ac:dyDescent="0.25">
      <c r="A1007" t="s">
        <v>2935</v>
      </c>
      <c r="B1007" s="8">
        <v>45627</v>
      </c>
      <c r="C1007" s="8">
        <v>45630</v>
      </c>
      <c r="D1007" t="s">
        <v>73</v>
      </c>
      <c r="E1007" t="s">
        <v>2936</v>
      </c>
      <c r="F1007" t="s">
        <v>2937</v>
      </c>
      <c r="G1007">
        <v>8035776497</v>
      </c>
      <c r="H1007" t="s">
        <v>43</v>
      </c>
      <c r="I1007" t="s">
        <v>51</v>
      </c>
      <c r="J1007" t="s">
        <v>227</v>
      </c>
      <c r="K1007" t="s">
        <v>96</v>
      </c>
      <c r="L1007" t="s">
        <v>97</v>
      </c>
      <c r="M1007" t="s">
        <v>230</v>
      </c>
      <c r="N1007">
        <v>4</v>
      </c>
      <c r="O1007">
        <v>400967.98</v>
      </c>
      <c r="P1007">
        <v>0</v>
      </c>
      <c r="Q1007">
        <v>0</v>
      </c>
      <c r="R1007">
        <v>1603871.92</v>
      </c>
      <c r="S1007">
        <v>627673.84</v>
      </c>
    </row>
    <row r="1008" spans="1:19" x14ac:dyDescent="0.25">
      <c r="A1008" t="s">
        <v>2938</v>
      </c>
      <c r="B1008" s="8">
        <v>45393</v>
      </c>
      <c r="C1008" s="8">
        <v>45398</v>
      </c>
      <c r="D1008" t="s">
        <v>73</v>
      </c>
      <c r="E1008" t="s">
        <v>2072</v>
      </c>
      <c r="F1008" t="s">
        <v>2939</v>
      </c>
      <c r="G1008">
        <v>7065463386</v>
      </c>
      <c r="H1008" t="s">
        <v>35</v>
      </c>
      <c r="I1008" t="s">
        <v>69</v>
      </c>
      <c r="J1008" t="s">
        <v>144</v>
      </c>
      <c r="K1008" t="s">
        <v>96</v>
      </c>
      <c r="L1008" t="s">
        <v>254</v>
      </c>
      <c r="M1008" t="s">
        <v>530</v>
      </c>
      <c r="N1008">
        <v>12</v>
      </c>
      <c r="O1008">
        <v>264217.28000000003</v>
      </c>
      <c r="P1008">
        <v>15</v>
      </c>
      <c r="Q1008">
        <v>475591.1</v>
      </c>
      <c r="R1008">
        <v>2695016.26</v>
      </c>
      <c r="S1008">
        <v>615034.24</v>
      </c>
    </row>
    <row r="1009" spans="1:19" x14ac:dyDescent="0.25">
      <c r="A1009" t="s">
        <v>2940</v>
      </c>
      <c r="B1009" s="8">
        <v>45434</v>
      </c>
      <c r="C1009" s="8">
        <v>45434</v>
      </c>
      <c r="D1009" t="s">
        <v>32</v>
      </c>
      <c r="E1009" t="s">
        <v>2040</v>
      </c>
      <c r="F1009" t="s">
        <v>2749</v>
      </c>
      <c r="G1009">
        <v>9029866836</v>
      </c>
      <c r="H1009" t="s">
        <v>24</v>
      </c>
      <c r="I1009" t="s">
        <v>61</v>
      </c>
      <c r="J1009" t="s">
        <v>95</v>
      </c>
      <c r="K1009" t="s">
        <v>63</v>
      </c>
      <c r="L1009" t="s">
        <v>312</v>
      </c>
      <c r="M1009" t="s">
        <v>761</v>
      </c>
      <c r="N1009">
        <v>4</v>
      </c>
      <c r="O1009">
        <v>24521.62</v>
      </c>
      <c r="P1009">
        <v>10</v>
      </c>
      <c r="Q1009">
        <v>9808.65</v>
      </c>
      <c r="R1009">
        <v>88277.83</v>
      </c>
      <c r="S1009">
        <v>31425.56</v>
      </c>
    </row>
    <row r="1010" spans="1:19" x14ac:dyDescent="0.25">
      <c r="A1010" t="s">
        <v>2941</v>
      </c>
      <c r="B1010" s="8">
        <v>45054</v>
      </c>
      <c r="C1010" s="8">
        <v>45059</v>
      </c>
      <c r="D1010" t="s">
        <v>73</v>
      </c>
      <c r="E1010" t="s">
        <v>2942</v>
      </c>
      <c r="F1010" t="s">
        <v>2943</v>
      </c>
      <c r="G1010">
        <v>9071680518</v>
      </c>
      <c r="H1010" t="s">
        <v>24</v>
      </c>
      <c r="I1010" t="s">
        <v>51</v>
      </c>
      <c r="J1010" t="s">
        <v>316</v>
      </c>
      <c r="K1010" t="s">
        <v>96</v>
      </c>
      <c r="L1010" t="s">
        <v>385</v>
      </c>
      <c r="M1010" t="s">
        <v>942</v>
      </c>
      <c r="N1010">
        <v>1</v>
      </c>
      <c r="O1010">
        <v>342264.79</v>
      </c>
      <c r="P1010">
        <v>0</v>
      </c>
      <c r="Q1010">
        <v>0</v>
      </c>
      <c r="R1010">
        <v>342264.79</v>
      </c>
      <c r="S1010">
        <v>85781.759999999995</v>
      </c>
    </row>
    <row r="1011" spans="1:19" x14ac:dyDescent="0.25">
      <c r="A1011" t="s">
        <v>2944</v>
      </c>
      <c r="B1011" s="8">
        <v>44690</v>
      </c>
      <c r="C1011" s="8">
        <v>44690</v>
      </c>
      <c r="D1011" t="s">
        <v>32</v>
      </c>
      <c r="E1011" t="s">
        <v>2945</v>
      </c>
      <c r="F1011" t="s">
        <v>2946</v>
      </c>
      <c r="G1011">
        <v>8154389982</v>
      </c>
      <c r="H1011" t="s">
        <v>43</v>
      </c>
      <c r="I1011" t="s">
        <v>69</v>
      </c>
      <c r="J1011" t="s">
        <v>155</v>
      </c>
      <c r="K1011" t="s">
        <v>96</v>
      </c>
      <c r="L1011" t="s">
        <v>120</v>
      </c>
      <c r="M1011" t="s">
        <v>359</v>
      </c>
      <c r="N1011">
        <v>11</v>
      </c>
      <c r="O1011">
        <v>369226.48</v>
      </c>
      <c r="P1011">
        <v>0</v>
      </c>
      <c r="Q1011">
        <v>0</v>
      </c>
      <c r="R1011" t="s">
        <v>2947</v>
      </c>
      <c r="S1011">
        <v>-492457.07</v>
      </c>
    </row>
    <row r="1012" spans="1:19" x14ac:dyDescent="0.25">
      <c r="A1012" t="s">
        <v>2948</v>
      </c>
      <c r="B1012" s="8">
        <v>45133</v>
      </c>
      <c r="C1012" s="8">
        <v>45138</v>
      </c>
      <c r="D1012" t="s">
        <v>48</v>
      </c>
      <c r="E1012" t="s">
        <v>2890</v>
      </c>
      <c r="F1012" t="s">
        <v>2949</v>
      </c>
      <c r="G1012">
        <v>8036392076</v>
      </c>
      <c r="H1012" t="s">
        <v>24</v>
      </c>
      <c r="I1012" t="s">
        <v>25</v>
      </c>
      <c r="J1012" t="s">
        <v>168</v>
      </c>
      <c r="K1012" t="s">
        <v>96</v>
      </c>
      <c r="L1012" t="s">
        <v>189</v>
      </c>
      <c r="M1012" t="s">
        <v>478</v>
      </c>
      <c r="N1012">
        <v>17</v>
      </c>
      <c r="O1012">
        <v>351539.63</v>
      </c>
      <c r="P1012">
        <v>5</v>
      </c>
      <c r="Q1012">
        <v>298808.69</v>
      </c>
      <c r="R1012">
        <v>5677365.0199999996</v>
      </c>
      <c r="S1012">
        <v>2118249.8199999998</v>
      </c>
    </row>
    <row r="1013" spans="1:19" x14ac:dyDescent="0.25">
      <c r="A1013" t="s">
        <v>2950</v>
      </c>
      <c r="B1013" s="8">
        <v>44665</v>
      </c>
      <c r="C1013" s="8">
        <v>44670</v>
      </c>
      <c r="D1013" t="s">
        <v>73</v>
      </c>
      <c r="E1013" t="s">
        <v>2951</v>
      </c>
      <c r="F1013" t="s">
        <v>2952</v>
      </c>
      <c r="G1013">
        <v>8161282157</v>
      </c>
      <c r="H1013" t="s">
        <v>24</v>
      </c>
      <c r="I1013" t="s">
        <v>69</v>
      </c>
      <c r="J1013" t="s">
        <v>70</v>
      </c>
      <c r="K1013" t="s">
        <v>108</v>
      </c>
      <c r="L1013" t="s">
        <v>183</v>
      </c>
      <c r="M1013" t="s">
        <v>869</v>
      </c>
      <c r="N1013">
        <v>13</v>
      </c>
      <c r="O1013">
        <v>27749.94</v>
      </c>
      <c r="P1013">
        <v>0</v>
      </c>
      <c r="Q1013">
        <v>0</v>
      </c>
      <c r="R1013">
        <v>360749.22</v>
      </c>
      <c r="S1013">
        <v>-41518.92</v>
      </c>
    </row>
    <row r="1014" spans="1:19" x14ac:dyDescent="0.25">
      <c r="A1014" t="s">
        <v>2953</v>
      </c>
      <c r="B1014" s="8">
        <v>45405</v>
      </c>
      <c r="C1014" s="8">
        <v>45405</v>
      </c>
      <c r="D1014" t="s">
        <v>32</v>
      </c>
      <c r="E1014" t="s">
        <v>2954</v>
      </c>
      <c r="F1014" t="s">
        <v>2955</v>
      </c>
      <c r="G1014">
        <v>8032544670</v>
      </c>
      <c r="H1014" t="s">
        <v>24</v>
      </c>
      <c r="I1014" t="s">
        <v>69</v>
      </c>
      <c r="J1014" t="s">
        <v>119</v>
      </c>
      <c r="K1014" t="s">
        <v>108</v>
      </c>
      <c r="L1014" t="s">
        <v>183</v>
      </c>
      <c r="M1014" t="s">
        <v>869</v>
      </c>
      <c r="N1014">
        <v>6</v>
      </c>
      <c r="O1014">
        <v>41692.870000000003</v>
      </c>
      <c r="P1014">
        <v>0</v>
      </c>
      <c r="Q1014">
        <v>0</v>
      </c>
      <c r="R1014">
        <v>250157.22</v>
      </c>
      <c r="S1014">
        <v>77915.94</v>
      </c>
    </row>
    <row r="1015" spans="1:19" x14ac:dyDescent="0.25">
      <c r="A1015" t="s">
        <v>2956</v>
      </c>
      <c r="B1015" s="8">
        <v>44699</v>
      </c>
      <c r="C1015" s="8">
        <v>44701</v>
      </c>
      <c r="D1015" t="s">
        <v>20</v>
      </c>
      <c r="E1015" t="s">
        <v>1248</v>
      </c>
      <c r="F1015" t="s">
        <v>2957</v>
      </c>
      <c r="G1015">
        <v>8132496306</v>
      </c>
      <c r="H1015" t="s">
        <v>43</v>
      </c>
      <c r="I1015" t="s">
        <v>51</v>
      </c>
      <c r="J1015" t="s">
        <v>52</v>
      </c>
      <c r="K1015" t="s">
        <v>85</v>
      </c>
      <c r="L1015" t="s">
        <v>243</v>
      </c>
      <c r="M1015" t="s">
        <v>404</v>
      </c>
      <c r="N1015">
        <v>6</v>
      </c>
      <c r="O1015">
        <v>130966.05</v>
      </c>
      <c r="P1015">
        <v>5</v>
      </c>
      <c r="Q1015">
        <v>39289.82</v>
      </c>
      <c r="R1015">
        <v>746506.48</v>
      </c>
      <c r="S1015">
        <v>42434.92</v>
      </c>
    </row>
    <row r="1016" spans="1:19" x14ac:dyDescent="0.25">
      <c r="A1016" t="s">
        <v>2958</v>
      </c>
      <c r="B1016" s="8">
        <v>45512</v>
      </c>
      <c r="C1016" s="8">
        <v>45517</v>
      </c>
      <c r="D1016" t="s">
        <v>48</v>
      </c>
      <c r="E1016" t="s">
        <v>2959</v>
      </c>
      <c r="F1016" t="s">
        <v>2960</v>
      </c>
      <c r="G1016">
        <v>9072705514</v>
      </c>
      <c r="H1016" t="s">
        <v>43</v>
      </c>
      <c r="I1016" t="s">
        <v>69</v>
      </c>
      <c r="J1016" t="s">
        <v>307</v>
      </c>
      <c r="K1016" t="s">
        <v>2186</v>
      </c>
      <c r="L1016" t="s">
        <v>254</v>
      </c>
      <c r="M1016" t="s">
        <v>255</v>
      </c>
      <c r="N1016">
        <v>4</v>
      </c>
      <c r="O1016">
        <v>15202.03</v>
      </c>
      <c r="P1016">
        <v>5</v>
      </c>
      <c r="Q1016">
        <v>3040.41</v>
      </c>
      <c r="R1016">
        <v>57767.71</v>
      </c>
      <c r="S1016">
        <v>17342.02</v>
      </c>
    </row>
    <row r="1017" spans="1:19" x14ac:dyDescent="0.25">
      <c r="A1017" t="s">
        <v>2961</v>
      </c>
      <c r="B1017" s="8">
        <v>44833</v>
      </c>
      <c r="C1017" s="8">
        <v>44836</v>
      </c>
      <c r="D1017" t="s">
        <v>20</v>
      </c>
      <c r="E1017" t="s">
        <v>991</v>
      </c>
      <c r="F1017" t="s">
        <v>2809</v>
      </c>
      <c r="G1017">
        <v>7063034475</v>
      </c>
      <c r="H1017" t="s">
        <v>24</v>
      </c>
      <c r="I1017" t="s">
        <v>61</v>
      </c>
      <c r="J1017" t="s">
        <v>84</v>
      </c>
      <c r="K1017" t="s">
        <v>85</v>
      </c>
      <c r="L1017" t="s">
        <v>218</v>
      </c>
      <c r="M1017" t="s">
        <v>219</v>
      </c>
      <c r="N1017">
        <v>18</v>
      </c>
      <c r="O1017">
        <v>20785.8</v>
      </c>
      <c r="P1017">
        <v>10</v>
      </c>
      <c r="Q1017">
        <v>37414.44</v>
      </c>
      <c r="R1017">
        <v>336729.96</v>
      </c>
      <c r="S1017">
        <v>11536.01</v>
      </c>
    </row>
    <row r="1018" spans="1:19" x14ac:dyDescent="0.25">
      <c r="A1018" t="s">
        <v>2962</v>
      </c>
      <c r="B1018" s="8">
        <v>44659</v>
      </c>
      <c r="C1018" s="8">
        <v>44661</v>
      </c>
      <c r="D1018" t="s">
        <v>20</v>
      </c>
      <c r="E1018" t="s">
        <v>2963</v>
      </c>
      <c r="F1018" t="s">
        <v>2284</v>
      </c>
      <c r="G1018">
        <v>8032585719</v>
      </c>
      <c r="H1018" t="s">
        <v>24</v>
      </c>
      <c r="I1018" t="s">
        <v>25</v>
      </c>
      <c r="J1018" t="s">
        <v>126</v>
      </c>
      <c r="K1018" t="s">
        <v>108</v>
      </c>
      <c r="L1018" t="s">
        <v>38</v>
      </c>
      <c r="M1018" t="s">
        <v>39</v>
      </c>
      <c r="N1018">
        <v>8</v>
      </c>
      <c r="O1018">
        <v>44781.94</v>
      </c>
      <c r="P1018">
        <v>20</v>
      </c>
      <c r="Q1018">
        <v>71651.100000000006</v>
      </c>
      <c r="R1018">
        <v>286604.42</v>
      </c>
      <c r="S1018">
        <v>-7757.18</v>
      </c>
    </row>
    <row r="1019" spans="1:19" x14ac:dyDescent="0.25">
      <c r="A1019" t="s">
        <v>2964</v>
      </c>
      <c r="B1019" s="8">
        <v>45656</v>
      </c>
      <c r="C1019" s="8">
        <v>45656</v>
      </c>
      <c r="D1019" t="s">
        <v>32</v>
      </c>
      <c r="E1019" t="s">
        <v>2965</v>
      </c>
      <c r="G1019">
        <v>9079613268</v>
      </c>
      <c r="H1019" t="s">
        <v>43</v>
      </c>
      <c r="I1019" t="s">
        <v>51</v>
      </c>
      <c r="J1019" t="s">
        <v>52</v>
      </c>
      <c r="K1019" t="s">
        <v>85</v>
      </c>
      <c r="L1019" t="s">
        <v>218</v>
      </c>
      <c r="M1019" t="s">
        <v>321</v>
      </c>
      <c r="N1019">
        <v>6</v>
      </c>
      <c r="O1019">
        <v>10410.33</v>
      </c>
      <c r="P1019">
        <v>150</v>
      </c>
      <c r="Q1019">
        <v>0</v>
      </c>
      <c r="R1019">
        <v>62461.98</v>
      </c>
      <c r="S1019">
        <v>23542.48</v>
      </c>
    </row>
    <row r="1020" spans="1:19" x14ac:dyDescent="0.25">
      <c r="A1020" t="s">
        <v>2966</v>
      </c>
      <c r="B1020" s="8">
        <v>45096</v>
      </c>
      <c r="C1020" s="8">
        <v>45101</v>
      </c>
      <c r="D1020" t="s">
        <v>73</v>
      </c>
      <c r="E1020" t="s">
        <v>2299</v>
      </c>
      <c r="F1020" t="s">
        <v>2967</v>
      </c>
      <c r="G1020">
        <v>9019242744</v>
      </c>
      <c r="H1020" t="s">
        <v>24</v>
      </c>
      <c r="I1020" t="s">
        <v>61</v>
      </c>
      <c r="K1020" t="s">
        <v>27</v>
      </c>
      <c r="L1020" t="s">
        <v>28</v>
      </c>
      <c r="M1020" t="s">
        <v>508</v>
      </c>
      <c r="N1020">
        <v>8</v>
      </c>
      <c r="O1020">
        <v>6135.66</v>
      </c>
      <c r="P1020">
        <v>25</v>
      </c>
      <c r="Q1020">
        <v>12271.32</v>
      </c>
      <c r="R1020">
        <v>36813.96</v>
      </c>
      <c r="S1020">
        <v>-153.97</v>
      </c>
    </row>
    <row r="1021" spans="1:19" x14ac:dyDescent="0.25">
      <c r="A1021" t="s">
        <v>2968</v>
      </c>
      <c r="B1021" s="8">
        <v>45398</v>
      </c>
      <c r="C1021" s="8">
        <v>45400</v>
      </c>
      <c r="D1021" t="s">
        <v>20</v>
      </c>
      <c r="E1021" t="s">
        <v>1707</v>
      </c>
      <c r="F1021" t="s">
        <v>1708</v>
      </c>
      <c r="G1021">
        <v>9011384511</v>
      </c>
      <c r="H1021" t="s">
        <v>35</v>
      </c>
      <c r="I1021" t="s">
        <v>25</v>
      </c>
      <c r="J1021" t="s">
        <v>36</v>
      </c>
      <c r="K1021" t="s">
        <v>108</v>
      </c>
      <c r="L1021" t="s">
        <v>189</v>
      </c>
      <c r="M1021" t="s">
        <v>205</v>
      </c>
      <c r="N1021">
        <v>14</v>
      </c>
      <c r="O1021">
        <v>32924.870000000003</v>
      </c>
      <c r="P1021">
        <v>15</v>
      </c>
      <c r="Q1021">
        <v>69142.23</v>
      </c>
      <c r="R1021">
        <v>391805.95</v>
      </c>
      <c r="S1021">
        <v>101261.15</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D610D-BB36-4425-AC3D-91D2E093BE69}">
  <sheetPr>
    <tabColor rgb="FF0F2044"/>
  </sheetPr>
  <dimension ref="A1:U1021"/>
  <sheetViews>
    <sheetView zoomScale="115" zoomScaleNormal="115" workbookViewId="0">
      <pane xSplit="1" ySplit="1" topLeftCell="I2" activePane="bottomRight" state="frozen"/>
      <selection pane="topRight" activeCell="B1" sqref="B1"/>
      <selection pane="bottomLeft" activeCell="A2" sqref="A2"/>
      <selection pane="bottomRight" activeCell="L9" sqref="L9"/>
    </sheetView>
  </sheetViews>
  <sheetFormatPr defaultColWidth="8.7109375" defaultRowHeight="15" x14ac:dyDescent="0.25"/>
  <cols>
    <col min="1" max="1" width="14" customWidth="1"/>
    <col min="2" max="2" width="18" style="8" customWidth="1"/>
    <col min="3" max="3" width="13" style="8" customWidth="1"/>
    <col min="4" max="4" width="20.7109375" customWidth="1"/>
    <col min="5" max="6" width="22" customWidth="1"/>
    <col min="7" max="7" width="30.42578125" bestFit="1" customWidth="1"/>
    <col min="8" max="8" width="20" customWidth="1"/>
    <col min="9" max="9" width="14" customWidth="1"/>
    <col min="10" max="10" width="10" customWidth="1"/>
    <col min="11" max="14" width="16" customWidth="1"/>
    <col min="15" max="15" width="28" customWidth="1"/>
    <col min="16" max="16" width="11.28515625" customWidth="1"/>
    <col min="17" max="17" width="16" customWidth="1"/>
    <col min="18" max="18" width="13" customWidth="1"/>
    <col min="19" max="19" width="20.28515625" customWidth="1"/>
    <col min="20" max="21" width="14" customWidth="1"/>
  </cols>
  <sheetData>
    <row r="1" spans="1:21" ht="34.5" customHeight="1" x14ac:dyDescent="0.25">
      <c r="A1" t="s">
        <v>0</v>
      </c>
      <c r="B1" s="8" t="s">
        <v>1</v>
      </c>
      <c r="C1" s="8" t="s">
        <v>2</v>
      </c>
      <c r="D1" t="s">
        <v>3</v>
      </c>
      <c r="E1" t="s">
        <v>3104</v>
      </c>
      <c r="F1" t="s">
        <v>3105</v>
      </c>
      <c r="G1" t="s">
        <v>5</v>
      </c>
      <c r="H1" t="s">
        <v>6</v>
      </c>
      <c r="I1" t="s">
        <v>7</v>
      </c>
      <c r="J1" t="s">
        <v>8</v>
      </c>
      <c r="K1" t="s">
        <v>9</v>
      </c>
      <c r="L1" t="s">
        <v>10</v>
      </c>
      <c r="M1" t="s">
        <v>3145</v>
      </c>
      <c r="N1" t="s">
        <v>11</v>
      </c>
      <c r="O1" t="s">
        <v>12</v>
      </c>
      <c r="P1" t="s">
        <v>13</v>
      </c>
      <c r="Q1" t="s">
        <v>14</v>
      </c>
      <c r="R1" t="s">
        <v>15</v>
      </c>
      <c r="S1" t="s">
        <v>16</v>
      </c>
      <c r="T1" t="s">
        <v>17</v>
      </c>
      <c r="U1" t="s">
        <v>18</v>
      </c>
    </row>
    <row r="2" spans="1:21" ht="15" customHeight="1" x14ac:dyDescent="0.25">
      <c r="A2" t="s">
        <v>2629</v>
      </c>
      <c r="B2" s="8">
        <v>44562</v>
      </c>
      <c r="C2" s="8">
        <v>44567</v>
      </c>
      <c r="D2" t="s">
        <v>48</v>
      </c>
      <c r="E2" t="s">
        <v>3085</v>
      </c>
      <c r="F2" t="s">
        <v>3090</v>
      </c>
      <c r="G2" t="s">
        <v>2631</v>
      </c>
      <c r="H2">
        <v>8161000159</v>
      </c>
      <c r="I2" t="s">
        <v>35</v>
      </c>
      <c r="J2" t="s">
        <v>51</v>
      </c>
      <c r="K2" t="s">
        <v>131</v>
      </c>
      <c r="L2" t="s">
        <v>63</v>
      </c>
      <c r="M2" t="str">
        <f>TRIM(Table2[[#This Row],[Category]])</f>
        <v>Office Supplies</v>
      </c>
      <c r="N2" t="s">
        <v>64</v>
      </c>
      <c r="O2" t="s">
        <v>104</v>
      </c>
      <c r="P2">
        <v>6</v>
      </c>
      <c r="Q2">
        <v>18354.330000000002</v>
      </c>
      <c r="R2">
        <v>0</v>
      </c>
      <c r="S2">
        <v>0</v>
      </c>
      <c r="T2">
        <v>110125.98</v>
      </c>
      <c r="U2">
        <v>-12981.35</v>
      </c>
    </row>
    <row r="3" spans="1:21" ht="15" customHeight="1" x14ac:dyDescent="0.25">
      <c r="A3" t="s">
        <v>1552</v>
      </c>
      <c r="B3" s="8">
        <v>44573</v>
      </c>
      <c r="C3" s="8">
        <v>44581</v>
      </c>
      <c r="D3" t="s">
        <v>48</v>
      </c>
      <c r="E3" t="s">
        <v>3056</v>
      </c>
      <c r="F3" t="s">
        <v>3046</v>
      </c>
      <c r="G3" t="s">
        <v>1553</v>
      </c>
      <c r="H3">
        <v>9079004743</v>
      </c>
      <c r="I3" t="s">
        <v>43</v>
      </c>
      <c r="J3" t="s">
        <v>51</v>
      </c>
      <c r="K3" t="s">
        <v>52</v>
      </c>
      <c r="L3" t="s">
        <v>108</v>
      </c>
      <c r="M3" t="str">
        <f>TRIM(Table2[[#This Row],[Category]])</f>
        <v>Clothing</v>
      </c>
      <c r="N3" t="s">
        <v>183</v>
      </c>
      <c r="O3" t="s">
        <v>184</v>
      </c>
      <c r="P3">
        <v>10</v>
      </c>
      <c r="Q3">
        <v>33214.19</v>
      </c>
      <c r="R3">
        <v>10</v>
      </c>
      <c r="S3">
        <v>33214.19</v>
      </c>
      <c r="T3">
        <v>298927.71000000002</v>
      </c>
      <c r="U3">
        <v>79035.7</v>
      </c>
    </row>
    <row r="4" spans="1:21" ht="15" customHeight="1" x14ac:dyDescent="0.25">
      <c r="A4" t="s">
        <v>1724</v>
      </c>
      <c r="B4" s="8">
        <v>44583</v>
      </c>
      <c r="C4" s="8">
        <v>44590</v>
      </c>
      <c r="D4" t="s">
        <v>48</v>
      </c>
      <c r="E4" t="s">
        <v>3056</v>
      </c>
      <c r="F4" t="s">
        <v>3078</v>
      </c>
      <c r="G4" t="s">
        <v>1726</v>
      </c>
      <c r="H4">
        <v>7038788747</v>
      </c>
      <c r="I4" t="s">
        <v>43</v>
      </c>
      <c r="J4" t="s">
        <v>69</v>
      </c>
      <c r="K4" t="s">
        <v>119</v>
      </c>
      <c r="L4" t="s">
        <v>108</v>
      </c>
      <c r="M4" t="str">
        <f>TRIM(Table2[[#This Row],[Category]])</f>
        <v>Clothing</v>
      </c>
      <c r="N4" t="s">
        <v>183</v>
      </c>
      <c r="O4" t="s">
        <v>719</v>
      </c>
      <c r="P4">
        <v>8</v>
      </c>
      <c r="Q4">
        <v>5549.59</v>
      </c>
      <c r="R4">
        <v>20</v>
      </c>
      <c r="S4">
        <v>8879.34</v>
      </c>
      <c r="T4">
        <v>35517.379999999997</v>
      </c>
      <c r="U4">
        <v>-2338.6999999999998</v>
      </c>
    </row>
    <row r="5" spans="1:21" ht="15" customHeight="1" x14ac:dyDescent="0.25">
      <c r="A5" t="s">
        <v>1384</v>
      </c>
      <c r="B5" s="8">
        <v>44607</v>
      </c>
      <c r="C5" s="8">
        <v>44613</v>
      </c>
      <c r="D5" t="s">
        <v>210</v>
      </c>
      <c r="E5" t="s">
        <v>3070</v>
      </c>
      <c r="F5" t="s">
        <v>3040</v>
      </c>
      <c r="G5" t="s">
        <v>1386</v>
      </c>
      <c r="H5">
        <v>7066751103</v>
      </c>
      <c r="I5" t="s">
        <v>35</v>
      </c>
      <c r="J5" t="s">
        <v>25</v>
      </c>
      <c r="K5" t="s">
        <v>44</v>
      </c>
      <c r="L5" t="s">
        <v>63</v>
      </c>
      <c r="M5" t="str">
        <f>TRIM(Table2[[#This Row],[Category]])</f>
        <v>Office Supplies</v>
      </c>
      <c r="N5" t="s">
        <v>64</v>
      </c>
      <c r="O5" t="s">
        <v>777</v>
      </c>
      <c r="P5">
        <v>17</v>
      </c>
      <c r="Q5">
        <v>16813.46</v>
      </c>
      <c r="R5">
        <v>25</v>
      </c>
      <c r="S5">
        <v>71457.210000000006</v>
      </c>
      <c r="T5">
        <v>214371.61</v>
      </c>
      <c r="U5">
        <v>25114.44</v>
      </c>
    </row>
    <row r="6" spans="1:21" ht="15" customHeight="1" x14ac:dyDescent="0.25">
      <c r="A6" t="s">
        <v>1464</v>
      </c>
      <c r="B6" s="8">
        <v>44609</v>
      </c>
      <c r="C6" s="8">
        <v>44615</v>
      </c>
      <c r="D6" t="s">
        <v>48</v>
      </c>
      <c r="E6" t="s">
        <v>3072</v>
      </c>
      <c r="F6" t="s">
        <v>3043</v>
      </c>
      <c r="G6" t="s">
        <v>1466</v>
      </c>
      <c r="H6">
        <v>8107264416</v>
      </c>
      <c r="I6" t="s">
        <v>24</v>
      </c>
      <c r="J6" t="s">
        <v>588</v>
      </c>
      <c r="K6" t="s">
        <v>44</v>
      </c>
      <c r="L6" t="s">
        <v>96</v>
      </c>
      <c r="M6" t="str">
        <f>TRIM(Table2[[#This Row],[Category]])</f>
        <v>Technology</v>
      </c>
      <c r="N6" t="s">
        <v>385</v>
      </c>
      <c r="O6" t="s">
        <v>1010</v>
      </c>
      <c r="P6">
        <v>3</v>
      </c>
      <c r="Q6">
        <v>363633.82</v>
      </c>
      <c r="R6">
        <v>0</v>
      </c>
      <c r="S6">
        <v>0</v>
      </c>
      <c r="T6">
        <v>1090901.46</v>
      </c>
      <c r="U6">
        <v>-157322.01</v>
      </c>
    </row>
    <row r="7" spans="1:21" ht="15" customHeight="1" x14ac:dyDescent="0.25">
      <c r="A7" t="s">
        <v>2614</v>
      </c>
      <c r="B7" s="8">
        <v>44611</v>
      </c>
      <c r="C7" s="8">
        <v>44616</v>
      </c>
      <c r="D7" t="s">
        <v>48</v>
      </c>
      <c r="E7" t="s">
        <v>3067</v>
      </c>
      <c r="F7" t="s">
        <v>3083</v>
      </c>
      <c r="G7" t="s">
        <v>2615</v>
      </c>
      <c r="H7">
        <v>8034674225</v>
      </c>
      <c r="I7" t="s">
        <v>35</v>
      </c>
      <c r="J7" t="s">
        <v>51</v>
      </c>
      <c r="K7" t="s">
        <v>131</v>
      </c>
      <c r="L7" t="s">
        <v>85</v>
      </c>
      <c r="M7" t="str">
        <f>TRIM(Table2[[#This Row],[Category]])</f>
        <v>Furniture</v>
      </c>
      <c r="N7" t="s">
        <v>218</v>
      </c>
      <c r="O7" t="s">
        <v>708</v>
      </c>
      <c r="P7">
        <v>11</v>
      </c>
      <c r="Q7">
        <v>94100.43</v>
      </c>
      <c r="R7">
        <v>15</v>
      </c>
      <c r="S7">
        <v>155265.71</v>
      </c>
      <c r="T7">
        <v>879839.02</v>
      </c>
      <c r="U7">
        <v>267099.63</v>
      </c>
    </row>
    <row r="8" spans="1:21" ht="15" customHeight="1" x14ac:dyDescent="0.25">
      <c r="A8" t="s">
        <v>2872</v>
      </c>
      <c r="B8" s="8">
        <v>44624</v>
      </c>
      <c r="C8" s="8">
        <v>44629</v>
      </c>
      <c r="D8" t="s">
        <v>48</v>
      </c>
      <c r="E8" t="s">
        <v>3041</v>
      </c>
      <c r="F8" t="s">
        <v>3062</v>
      </c>
      <c r="G8" t="s">
        <v>2873</v>
      </c>
      <c r="H8">
        <v>8064194751</v>
      </c>
      <c r="I8" t="s">
        <v>24</v>
      </c>
      <c r="J8" t="s">
        <v>25</v>
      </c>
      <c r="K8" t="s">
        <v>26</v>
      </c>
      <c r="L8" t="s">
        <v>108</v>
      </c>
      <c r="M8" t="str">
        <f>TRIM(Table2[[#This Row],[Category]])</f>
        <v>Clothing</v>
      </c>
      <c r="N8" t="s">
        <v>114</v>
      </c>
      <c r="O8" t="s">
        <v>115</v>
      </c>
      <c r="P8">
        <v>18</v>
      </c>
      <c r="Q8">
        <v>35696.94</v>
      </c>
      <c r="R8">
        <v>10</v>
      </c>
      <c r="S8">
        <v>64254.49</v>
      </c>
      <c r="T8">
        <v>578290.43000000005</v>
      </c>
      <c r="U8">
        <v>-66880.13</v>
      </c>
    </row>
    <row r="9" spans="1:21" ht="15" customHeight="1" x14ac:dyDescent="0.25">
      <c r="A9" t="s">
        <v>693</v>
      </c>
      <c r="B9" s="8">
        <v>44625</v>
      </c>
      <c r="C9" s="8">
        <v>44631</v>
      </c>
      <c r="D9" t="s">
        <v>48</v>
      </c>
      <c r="E9" t="s">
        <v>3076</v>
      </c>
      <c r="F9" t="s">
        <v>3090</v>
      </c>
      <c r="G9" t="s">
        <v>695</v>
      </c>
      <c r="H9">
        <v>8135843084</v>
      </c>
      <c r="I9" t="s">
        <v>35</v>
      </c>
      <c r="J9" t="s">
        <v>69</v>
      </c>
      <c r="K9" t="s">
        <v>70</v>
      </c>
      <c r="L9" t="s">
        <v>85</v>
      </c>
      <c r="M9" t="str">
        <f>TRIM(Table2[[#This Row],[Category]])</f>
        <v>Furniture</v>
      </c>
      <c r="N9" t="s">
        <v>486</v>
      </c>
      <c r="O9" t="s">
        <v>527</v>
      </c>
      <c r="P9">
        <v>16</v>
      </c>
      <c r="Q9">
        <v>135713.14000000001</v>
      </c>
      <c r="R9">
        <v>25</v>
      </c>
      <c r="S9">
        <v>542852.56000000006</v>
      </c>
      <c r="T9">
        <v>1628557.68</v>
      </c>
      <c r="U9">
        <v>254842.55</v>
      </c>
    </row>
    <row r="10" spans="1:21" ht="15" customHeight="1" x14ac:dyDescent="0.25">
      <c r="A10" t="s">
        <v>1334</v>
      </c>
      <c r="B10" s="8">
        <v>44637</v>
      </c>
      <c r="C10" s="8">
        <v>44643</v>
      </c>
      <c r="D10" t="s">
        <v>48</v>
      </c>
      <c r="E10" t="s">
        <v>3089</v>
      </c>
      <c r="F10" t="s">
        <v>3040</v>
      </c>
      <c r="G10" t="s">
        <v>1336</v>
      </c>
      <c r="H10">
        <v>8141768424</v>
      </c>
      <c r="I10" t="s">
        <v>35</v>
      </c>
      <c r="J10" t="s">
        <v>61</v>
      </c>
      <c r="K10" t="s">
        <v>84</v>
      </c>
      <c r="L10" t="s">
        <v>85</v>
      </c>
      <c r="M10" t="str">
        <f>TRIM(Table2[[#This Row],[Category]])</f>
        <v>Furniture</v>
      </c>
      <c r="N10" t="s">
        <v>218</v>
      </c>
      <c r="O10" t="s">
        <v>321</v>
      </c>
      <c r="P10">
        <v>2</v>
      </c>
      <c r="Q10">
        <v>37626.83</v>
      </c>
      <c r="R10">
        <v>10</v>
      </c>
      <c r="S10">
        <v>7525.37</v>
      </c>
      <c r="T10">
        <v>67728.289999999994</v>
      </c>
      <c r="U10">
        <v>23193.11</v>
      </c>
    </row>
    <row r="11" spans="1:21" ht="15" customHeight="1" x14ac:dyDescent="0.25">
      <c r="A11" t="s">
        <v>214</v>
      </c>
      <c r="B11" s="8">
        <v>44644</v>
      </c>
      <c r="C11" s="8">
        <v>44649</v>
      </c>
      <c r="D11" t="s">
        <v>48</v>
      </c>
      <c r="E11" t="s">
        <v>3059</v>
      </c>
      <c r="F11" t="s">
        <v>3052</v>
      </c>
      <c r="G11" t="s">
        <v>217</v>
      </c>
      <c r="H11">
        <v>9053556551</v>
      </c>
      <c r="I11" t="s">
        <v>35</v>
      </c>
      <c r="J11" t="s">
        <v>25</v>
      </c>
      <c r="K11" t="s">
        <v>44</v>
      </c>
      <c r="L11" t="s">
        <v>85</v>
      </c>
      <c r="M11" t="str">
        <f>TRIM(Table2[[#This Row],[Category]])</f>
        <v>Furniture</v>
      </c>
      <c r="N11" t="s">
        <v>218</v>
      </c>
      <c r="O11" t="s">
        <v>219</v>
      </c>
      <c r="P11">
        <v>19</v>
      </c>
      <c r="Q11">
        <v>123146.92</v>
      </c>
      <c r="R11">
        <v>5</v>
      </c>
      <c r="S11">
        <v>116989.57</v>
      </c>
      <c r="T11">
        <v>2222801.91</v>
      </c>
      <c r="U11">
        <v>286786.77</v>
      </c>
    </row>
    <row r="12" spans="1:21" ht="15" customHeight="1" x14ac:dyDescent="0.25">
      <c r="A12" t="s">
        <v>1128</v>
      </c>
      <c r="B12" s="8">
        <v>44651</v>
      </c>
      <c r="C12" s="8">
        <v>44657</v>
      </c>
      <c r="D12" t="s">
        <v>48</v>
      </c>
      <c r="E12" t="s">
        <v>3065</v>
      </c>
      <c r="F12" t="s">
        <v>3086</v>
      </c>
      <c r="G12" t="s">
        <v>1084</v>
      </c>
      <c r="H12">
        <v>8132796087</v>
      </c>
      <c r="I12" t="s">
        <v>24</v>
      </c>
      <c r="J12" t="s">
        <v>414</v>
      </c>
      <c r="K12" t="s">
        <v>26</v>
      </c>
      <c r="L12" t="s">
        <v>108</v>
      </c>
      <c r="M12" t="str">
        <f>TRIM(Table2[[#This Row],[Category]])</f>
        <v>Clothing</v>
      </c>
      <c r="N12" t="s">
        <v>109</v>
      </c>
      <c r="O12" t="s">
        <v>110</v>
      </c>
      <c r="P12">
        <v>13</v>
      </c>
      <c r="Q12">
        <v>3368.14</v>
      </c>
      <c r="R12">
        <v>20</v>
      </c>
      <c r="S12">
        <v>8757.16</v>
      </c>
      <c r="T12">
        <v>35028.660000000003</v>
      </c>
      <c r="U12">
        <v>5796.99</v>
      </c>
    </row>
    <row r="13" spans="1:21" ht="15" customHeight="1" x14ac:dyDescent="0.25">
      <c r="A13" t="s">
        <v>717</v>
      </c>
      <c r="B13" s="8">
        <v>44656</v>
      </c>
      <c r="C13" s="8">
        <v>44661</v>
      </c>
      <c r="D13" t="s">
        <v>48</v>
      </c>
      <c r="E13" t="s">
        <v>3039</v>
      </c>
      <c r="F13" t="s">
        <v>3046</v>
      </c>
      <c r="G13" t="s">
        <v>718</v>
      </c>
      <c r="H13">
        <v>8033650523</v>
      </c>
      <c r="I13" t="s">
        <v>24</v>
      </c>
      <c r="J13" t="s">
        <v>69</v>
      </c>
      <c r="K13" t="s">
        <v>144</v>
      </c>
      <c r="L13" t="s">
        <v>108</v>
      </c>
      <c r="M13" t="str">
        <f>TRIM(Table2[[#This Row],[Category]])</f>
        <v>Clothing</v>
      </c>
      <c r="N13" t="s">
        <v>183</v>
      </c>
      <c r="O13" t="s">
        <v>719</v>
      </c>
      <c r="P13">
        <v>14</v>
      </c>
      <c r="Q13">
        <v>44649.04</v>
      </c>
      <c r="R13">
        <v>5</v>
      </c>
      <c r="S13">
        <v>31254.33</v>
      </c>
      <c r="T13">
        <v>593832.23</v>
      </c>
      <c r="U13">
        <v>265690.3</v>
      </c>
    </row>
    <row r="14" spans="1:21" ht="15" customHeight="1" x14ac:dyDescent="0.25">
      <c r="A14" t="s">
        <v>447</v>
      </c>
      <c r="B14" s="8">
        <v>44659</v>
      </c>
      <c r="C14" s="8">
        <v>44665</v>
      </c>
      <c r="D14" t="s">
        <v>48</v>
      </c>
      <c r="E14" t="str">
        <f>E15</f>
        <v>Amara</v>
      </c>
      <c r="F14" t="str">
        <f>F13</f>
        <v>Okonkwo</v>
      </c>
      <c r="G14" t="s">
        <v>448</v>
      </c>
      <c r="H14">
        <v>8062859886</v>
      </c>
      <c r="I14" t="s">
        <v>43</v>
      </c>
      <c r="J14" t="s">
        <v>51</v>
      </c>
      <c r="K14" t="s">
        <v>131</v>
      </c>
      <c r="L14" t="s">
        <v>108</v>
      </c>
      <c r="M14" t="str">
        <f>TRIM(Table2[[#This Row],[Category]])</f>
        <v>Clothing</v>
      </c>
      <c r="N14" t="s">
        <v>189</v>
      </c>
      <c r="O14" t="s">
        <v>205</v>
      </c>
      <c r="P14">
        <v>17</v>
      </c>
      <c r="Q14">
        <v>2706.72</v>
      </c>
      <c r="R14">
        <v>5</v>
      </c>
      <c r="S14">
        <v>2300.71</v>
      </c>
      <c r="T14">
        <v>43713.53</v>
      </c>
      <c r="U14">
        <v>12289.04</v>
      </c>
    </row>
    <row r="15" spans="1:21" ht="15" customHeight="1" x14ac:dyDescent="0.25">
      <c r="A15" t="s">
        <v>889</v>
      </c>
      <c r="B15" s="8">
        <v>44660</v>
      </c>
      <c r="C15" s="8">
        <v>44665</v>
      </c>
      <c r="D15" t="s">
        <v>48</v>
      </c>
      <c r="E15" t="s">
        <v>3047</v>
      </c>
      <c r="F15" t="s">
        <v>3090</v>
      </c>
      <c r="G15" t="s">
        <v>422</v>
      </c>
      <c r="H15">
        <v>7068454356</v>
      </c>
      <c r="I15" t="s">
        <v>24</v>
      </c>
      <c r="J15" t="s">
        <v>51</v>
      </c>
      <c r="K15" t="s">
        <v>227</v>
      </c>
      <c r="L15" t="s">
        <v>108</v>
      </c>
      <c r="M15" t="str">
        <f>TRIM(Table2[[#This Row],[Category]])</f>
        <v>Clothing</v>
      </c>
      <c r="N15" t="s">
        <v>114</v>
      </c>
      <c r="O15" t="s">
        <v>891</v>
      </c>
      <c r="P15">
        <v>5</v>
      </c>
      <c r="Q15">
        <v>12867.75</v>
      </c>
      <c r="R15">
        <v>5</v>
      </c>
      <c r="S15">
        <v>3216.94</v>
      </c>
      <c r="T15">
        <v>61121.81</v>
      </c>
      <c r="U15">
        <v>16326.57</v>
      </c>
    </row>
    <row r="16" spans="1:21" ht="15" customHeight="1" x14ac:dyDescent="0.25">
      <c r="A16" t="s">
        <v>2900</v>
      </c>
      <c r="B16" s="8">
        <v>44660</v>
      </c>
      <c r="C16" s="8">
        <v>44666</v>
      </c>
      <c r="D16" t="s">
        <v>48</v>
      </c>
      <c r="E16" t="s">
        <v>3059</v>
      </c>
      <c r="F16" t="s">
        <v>3057</v>
      </c>
      <c r="G16" t="s">
        <v>2901</v>
      </c>
      <c r="H16">
        <v>9074321723</v>
      </c>
      <c r="I16" t="s">
        <v>43</v>
      </c>
      <c r="J16" t="s">
        <v>69</v>
      </c>
      <c r="K16" t="s">
        <v>155</v>
      </c>
      <c r="L16" t="s">
        <v>108</v>
      </c>
      <c r="M16" t="str">
        <f>TRIM(Table2[[#This Row],[Category]])</f>
        <v>Clothing</v>
      </c>
      <c r="N16" t="s">
        <v>109</v>
      </c>
      <c r="O16" t="s">
        <v>1258</v>
      </c>
      <c r="P16">
        <v>11</v>
      </c>
      <c r="Q16">
        <v>19414.759999999998</v>
      </c>
      <c r="R16">
        <v>5</v>
      </c>
      <c r="S16">
        <v>10678.12</v>
      </c>
      <c r="T16">
        <v>202884.24</v>
      </c>
      <c r="U16">
        <v>-25659.439999999999</v>
      </c>
    </row>
    <row r="17" spans="1:21" ht="15" customHeight="1" x14ac:dyDescent="0.25">
      <c r="A17" t="s">
        <v>1888</v>
      </c>
      <c r="B17" s="8">
        <v>44668</v>
      </c>
      <c r="C17" s="8">
        <v>44675</v>
      </c>
      <c r="D17" t="s">
        <v>48</v>
      </c>
      <c r="E17" t="s">
        <v>3082</v>
      </c>
      <c r="F17" t="s">
        <v>3064</v>
      </c>
      <c r="G17" t="s">
        <v>1891</v>
      </c>
      <c r="H17">
        <v>8162690500</v>
      </c>
      <c r="I17" t="s">
        <v>35</v>
      </c>
      <c r="J17" t="s">
        <v>25</v>
      </c>
      <c r="K17" t="s">
        <v>126</v>
      </c>
      <c r="L17" t="s">
        <v>108</v>
      </c>
      <c r="M17" t="str">
        <f>TRIM(Table2[[#This Row],[Category]])</f>
        <v>Clothing</v>
      </c>
      <c r="N17" t="s">
        <v>109</v>
      </c>
      <c r="O17" t="s">
        <v>157</v>
      </c>
      <c r="P17">
        <v>12</v>
      </c>
      <c r="Q17">
        <v>42778.11</v>
      </c>
      <c r="R17">
        <v>10</v>
      </c>
      <c r="S17">
        <v>51333.73</v>
      </c>
      <c r="T17">
        <v>462003.59</v>
      </c>
      <c r="U17">
        <v>15067.79</v>
      </c>
    </row>
    <row r="18" spans="1:21" ht="15" customHeight="1" x14ac:dyDescent="0.25">
      <c r="A18" t="s">
        <v>2037</v>
      </c>
      <c r="B18" s="8">
        <v>44669</v>
      </c>
      <c r="C18" s="8">
        <v>44676</v>
      </c>
      <c r="D18" t="s">
        <v>48</v>
      </c>
      <c r="E18" t="s">
        <v>3063</v>
      </c>
      <c r="F18" t="s">
        <v>3038</v>
      </c>
      <c r="G18" t="s">
        <v>2038</v>
      </c>
      <c r="H18">
        <v>8162258998</v>
      </c>
      <c r="I18" t="s">
        <v>24</v>
      </c>
      <c r="J18" t="s">
        <v>61</v>
      </c>
      <c r="K18" t="s">
        <v>182</v>
      </c>
      <c r="L18" t="s">
        <v>63</v>
      </c>
      <c r="M18" t="str">
        <f>TRIM(Table2[[#This Row],[Category]])</f>
        <v>Office Supplies</v>
      </c>
      <c r="N18" t="s">
        <v>558</v>
      </c>
      <c r="O18" t="s">
        <v>1990</v>
      </c>
      <c r="P18">
        <v>13</v>
      </c>
      <c r="Q18">
        <v>19894.88</v>
      </c>
      <c r="R18">
        <v>10</v>
      </c>
      <c r="S18">
        <v>25863.34</v>
      </c>
      <c r="T18">
        <v>232770.1</v>
      </c>
      <c r="U18">
        <v>62661.45</v>
      </c>
    </row>
    <row r="19" spans="1:21" ht="15" customHeight="1" x14ac:dyDescent="0.25">
      <c r="A19" t="s">
        <v>578</v>
      </c>
      <c r="B19" s="8">
        <v>44685</v>
      </c>
      <c r="C19" s="8">
        <v>44690</v>
      </c>
      <c r="D19" t="s">
        <v>210</v>
      </c>
      <c r="E19" t="s">
        <v>3055</v>
      </c>
      <c r="F19" t="s">
        <v>3090</v>
      </c>
      <c r="G19" t="s">
        <v>580</v>
      </c>
      <c r="H19">
        <v>7064019585</v>
      </c>
      <c r="I19" t="s">
        <v>43</v>
      </c>
      <c r="J19" t="s">
        <v>25</v>
      </c>
      <c r="K19" t="s">
        <v>168</v>
      </c>
      <c r="L19" t="s">
        <v>85</v>
      </c>
      <c r="M19" t="str">
        <f>TRIM(Table2[[#This Row],[Category]])</f>
        <v>Furniture</v>
      </c>
      <c r="N19" t="s">
        <v>486</v>
      </c>
      <c r="O19" t="s">
        <v>543</v>
      </c>
      <c r="P19">
        <v>13</v>
      </c>
      <c r="Q19">
        <v>178771.33</v>
      </c>
      <c r="R19">
        <v>20</v>
      </c>
      <c r="S19">
        <v>464805.46</v>
      </c>
      <c r="T19">
        <v>1859221.83</v>
      </c>
      <c r="U19">
        <v>691206.94</v>
      </c>
    </row>
    <row r="20" spans="1:21" ht="15" customHeight="1" x14ac:dyDescent="0.25">
      <c r="A20" t="s">
        <v>1596</v>
      </c>
      <c r="B20" s="8">
        <v>44684</v>
      </c>
      <c r="C20" s="8">
        <v>44691</v>
      </c>
      <c r="D20" t="s">
        <v>48</v>
      </c>
      <c r="E20" t="s">
        <v>3061</v>
      </c>
      <c r="F20" t="s">
        <v>3040</v>
      </c>
      <c r="G20" t="s">
        <v>1597</v>
      </c>
      <c r="H20">
        <v>8061800824</v>
      </c>
      <c r="I20" t="s">
        <v>24</v>
      </c>
      <c r="J20" t="s">
        <v>51</v>
      </c>
      <c r="K20" t="s">
        <v>3127</v>
      </c>
      <c r="L20" t="s">
        <v>96</v>
      </c>
      <c r="M20" t="str">
        <f>TRIM(Table2[[#This Row],[Category]])</f>
        <v>Technology</v>
      </c>
      <c r="N20" t="s">
        <v>189</v>
      </c>
      <c r="O20" t="s">
        <v>325</v>
      </c>
      <c r="P20">
        <v>1</v>
      </c>
      <c r="Q20">
        <v>264009.34999999998</v>
      </c>
      <c r="R20">
        <v>20</v>
      </c>
      <c r="S20">
        <v>52801.87</v>
      </c>
      <c r="T20">
        <v>211207.48</v>
      </c>
      <c r="U20">
        <v>11275.98</v>
      </c>
    </row>
    <row r="21" spans="1:21" ht="15" customHeight="1" x14ac:dyDescent="0.25">
      <c r="A21" t="s">
        <v>2446</v>
      </c>
      <c r="B21" s="8">
        <v>44683</v>
      </c>
      <c r="C21" s="8">
        <v>44691</v>
      </c>
      <c r="D21" t="s">
        <v>48</v>
      </c>
      <c r="E21" t="s">
        <v>3033</v>
      </c>
      <c r="F21" t="s">
        <v>3054</v>
      </c>
      <c r="G21" t="s">
        <v>2447</v>
      </c>
      <c r="H21">
        <v>8033688598</v>
      </c>
      <c r="I21" t="s">
        <v>24</v>
      </c>
      <c r="J21" t="s">
        <v>61</v>
      </c>
      <c r="K21" t="s">
        <v>84</v>
      </c>
      <c r="L21" t="s">
        <v>85</v>
      </c>
      <c r="M21" t="str">
        <f>TRIM(Table2[[#This Row],[Category]])</f>
        <v>Furniture</v>
      </c>
      <c r="N21" t="s">
        <v>486</v>
      </c>
      <c r="O21" t="s">
        <v>1193</v>
      </c>
      <c r="P21">
        <v>13</v>
      </c>
      <c r="Q21">
        <v>119126.56</v>
      </c>
      <c r="R21">
        <v>5</v>
      </c>
      <c r="S21">
        <v>77432.259999999995</v>
      </c>
      <c r="T21">
        <v>1471213.02</v>
      </c>
      <c r="U21">
        <v>-1259.3900000000001</v>
      </c>
    </row>
    <row r="22" spans="1:21" ht="15" customHeight="1" x14ac:dyDescent="0.25">
      <c r="A22" t="s">
        <v>1901</v>
      </c>
      <c r="B22" s="8">
        <v>44686</v>
      </c>
      <c r="C22" s="8">
        <v>44692</v>
      </c>
      <c r="D22" t="s">
        <v>48</v>
      </c>
      <c r="E22" t="s">
        <v>3058</v>
      </c>
      <c r="F22" t="s">
        <v>3083</v>
      </c>
      <c r="G22" t="s">
        <v>1903</v>
      </c>
      <c r="H22">
        <v>8108344141</v>
      </c>
      <c r="I22" t="s">
        <v>43</v>
      </c>
      <c r="J22" t="s">
        <v>51</v>
      </c>
      <c r="K22" t="s">
        <v>131</v>
      </c>
      <c r="L22" t="s">
        <v>27</v>
      </c>
      <c r="M22" t="str">
        <f>TRIM(Table2[[#This Row],[Category]])</f>
        <v>Food &amp; Beverages</v>
      </c>
      <c r="N22" t="s">
        <v>28</v>
      </c>
      <c r="O22" t="s">
        <v>347</v>
      </c>
      <c r="P22">
        <v>-1</v>
      </c>
      <c r="Q22">
        <v>6301.17</v>
      </c>
      <c r="R22">
        <v>10</v>
      </c>
      <c r="S22">
        <v>8191.52</v>
      </c>
      <c r="T22">
        <v>73723.69</v>
      </c>
      <c r="U22">
        <v>-1905.41</v>
      </c>
    </row>
    <row r="23" spans="1:21" ht="15" customHeight="1" x14ac:dyDescent="0.25">
      <c r="A23" t="s">
        <v>737</v>
      </c>
      <c r="B23" s="8">
        <v>44685</v>
      </c>
      <c r="C23" s="8">
        <v>44693</v>
      </c>
      <c r="D23" t="s">
        <v>48</v>
      </c>
      <c r="E23" t="s">
        <v>3092</v>
      </c>
      <c r="F23" t="s">
        <v>3064</v>
      </c>
      <c r="G23" t="s">
        <v>739</v>
      </c>
      <c r="H23">
        <v>7067749095</v>
      </c>
      <c r="I23" t="s">
        <v>35</v>
      </c>
      <c r="J23" t="s">
        <v>25</v>
      </c>
      <c r="K23" t="s">
        <v>44</v>
      </c>
      <c r="L23" t="s">
        <v>96</v>
      </c>
      <c r="M23" t="str">
        <f>TRIM(Table2[[#This Row],[Category]])</f>
        <v>Technology</v>
      </c>
      <c r="N23" t="s">
        <v>254</v>
      </c>
      <c r="O23" t="s">
        <v>452</v>
      </c>
      <c r="P23">
        <v>9</v>
      </c>
      <c r="Q23">
        <v>282980.46999999997</v>
      </c>
      <c r="R23">
        <v>0</v>
      </c>
      <c r="S23">
        <v>0</v>
      </c>
      <c r="T23">
        <v>2546824.23</v>
      </c>
      <c r="U23">
        <v>91543.38</v>
      </c>
    </row>
    <row r="24" spans="1:21" ht="15" customHeight="1" x14ac:dyDescent="0.25">
      <c r="A24" t="s">
        <v>364</v>
      </c>
      <c r="B24" s="8">
        <v>44686</v>
      </c>
      <c r="C24" s="8">
        <v>44694</v>
      </c>
      <c r="D24" t="s">
        <v>48</v>
      </c>
      <c r="E24" t="s">
        <v>3058</v>
      </c>
      <c r="F24" t="s">
        <v>3066</v>
      </c>
      <c r="G24" t="s">
        <v>366</v>
      </c>
      <c r="H24">
        <v>8148441741</v>
      </c>
      <c r="I24" t="s">
        <v>24</v>
      </c>
      <c r="J24" t="s">
        <v>51</v>
      </c>
      <c r="K24" t="s">
        <v>316</v>
      </c>
      <c r="L24" t="s">
        <v>96</v>
      </c>
      <c r="M24" t="str">
        <f>TRIM(Table2[[#This Row],[Category]])</f>
        <v>Technology</v>
      </c>
      <c r="N24" t="s">
        <v>120</v>
      </c>
      <c r="O24" t="s">
        <v>367</v>
      </c>
      <c r="P24">
        <v>3</v>
      </c>
      <c r="Q24">
        <v>279609.38</v>
      </c>
      <c r="R24">
        <v>0</v>
      </c>
      <c r="S24">
        <v>0</v>
      </c>
      <c r="T24">
        <v>838828.14</v>
      </c>
      <c r="U24">
        <v>12590.47</v>
      </c>
    </row>
    <row r="25" spans="1:21" ht="15" customHeight="1" x14ac:dyDescent="0.25">
      <c r="A25" t="s">
        <v>1951</v>
      </c>
      <c r="B25" s="8">
        <v>44695</v>
      </c>
      <c r="C25" s="8">
        <v>44701</v>
      </c>
      <c r="D25" t="s">
        <v>48</v>
      </c>
      <c r="E25" t="s">
        <v>3080</v>
      </c>
      <c r="F25" t="s">
        <v>3046</v>
      </c>
      <c r="G25" t="s">
        <v>1952</v>
      </c>
      <c r="H25">
        <v>8134384399</v>
      </c>
      <c r="I25" t="s">
        <v>24</v>
      </c>
      <c r="J25" t="s">
        <v>51</v>
      </c>
      <c r="K25" t="s">
        <v>131</v>
      </c>
      <c r="L25" t="s">
        <v>96</v>
      </c>
      <c r="M25" t="str">
        <f>TRIM(Table2[[#This Row],[Category]])</f>
        <v>Technology</v>
      </c>
      <c r="N25" t="s">
        <v>385</v>
      </c>
      <c r="O25" t="s">
        <v>386</v>
      </c>
      <c r="P25">
        <v>19</v>
      </c>
      <c r="Q25">
        <v>51992.12</v>
      </c>
      <c r="R25">
        <v>0</v>
      </c>
      <c r="S25">
        <v>0</v>
      </c>
      <c r="T25">
        <v>987850.28</v>
      </c>
      <c r="U25">
        <v>185956.49</v>
      </c>
    </row>
    <row r="26" spans="1:21" ht="15" customHeight="1" x14ac:dyDescent="0.25">
      <c r="A26" t="s">
        <v>2696</v>
      </c>
      <c r="B26" s="8">
        <v>44698</v>
      </c>
      <c r="C26" s="8">
        <v>44704</v>
      </c>
      <c r="D26" t="s">
        <v>48</v>
      </c>
      <c r="E26" t="s">
        <v>3061</v>
      </c>
      <c r="F26" t="s">
        <v>3083</v>
      </c>
      <c r="G26" t="s">
        <v>2698</v>
      </c>
      <c r="H26">
        <v>8155648826</v>
      </c>
      <c r="I26" t="s">
        <v>43</v>
      </c>
      <c r="J26" t="s">
        <v>2526</v>
      </c>
      <c r="K26" t="s">
        <v>155</v>
      </c>
      <c r="L26" t="s">
        <v>27</v>
      </c>
      <c r="M26" t="str">
        <f>TRIM(Table2[[#This Row],[Category]])</f>
        <v>Food &amp; Beverages</v>
      </c>
      <c r="N26" t="s">
        <v>173</v>
      </c>
      <c r="O26" t="s">
        <v>662</v>
      </c>
      <c r="P26">
        <v>2</v>
      </c>
      <c r="Q26">
        <v>1833.76</v>
      </c>
      <c r="R26">
        <v>15</v>
      </c>
      <c r="S26">
        <v>550.13</v>
      </c>
      <c r="T26">
        <v>3117.39</v>
      </c>
      <c r="U26">
        <v>707.23</v>
      </c>
    </row>
    <row r="27" spans="1:21" ht="15" customHeight="1" x14ac:dyDescent="0.25">
      <c r="A27" t="s">
        <v>314</v>
      </c>
      <c r="B27" s="8">
        <v>44702</v>
      </c>
      <c r="C27" s="8">
        <v>44708</v>
      </c>
      <c r="D27" t="s">
        <v>48</v>
      </c>
      <c r="E27" t="s">
        <v>3076</v>
      </c>
      <c r="F27" t="s">
        <v>3043</v>
      </c>
      <c r="G27" t="s">
        <v>315</v>
      </c>
      <c r="H27">
        <v>7062651601</v>
      </c>
      <c r="I27" t="s">
        <v>24</v>
      </c>
      <c r="J27" t="s">
        <v>51</v>
      </c>
      <c r="K27" t="s">
        <v>316</v>
      </c>
      <c r="L27" t="s">
        <v>96</v>
      </c>
      <c r="M27" t="str">
        <f>TRIM(Table2[[#This Row],[Category]])</f>
        <v>Technology</v>
      </c>
      <c r="N27" t="s">
        <v>189</v>
      </c>
      <c r="O27" t="s">
        <v>190</v>
      </c>
      <c r="P27">
        <v>1</v>
      </c>
      <c r="Q27">
        <v>316890.51</v>
      </c>
      <c r="R27">
        <v>0</v>
      </c>
      <c r="S27">
        <v>0</v>
      </c>
      <c r="T27">
        <v>316890.51</v>
      </c>
      <c r="U27">
        <v>14141.18</v>
      </c>
    </row>
    <row r="28" spans="1:21" ht="15" customHeight="1" x14ac:dyDescent="0.25">
      <c r="A28" t="s">
        <v>1132</v>
      </c>
      <c r="B28" s="8">
        <v>44706</v>
      </c>
      <c r="C28" s="8">
        <v>44713</v>
      </c>
      <c r="D28" t="s">
        <v>48</v>
      </c>
      <c r="E28" t="s">
        <v>3044</v>
      </c>
      <c r="F28" t="s">
        <v>3052</v>
      </c>
      <c r="G28" t="s">
        <v>1133</v>
      </c>
      <c r="H28">
        <v>8064875838</v>
      </c>
      <c r="I28" t="s">
        <v>43</v>
      </c>
      <c r="J28" t="s">
        <v>25</v>
      </c>
      <c r="K28" t="s">
        <v>1134</v>
      </c>
      <c r="L28" t="s">
        <v>27</v>
      </c>
      <c r="M28" t="str">
        <f>TRIM(Table2[[#This Row],[Category]])</f>
        <v>Food &amp; Beverages</v>
      </c>
      <c r="N28" t="s">
        <v>28</v>
      </c>
      <c r="O28" t="s">
        <v>508</v>
      </c>
      <c r="P28">
        <v>8</v>
      </c>
      <c r="Q28">
        <v>1787.02</v>
      </c>
      <c r="R28">
        <v>0</v>
      </c>
      <c r="S28">
        <v>0</v>
      </c>
      <c r="T28" t="s">
        <v>1135</v>
      </c>
      <c r="U28">
        <v>2645.56</v>
      </c>
    </row>
    <row r="29" spans="1:21" ht="15" customHeight="1" x14ac:dyDescent="0.25">
      <c r="A29" t="s">
        <v>1777</v>
      </c>
      <c r="B29" s="8">
        <v>44705</v>
      </c>
      <c r="C29" s="8">
        <v>44713</v>
      </c>
      <c r="D29" t="s">
        <v>48</v>
      </c>
      <c r="E29" t="s">
        <v>3070</v>
      </c>
      <c r="F29" t="s">
        <v>3066</v>
      </c>
      <c r="G29" t="s">
        <v>1779</v>
      </c>
      <c r="H29">
        <v>9018230134</v>
      </c>
      <c r="I29" t="s">
        <v>35</v>
      </c>
      <c r="J29" t="s">
        <v>61</v>
      </c>
      <c r="K29" t="s">
        <v>204</v>
      </c>
      <c r="L29" t="s">
        <v>85</v>
      </c>
      <c r="M29" t="str">
        <f>TRIM(Table2[[#This Row],[Category]])</f>
        <v>Furniture</v>
      </c>
      <c r="N29" t="s">
        <v>218</v>
      </c>
      <c r="O29" t="s">
        <v>1058</v>
      </c>
      <c r="P29">
        <v>5</v>
      </c>
      <c r="Q29">
        <v>40060.81</v>
      </c>
      <c r="R29">
        <v>5</v>
      </c>
      <c r="S29">
        <v>10015.200000000001</v>
      </c>
      <c r="T29">
        <v>190288.85</v>
      </c>
      <c r="U29">
        <v>26998.71</v>
      </c>
    </row>
    <row r="30" spans="1:21" ht="15" customHeight="1" x14ac:dyDescent="0.25">
      <c r="A30" t="s">
        <v>1533</v>
      </c>
      <c r="B30" s="8">
        <v>44706</v>
      </c>
      <c r="C30" s="8">
        <v>44714</v>
      </c>
      <c r="D30" t="s">
        <v>48</v>
      </c>
      <c r="E30" t="s">
        <v>3081</v>
      </c>
      <c r="F30" t="s">
        <v>3045</v>
      </c>
      <c r="G30" t="s">
        <v>1192</v>
      </c>
      <c r="H30">
        <v>8105027876</v>
      </c>
      <c r="I30" t="s">
        <v>43</v>
      </c>
      <c r="J30" t="s">
        <v>25</v>
      </c>
      <c r="K30" t="s">
        <v>44</v>
      </c>
      <c r="L30" t="s">
        <v>108</v>
      </c>
      <c r="M30" t="str">
        <f>TRIM(Table2[[#This Row],[Category]])</f>
        <v>Clothing</v>
      </c>
      <c r="N30" t="s">
        <v>114</v>
      </c>
      <c r="O30" t="s">
        <v>291</v>
      </c>
      <c r="P30">
        <v>6</v>
      </c>
      <c r="Q30">
        <v>38650.870000000003</v>
      </c>
      <c r="R30">
        <v>15</v>
      </c>
      <c r="S30">
        <v>34785.78</v>
      </c>
      <c r="T30">
        <v>197119.44</v>
      </c>
      <c r="U30">
        <v>62623.96</v>
      </c>
    </row>
    <row r="31" spans="1:21" ht="15" customHeight="1" x14ac:dyDescent="0.25">
      <c r="A31" t="s">
        <v>1699</v>
      </c>
      <c r="B31" s="8">
        <v>44708</v>
      </c>
      <c r="C31" s="8">
        <v>44715</v>
      </c>
      <c r="D31" t="s">
        <v>48</v>
      </c>
      <c r="E31" t="s">
        <v>3063</v>
      </c>
      <c r="F31" t="s">
        <v>3077</v>
      </c>
      <c r="G31" t="s">
        <v>885</v>
      </c>
      <c r="H31">
        <v>7034299177</v>
      </c>
      <c r="I31" t="s">
        <v>35</v>
      </c>
      <c r="J31" t="s">
        <v>51</v>
      </c>
      <c r="K31" t="s">
        <v>131</v>
      </c>
      <c r="L31" t="s">
        <v>63</v>
      </c>
      <c r="M31" t="str">
        <f>TRIM(Table2[[#This Row],[Category]])</f>
        <v>Office Supplies</v>
      </c>
      <c r="N31" t="s">
        <v>558</v>
      </c>
      <c r="O31" t="s">
        <v>1380</v>
      </c>
      <c r="P31">
        <v>9</v>
      </c>
      <c r="Q31">
        <v>18757.68</v>
      </c>
      <c r="R31">
        <v>5</v>
      </c>
      <c r="S31">
        <v>8440.9599999999991</v>
      </c>
      <c r="T31">
        <v>160378.16</v>
      </c>
      <c r="U31">
        <v>43845.08</v>
      </c>
    </row>
    <row r="32" spans="1:21" ht="15" customHeight="1" x14ac:dyDescent="0.25">
      <c r="A32" t="s">
        <v>1059</v>
      </c>
      <c r="B32" s="8">
        <v>44722</v>
      </c>
      <c r="C32" s="8">
        <v>44730</v>
      </c>
      <c r="D32" t="s">
        <v>48</v>
      </c>
      <c r="E32" t="s">
        <v>3085</v>
      </c>
      <c r="F32" t="s">
        <v>3046</v>
      </c>
      <c r="G32" t="s">
        <v>1061</v>
      </c>
      <c r="H32">
        <v>8039091518</v>
      </c>
      <c r="I32" t="s">
        <v>35</v>
      </c>
      <c r="J32" t="s">
        <v>51</v>
      </c>
      <c r="K32" t="s">
        <v>131</v>
      </c>
      <c r="L32" t="s">
        <v>1062</v>
      </c>
      <c r="M32" t="str">
        <f>TRIM(Table2[[#This Row],[Category]])</f>
        <v>Office Supplies</v>
      </c>
      <c r="N32" t="s">
        <v>312</v>
      </c>
      <c r="O32" t="s">
        <v>761</v>
      </c>
      <c r="P32">
        <v>19</v>
      </c>
      <c r="Q32">
        <v>12562.34</v>
      </c>
      <c r="R32">
        <v>10</v>
      </c>
      <c r="S32">
        <v>23868.45</v>
      </c>
      <c r="T32">
        <v>214816.01</v>
      </c>
      <c r="U32">
        <v>31037.31</v>
      </c>
    </row>
    <row r="33" spans="1:21" ht="15" customHeight="1" x14ac:dyDescent="0.25">
      <c r="A33" t="s">
        <v>1484</v>
      </c>
      <c r="B33" s="8">
        <v>44733</v>
      </c>
      <c r="C33" s="8">
        <v>44730</v>
      </c>
      <c r="D33" t="s">
        <v>48</v>
      </c>
      <c r="E33" t="s">
        <v>3080</v>
      </c>
      <c r="F33" t="s">
        <v>3064</v>
      </c>
      <c r="G33" t="s">
        <v>1486</v>
      </c>
      <c r="H33">
        <v>7067097414</v>
      </c>
      <c r="I33" t="s">
        <v>35</v>
      </c>
      <c r="J33" t="s">
        <v>25</v>
      </c>
      <c r="K33" t="s">
        <v>168</v>
      </c>
      <c r="L33" t="s">
        <v>96</v>
      </c>
      <c r="M33" t="str">
        <f>TRIM(Table2[[#This Row],[Category]])</f>
        <v>Technology</v>
      </c>
      <c r="N33" t="s">
        <v>189</v>
      </c>
      <c r="O33" t="s">
        <v>190</v>
      </c>
      <c r="P33">
        <v>19</v>
      </c>
      <c r="Q33">
        <v>117677.9</v>
      </c>
      <c r="R33">
        <v>25</v>
      </c>
      <c r="S33">
        <v>558970.03</v>
      </c>
      <c r="T33">
        <v>1676910.07</v>
      </c>
      <c r="U33">
        <v>687132.8</v>
      </c>
    </row>
    <row r="34" spans="1:21" ht="15" customHeight="1" x14ac:dyDescent="0.25">
      <c r="A34" t="s">
        <v>2577</v>
      </c>
      <c r="B34" s="8">
        <v>44724</v>
      </c>
      <c r="C34" s="8">
        <v>44730</v>
      </c>
      <c r="D34" t="s">
        <v>48</v>
      </c>
      <c r="E34" t="s">
        <v>3050</v>
      </c>
      <c r="F34" t="s">
        <v>3036</v>
      </c>
      <c r="G34" t="s">
        <v>2017</v>
      </c>
      <c r="H34">
        <v>8154176691</v>
      </c>
      <c r="I34" t="s">
        <v>35</v>
      </c>
      <c r="J34" t="s">
        <v>25</v>
      </c>
      <c r="K34" t="s">
        <v>168</v>
      </c>
      <c r="L34" t="s">
        <v>96</v>
      </c>
      <c r="M34" t="str">
        <f>TRIM(Table2[[#This Row],[Category]])</f>
        <v>Technology</v>
      </c>
      <c r="N34" t="s">
        <v>120</v>
      </c>
      <c r="O34" t="s">
        <v>359</v>
      </c>
      <c r="P34">
        <v>11</v>
      </c>
      <c r="Q34">
        <v>96365.9</v>
      </c>
      <c r="R34">
        <v>5</v>
      </c>
      <c r="S34">
        <v>53001.25</v>
      </c>
      <c r="T34">
        <v>1007023.65</v>
      </c>
      <c r="U34">
        <v>-52914.92</v>
      </c>
    </row>
    <row r="35" spans="1:21" ht="15" customHeight="1" x14ac:dyDescent="0.25">
      <c r="A35" t="s">
        <v>2766</v>
      </c>
      <c r="B35" s="8">
        <v>44730</v>
      </c>
      <c r="C35" s="8">
        <v>44735</v>
      </c>
      <c r="D35" t="s">
        <v>48</v>
      </c>
      <c r="E35" t="s">
        <v>3085</v>
      </c>
      <c r="F35" t="s">
        <v>3046</v>
      </c>
      <c r="G35" t="s">
        <v>2767</v>
      </c>
      <c r="H35">
        <v>9023851025</v>
      </c>
      <c r="I35" t="s">
        <v>35</v>
      </c>
      <c r="J35" t="s">
        <v>51</v>
      </c>
      <c r="K35" t="s">
        <v>223</v>
      </c>
      <c r="L35" t="s">
        <v>108</v>
      </c>
      <c r="M35" t="str">
        <f>TRIM(Table2[[#This Row],[Category]])</f>
        <v>Clothing</v>
      </c>
      <c r="N35" t="s">
        <v>183</v>
      </c>
      <c r="O35" t="s">
        <v>719</v>
      </c>
      <c r="P35">
        <v>10</v>
      </c>
      <c r="Q35">
        <v>13495.2</v>
      </c>
      <c r="R35">
        <v>25</v>
      </c>
      <c r="S35">
        <v>33738</v>
      </c>
      <c r="T35">
        <v>101214</v>
      </c>
      <c r="U35">
        <v>-10828.89</v>
      </c>
    </row>
    <row r="36" spans="1:21" ht="15" customHeight="1" x14ac:dyDescent="0.25">
      <c r="A36" t="s">
        <v>389</v>
      </c>
      <c r="B36" s="8">
        <v>44729</v>
      </c>
      <c r="C36" s="8">
        <v>44736</v>
      </c>
      <c r="D36" t="s">
        <v>48</v>
      </c>
      <c r="E36" t="s">
        <v>3053</v>
      </c>
      <c r="F36" t="s">
        <v>3069</v>
      </c>
      <c r="G36" t="s">
        <v>390</v>
      </c>
      <c r="H36">
        <v>8148416270</v>
      </c>
      <c r="I36" t="s">
        <v>391</v>
      </c>
      <c r="J36" t="s">
        <v>61</v>
      </c>
      <c r="K36" t="s">
        <v>62</v>
      </c>
      <c r="L36" t="s">
        <v>108</v>
      </c>
      <c r="M36" t="str">
        <f>TRIM(Table2[[#This Row],[Category]])</f>
        <v>Clothing</v>
      </c>
      <c r="N36" t="s">
        <v>38</v>
      </c>
      <c r="O36" t="s">
        <v>303</v>
      </c>
      <c r="P36">
        <v>4</v>
      </c>
      <c r="Q36">
        <v>34462.559999999998</v>
      </c>
      <c r="R36">
        <v>10</v>
      </c>
      <c r="S36">
        <v>13785.02</v>
      </c>
      <c r="T36">
        <v>124065.22</v>
      </c>
      <c r="U36">
        <v>13392.61</v>
      </c>
    </row>
    <row r="37" spans="1:21" ht="15" customHeight="1" x14ac:dyDescent="0.25">
      <c r="A37" t="s">
        <v>1532</v>
      </c>
      <c r="B37" s="8">
        <v>44728</v>
      </c>
      <c r="C37" s="8">
        <v>44736</v>
      </c>
      <c r="D37" t="s">
        <v>48</v>
      </c>
      <c r="E37" t="s">
        <v>3055</v>
      </c>
      <c r="F37" t="s">
        <v>3071</v>
      </c>
      <c r="G37" t="s">
        <v>193</v>
      </c>
      <c r="H37">
        <v>9051097397</v>
      </c>
      <c r="I37" t="s">
        <v>35</v>
      </c>
      <c r="J37" t="s">
        <v>25</v>
      </c>
      <c r="K37" t="s">
        <v>44</v>
      </c>
      <c r="L37" t="s">
        <v>63</v>
      </c>
      <c r="M37" t="str">
        <f>TRIM(Table2[[#This Row],[Category]])</f>
        <v>Office Supplies</v>
      </c>
      <c r="N37" t="s">
        <v>249</v>
      </c>
      <c r="O37" t="s">
        <v>250</v>
      </c>
      <c r="P37">
        <v>11</v>
      </c>
      <c r="Q37">
        <v>23796.95</v>
      </c>
      <c r="R37">
        <v>0</v>
      </c>
      <c r="S37">
        <v>0</v>
      </c>
      <c r="T37">
        <v>261766.45</v>
      </c>
      <c r="U37">
        <v>-6067.72</v>
      </c>
    </row>
    <row r="38" spans="1:21" ht="15" customHeight="1" x14ac:dyDescent="0.25">
      <c r="A38" t="s">
        <v>2902</v>
      </c>
      <c r="B38" s="8">
        <v>44733</v>
      </c>
      <c r="C38" s="8">
        <v>44741</v>
      </c>
      <c r="D38" t="s">
        <v>48</v>
      </c>
      <c r="E38" t="s">
        <v>3041</v>
      </c>
      <c r="F38" t="s">
        <v>3045</v>
      </c>
      <c r="G38" t="s">
        <v>966</v>
      </c>
      <c r="H38">
        <v>8149400075</v>
      </c>
      <c r="I38" t="s">
        <v>24</v>
      </c>
      <c r="J38" t="s">
        <v>588</v>
      </c>
      <c r="K38" t="s">
        <v>307</v>
      </c>
      <c r="L38" t="s">
        <v>108</v>
      </c>
      <c r="M38" t="str">
        <f>TRIM(Table2[[#This Row],[Category]])</f>
        <v>Clothing</v>
      </c>
      <c r="N38" t="s">
        <v>189</v>
      </c>
      <c r="O38" t="s">
        <v>205</v>
      </c>
      <c r="P38">
        <v>1</v>
      </c>
      <c r="Q38">
        <v>40348.43</v>
      </c>
      <c r="R38">
        <v>0</v>
      </c>
      <c r="S38">
        <v>0</v>
      </c>
      <c r="T38">
        <v>40348.43</v>
      </c>
      <c r="U38">
        <v>-999.75</v>
      </c>
    </row>
    <row r="39" spans="1:21" ht="15" customHeight="1" x14ac:dyDescent="0.25">
      <c r="A39" t="s">
        <v>1033</v>
      </c>
      <c r="B39" s="8">
        <v>44748</v>
      </c>
      <c r="C39" s="8">
        <v>44754</v>
      </c>
      <c r="D39" t="s">
        <v>48</v>
      </c>
      <c r="E39" t="s">
        <v>1034</v>
      </c>
      <c r="F39" t="str">
        <f t="shared" ref="F39:F40" si="0">F38</f>
        <v>Olawale</v>
      </c>
      <c r="G39" t="s">
        <v>1035</v>
      </c>
      <c r="H39">
        <v>8062075091</v>
      </c>
      <c r="I39" t="s">
        <v>43</v>
      </c>
      <c r="J39" t="s">
        <v>25</v>
      </c>
      <c r="K39" t="s">
        <v>126</v>
      </c>
      <c r="L39" t="s">
        <v>53</v>
      </c>
      <c r="M39" t="str">
        <f>TRIM(Table2[[#This Row],[Category]])</f>
        <v>office supplies</v>
      </c>
      <c r="N39" t="s">
        <v>54</v>
      </c>
      <c r="O39" t="s">
        <v>55</v>
      </c>
      <c r="P39">
        <v>2</v>
      </c>
      <c r="Q39">
        <v>2460.9699999999998</v>
      </c>
      <c r="R39">
        <v>15</v>
      </c>
      <c r="S39">
        <v>738.29</v>
      </c>
      <c r="T39">
        <v>4183.6499999999996</v>
      </c>
      <c r="U39">
        <v>1708.65</v>
      </c>
    </row>
    <row r="40" spans="1:21" ht="15" customHeight="1" x14ac:dyDescent="0.25">
      <c r="A40" t="s">
        <v>1717</v>
      </c>
      <c r="B40" s="8">
        <v>44748</v>
      </c>
      <c r="C40" s="8">
        <v>44755</v>
      </c>
      <c r="D40" t="s">
        <v>48</v>
      </c>
      <c r="E40" t="str">
        <f>E41</f>
        <v>Yemi</v>
      </c>
      <c r="F40" t="str">
        <f t="shared" si="0"/>
        <v>Olawale</v>
      </c>
      <c r="G40" t="s">
        <v>1718</v>
      </c>
      <c r="H40">
        <v>7063938131</v>
      </c>
      <c r="I40" t="s">
        <v>43</v>
      </c>
      <c r="J40" t="s">
        <v>69</v>
      </c>
      <c r="K40" t="s">
        <v>70</v>
      </c>
      <c r="L40" t="s">
        <v>108</v>
      </c>
      <c r="M40" t="str">
        <f>TRIM(Table2[[#This Row],[Category]])</f>
        <v>Clothing</v>
      </c>
      <c r="N40" t="s">
        <v>109</v>
      </c>
      <c r="O40" t="s">
        <v>1258</v>
      </c>
      <c r="P40">
        <v>14</v>
      </c>
      <c r="Q40">
        <v>40698.480000000003</v>
      </c>
      <c r="R40">
        <v>20</v>
      </c>
      <c r="S40">
        <v>113955.74</v>
      </c>
      <c r="T40">
        <v>455822.98</v>
      </c>
      <c r="U40">
        <v>36830.04</v>
      </c>
    </row>
    <row r="41" spans="1:21" ht="15" customHeight="1" x14ac:dyDescent="0.25">
      <c r="A41" t="s">
        <v>2817</v>
      </c>
      <c r="B41" s="8">
        <v>44755</v>
      </c>
      <c r="C41" s="8">
        <v>44760</v>
      </c>
      <c r="D41" t="s">
        <v>48</v>
      </c>
      <c r="E41" t="s">
        <v>3072</v>
      </c>
      <c r="F41" t="s">
        <v>3083</v>
      </c>
      <c r="G41" t="s">
        <v>865</v>
      </c>
      <c r="H41">
        <v>8147058725</v>
      </c>
      <c r="I41" t="s">
        <v>35</v>
      </c>
      <c r="J41" t="s">
        <v>51</v>
      </c>
      <c r="K41" t="s">
        <v>52</v>
      </c>
      <c r="L41" t="s">
        <v>108</v>
      </c>
      <c r="M41" t="str">
        <f>TRIM(Table2[[#This Row],[Category]])</f>
        <v>Clothing</v>
      </c>
      <c r="N41" t="s">
        <v>189</v>
      </c>
      <c r="O41" t="s">
        <v>287</v>
      </c>
      <c r="P41">
        <v>19</v>
      </c>
      <c r="Q41">
        <v>13364.14</v>
      </c>
      <c r="R41">
        <v>25</v>
      </c>
      <c r="S41">
        <v>63479.66</v>
      </c>
      <c r="T41">
        <v>190439</v>
      </c>
      <c r="U41">
        <v>73702.69</v>
      </c>
    </row>
    <row r="42" spans="1:21" ht="15" customHeight="1" x14ac:dyDescent="0.25">
      <c r="A42" t="s">
        <v>902</v>
      </c>
      <c r="B42" s="8">
        <v>44756</v>
      </c>
      <c r="C42" s="8">
        <v>44761</v>
      </c>
      <c r="D42" t="s">
        <v>48</v>
      </c>
      <c r="E42" t="s">
        <v>3049</v>
      </c>
      <c r="F42" t="s">
        <v>3086</v>
      </c>
      <c r="G42" t="s">
        <v>904</v>
      </c>
      <c r="H42">
        <v>9073860721</v>
      </c>
      <c r="I42" t="s">
        <v>24</v>
      </c>
      <c r="J42" t="s">
        <v>51</v>
      </c>
      <c r="K42" t="s">
        <v>316</v>
      </c>
      <c r="L42" t="s">
        <v>63</v>
      </c>
      <c r="M42" t="str">
        <f>TRIM(Table2[[#This Row],[Category]])</f>
        <v>Office Supplies</v>
      </c>
      <c r="N42" t="s">
        <v>558</v>
      </c>
      <c r="O42" t="s">
        <v>905</v>
      </c>
      <c r="P42">
        <v>9</v>
      </c>
      <c r="Q42">
        <v>23899.68</v>
      </c>
      <c r="R42" t="s">
        <v>376</v>
      </c>
      <c r="S42">
        <v>0</v>
      </c>
      <c r="T42">
        <v>215097.12</v>
      </c>
      <c r="U42">
        <v>15825.4</v>
      </c>
    </row>
    <row r="43" spans="1:21" ht="15" customHeight="1" x14ac:dyDescent="0.25">
      <c r="A43" t="s">
        <v>344</v>
      </c>
      <c r="B43" s="8">
        <v>45126</v>
      </c>
      <c r="C43" s="8">
        <v>44767</v>
      </c>
      <c r="D43" t="s">
        <v>48</v>
      </c>
      <c r="E43" t="s">
        <v>3037</v>
      </c>
      <c r="F43" t="s">
        <v>3054</v>
      </c>
      <c r="G43" t="s">
        <v>3126</v>
      </c>
      <c r="H43">
        <v>8147224540</v>
      </c>
      <c r="I43" t="s">
        <v>43</v>
      </c>
      <c r="J43" t="s">
        <v>25</v>
      </c>
      <c r="K43" t="s">
        <v>44</v>
      </c>
      <c r="L43" t="s">
        <v>27</v>
      </c>
      <c r="M43" t="str">
        <f>TRIM(Table2[[#This Row],[Category]])</f>
        <v>Food &amp; Beverages</v>
      </c>
      <c r="N43" t="s">
        <v>28</v>
      </c>
      <c r="O43" t="s">
        <v>347</v>
      </c>
      <c r="P43">
        <v>5</v>
      </c>
      <c r="Q43">
        <v>6015.47</v>
      </c>
      <c r="R43">
        <v>15</v>
      </c>
      <c r="S43">
        <v>4511.6000000000004</v>
      </c>
      <c r="T43">
        <v>25565.75</v>
      </c>
      <c r="U43">
        <v>6211.28</v>
      </c>
    </row>
    <row r="44" spans="1:21" ht="15" customHeight="1" x14ac:dyDescent="0.25">
      <c r="A44" t="s">
        <v>1727</v>
      </c>
      <c r="B44" s="8">
        <v>44767</v>
      </c>
      <c r="C44" s="8">
        <v>44773</v>
      </c>
      <c r="D44" t="s">
        <v>48</v>
      </c>
      <c r="E44" t="s">
        <v>3076</v>
      </c>
      <c r="F44" t="s">
        <v>3038</v>
      </c>
      <c r="G44" t="s">
        <v>1729</v>
      </c>
      <c r="H44">
        <v>8102301665</v>
      </c>
      <c r="I44" t="s">
        <v>35</v>
      </c>
      <c r="J44" t="s">
        <v>51</v>
      </c>
      <c r="K44" t="s">
        <v>131</v>
      </c>
      <c r="L44" t="s">
        <v>96</v>
      </c>
      <c r="M44" t="str">
        <f>TRIM(Table2[[#This Row],[Category]])</f>
        <v>Technology</v>
      </c>
      <c r="N44" t="s">
        <v>97</v>
      </c>
      <c r="O44" t="s">
        <v>443</v>
      </c>
      <c r="P44">
        <v>6</v>
      </c>
      <c r="Q44" t="s">
        <v>1730</v>
      </c>
      <c r="R44">
        <v>5</v>
      </c>
      <c r="S44">
        <v>62005.87</v>
      </c>
      <c r="T44">
        <v>1178111.51</v>
      </c>
      <c r="U44">
        <v>328277.67</v>
      </c>
    </row>
    <row r="45" spans="1:21" ht="15" customHeight="1" x14ac:dyDescent="0.25">
      <c r="A45" t="s">
        <v>899</v>
      </c>
      <c r="B45" s="8">
        <v>44769</v>
      </c>
      <c r="C45" s="8">
        <v>44776</v>
      </c>
      <c r="D45" t="s">
        <v>48</v>
      </c>
      <c r="E45" t="s">
        <v>3067</v>
      </c>
      <c r="F45" t="s">
        <v>3071</v>
      </c>
      <c r="G45" t="s">
        <v>901</v>
      </c>
      <c r="H45">
        <v>8168789281</v>
      </c>
      <c r="I45" t="s">
        <v>35</v>
      </c>
      <c r="J45" t="s">
        <v>69</v>
      </c>
      <c r="K45" t="s">
        <v>119</v>
      </c>
      <c r="L45" t="s">
        <v>96</v>
      </c>
      <c r="M45" t="str">
        <f>TRIM(Table2[[#This Row],[Category]])</f>
        <v>Technology</v>
      </c>
      <c r="N45" t="s">
        <v>120</v>
      </c>
      <c r="O45" t="s">
        <v>359</v>
      </c>
      <c r="P45">
        <v>10</v>
      </c>
      <c r="Q45">
        <v>395251.1</v>
      </c>
      <c r="R45">
        <v>10</v>
      </c>
      <c r="S45">
        <v>395251.1</v>
      </c>
      <c r="T45">
        <v>3557259.9</v>
      </c>
      <c r="U45">
        <v>1177302.42</v>
      </c>
    </row>
    <row r="46" spans="1:21" ht="15" customHeight="1" x14ac:dyDescent="0.25">
      <c r="A46" t="s">
        <v>2006</v>
      </c>
      <c r="B46" s="8">
        <v>44773</v>
      </c>
      <c r="C46" s="8">
        <v>44778</v>
      </c>
      <c r="D46" t="s">
        <v>48</v>
      </c>
      <c r="E46" t="s">
        <v>3039</v>
      </c>
      <c r="F46" t="s">
        <v>3088</v>
      </c>
      <c r="G46" t="s">
        <v>2008</v>
      </c>
      <c r="H46">
        <v>8063379602</v>
      </c>
      <c r="I46" t="s">
        <v>35</v>
      </c>
      <c r="J46" t="s">
        <v>51</v>
      </c>
      <c r="K46" t="s">
        <v>52</v>
      </c>
      <c r="L46" t="s">
        <v>63</v>
      </c>
      <c r="M46" t="str">
        <f>TRIM(Table2[[#This Row],[Category]])</f>
        <v>Office Supplies</v>
      </c>
      <c r="N46" t="s">
        <v>558</v>
      </c>
      <c r="O46" t="s">
        <v>680</v>
      </c>
      <c r="P46">
        <v>16</v>
      </c>
      <c r="Q46">
        <v>2773.04</v>
      </c>
      <c r="R46">
        <v>10</v>
      </c>
      <c r="S46">
        <v>4436.8599999999997</v>
      </c>
      <c r="T46">
        <v>39931.78</v>
      </c>
      <c r="U46">
        <v>15878.13</v>
      </c>
    </row>
    <row r="47" spans="1:21" ht="15" customHeight="1" x14ac:dyDescent="0.25">
      <c r="A47" t="s">
        <v>726</v>
      </c>
      <c r="B47" s="8">
        <v>44773</v>
      </c>
      <c r="C47" s="8">
        <v>44780</v>
      </c>
      <c r="D47" t="s">
        <v>210</v>
      </c>
      <c r="E47" t="s">
        <v>3073</v>
      </c>
      <c r="F47" t="s">
        <v>3064</v>
      </c>
      <c r="G47" t="s">
        <v>3126</v>
      </c>
      <c r="H47">
        <v>7063233823</v>
      </c>
      <c r="I47" t="s">
        <v>35</v>
      </c>
      <c r="J47" t="s">
        <v>61</v>
      </c>
      <c r="K47" t="s">
        <v>204</v>
      </c>
      <c r="L47" t="s">
        <v>85</v>
      </c>
      <c r="M47" t="str">
        <f>TRIM(Table2[[#This Row],[Category]])</f>
        <v>Furniture</v>
      </c>
      <c r="N47" t="s">
        <v>86</v>
      </c>
      <c r="O47" t="s">
        <v>238</v>
      </c>
      <c r="P47">
        <v>20</v>
      </c>
      <c r="Q47">
        <v>104886.09</v>
      </c>
      <c r="R47">
        <v>0</v>
      </c>
      <c r="S47">
        <v>0</v>
      </c>
      <c r="T47">
        <v>2097721.7999999998</v>
      </c>
      <c r="U47">
        <v>239265.42</v>
      </c>
    </row>
    <row r="48" spans="1:21" ht="15" customHeight="1" x14ac:dyDescent="0.25">
      <c r="A48" t="s">
        <v>1558</v>
      </c>
      <c r="B48" s="8">
        <v>44772</v>
      </c>
      <c r="C48" s="8">
        <v>44780</v>
      </c>
      <c r="D48" t="s">
        <v>48</v>
      </c>
      <c r="E48" t="s">
        <v>3051</v>
      </c>
      <c r="F48" t="s">
        <v>3086</v>
      </c>
      <c r="G48" t="s">
        <v>1560</v>
      </c>
      <c r="H48">
        <v>9015878387</v>
      </c>
      <c r="I48" t="s">
        <v>43</v>
      </c>
      <c r="J48" t="s">
        <v>69</v>
      </c>
      <c r="K48" t="s">
        <v>307</v>
      </c>
      <c r="L48" t="s">
        <v>96</v>
      </c>
      <c r="M48" t="str">
        <f>TRIM(Table2[[#This Row],[Category]])</f>
        <v>Technology</v>
      </c>
      <c r="N48" t="s">
        <v>189</v>
      </c>
      <c r="O48" t="s">
        <v>478</v>
      </c>
      <c r="P48">
        <v>19</v>
      </c>
      <c r="Q48">
        <v>226453.92</v>
      </c>
      <c r="R48">
        <v>20</v>
      </c>
      <c r="S48">
        <v>860524.9</v>
      </c>
      <c r="T48">
        <v>3442099.58</v>
      </c>
      <c r="U48">
        <v>-37369.25</v>
      </c>
    </row>
    <row r="49" spans="1:21" ht="15" customHeight="1" x14ac:dyDescent="0.25">
      <c r="A49" t="s">
        <v>1293</v>
      </c>
      <c r="B49" s="8">
        <v>44790</v>
      </c>
      <c r="C49" s="8">
        <v>44796</v>
      </c>
      <c r="D49" t="s">
        <v>48</v>
      </c>
      <c r="E49" t="s">
        <v>3035</v>
      </c>
      <c r="F49" t="s">
        <v>3034</v>
      </c>
      <c r="G49" t="s">
        <v>1295</v>
      </c>
      <c r="H49">
        <v>9078493596</v>
      </c>
      <c r="I49" t="s">
        <v>43</v>
      </c>
      <c r="J49" t="s">
        <v>51</v>
      </c>
      <c r="K49" t="s">
        <v>223</v>
      </c>
      <c r="L49" t="s">
        <v>63</v>
      </c>
      <c r="M49" t="str">
        <f>TRIM(Table2[[#This Row],[Category]])</f>
        <v>Office Supplies</v>
      </c>
      <c r="N49" t="s">
        <v>194</v>
      </c>
      <c r="O49" t="s">
        <v>336</v>
      </c>
      <c r="P49">
        <v>8</v>
      </c>
      <c r="Q49">
        <v>6900.69</v>
      </c>
      <c r="R49">
        <v>20</v>
      </c>
      <c r="S49">
        <v>11041.1</v>
      </c>
      <c r="T49">
        <v>44164.42</v>
      </c>
      <c r="U49">
        <v>-1833.46</v>
      </c>
    </row>
    <row r="50" spans="1:21" ht="15" customHeight="1" x14ac:dyDescent="0.25">
      <c r="A50" t="s">
        <v>2130</v>
      </c>
      <c r="B50" s="8">
        <v>44789</v>
      </c>
      <c r="C50" s="8">
        <v>44797</v>
      </c>
      <c r="D50" t="s">
        <v>48</v>
      </c>
      <c r="E50" t="s">
        <v>3061</v>
      </c>
      <c r="F50" t="s">
        <v>3040</v>
      </c>
      <c r="G50" t="s">
        <v>2131</v>
      </c>
      <c r="H50">
        <v>8036671458</v>
      </c>
      <c r="I50" t="s">
        <v>24</v>
      </c>
      <c r="J50" t="s">
        <v>51</v>
      </c>
      <c r="K50" t="s">
        <v>316</v>
      </c>
      <c r="L50" t="str">
        <f>L49</f>
        <v>Office Supplies</v>
      </c>
      <c r="M50" t="str">
        <f>TRIM(Table2[[#This Row],[Category]])</f>
        <v>Office Supplies</v>
      </c>
      <c r="N50" t="s">
        <v>38</v>
      </c>
      <c r="O50" t="s">
        <v>303</v>
      </c>
      <c r="P50">
        <v>2</v>
      </c>
      <c r="Q50">
        <v>16385.27</v>
      </c>
      <c r="R50">
        <v>0</v>
      </c>
      <c r="S50">
        <v>0</v>
      </c>
      <c r="T50">
        <v>32770.54</v>
      </c>
      <c r="U50">
        <v>-899.88</v>
      </c>
    </row>
    <row r="51" spans="1:21" ht="15" customHeight="1" x14ac:dyDescent="0.25">
      <c r="A51" t="s">
        <v>2634</v>
      </c>
      <c r="B51" s="8">
        <v>44792</v>
      </c>
      <c r="C51" s="8">
        <v>44797</v>
      </c>
      <c r="D51" t="s">
        <v>48</v>
      </c>
      <c r="E51" t="s">
        <v>3059</v>
      </c>
      <c r="F51" t="s">
        <v>3071</v>
      </c>
      <c r="G51" t="s">
        <v>2636</v>
      </c>
      <c r="H51">
        <v>8161378476</v>
      </c>
      <c r="I51" t="s">
        <v>35</v>
      </c>
      <c r="J51" t="s">
        <v>25</v>
      </c>
      <c r="K51" t="s">
        <v>168</v>
      </c>
      <c r="L51" t="s">
        <v>27</v>
      </c>
      <c r="M51" t="str">
        <f>TRIM(Table2[[#This Row],[Category]])</f>
        <v>Food &amp; Beverages</v>
      </c>
      <c r="N51" t="s">
        <v>28</v>
      </c>
      <c r="O51" t="s">
        <v>29</v>
      </c>
      <c r="P51">
        <v>5</v>
      </c>
      <c r="Q51">
        <v>5932.04</v>
      </c>
      <c r="R51">
        <v>5</v>
      </c>
      <c r="S51">
        <v>1483.01</v>
      </c>
      <c r="T51">
        <v>28177.19</v>
      </c>
      <c r="U51">
        <v>-3125</v>
      </c>
    </row>
    <row r="52" spans="1:21" ht="15" customHeight="1" x14ac:dyDescent="0.25">
      <c r="A52" t="s">
        <v>2401</v>
      </c>
      <c r="B52" s="8">
        <v>44792</v>
      </c>
      <c r="C52" s="8">
        <v>44798</v>
      </c>
      <c r="D52" t="s">
        <v>210</v>
      </c>
      <c r="E52" t="s">
        <v>3092</v>
      </c>
      <c r="F52" t="s">
        <v>3086</v>
      </c>
      <c r="G52" t="s">
        <v>493</v>
      </c>
      <c r="H52">
        <v>9058859233</v>
      </c>
      <c r="I52" t="s">
        <v>24</v>
      </c>
      <c r="J52" t="s">
        <v>25</v>
      </c>
      <c r="K52" t="s">
        <v>26</v>
      </c>
      <c r="L52" t="s">
        <v>27</v>
      </c>
      <c r="M52" t="str">
        <f>TRIM(Table2[[#This Row],[Category]])</f>
        <v>Food &amp; Beverages</v>
      </c>
      <c r="N52" t="s">
        <v>354</v>
      </c>
      <c r="O52" t="s">
        <v>355</v>
      </c>
      <c r="P52">
        <v>14</v>
      </c>
      <c r="Q52">
        <v>6206.79</v>
      </c>
      <c r="R52">
        <v>10</v>
      </c>
      <c r="S52">
        <v>8689.51</v>
      </c>
      <c r="T52">
        <v>78205.55</v>
      </c>
      <c r="U52">
        <v>10122.07</v>
      </c>
    </row>
    <row r="53" spans="1:21" ht="15" customHeight="1" x14ac:dyDescent="0.25">
      <c r="A53" t="s">
        <v>2866</v>
      </c>
      <c r="B53" s="8">
        <v>44798</v>
      </c>
      <c r="C53" s="8">
        <v>44804</v>
      </c>
      <c r="D53" t="s">
        <v>48</v>
      </c>
      <c r="E53" t="s">
        <v>3087</v>
      </c>
      <c r="F53" t="s">
        <v>3043</v>
      </c>
      <c r="G53" t="s">
        <v>2868</v>
      </c>
      <c r="H53">
        <v>8159041683</v>
      </c>
      <c r="I53" t="s">
        <v>43</v>
      </c>
      <c r="J53" t="s">
        <v>69</v>
      </c>
      <c r="K53" t="s">
        <v>155</v>
      </c>
      <c r="L53" t="s">
        <v>108</v>
      </c>
      <c r="M53" t="str">
        <f>TRIM(Table2[[#This Row],[Category]])</f>
        <v>Clothing</v>
      </c>
      <c r="N53" t="s">
        <v>189</v>
      </c>
      <c r="O53" t="s">
        <v>190</v>
      </c>
      <c r="P53">
        <v>6</v>
      </c>
      <c r="Q53">
        <v>4271.76</v>
      </c>
      <c r="R53">
        <v>25</v>
      </c>
      <c r="S53">
        <v>6407.64</v>
      </c>
      <c r="T53">
        <v>19222.919999999998</v>
      </c>
      <c r="U53">
        <v>7217.81</v>
      </c>
    </row>
    <row r="54" spans="1:21" ht="15" customHeight="1" x14ac:dyDescent="0.25">
      <c r="A54" t="s">
        <v>162</v>
      </c>
      <c r="B54" s="8">
        <v>44798</v>
      </c>
      <c r="C54" s="8">
        <v>44805</v>
      </c>
      <c r="D54" t="s">
        <v>48</v>
      </c>
      <c r="E54" t="s">
        <v>3065</v>
      </c>
      <c r="F54" t="s">
        <v>3057</v>
      </c>
      <c r="G54" t="s">
        <v>164</v>
      </c>
      <c r="H54">
        <v>8032818692</v>
      </c>
      <c r="I54" t="s">
        <v>43</v>
      </c>
      <c r="J54" t="s">
        <v>69</v>
      </c>
      <c r="K54" t="s">
        <v>155</v>
      </c>
      <c r="L54" t="s">
        <v>27</v>
      </c>
      <c r="M54" t="str">
        <f>TRIM(Table2[[#This Row],[Category]])</f>
        <v>Food &amp; Beverages</v>
      </c>
      <c r="N54" t="s">
        <v>28</v>
      </c>
      <c r="O54" t="s">
        <v>71</v>
      </c>
      <c r="P54">
        <v>11</v>
      </c>
      <c r="Q54">
        <v>5909.8</v>
      </c>
      <c r="R54">
        <v>15</v>
      </c>
      <c r="S54">
        <v>9751.17</v>
      </c>
      <c r="T54">
        <v>55256.63</v>
      </c>
      <c r="U54">
        <v>11809.74</v>
      </c>
    </row>
    <row r="55" spans="1:21" ht="15" customHeight="1" x14ac:dyDescent="0.25">
      <c r="A55" t="s">
        <v>2920</v>
      </c>
      <c r="B55" s="8">
        <v>44799</v>
      </c>
      <c r="C55" s="8">
        <v>44805</v>
      </c>
      <c r="D55" t="s">
        <v>48</v>
      </c>
      <c r="E55" t="s">
        <v>3093</v>
      </c>
      <c r="F55" t="s">
        <v>3077</v>
      </c>
      <c r="G55" t="s">
        <v>2921</v>
      </c>
      <c r="H55">
        <v>9029855180</v>
      </c>
      <c r="I55" t="s">
        <v>24</v>
      </c>
      <c r="J55" t="s">
        <v>51</v>
      </c>
      <c r="K55" t="s">
        <v>223</v>
      </c>
      <c r="L55" t="s">
        <v>108</v>
      </c>
      <c r="M55" t="str">
        <f>TRIM(Table2[[#This Row],[Category]])</f>
        <v>Clothing</v>
      </c>
      <c r="N55" t="s">
        <v>109</v>
      </c>
      <c r="O55" t="s">
        <v>157</v>
      </c>
      <c r="P55">
        <v>16</v>
      </c>
      <c r="Q55">
        <v>14832.93</v>
      </c>
      <c r="R55">
        <v>25</v>
      </c>
      <c r="S55">
        <v>59331.72</v>
      </c>
      <c r="T55">
        <v>177995.16</v>
      </c>
      <c r="U55">
        <v>51973.67</v>
      </c>
    </row>
    <row r="56" spans="1:21" ht="15" customHeight="1" x14ac:dyDescent="0.25">
      <c r="A56" t="s">
        <v>2010</v>
      </c>
      <c r="B56" s="8">
        <v>44802</v>
      </c>
      <c r="C56" s="8">
        <v>44809</v>
      </c>
      <c r="D56" t="s">
        <v>48</v>
      </c>
      <c r="E56" t="s">
        <v>3097</v>
      </c>
      <c r="F56" t="s">
        <v>3083</v>
      </c>
      <c r="G56" t="s">
        <v>2012</v>
      </c>
      <c r="H56">
        <v>8109753488</v>
      </c>
      <c r="I56" t="s">
        <v>24</v>
      </c>
      <c r="J56" t="s">
        <v>61</v>
      </c>
      <c r="K56" t="s">
        <v>84</v>
      </c>
      <c r="L56" t="s">
        <v>1441</v>
      </c>
      <c r="M56" t="str">
        <f>TRIM(Table2[[#This Row],[Category]])</f>
        <v>OFFICE SUPPLIES</v>
      </c>
      <c r="N56" t="s">
        <v>249</v>
      </c>
      <c r="O56" t="s">
        <v>2013</v>
      </c>
      <c r="P56">
        <v>18</v>
      </c>
      <c r="Q56">
        <v>15349.71</v>
      </c>
      <c r="R56">
        <v>0</v>
      </c>
      <c r="S56">
        <v>0</v>
      </c>
      <c r="T56">
        <v>276294.78000000003</v>
      </c>
      <c r="U56">
        <v>44427.360000000001</v>
      </c>
    </row>
    <row r="57" spans="1:21" ht="15" customHeight="1" x14ac:dyDescent="0.25">
      <c r="A57" t="s">
        <v>2497</v>
      </c>
      <c r="B57" s="8">
        <v>44808</v>
      </c>
      <c r="C57" s="8">
        <v>44815</v>
      </c>
      <c r="D57" t="s">
        <v>48</v>
      </c>
      <c r="E57" t="s">
        <v>3076</v>
      </c>
      <c r="F57" t="s">
        <v>3038</v>
      </c>
      <c r="G57" t="s">
        <v>2498</v>
      </c>
      <c r="H57">
        <v>9074026890</v>
      </c>
      <c r="I57" t="s">
        <v>24</v>
      </c>
      <c r="J57" t="s">
        <v>69</v>
      </c>
      <c r="K57" t="s">
        <v>307</v>
      </c>
      <c r="L57" t="s">
        <v>27</v>
      </c>
      <c r="M57" t="str">
        <f>TRIM(Table2[[#This Row],[Category]])</f>
        <v>Food &amp; Beverages</v>
      </c>
      <c r="N57" t="s">
        <v>173</v>
      </c>
      <c r="O57" t="s">
        <v>380</v>
      </c>
      <c r="P57">
        <v>16</v>
      </c>
      <c r="Q57">
        <v>7231.78</v>
      </c>
      <c r="R57">
        <v>5</v>
      </c>
      <c r="S57">
        <v>5785.42</v>
      </c>
      <c r="T57">
        <v>109923.06</v>
      </c>
      <c r="U57">
        <v>23314.9</v>
      </c>
    </row>
    <row r="58" spans="1:21" ht="15" customHeight="1" x14ac:dyDescent="0.25">
      <c r="A58" t="s">
        <v>2310</v>
      </c>
      <c r="B58" s="8">
        <v>44820</v>
      </c>
      <c r="C58" s="8">
        <v>44826</v>
      </c>
      <c r="D58" t="s">
        <v>48</v>
      </c>
      <c r="E58" t="s">
        <v>3089</v>
      </c>
      <c r="F58" t="s">
        <v>3066</v>
      </c>
      <c r="G58" t="s">
        <v>2312</v>
      </c>
      <c r="H58">
        <v>7038684482</v>
      </c>
      <c r="I58" t="s">
        <v>35</v>
      </c>
      <c r="J58" t="s">
        <v>61</v>
      </c>
      <c r="K58" t="s">
        <v>62</v>
      </c>
      <c r="L58" t="s">
        <v>27</v>
      </c>
      <c r="M58" t="str">
        <f>TRIM(Table2[[#This Row],[Category]])</f>
        <v>Food &amp; Beverages</v>
      </c>
      <c r="N58" t="s">
        <v>354</v>
      </c>
      <c r="O58" t="s">
        <v>789</v>
      </c>
      <c r="P58">
        <v>2</v>
      </c>
      <c r="Q58">
        <v>4681.83</v>
      </c>
      <c r="R58">
        <v>0</v>
      </c>
      <c r="S58">
        <v>0</v>
      </c>
      <c r="T58">
        <v>9363.66</v>
      </c>
      <c r="U58">
        <v>430.29</v>
      </c>
    </row>
    <row r="59" spans="1:21" ht="15" customHeight="1" x14ac:dyDescent="0.25">
      <c r="A59" t="s">
        <v>2039</v>
      </c>
      <c r="B59" s="8">
        <v>44820</v>
      </c>
      <c r="C59" s="8">
        <v>44827</v>
      </c>
      <c r="D59" t="s">
        <v>48</v>
      </c>
      <c r="E59" t="s">
        <v>3084</v>
      </c>
      <c r="F59" t="s">
        <v>3096</v>
      </c>
      <c r="G59" t="s">
        <v>2041</v>
      </c>
      <c r="H59">
        <v>9078495720</v>
      </c>
      <c r="I59" t="s">
        <v>43</v>
      </c>
      <c r="J59" t="s">
        <v>61</v>
      </c>
      <c r="K59" t="s">
        <v>84</v>
      </c>
      <c r="L59" t="s">
        <v>96</v>
      </c>
      <c r="M59" t="str">
        <f>TRIM(Table2[[#This Row],[Category]])</f>
        <v>Technology</v>
      </c>
      <c r="N59" t="s">
        <v>254</v>
      </c>
      <c r="O59" t="s">
        <v>452</v>
      </c>
      <c r="P59">
        <v>16</v>
      </c>
      <c r="Q59" t="s">
        <v>2043</v>
      </c>
      <c r="R59">
        <v>20</v>
      </c>
      <c r="S59">
        <v>382808.64</v>
      </c>
      <c r="T59">
        <v>1531234.56</v>
      </c>
      <c r="U59">
        <v>667326.82999999996</v>
      </c>
    </row>
    <row r="60" spans="1:21" ht="15" customHeight="1" x14ac:dyDescent="0.25">
      <c r="A60" t="s">
        <v>2407</v>
      </c>
      <c r="B60" s="8">
        <v>44822</v>
      </c>
      <c r="C60" s="8">
        <v>44829</v>
      </c>
      <c r="D60" t="s">
        <v>48</v>
      </c>
      <c r="E60" t="s">
        <v>3044</v>
      </c>
      <c r="F60" t="s">
        <v>3074</v>
      </c>
      <c r="G60" t="s">
        <v>1972</v>
      </c>
      <c r="H60">
        <v>8134503204</v>
      </c>
      <c r="I60" t="s">
        <v>24</v>
      </c>
      <c r="J60" t="s">
        <v>25</v>
      </c>
      <c r="K60" t="s">
        <v>36</v>
      </c>
      <c r="L60" t="s">
        <v>85</v>
      </c>
      <c r="M60" t="str">
        <f>TRIM(Table2[[#This Row],[Category]])</f>
        <v>Furniture</v>
      </c>
      <c r="N60" t="s">
        <v>243</v>
      </c>
      <c r="O60" t="s">
        <v>613</v>
      </c>
      <c r="P60">
        <v>9</v>
      </c>
      <c r="Q60">
        <v>80976.789999999994</v>
      </c>
      <c r="R60">
        <v>5</v>
      </c>
      <c r="S60">
        <v>36439.56</v>
      </c>
      <c r="T60">
        <v>692351.55</v>
      </c>
      <c r="U60">
        <v>285097.46000000002</v>
      </c>
    </row>
    <row r="61" spans="1:21" ht="15" customHeight="1" x14ac:dyDescent="0.25">
      <c r="A61" t="s">
        <v>1819</v>
      </c>
      <c r="B61" s="8">
        <v>44830</v>
      </c>
      <c r="C61" s="8">
        <v>44837</v>
      </c>
      <c r="D61" t="s">
        <v>48</v>
      </c>
      <c r="E61" t="s">
        <v>3035</v>
      </c>
      <c r="F61" t="s">
        <v>3086</v>
      </c>
      <c r="G61" t="s">
        <v>1821</v>
      </c>
      <c r="H61">
        <v>8036101515</v>
      </c>
      <c r="I61" t="s">
        <v>43</v>
      </c>
      <c r="J61" t="s">
        <v>61</v>
      </c>
      <c r="K61" t="s">
        <v>84</v>
      </c>
      <c r="L61" t="s">
        <v>108</v>
      </c>
      <c r="M61" t="str">
        <f>TRIM(Table2[[#This Row],[Category]])</f>
        <v>Clothing</v>
      </c>
      <c r="N61" t="s">
        <v>109</v>
      </c>
      <c r="O61" t="s">
        <v>426</v>
      </c>
      <c r="P61">
        <v>16</v>
      </c>
      <c r="Q61">
        <v>7915.12</v>
      </c>
      <c r="R61">
        <v>10</v>
      </c>
      <c r="S61">
        <v>12664.19</v>
      </c>
      <c r="T61">
        <v>113977.73</v>
      </c>
      <c r="U61">
        <v>44261.07</v>
      </c>
    </row>
    <row r="62" spans="1:21" ht="15" customHeight="1" x14ac:dyDescent="0.25">
      <c r="A62" t="s">
        <v>2004</v>
      </c>
      <c r="B62" s="8">
        <v>44829</v>
      </c>
      <c r="C62" s="8">
        <v>44837</v>
      </c>
      <c r="D62" t="s">
        <v>48</v>
      </c>
      <c r="E62" t="s">
        <v>3097</v>
      </c>
      <c r="F62" t="s">
        <v>3062</v>
      </c>
      <c r="G62" t="s">
        <v>615</v>
      </c>
      <c r="H62">
        <v>9074720435</v>
      </c>
      <c r="I62" t="s">
        <v>43</v>
      </c>
      <c r="J62" t="s">
        <v>25</v>
      </c>
      <c r="K62" t="s">
        <v>36</v>
      </c>
      <c r="L62" t="s">
        <v>63</v>
      </c>
      <c r="M62" t="str">
        <f>TRIM(Table2[[#This Row],[Category]])</f>
        <v>Office Supplies</v>
      </c>
      <c r="N62" t="s">
        <v>54</v>
      </c>
      <c r="O62" t="s">
        <v>963</v>
      </c>
      <c r="P62">
        <v>13</v>
      </c>
      <c r="Q62">
        <v>21091.19</v>
      </c>
      <c r="R62">
        <v>10</v>
      </c>
      <c r="S62">
        <v>27418.55</v>
      </c>
      <c r="T62">
        <v>246766.92</v>
      </c>
      <c r="U62">
        <v>60594.76</v>
      </c>
    </row>
    <row r="63" spans="1:21" ht="15" customHeight="1" x14ac:dyDescent="0.25">
      <c r="A63" t="s">
        <v>1695</v>
      </c>
      <c r="B63" s="8">
        <v>44837</v>
      </c>
      <c r="C63" s="8">
        <v>44842</v>
      </c>
      <c r="D63" t="s">
        <v>48</v>
      </c>
      <c r="E63" t="s">
        <v>3076</v>
      </c>
      <c r="F63" t="s">
        <v>3071</v>
      </c>
      <c r="G63" t="s">
        <v>1697</v>
      </c>
      <c r="H63">
        <v>8131690263</v>
      </c>
      <c r="I63" t="s">
        <v>24</v>
      </c>
      <c r="J63" t="s">
        <v>51</v>
      </c>
      <c r="K63" t="s">
        <v>223</v>
      </c>
      <c r="L63" t="s">
        <v>108</v>
      </c>
      <c r="M63" t="str">
        <f>TRIM(Table2[[#This Row],[Category]])</f>
        <v>Clothing</v>
      </c>
      <c r="N63" t="s">
        <v>189</v>
      </c>
      <c r="O63" t="s">
        <v>205</v>
      </c>
      <c r="P63">
        <v>15</v>
      </c>
      <c r="Q63">
        <v>16464.080000000002</v>
      </c>
      <c r="R63">
        <v>20</v>
      </c>
      <c r="S63">
        <v>49392.24</v>
      </c>
      <c r="T63">
        <v>197568.96</v>
      </c>
      <c r="U63">
        <v>21634.47</v>
      </c>
    </row>
    <row r="64" spans="1:21" ht="15" customHeight="1" x14ac:dyDescent="0.25">
      <c r="A64" t="s">
        <v>2808</v>
      </c>
      <c r="B64" s="8">
        <v>44840</v>
      </c>
      <c r="C64" s="8">
        <v>44848</v>
      </c>
      <c r="D64" t="s">
        <v>48</v>
      </c>
      <c r="E64" t="s">
        <v>3089</v>
      </c>
      <c r="F64" t="s">
        <v>3077</v>
      </c>
      <c r="G64" t="s">
        <v>2809</v>
      </c>
      <c r="H64">
        <v>8061544925</v>
      </c>
      <c r="I64" t="s">
        <v>24</v>
      </c>
      <c r="J64" t="s">
        <v>25</v>
      </c>
      <c r="K64" t="s">
        <v>36</v>
      </c>
      <c r="L64" t="s">
        <v>63</v>
      </c>
      <c r="M64" t="str">
        <f>TRIM(Table2[[#This Row],[Category]])</f>
        <v>Office Supplies</v>
      </c>
      <c r="N64" t="s">
        <v>54</v>
      </c>
      <c r="O64" t="s">
        <v>55</v>
      </c>
      <c r="P64">
        <v>14</v>
      </c>
      <c r="Q64">
        <v>13658.5</v>
      </c>
      <c r="R64">
        <v>10</v>
      </c>
      <c r="S64">
        <v>19121.900000000001</v>
      </c>
      <c r="T64">
        <v>172097.1</v>
      </c>
      <c r="U64">
        <v>-21793.81</v>
      </c>
    </row>
    <row r="65" spans="1:21" ht="15" customHeight="1" x14ac:dyDescent="0.25">
      <c r="A65" t="s">
        <v>337</v>
      </c>
      <c r="B65" s="8">
        <v>44850</v>
      </c>
      <c r="C65" s="8">
        <v>44856</v>
      </c>
      <c r="D65" t="s">
        <v>48</v>
      </c>
      <c r="E65" t="s">
        <v>3058</v>
      </c>
      <c r="F65" t="s">
        <v>3086</v>
      </c>
      <c r="G65" t="s">
        <v>339</v>
      </c>
      <c r="H65">
        <v>8067619862</v>
      </c>
      <c r="I65" t="s">
        <v>43</v>
      </c>
      <c r="J65" t="s">
        <v>51</v>
      </c>
      <c r="K65" t="s">
        <v>52</v>
      </c>
      <c r="L65" t="s">
        <v>96</v>
      </c>
      <c r="M65" t="str">
        <f>TRIM(Table2[[#This Row],[Category]])</f>
        <v>Technology</v>
      </c>
      <c r="N65" t="s">
        <v>97</v>
      </c>
      <c r="O65" t="s">
        <v>169</v>
      </c>
      <c r="P65">
        <f>P64</f>
        <v>14</v>
      </c>
      <c r="Q65">
        <v>68761.100000000006</v>
      </c>
      <c r="R65">
        <v>10</v>
      </c>
      <c r="S65">
        <v>82513.320000000007</v>
      </c>
      <c r="T65" t="s">
        <v>340</v>
      </c>
      <c r="U65">
        <v>149070.59</v>
      </c>
    </row>
    <row r="66" spans="1:21" ht="15" customHeight="1" x14ac:dyDescent="0.25">
      <c r="A66" t="s">
        <v>1752</v>
      </c>
      <c r="B66" s="8">
        <v>44851</v>
      </c>
      <c r="C66" s="8">
        <v>44857</v>
      </c>
      <c r="D66" t="s">
        <v>48</v>
      </c>
      <c r="E66" t="s">
        <v>3033</v>
      </c>
      <c r="F66" t="s">
        <v>3100</v>
      </c>
      <c r="G66" t="s">
        <v>1754</v>
      </c>
      <c r="H66">
        <v>9054428815</v>
      </c>
      <c r="I66" t="s">
        <v>35</v>
      </c>
      <c r="J66" t="s">
        <v>69</v>
      </c>
      <c r="K66" t="s">
        <v>307</v>
      </c>
      <c r="L66" t="s">
        <v>85</v>
      </c>
      <c r="M66" t="str">
        <f>TRIM(Table2[[#This Row],[Category]])</f>
        <v>Furniture</v>
      </c>
      <c r="N66" t="s">
        <v>266</v>
      </c>
      <c r="O66" t="s">
        <v>267</v>
      </c>
      <c r="P66">
        <v>15</v>
      </c>
      <c r="Q66">
        <v>81313.25</v>
      </c>
      <c r="R66">
        <v>10</v>
      </c>
      <c r="S66">
        <v>121969.88</v>
      </c>
      <c r="T66">
        <v>1097728.8700000001</v>
      </c>
      <c r="U66">
        <v>-56538.21</v>
      </c>
    </row>
    <row r="67" spans="1:21" ht="15" customHeight="1" x14ac:dyDescent="0.25">
      <c r="A67" t="s">
        <v>766</v>
      </c>
      <c r="B67" s="8">
        <v>44853</v>
      </c>
      <c r="C67" s="8">
        <v>44860</v>
      </c>
      <c r="D67" t="s">
        <v>48</v>
      </c>
      <c r="E67" t="s">
        <v>3081</v>
      </c>
      <c r="F67" t="s">
        <v>3090</v>
      </c>
      <c r="G67" t="s">
        <v>768</v>
      </c>
      <c r="H67">
        <v>8039720112</v>
      </c>
      <c r="I67" t="s">
        <v>43</v>
      </c>
      <c r="J67" t="s">
        <v>61</v>
      </c>
      <c r="K67" t="s">
        <v>204</v>
      </c>
      <c r="L67" t="s">
        <v>108</v>
      </c>
      <c r="M67" t="str">
        <f>TRIM(Table2[[#This Row],[Category]])</f>
        <v>Clothing</v>
      </c>
      <c r="N67" t="s">
        <v>38</v>
      </c>
      <c r="O67" t="s">
        <v>213</v>
      </c>
      <c r="P67">
        <v>3</v>
      </c>
      <c r="Q67">
        <v>43905.86</v>
      </c>
      <c r="R67">
        <v>0</v>
      </c>
      <c r="S67">
        <v>0</v>
      </c>
      <c r="T67">
        <v>131717.57999999999</v>
      </c>
      <c r="U67">
        <v>20186.599999999999</v>
      </c>
    </row>
    <row r="68" spans="1:21" ht="15" customHeight="1" x14ac:dyDescent="0.25">
      <c r="A68" t="s">
        <v>2074</v>
      </c>
      <c r="B68" s="8">
        <v>44864</v>
      </c>
      <c r="C68" s="8">
        <v>44872</v>
      </c>
      <c r="D68" t="s">
        <v>48</v>
      </c>
      <c r="E68" t="s">
        <v>3067</v>
      </c>
      <c r="F68" t="s">
        <v>3069</v>
      </c>
      <c r="G68" t="s">
        <v>2075</v>
      </c>
      <c r="H68">
        <v>7039352238</v>
      </c>
      <c r="I68" t="s">
        <v>43</v>
      </c>
      <c r="J68" t="s">
        <v>69</v>
      </c>
      <c r="K68" t="s">
        <v>307</v>
      </c>
      <c r="L68" t="s">
        <v>96</v>
      </c>
      <c r="M68" t="str">
        <f>TRIM(Table2[[#This Row],[Category]])</f>
        <v>Technology</v>
      </c>
      <c r="N68" t="s">
        <v>385</v>
      </c>
      <c r="O68" t="s">
        <v>1010</v>
      </c>
      <c r="P68">
        <v>14</v>
      </c>
      <c r="Q68">
        <v>337340.41</v>
      </c>
      <c r="R68">
        <v>10</v>
      </c>
      <c r="S68">
        <v>472276.57</v>
      </c>
      <c r="T68" t="s">
        <v>2076</v>
      </c>
      <c r="U68">
        <v>-111428.65</v>
      </c>
    </row>
    <row r="69" spans="1:21" ht="15" customHeight="1" x14ac:dyDescent="0.25">
      <c r="A69" t="s">
        <v>2171</v>
      </c>
      <c r="B69" s="8">
        <v>44869</v>
      </c>
      <c r="C69" s="8">
        <v>44877</v>
      </c>
      <c r="D69" t="s">
        <v>48</v>
      </c>
      <c r="E69" t="s">
        <v>3081</v>
      </c>
      <c r="F69" t="s">
        <v>3050</v>
      </c>
      <c r="G69" t="s">
        <v>2172</v>
      </c>
      <c r="H69">
        <v>9059447259</v>
      </c>
      <c r="I69" t="s">
        <v>43</v>
      </c>
      <c r="J69" t="s">
        <v>51</v>
      </c>
      <c r="K69" t="s">
        <v>131</v>
      </c>
      <c r="L69" t="s">
        <v>27</v>
      </c>
      <c r="M69" t="str">
        <f>TRIM(Table2[[#This Row],[Category]])</f>
        <v>Food &amp; Beverages</v>
      </c>
      <c r="N69" t="s">
        <v>173</v>
      </c>
      <c r="O69" t="s">
        <v>662</v>
      </c>
      <c r="P69">
        <v>4</v>
      </c>
      <c r="Q69">
        <v>4450.05</v>
      </c>
      <c r="R69">
        <v>-10</v>
      </c>
      <c r="S69">
        <v>4450.05</v>
      </c>
      <c r="T69">
        <v>13350.15</v>
      </c>
      <c r="U69">
        <v>4391.18</v>
      </c>
    </row>
    <row r="70" spans="1:21" ht="15" customHeight="1" x14ac:dyDescent="0.25">
      <c r="A70" t="s">
        <v>1408</v>
      </c>
      <c r="B70" s="8">
        <v>44877</v>
      </c>
      <c r="C70" s="8">
        <v>44884</v>
      </c>
      <c r="D70" t="s">
        <v>48</v>
      </c>
      <c r="E70" t="s">
        <v>1409</v>
      </c>
      <c r="F70" t="str">
        <f>F69</f>
        <v>Musa</v>
      </c>
      <c r="G70" t="s">
        <v>1410</v>
      </c>
      <c r="H70">
        <v>8065826621</v>
      </c>
      <c r="I70" t="s">
        <v>35</v>
      </c>
      <c r="J70" t="s">
        <v>69</v>
      </c>
      <c r="K70" t="s">
        <v>119</v>
      </c>
      <c r="L70" t="s">
        <v>108</v>
      </c>
      <c r="M70" t="str">
        <f>TRIM(Table2[[#This Row],[Category]])</f>
        <v>Clothing</v>
      </c>
      <c r="N70" t="s">
        <v>109</v>
      </c>
      <c r="O70" t="s">
        <v>690</v>
      </c>
      <c r="P70">
        <v>8</v>
      </c>
      <c r="Q70">
        <v>40992.11</v>
      </c>
      <c r="R70">
        <v>0</v>
      </c>
      <c r="S70">
        <v>0</v>
      </c>
      <c r="T70">
        <v>327936.88</v>
      </c>
      <c r="U70">
        <v>-25706.05</v>
      </c>
    </row>
    <row r="71" spans="1:21" ht="15" customHeight="1" x14ac:dyDescent="0.25">
      <c r="A71" t="s">
        <v>2574</v>
      </c>
      <c r="B71" s="8">
        <v>44881</v>
      </c>
      <c r="C71" s="8">
        <v>44889</v>
      </c>
      <c r="D71" t="s">
        <v>48</v>
      </c>
      <c r="E71" t="s">
        <v>3095</v>
      </c>
      <c r="F71" t="s">
        <v>3079</v>
      </c>
      <c r="G71" t="s">
        <v>2576</v>
      </c>
      <c r="H71">
        <v>9053046457</v>
      </c>
      <c r="I71" t="s">
        <v>24</v>
      </c>
      <c r="J71" t="s">
        <v>699</v>
      </c>
      <c r="K71" t="s">
        <v>44</v>
      </c>
      <c r="L71" t="s">
        <v>96</v>
      </c>
      <c r="M71" t="str">
        <f>TRIM(Table2[[#This Row],[Category]])</f>
        <v>Technology</v>
      </c>
      <c r="N71" t="s">
        <v>385</v>
      </c>
      <c r="O71" t="s">
        <v>781</v>
      </c>
      <c r="P71">
        <v>3</v>
      </c>
      <c r="Q71">
        <v>414330.94</v>
      </c>
      <c r="R71">
        <v>0</v>
      </c>
      <c r="S71">
        <v>0</v>
      </c>
      <c r="T71">
        <v>1242992.82</v>
      </c>
      <c r="U71">
        <v>-118056.56</v>
      </c>
    </row>
    <row r="72" spans="1:21" ht="15" customHeight="1" x14ac:dyDescent="0.25">
      <c r="A72" t="s">
        <v>2860</v>
      </c>
      <c r="B72" s="8">
        <v>44884</v>
      </c>
      <c r="C72" s="8">
        <v>44890</v>
      </c>
      <c r="D72" t="s">
        <v>48</v>
      </c>
      <c r="E72" t="s">
        <v>3044</v>
      </c>
      <c r="F72" t="s">
        <v>3054</v>
      </c>
      <c r="G72" t="s">
        <v>2862</v>
      </c>
      <c r="H72">
        <v>8068291687</v>
      </c>
      <c r="I72" t="s">
        <v>35</v>
      </c>
      <c r="J72" t="s">
        <v>61</v>
      </c>
      <c r="K72" t="s">
        <v>204</v>
      </c>
      <c r="L72" t="s">
        <v>85</v>
      </c>
      <c r="M72" t="str">
        <f>TRIM(Table2[[#This Row],[Category]])</f>
        <v>Furniture</v>
      </c>
      <c r="N72" t="s">
        <v>218</v>
      </c>
      <c r="O72" t="s">
        <v>1058</v>
      </c>
      <c r="P72">
        <v>18</v>
      </c>
      <c r="Q72">
        <v>130755.89</v>
      </c>
      <c r="R72">
        <v>25</v>
      </c>
      <c r="S72">
        <v>588401.51</v>
      </c>
      <c r="T72">
        <v>1765204.51</v>
      </c>
      <c r="U72">
        <v>741350.81</v>
      </c>
    </row>
    <row r="73" spans="1:21" ht="15" customHeight="1" x14ac:dyDescent="0.25">
      <c r="A73" t="s">
        <v>2168</v>
      </c>
      <c r="B73" s="8">
        <v>44890</v>
      </c>
      <c r="C73" s="8">
        <v>44897</v>
      </c>
      <c r="D73" t="s">
        <v>48</v>
      </c>
      <c r="E73" t="s">
        <v>3063</v>
      </c>
      <c r="F73" t="s">
        <v>3064</v>
      </c>
      <c r="G73" t="s">
        <v>2169</v>
      </c>
      <c r="H73">
        <v>9051428411</v>
      </c>
      <c r="I73" t="s">
        <v>43</v>
      </c>
      <c r="J73" t="s">
        <v>51</v>
      </c>
      <c r="K73" t="s">
        <v>316</v>
      </c>
      <c r="L73" t="s">
        <v>96</v>
      </c>
      <c r="M73" t="str">
        <f>TRIM(Table2[[#This Row],[Category]])</f>
        <v>Technology</v>
      </c>
      <c r="N73" t="s">
        <v>254</v>
      </c>
      <c r="O73" t="s">
        <v>255</v>
      </c>
      <c r="P73">
        <v>17</v>
      </c>
      <c r="Q73">
        <v>366494.88</v>
      </c>
      <c r="R73">
        <v>25</v>
      </c>
      <c r="S73">
        <v>1557603.24</v>
      </c>
      <c r="T73">
        <v>4672809.72</v>
      </c>
      <c r="U73">
        <v>1495674.28</v>
      </c>
    </row>
    <row r="74" spans="1:21" ht="15" customHeight="1" x14ac:dyDescent="0.25">
      <c r="A74" t="s">
        <v>2411</v>
      </c>
      <c r="B74" s="8">
        <v>44895</v>
      </c>
      <c r="C74" s="8">
        <v>44901</v>
      </c>
      <c r="D74" t="s">
        <v>48</v>
      </c>
      <c r="E74" t="s">
        <v>3056</v>
      </c>
      <c r="F74" t="s">
        <v>3083</v>
      </c>
      <c r="G74" t="s">
        <v>2412</v>
      </c>
      <c r="H74">
        <v>9016316357</v>
      </c>
      <c r="I74" t="s">
        <v>35</v>
      </c>
      <c r="J74" t="s">
        <v>25</v>
      </c>
      <c r="K74" t="s">
        <v>26</v>
      </c>
      <c r="L74" t="s">
        <v>108</v>
      </c>
      <c r="M74" t="str">
        <f>TRIM(Table2[[#This Row],[Category]])</f>
        <v>Clothing</v>
      </c>
      <c r="N74" t="s">
        <v>109</v>
      </c>
      <c r="O74" t="s">
        <v>1258</v>
      </c>
      <c r="P74">
        <v>17</v>
      </c>
      <c r="Q74">
        <v>44361.54</v>
      </c>
      <c r="R74">
        <v>10</v>
      </c>
      <c r="S74">
        <v>75414.62</v>
      </c>
      <c r="T74">
        <v>678731.56</v>
      </c>
      <c r="U74">
        <v>92841.91</v>
      </c>
    </row>
    <row r="75" spans="1:21" ht="15" customHeight="1" x14ac:dyDescent="0.25">
      <c r="A75" t="s">
        <v>220</v>
      </c>
      <c r="B75" s="8">
        <v>44897</v>
      </c>
      <c r="C75" s="8">
        <v>44904</v>
      </c>
      <c r="D75" t="s">
        <v>48</v>
      </c>
      <c r="E75" t="s">
        <v>3072</v>
      </c>
      <c r="F75" t="s">
        <v>3057</v>
      </c>
      <c r="G75" t="s">
        <v>222</v>
      </c>
      <c r="H75">
        <v>8167296605</v>
      </c>
      <c r="I75" t="s">
        <v>35</v>
      </c>
      <c r="J75" t="s">
        <v>51</v>
      </c>
      <c r="K75" t="s">
        <v>223</v>
      </c>
      <c r="L75" t="s">
        <v>108</v>
      </c>
      <c r="M75" t="str">
        <f>TRIM(Table2[[#This Row],[Category]])</f>
        <v>Clothing</v>
      </c>
      <c r="N75" t="s">
        <v>109</v>
      </c>
      <c r="O75" t="s">
        <v>110</v>
      </c>
      <c r="P75">
        <v>8</v>
      </c>
      <c r="Q75">
        <v>27460.21</v>
      </c>
      <c r="R75">
        <v>0</v>
      </c>
      <c r="S75">
        <v>0</v>
      </c>
      <c r="T75">
        <v>219681.68</v>
      </c>
      <c r="U75">
        <v>58944.07</v>
      </c>
    </row>
    <row r="76" spans="1:21" ht="15" customHeight="1" x14ac:dyDescent="0.25">
      <c r="A76" t="s">
        <v>2065</v>
      </c>
      <c r="B76" s="8">
        <v>44903</v>
      </c>
      <c r="C76" s="8">
        <v>44909</v>
      </c>
      <c r="D76" t="s">
        <v>48</v>
      </c>
      <c r="E76" t="s">
        <v>3095</v>
      </c>
      <c r="F76" t="s">
        <v>3071</v>
      </c>
      <c r="G76" t="s">
        <v>2067</v>
      </c>
      <c r="H76">
        <v>8038962478</v>
      </c>
      <c r="I76" t="s">
        <v>43</v>
      </c>
      <c r="J76" t="s">
        <v>61</v>
      </c>
      <c r="K76" t="s">
        <v>62</v>
      </c>
      <c r="L76" t="s">
        <v>108</v>
      </c>
      <c r="M76" t="str">
        <f>TRIM(Table2[[#This Row],[Category]])</f>
        <v>Clothing</v>
      </c>
      <c r="N76" t="s">
        <v>38</v>
      </c>
      <c r="O76" t="s">
        <v>519</v>
      </c>
      <c r="P76">
        <v>9</v>
      </c>
      <c r="Q76">
        <v>9633.15</v>
      </c>
      <c r="R76">
        <v>0</v>
      </c>
      <c r="S76">
        <v>0</v>
      </c>
      <c r="T76">
        <v>86698.35</v>
      </c>
      <c r="U76">
        <v>-4123.8</v>
      </c>
    </row>
    <row r="77" spans="1:21" ht="15" customHeight="1" x14ac:dyDescent="0.25">
      <c r="A77" t="s">
        <v>851</v>
      </c>
      <c r="B77" s="8">
        <v>44917</v>
      </c>
      <c r="C77" s="8">
        <v>44923</v>
      </c>
      <c r="D77" t="s">
        <v>48</v>
      </c>
      <c r="E77" t="s">
        <v>3050</v>
      </c>
      <c r="F77" t="s">
        <v>3042</v>
      </c>
      <c r="G77" t="s">
        <v>853</v>
      </c>
      <c r="H77">
        <v>8131554840</v>
      </c>
      <c r="I77" t="s">
        <v>24</v>
      </c>
      <c r="J77" t="s">
        <v>69</v>
      </c>
      <c r="K77" t="s">
        <v>119</v>
      </c>
      <c r="L77" t="s">
        <v>108</v>
      </c>
      <c r="M77" t="str">
        <f>TRIM(Table2[[#This Row],[Category]])</f>
        <v>Clothing</v>
      </c>
      <c r="N77" t="s">
        <v>114</v>
      </c>
      <c r="O77" t="s">
        <v>482</v>
      </c>
      <c r="P77">
        <v>9</v>
      </c>
      <c r="Q77">
        <v>32299.26</v>
      </c>
      <c r="R77">
        <v>10</v>
      </c>
      <c r="S77">
        <v>29069.33</v>
      </c>
      <c r="T77">
        <v>261624.01</v>
      </c>
      <c r="U77">
        <v>90025.81</v>
      </c>
    </row>
    <row r="78" spans="1:21" ht="15" customHeight="1" x14ac:dyDescent="0.25">
      <c r="A78" t="s">
        <v>1019</v>
      </c>
      <c r="B78" s="8">
        <v>44925</v>
      </c>
      <c r="C78" s="8">
        <v>44933</v>
      </c>
      <c r="D78" t="s">
        <v>48</v>
      </c>
      <c r="E78" t="s">
        <v>3085</v>
      </c>
      <c r="F78" t="s">
        <v>3088</v>
      </c>
      <c r="G78" t="s">
        <v>1020</v>
      </c>
      <c r="H78">
        <v>9029915915</v>
      </c>
      <c r="I78" t="s">
        <v>24</v>
      </c>
      <c r="J78" t="s">
        <v>69</v>
      </c>
      <c r="K78" t="s">
        <v>119</v>
      </c>
      <c r="L78" t="s">
        <v>27</v>
      </c>
      <c r="M78" t="str">
        <f>TRIM(Table2[[#This Row],[Category]])</f>
        <v>Food &amp; Beverages</v>
      </c>
      <c r="N78" t="s">
        <v>79</v>
      </c>
      <c r="O78" t="s">
        <v>145</v>
      </c>
      <c r="P78">
        <v>5</v>
      </c>
      <c r="Q78">
        <v>4013.26</v>
      </c>
      <c r="R78">
        <v>25</v>
      </c>
      <c r="S78">
        <v>5016.58</v>
      </c>
      <c r="T78">
        <v>15049.72</v>
      </c>
      <c r="U78">
        <v>5214.92</v>
      </c>
    </row>
    <row r="79" spans="1:21" ht="15" customHeight="1" x14ac:dyDescent="0.25">
      <c r="A79" t="s">
        <v>1448</v>
      </c>
      <c r="B79" s="8">
        <v>44928</v>
      </c>
      <c r="C79" s="8">
        <v>44936</v>
      </c>
      <c r="D79" t="s">
        <v>48</v>
      </c>
      <c r="E79" t="s">
        <v>3080</v>
      </c>
      <c r="F79" t="s">
        <v>3069</v>
      </c>
      <c r="G79" t="s">
        <v>1450</v>
      </c>
      <c r="H79">
        <v>8106079345</v>
      </c>
      <c r="I79" t="s">
        <v>43</v>
      </c>
      <c r="J79" t="s">
        <v>25</v>
      </c>
      <c r="K79" t="s">
        <v>26</v>
      </c>
      <c r="L79" t="s">
        <v>27</v>
      </c>
      <c r="M79" t="str">
        <f>TRIM(Table2[[#This Row],[Category]])</f>
        <v>Food &amp; Beverages</v>
      </c>
      <c r="N79" t="s">
        <v>173</v>
      </c>
      <c r="O79" t="s">
        <v>279</v>
      </c>
      <c r="P79">
        <v>17</v>
      </c>
      <c r="Q79">
        <v>6153.32</v>
      </c>
      <c r="R79">
        <v>20</v>
      </c>
      <c r="S79">
        <v>20921.29</v>
      </c>
      <c r="T79">
        <v>83685.149999999994</v>
      </c>
      <c r="U79">
        <v>27251.14</v>
      </c>
    </row>
    <row r="80" spans="1:21" ht="15" customHeight="1" x14ac:dyDescent="0.25">
      <c r="A80" t="s">
        <v>1347</v>
      </c>
      <c r="B80" s="8">
        <v>44930</v>
      </c>
      <c r="C80" s="8">
        <v>44938</v>
      </c>
      <c r="D80" t="s">
        <v>48</v>
      </c>
      <c r="E80" t="s">
        <v>3085</v>
      </c>
      <c r="F80" t="s">
        <v>3050</v>
      </c>
      <c r="G80" t="s">
        <v>1349</v>
      </c>
      <c r="H80">
        <v>7038026061</v>
      </c>
      <c r="I80" t="s">
        <v>24</v>
      </c>
      <c r="J80" t="s">
        <v>61</v>
      </c>
      <c r="K80" t="s">
        <v>62</v>
      </c>
      <c r="L80" t="s">
        <v>96</v>
      </c>
      <c r="M80" t="str">
        <f>TRIM(Table2[[#This Row],[Category]])</f>
        <v>Technology</v>
      </c>
      <c r="N80" t="s">
        <v>254</v>
      </c>
      <c r="O80" t="s">
        <v>255</v>
      </c>
      <c r="P80">
        <v>17</v>
      </c>
      <c r="Q80">
        <v>98477.74</v>
      </c>
      <c r="R80">
        <v>0</v>
      </c>
      <c r="S80">
        <v>0</v>
      </c>
      <c r="T80">
        <v>1674121.58</v>
      </c>
      <c r="U80">
        <v>370571.1</v>
      </c>
    </row>
    <row r="81" spans="1:21" ht="15" customHeight="1" x14ac:dyDescent="0.25">
      <c r="A81" t="s">
        <v>2930</v>
      </c>
      <c r="B81" s="8">
        <v>44940</v>
      </c>
      <c r="C81" s="8">
        <v>44946</v>
      </c>
      <c r="D81" t="s">
        <v>48</v>
      </c>
      <c r="E81" t="s">
        <v>3076</v>
      </c>
      <c r="F81" t="s">
        <v>3096</v>
      </c>
      <c r="G81" t="s">
        <v>2932</v>
      </c>
      <c r="H81">
        <v>9028212098</v>
      </c>
      <c r="I81" t="s">
        <v>125</v>
      </c>
      <c r="J81" t="s">
        <v>61</v>
      </c>
      <c r="K81" t="s">
        <v>62</v>
      </c>
      <c r="L81" t="s">
        <v>96</v>
      </c>
      <c r="M81" t="str">
        <f>TRIM(Table2[[#This Row],[Category]])</f>
        <v>Technology</v>
      </c>
      <c r="N81" t="s">
        <v>189</v>
      </c>
      <c r="O81" t="s">
        <v>205</v>
      </c>
      <c r="P81">
        <v>2</v>
      </c>
      <c r="Q81">
        <v>43307.01</v>
      </c>
      <c r="R81">
        <v>15</v>
      </c>
      <c r="S81">
        <v>12992.1</v>
      </c>
      <c r="T81">
        <v>73621.919999999998</v>
      </c>
      <c r="U81">
        <v>16442.04</v>
      </c>
    </row>
    <row r="82" spans="1:21" ht="15" customHeight="1" x14ac:dyDescent="0.25">
      <c r="A82" t="s">
        <v>1164</v>
      </c>
      <c r="B82" s="8">
        <v>44943</v>
      </c>
      <c r="C82" s="8">
        <v>44949</v>
      </c>
      <c r="D82" t="s">
        <v>48</v>
      </c>
      <c r="E82" t="s">
        <v>3092</v>
      </c>
      <c r="F82" t="s">
        <v>3071</v>
      </c>
      <c r="G82" t="s">
        <v>1166</v>
      </c>
      <c r="H82">
        <v>8035150551</v>
      </c>
      <c r="I82" t="s">
        <v>43</v>
      </c>
      <c r="J82" t="s">
        <v>25</v>
      </c>
      <c r="K82" t="s">
        <v>44</v>
      </c>
      <c r="L82" t="s">
        <v>27</v>
      </c>
      <c r="M82" t="str">
        <f>TRIM(Table2[[#This Row],[Category]])</f>
        <v>Food &amp; Beverages</v>
      </c>
      <c r="N82" t="s">
        <v>45</v>
      </c>
      <c r="O82" t="s">
        <v>838</v>
      </c>
      <c r="P82">
        <v>6</v>
      </c>
      <c r="Q82">
        <v>4072.48</v>
      </c>
      <c r="R82">
        <v>0</v>
      </c>
      <c r="S82">
        <v>0</v>
      </c>
      <c r="T82">
        <v>24434.880000000001</v>
      </c>
      <c r="U82">
        <v>1418.88</v>
      </c>
    </row>
    <row r="83" spans="1:21" ht="15" customHeight="1" x14ac:dyDescent="0.25">
      <c r="A83" t="s">
        <v>2279</v>
      </c>
      <c r="B83" s="8">
        <v>44945</v>
      </c>
      <c r="C83" s="8">
        <v>44952</v>
      </c>
      <c r="D83" t="s">
        <v>48</v>
      </c>
      <c r="E83" t="s">
        <v>3093</v>
      </c>
      <c r="F83" t="s">
        <v>3062</v>
      </c>
      <c r="G83" t="s">
        <v>2282</v>
      </c>
      <c r="H83">
        <v>8154123258</v>
      </c>
      <c r="I83" t="s">
        <v>43</v>
      </c>
      <c r="J83" t="s">
        <v>69</v>
      </c>
      <c r="K83" t="s">
        <v>144</v>
      </c>
      <c r="L83" t="s">
        <v>96</v>
      </c>
      <c r="M83" t="str">
        <f>TRIM(Table2[[#This Row],[Category]])</f>
        <v>Technology</v>
      </c>
      <c r="N83" t="s">
        <v>189</v>
      </c>
      <c r="O83" t="s">
        <v>205</v>
      </c>
      <c r="P83">
        <v>19</v>
      </c>
      <c r="Q83">
        <v>213553.87</v>
      </c>
      <c r="R83">
        <v>15</v>
      </c>
      <c r="S83">
        <v>608628.53</v>
      </c>
      <c r="T83">
        <v>3448895</v>
      </c>
      <c r="U83">
        <v>995257.68</v>
      </c>
    </row>
    <row r="84" spans="1:21" ht="15" customHeight="1" x14ac:dyDescent="0.25">
      <c r="A84" t="s">
        <v>849</v>
      </c>
      <c r="B84" s="8">
        <v>44946</v>
      </c>
      <c r="C84" s="8">
        <v>44954</v>
      </c>
      <c r="D84" t="s">
        <v>48</v>
      </c>
      <c r="E84" t="s">
        <v>3082</v>
      </c>
      <c r="F84" t="s">
        <v>3042</v>
      </c>
      <c r="G84" t="s">
        <v>3126</v>
      </c>
      <c r="H84">
        <v>9019127895</v>
      </c>
      <c r="I84" t="s">
        <v>24</v>
      </c>
      <c r="J84" t="s">
        <v>69</v>
      </c>
      <c r="K84" t="s">
        <v>155</v>
      </c>
      <c r="L84" t="s">
        <v>27</v>
      </c>
      <c r="M84" t="str">
        <f>TRIM(Table2[[#This Row],[Category]])</f>
        <v>Food &amp; Beverages</v>
      </c>
      <c r="N84" t="s">
        <v>45</v>
      </c>
      <c r="O84" t="s">
        <v>308</v>
      </c>
      <c r="P84">
        <v>6</v>
      </c>
      <c r="Q84">
        <v>4267.58</v>
      </c>
      <c r="R84">
        <v>110</v>
      </c>
      <c r="S84">
        <v>0</v>
      </c>
      <c r="T84">
        <v>25605.48</v>
      </c>
      <c r="U84">
        <v>939.05</v>
      </c>
    </row>
    <row r="85" spans="1:21" ht="15" customHeight="1" x14ac:dyDescent="0.25">
      <c r="A85" t="s">
        <v>1670</v>
      </c>
      <c r="B85" s="8">
        <v>44958</v>
      </c>
      <c r="C85" s="8">
        <v>44964</v>
      </c>
      <c r="D85" t="s">
        <v>48</v>
      </c>
      <c r="E85" t="s">
        <v>3092</v>
      </c>
      <c r="F85" t="s">
        <v>3036</v>
      </c>
      <c r="G85" t="s">
        <v>1671</v>
      </c>
      <c r="H85">
        <v>7069076540</v>
      </c>
      <c r="I85" t="s">
        <v>24</v>
      </c>
      <c r="J85" t="s">
        <v>25</v>
      </c>
      <c r="K85" t="s">
        <v>36</v>
      </c>
      <c r="L85" t="s">
        <v>27</v>
      </c>
      <c r="M85" t="str">
        <f>TRIM(Table2[[#This Row],[Category]])</f>
        <v>Food &amp; Beverages</v>
      </c>
      <c r="N85" t="s">
        <v>28</v>
      </c>
      <c r="O85" t="s">
        <v>508</v>
      </c>
      <c r="P85">
        <v>2</v>
      </c>
      <c r="Q85">
        <v>2172.27</v>
      </c>
      <c r="R85">
        <v>0</v>
      </c>
      <c r="S85">
        <v>0</v>
      </c>
      <c r="T85">
        <v>4344.54</v>
      </c>
      <c r="U85">
        <v>-318.85000000000002</v>
      </c>
    </row>
    <row r="86" spans="1:21" ht="15" customHeight="1" x14ac:dyDescent="0.25">
      <c r="A86" t="s">
        <v>1994</v>
      </c>
      <c r="B86" s="8">
        <v>44962</v>
      </c>
      <c r="C86" s="8">
        <v>44970</v>
      </c>
      <c r="D86" t="s">
        <v>48</v>
      </c>
      <c r="E86" t="s">
        <v>3056</v>
      </c>
      <c r="F86" t="s">
        <v>3039</v>
      </c>
      <c r="G86" t="s">
        <v>1996</v>
      </c>
      <c r="H86">
        <v>7067640565</v>
      </c>
      <c r="I86" t="s">
        <v>43</v>
      </c>
      <c r="J86" t="s">
        <v>69</v>
      </c>
      <c r="K86" t="s">
        <v>155</v>
      </c>
      <c r="L86" t="s">
        <v>96</v>
      </c>
      <c r="M86" t="str">
        <f>TRIM(Table2[[#This Row],[Category]])</f>
        <v>Technology</v>
      </c>
      <c r="N86" t="s">
        <v>97</v>
      </c>
      <c r="O86" t="s">
        <v>443</v>
      </c>
      <c r="P86">
        <v>9</v>
      </c>
      <c r="Q86">
        <v>235788.95</v>
      </c>
      <c r="R86">
        <v>10</v>
      </c>
      <c r="S86">
        <v>212210.06</v>
      </c>
      <c r="T86">
        <v>1909890.49</v>
      </c>
      <c r="U86">
        <v>65772.83</v>
      </c>
    </row>
    <row r="87" spans="1:21" ht="15" customHeight="1" x14ac:dyDescent="0.25">
      <c r="A87" t="s">
        <v>2463</v>
      </c>
      <c r="B87" s="8">
        <v>44968</v>
      </c>
      <c r="C87" s="8">
        <v>44973</v>
      </c>
      <c r="D87" t="s">
        <v>48</v>
      </c>
      <c r="E87" t="s">
        <v>3081</v>
      </c>
      <c r="F87" t="s">
        <v>3078</v>
      </c>
      <c r="G87" t="s">
        <v>2465</v>
      </c>
      <c r="H87">
        <v>8035418616</v>
      </c>
      <c r="I87" t="s">
        <v>24</v>
      </c>
      <c r="J87" t="s">
        <v>61</v>
      </c>
      <c r="K87" t="s">
        <v>204</v>
      </c>
      <c r="L87" t="s">
        <v>85</v>
      </c>
      <c r="M87" t="str">
        <f>TRIM(Table2[[#This Row],[Category]])</f>
        <v>Furniture</v>
      </c>
      <c r="N87" t="s">
        <v>243</v>
      </c>
      <c r="O87" t="s">
        <v>244</v>
      </c>
      <c r="P87">
        <v>5</v>
      </c>
      <c r="Q87">
        <v>68853.539999999994</v>
      </c>
      <c r="R87">
        <v>15</v>
      </c>
      <c r="S87">
        <v>51640.15</v>
      </c>
      <c r="T87">
        <v>292627.55</v>
      </c>
      <c r="U87">
        <v>-25699.83</v>
      </c>
    </row>
    <row r="88" spans="1:21" ht="15" customHeight="1" x14ac:dyDescent="0.25">
      <c r="A88" t="s">
        <v>656</v>
      </c>
      <c r="B88" s="8">
        <v>44971</v>
      </c>
      <c r="C88" s="8">
        <v>44977</v>
      </c>
      <c r="D88" t="s">
        <v>48</v>
      </c>
      <c r="E88" t="s">
        <v>3060</v>
      </c>
      <c r="F88" t="s">
        <v>3046</v>
      </c>
      <c r="G88" t="s">
        <v>658</v>
      </c>
      <c r="H88">
        <v>9014517316</v>
      </c>
      <c r="I88" t="s">
        <v>43</v>
      </c>
      <c r="J88" t="s">
        <v>51</v>
      </c>
      <c r="K88" t="s">
        <v>316</v>
      </c>
      <c r="L88" t="s">
        <v>108</v>
      </c>
      <c r="M88" t="str">
        <f>TRIM(Table2[[#This Row],[Category]])</f>
        <v>Clothing</v>
      </c>
      <c r="N88" t="s">
        <v>38</v>
      </c>
      <c r="O88" t="s">
        <v>519</v>
      </c>
      <c r="P88">
        <v>14</v>
      </c>
      <c r="Q88">
        <v>37215.519999999997</v>
      </c>
      <c r="R88">
        <v>20</v>
      </c>
      <c r="S88">
        <v>104203.46</v>
      </c>
      <c r="T88">
        <v>416813.82</v>
      </c>
      <c r="U88">
        <v>-27715</v>
      </c>
    </row>
    <row r="89" spans="1:21" ht="15" customHeight="1" x14ac:dyDescent="0.25">
      <c r="A89" t="s">
        <v>1108</v>
      </c>
      <c r="B89" s="8">
        <v>44969</v>
      </c>
      <c r="C89" s="8">
        <v>44977</v>
      </c>
      <c r="D89" t="s">
        <v>48</v>
      </c>
      <c r="E89" t="s">
        <v>3072</v>
      </c>
      <c r="F89" t="s">
        <v>3075</v>
      </c>
      <c r="G89" t="s">
        <v>1110</v>
      </c>
      <c r="H89">
        <v>8147528399</v>
      </c>
      <c r="I89" t="s">
        <v>24</v>
      </c>
      <c r="J89" t="s">
        <v>69</v>
      </c>
      <c r="K89" t="s">
        <v>119</v>
      </c>
      <c r="L89" t="s">
        <v>53</v>
      </c>
      <c r="M89" t="str">
        <f>TRIM(Table2[[#This Row],[Category]])</f>
        <v>office supplies</v>
      </c>
      <c r="N89" t="s">
        <v>558</v>
      </c>
      <c r="O89" t="s">
        <v>680</v>
      </c>
      <c r="P89">
        <v>2</v>
      </c>
      <c r="Q89">
        <v>15914.52</v>
      </c>
      <c r="R89">
        <v>25</v>
      </c>
      <c r="S89">
        <v>7957.26</v>
      </c>
      <c r="T89">
        <v>23871.78</v>
      </c>
      <c r="U89">
        <v>3880.5</v>
      </c>
    </row>
    <row r="90" spans="1:21" ht="15" customHeight="1" x14ac:dyDescent="0.25">
      <c r="A90" t="s">
        <v>1576</v>
      </c>
      <c r="B90" s="8">
        <v>44982</v>
      </c>
      <c r="C90" s="8">
        <v>44989</v>
      </c>
      <c r="D90" t="s">
        <v>48</v>
      </c>
      <c r="E90" t="s">
        <v>3048</v>
      </c>
      <c r="F90" t="s">
        <v>3034</v>
      </c>
      <c r="G90" t="s">
        <v>1577</v>
      </c>
      <c r="H90">
        <v>9018407441</v>
      </c>
      <c r="I90" t="s">
        <v>24</v>
      </c>
      <c r="J90" t="s">
        <v>25</v>
      </c>
      <c r="K90" t="s">
        <v>126</v>
      </c>
      <c r="L90" t="s">
        <v>27</v>
      </c>
      <c r="M90" t="str">
        <f>TRIM(Table2[[#This Row],[Category]])</f>
        <v>Food &amp; Beverages</v>
      </c>
      <c r="N90" t="s">
        <v>28</v>
      </c>
      <c r="O90" t="s">
        <v>29</v>
      </c>
      <c r="P90">
        <v>12</v>
      </c>
      <c r="Q90">
        <v>1488.08</v>
      </c>
      <c r="R90">
        <v>10</v>
      </c>
      <c r="S90">
        <v>1785.7</v>
      </c>
      <c r="T90">
        <v>16071.26</v>
      </c>
      <c r="U90">
        <v>5488.28</v>
      </c>
    </row>
    <row r="91" spans="1:21" ht="15" customHeight="1" x14ac:dyDescent="0.25">
      <c r="A91" t="s">
        <v>1835</v>
      </c>
      <c r="B91" s="8">
        <v>44986</v>
      </c>
      <c r="C91" s="8">
        <v>44991</v>
      </c>
      <c r="D91" t="s">
        <v>48</v>
      </c>
      <c r="E91" t="s">
        <v>3065</v>
      </c>
      <c r="F91" t="s">
        <v>3086</v>
      </c>
      <c r="G91" t="s">
        <v>1836</v>
      </c>
      <c r="H91">
        <v>8038503322</v>
      </c>
      <c r="I91" t="s">
        <v>24</v>
      </c>
      <c r="J91" t="s">
        <v>69</v>
      </c>
      <c r="K91" t="s">
        <v>307</v>
      </c>
      <c r="L91" t="s">
        <v>63</v>
      </c>
      <c r="M91" t="str">
        <f>TRIM(Table2[[#This Row],[Category]])</f>
        <v>Office Supplies</v>
      </c>
      <c r="N91" t="s">
        <v>249</v>
      </c>
      <c r="O91" t="s">
        <v>465</v>
      </c>
      <c r="P91">
        <v>7</v>
      </c>
      <c r="Q91">
        <v>3655.99</v>
      </c>
      <c r="R91" t="s">
        <v>376</v>
      </c>
      <c r="S91">
        <v>0</v>
      </c>
      <c r="T91">
        <v>25591.93</v>
      </c>
      <c r="U91">
        <v>-2490.29</v>
      </c>
    </row>
    <row r="92" spans="1:21" ht="15" customHeight="1" x14ac:dyDescent="0.25">
      <c r="A92" t="s">
        <v>1250</v>
      </c>
      <c r="B92" s="8">
        <v>44985</v>
      </c>
      <c r="C92" s="8">
        <v>44992</v>
      </c>
      <c r="D92" t="s">
        <v>48</v>
      </c>
      <c r="E92" t="s">
        <v>3060</v>
      </c>
      <c r="F92" t="s">
        <v>3074</v>
      </c>
      <c r="G92" t="s">
        <v>1251</v>
      </c>
      <c r="H92">
        <v>8105752443</v>
      </c>
      <c r="I92" t="s">
        <v>24</v>
      </c>
      <c r="J92" t="s">
        <v>25</v>
      </c>
      <c r="K92" t="s">
        <v>606</v>
      </c>
      <c r="L92" t="s">
        <v>27</v>
      </c>
      <c r="M92" t="str">
        <f>TRIM(Table2[[#This Row],[Category]])</f>
        <v>Food &amp; Beverages</v>
      </c>
      <c r="N92" t="s">
        <v>354</v>
      </c>
      <c r="O92" t="s">
        <v>625</v>
      </c>
      <c r="P92">
        <v>20</v>
      </c>
      <c r="Q92">
        <v>848.57</v>
      </c>
      <c r="R92">
        <v>10</v>
      </c>
      <c r="S92">
        <v>1697.14</v>
      </c>
      <c r="T92">
        <v>15274.26</v>
      </c>
      <c r="U92">
        <v>2663.01</v>
      </c>
    </row>
    <row r="93" spans="1:21" ht="15" customHeight="1" x14ac:dyDescent="0.25">
      <c r="A93" t="s">
        <v>263</v>
      </c>
      <c r="B93" s="8">
        <v>44987</v>
      </c>
      <c r="C93" s="8">
        <v>44993</v>
      </c>
      <c r="D93" t="s">
        <v>48</v>
      </c>
      <c r="E93" t="s">
        <v>3061</v>
      </c>
      <c r="F93" t="s">
        <v>3069</v>
      </c>
      <c r="G93" t="s">
        <v>265</v>
      </c>
      <c r="H93">
        <v>8105024269</v>
      </c>
      <c r="I93" t="s">
        <v>24</v>
      </c>
      <c r="J93" t="s">
        <v>25</v>
      </c>
      <c r="K93" t="s">
        <v>36</v>
      </c>
      <c r="L93" t="s">
        <v>85</v>
      </c>
      <c r="M93" t="str">
        <f>TRIM(Table2[[#This Row],[Category]])</f>
        <v>Furniture</v>
      </c>
      <c r="N93" t="s">
        <v>266</v>
      </c>
      <c r="O93" t="s">
        <v>267</v>
      </c>
      <c r="P93">
        <v>14</v>
      </c>
      <c r="Q93">
        <v>34923.61</v>
      </c>
      <c r="R93">
        <v>20</v>
      </c>
      <c r="S93">
        <v>97786.11</v>
      </c>
      <c r="T93">
        <v>391144.43</v>
      </c>
      <c r="U93">
        <v>103114.54</v>
      </c>
    </row>
    <row r="94" spans="1:21" ht="15" customHeight="1" x14ac:dyDescent="0.25">
      <c r="A94" t="s">
        <v>351</v>
      </c>
      <c r="B94" s="8">
        <v>44996</v>
      </c>
      <c r="C94" s="8">
        <v>45001</v>
      </c>
      <c r="D94" t="s">
        <v>48</v>
      </c>
      <c r="E94" t="s">
        <v>3087</v>
      </c>
      <c r="F94" t="s">
        <v>3079</v>
      </c>
      <c r="G94" t="s">
        <v>353</v>
      </c>
      <c r="H94">
        <v>8133112652</v>
      </c>
      <c r="I94" t="s">
        <v>43</v>
      </c>
      <c r="J94" t="s">
        <v>61</v>
      </c>
      <c r="K94" t="s">
        <v>95</v>
      </c>
      <c r="L94" t="s">
        <v>27</v>
      </c>
      <c r="M94" t="str">
        <f>TRIM(Table2[[#This Row],[Category]])</f>
        <v>Food &amp; Beverages</v>
      </c>
      <c r="N94" t="s">
        <v>354</v>
      </c>
      <c r="O94" t="s">
        <v>355</v>
      </c>
      <c r="P94">
        <v>18</v>
      </c>
      <c r="Q94">
        <v>6689.6</v>
      </c>
      <c r="R94">
        <v>5</v>
      </c>
      <c r="S94">
        <v>6020.64</v>
      </c>
      <c r="T94">
        <v>114392.16</v>
      </c>
      <c r="U94">
        <v>23087.75</v>
      </c>
    </row>
    <row r="95" spans="1:21" ht="15" customHeight="1" x14ac:dyDescent="0.25">
      <c r="A95" t="s">
        <v>2193</v>
      </c>
      <c r="B95" s="8">
        <v>44993</v>
      </c>
      <c r="C95" s="8">
        <v>45001</v>
      </c>
      <c r="D95" t="s">
        <v>48</v>
      </c>
      <c r="E95" t="s">
        <v>3070</v>
      </c>
      <c r="F95" t="s">
        <v>3036</v>
      </c>
      <c r="G95" t="s">
        <v>2195</v>
      </c>
      <c r="H95">
        <v>8066827492</v>
      </c>
      <c r="I95" t="s">
        <v>35</v>
      </c>
      <c r="J95" t="s">
        <v>51</v>
      </c>
      <c r="K95" t="s">
        <v>131</v>
      </c>
      <c r="L95" t="s">
        <v>63</v>
      </c>
      <c r="M95" t="str">
        <f>TRIM(Table2[[#This Row],[Category]])</f>
        <v>Office Supplies</v>
      </c>
      <c r="N95" t="s">
        <v>54</v>
      </c>
      <c r="O95" t="s">
        <v>1039</v>
      </c>
      <c r="P95">
        <v>16</v>
      </c>
      <c r="Q95">
        <v>7552.16</v>
      </c>
      <c r="R95">
        <v>20</v>
      </c>
      <c r="S95">
        <v>24166.91</v>
      </c>
      <c r="T95">
        <v>96667.65</v>
      </c>
      <c r="U95">
        <v>-1529.28</v>
      </c>
    </row>
    <row r="96" spans="1:21" ht="15" customHeight="1" x14ac:dyDescent="0.25">
      <c r="A96" t="s">
        <v>2511</v>
      </c>
      <c r="B96" s="8">
        <v>45001</v>
      </c>
      <c r="C96" s="8">
        <v>45006</v>
      </c>
      <c r="D96" t="s">
        <v>48</v>
      </c>
      <c r="E96" t="s">
        <v>3039</v>
      </c>
      <c r="F96" t="s">
        <v>3062</v>
      </c>
      <c r="G96" t="s">
        <v>2513</v>
      </c>
      <c r="H96">
        <v>9016373918</v>
      </c>
      <c r="I96" t="s">
        <v>43</v>
      </c>
      <c r="J96" t="s">
        <v>61</v>
      </c>
      <c r="K96" t="s">
        <v>84</v>
      </c>
      <c r="L96" t="s">
        <v>96</v>
      </c>
      <c r="M96" t="str">
        <f>TRIM(Table2[[#This Row],[Category]])</f>
        <v>Technology</v>
      </c>
      <c r="N96" t="s">
        <v>385</v>
      </c>
      <c r="O96" t="s">
        <v>942</v>
      </c>
      <c r="P96">
        <v>20</v>
      </c>
      <c r="Q96">
        <v>104930.57</v>
      </c>
      <c r="R96">
        <v>0</v>
      </c>
      <c r="S96">
        <v>0</v>
      </c>
      <c r="T96">
        <v>2098611.4</v>
      </c>
      <c r="U96">
        <v>-257834.71</v>
      </c>
    </row>
    <row r="97" spans="1:21" ht="15" customHeight="1" x14ac:dyDescent="0.25">
      <c r="A97" t="s">
        <v>2014</v>
      </c>
      <c r="B97" s="8">
        <v>45006</v>
      </c>
      <c r="C97" s="8">
        <v>45011</v>
      </c>
      <c r="D97" t="s">
        <v>48</v>
      </c>
      <c r="E97" t="s">
        <v>3041</v>
      </c>
      <c r="F97" t="s">
        <v>3054</v>
      </c>
      <c r="G97" t="s">
        <v>807</v>
      </c>
      <c r="H97">
        <v>8063123664</v>
      </c>
      <c r="I97" t="s">
        <v>43</v>
      </c>
      <c r="J97" t="s">
        <v>61</v>
      </c>
      <c r="K97" t="s">
        <v>62</v>
      </c>
      <c r="L97" t="s">
        <v>1119</v>
      </c>
      <c r="M97" t="str">
        <f>TRIM(Table2[[#This Row],[Category]])</f>
        <v>Office Supplies</v>
      </c>
      <c r="N97" t="s">
        <v>558</v>
      </c>
      <c r="O97" t="s">
        <v>559</v>
      </c>
      <c r="P97">
        <v>3</v>
      </c>
      <c r="Q97">
        <v>5381.32</v>
      </c>
      <c r="R97">
        <v>10</v>
      </c>
      <c r="S97">
        <v>1614.4</v>
      </c>
      <c r="T97">
        <v>14529.56</v>
      </c>
      <c r="U97">
        <v>3993.45</v>
      </c>
    </row>
    <row r="98" spans="1:21" ht="15" customHeight="1" x14ac:dyDescent="0.25">
      <c r="A98" t="s">
        <v>924</v>
      </c>
      <c r="B98" s="8">
        <v>45016</v>
      </c>
      <c r="C98" s="8">
        <v>45021</v>
      </c>
      <c r="D98" t="s">
        <v>48</v>
      </c>
      <c r="E98" t="s">
        <v>3095</v>
      </c>
      <c r="F98" t="s">
        <v>3039</v>
      </c>
      <c r="G98" t="s">
        <v>926</v>
      </c>
      <c r="H98">
        <v>8159757456</v>
      </c>
      <c r="I98" t="s">
        <v>35</v>
      </c>
      <c r="J98" t="s">
        <v>51</v>
      </c>
      <c r="K98" t="s">
        <v>316</v>
      </c>
      <c r="L98" t="s">
        <v>63</v>
      </c>
      <c r="M98" t="str">
        <f>TRIM(Table2[[#This Row],[Category]])</f>
        <v>Office Supplies</v>
      </c>
      <c r="N98" t="s">
        <v>469</v>
      </c>
      <c r="O98" t="s">
        <v>470</v>
      </c>
      <c r="P98">
        <v>6</v>
      </c>
      <c r="Q98">
        <v>1621.56</v>
      </c>
      <c r="R98">
        <v>20</v>
      </c>
      <c r="S98">
        <v>1945.87</v>
      </c>
      <c r="T98">
        <v>7783.49</v>
      </c>
      <c r="U98">
        <f>U97</f>
        <v>3993.45</v>
      </c>
    </row>
    <row r="99" spans="1:21" ht="15" customHeight="1" x14ac:dyDescent="0.25">
      <c r="A99" t="s">
        <v>2540</v>
      </c>
      <c r="B99" s="8">
        <v>45021</v>
      </c>
      <c r="C99" s="8">
        <v>45026</v>
      </c>
      <c r="D99" t="s">
        <v>48</v>
      </c>
      <c r="E99" t="s">
        <v>3094</v>
      </c>
      <c r="F99" t="s">
        <v>3077</v>
      </c>
      <c r="G99" t="s">
        <v>2542</v>
      </c>
      <c r="H99">
        <v>8038993139</v>
      </c>
      <c r="I99" t="s">
        <v>24</v>
      </c>
      <c r="J99" t="s">
        <v>25</v>
      </c>
      <c r="K99" t="s">
        <v>168</v>
      </c>
      <c r="L99" t="s">
        <v>2543</v>
      </c>
      <c r="M99" t="str">
        <f>TRIM(Table2[[#This Row],[Category]])</f>
        <v>Food &amp; Beverages</v>
      </c>
      <c r="N99" t="s">
        <v>28</v>
      </c>
      <c r="O99" t="s">
        <v>71</v>
      </c>
      <c r="P99">
        <v>13</v>
      </c>
      <c r="Q99">
        <v>5579.2</v>
      </c>
      <c r="R99">
        <v>20</v>
      </c>
      <c r="S99">
        <v>14505.92</v>
      </c>
      <c r="T99">
        <v>58023.68</v>
      </c>
      <c r="U99">
        <v>22985.77</v>
      </c>
    </row>
    <row r="100" spans="1:21" ht="15" customHeight="1" x14ac:dyDescent="0.25">
      <c r="A100" t="s">
        <v>2162</v>
      </c>
      <c r="B100" s="8">
        <v>45028</v>
      </c>
      <c r="C100" s="8">
        <v>45033</v>
      </c>
      <c r="D100" t="s">
        <v>48</v>
      </c>
      <c r="E100" t="s">
        <v>3061</v>
      </c>
      <c r="F100" t="s">
        <v>3036</v>
      </c>
      <c r="G100" t="s">
        <v>2164</v>
      </c>
      <c r="H100">
        <v>9076927978</v>
      </c>
      <c r="I100" t="s">
        <v>43</v>
      </c>
      <c r="J100" t="s">
        <v>69</v>
      </c>
      <c r="K100" t="s">
        <v>155</v>
      </c>
      <c r="L100" t="s">
        <v>27</v>
      </c>
      <c r="M100" t="str">
        <f>TRIM(Table2[[#This Row],[Category]])</f>
        <v>Food &amp; Beverages</v>
      </c>
      <c r="N100" t="s">
        <v>79</v>
      </c>
      <c r="O100" t="s">
        <v>234</v>
      </c>
      <c r="P100">
        <v>4</v>
      </c>
      <c r="Q100">
        <v>2107.17</v>
      </c>
      <c r="R100">
        <v>0</v>
      </c>
      <c r="S100">
        <v>0</v>
      </c>
      <c r="T100" t="s">
        <v>2165</v>
      </c>
      <c r="U100">
        <v>1299.3900000000001</v>
      </c>
    </row>
    <row r="101" spans="1:21" ht="15" customHeight="1" x14ac:dyDescent="0.25">
      <c r="A101" t="s">
        <v>751</v>
      </c>
      <c r="B101" s="8">
        <v>45029</v>
      </c>
      <c r="C101" s="8">
        <v>45034</v>
      </c>
      <c r="D101" t="s">
        <v>48</v>
      </c>
      <c r="E101" t="s">
        <v>3063</v>
      </c>
      <c r="F101" t="s">
        <v>3086</v>
      </c>
      <c r="G101" t="s">
        <v>3126</v>
      </c>
      <c r="H101">
        <v>8131771442</v>
      </c>
      <c r="I101" t="s">
        <v>24</v>
      </c>
      <c r="J101" t="s">
        <v>51</v>
      </c>
      <c r="K101" t="s">
        <v>52</v>
      </c>
      <c r="L101" t="s">
        <v>108</v>
      </c>
      <c r="M101" t="str">
        <f>TRIM(Table2[[#This Row],[Category]])</f>
        <v>Clothing</v>
      </c>
      <c r="N101" t="s">
        <v>38</v>
      </c>
      <c r="O101" t="s">
        <v>213</v>
      </c>
      <c r="P101">
        <v>6</v>
      </c>
      <c r="Q101">
        <v>41569.74</v>
      </c>
      <c r="R101">
        <v>0</v>
      </c>
      <c r="S101">
        <v>0</v>
      </c>
      <c r="T101">
        <v>249418.44</v>
      </c>
      <c r="U101">
        <v>45324.04</v>
      </c>
    </row>
    <row r="102" spans="1:21" ht="15" customHeight="1" x14ac:dyDescent="0.25">
      <c r="A102" t="s">
        <v>2139</v>
      </c>
      <c r="B102" s="8">
        <v>45027</v>
      </c>
      <c r="C102" s="8">
        <v>45035</v>
      </c>
      <c r="D102" t="s">
        <v>210</v>
      </c>
      <c r="E102" t="s">
        <v>3037</v>
      </c>
      <c r="F102" t="s">
        <v>3057</v>
      </c>
      <c r="G102" t="s">
        <v>2141</v>
      </c>
      <c r="H102">
        <v>9021249956</v>
      </c>
      <c r="I102" t="s">
        <v>35</v>
      </c>
      <c r="J102" t="s">
        <v>61</v>
      </c>
      <c r="K102" t="s">
        <v>62</v>
      </c>
      <c r="L102" t="s">
        <v>85</v>
      </c>
      <c r="M102" t="str">
        <f>TRIM(Table2[[#This Row],[Category]])</f>
        <v>Furniture</v>
      </c>
      <c r="N102" t="s">
        <v>86</v>
      </c>
      <c r="O102" t="s">
        <v>584</v>
      </c>
      <c r="P102">
        <v>15</v>
      </c>
      <c r="Q102">
        <v>17744.59</v>
      </c>
      <c r="R102">
        <v>0</v>
      </c>
      <c r="S102">
        <v>0</v>
      </c>
      <c r="T102">
        <v>266168.84999999998</v>
      </c>
      <c r="U102">
        <v>5205.62</v>
      </c>
    </row>
    <row r="103" spans="1:21" ht="15" customHeight="1" x14ac:dyDescent="0.25">
      <c r="A103" t="s">
        <v>91</v>
      </c>
      <c r="B103" s="8">
        <v>45033</v>
      </c>
      <c r="C103" s="8">
        <v>45039</v>
      </c>
      <c r="D103" t="s">
        <v>48</v>
      </c>
      <c r="E103" t="s">
        <v>3049</v>
      </c>
      <c r="F103" t="s">
        <v>3050</v>
      </c>
      <c r="G103" t="s">
        <v>93</v>
      </c>
      <c r="H103" t="s">
        <v>94</v>
      </c>
      <c r="I103" t="s">
        <v>43</v>
      </c>
      <c r="J103" t="s">
        <v>61</v>
      </c>
      <c r="K103" t="s">
        <v>95</v>
      </c>
      <c r="L103" t="s">
        <v>96</v>
      </c>
      <c r="M103" t="str">
        <f>TRIM(Table2[[#This Row],[Category]])</f>
        <v>Technology</v>
      </c>
      <c r="N103" t="s">
        <v>97</v>
      </c>
      <c r="O103" t="s">
        <v>98</v>
      </c>
      <c r="P103">
        <v>9</v>
      </c>
      <c r="Q103">
        <v>238657.91</v>
      </c>
      <c r="R103">
        <v>20</v>
      </c>
      <c r="S103">
        <v>429584.24</v>
      </c>
      <c r="T103" t="s">
        <v>99</v>
      </c>
      <c r="U103">
        <v>-36871.93</v>
      </c>
    </row>
    <row r="104" spans="1:21" ht="15" customHeight="1" x14ac:dyDescent="0.25">
      <c r="A104" t="s">
        <v>2826</v>
      </c>
      <c r="B104" s="8">
        <v>45034</v>
      </c>
      <c r="C104" s="8">
        <v>45040</v>
      </c>
      <c r="D104" t="s">
        <v>48</v>
      </c>
      <c r="E104" t="s">
        <v>3063</v>
      </c>
      <c r="F104" t="s">
        <v>3034</v>
      </c>
      <c r="G104" t="s">
        <v>2827</v>
      </c>
      <c r="H104">
        <v>9077622282</v>
      </c>
      <c r="I104" t="s">
        <v>35</v>
      </c>
      <c r="J104" t="s">
        <v>25</v>
      </c>
      <c r="K104" t="s">
        <v>126</v>
      </c>
      <c r="L104" t="s">
        <v>85</v>
      </c>
      <c r="M104" t="str">
        <f>TRIM(Table2[[#This Row],[Category]])</f>
        <v>Furniture</v>
      </c>
      <c r="N104" t="s">
        <v>218</v>
      </c>
      <c r="O104" t="s">
        <v>1058</v>
      </c>
      <c r="P104">
        <v>19</v>
      </c>
      <c r="Q104">
        <v>173016.77</v>
      </c>
      <c r="R104">
        <v>0</v>
      </c>
      <c r="S104">
        <v>0</v>
      </c>
      <c r="T104">
        <v>3287318.63</v>
      </c>
      <c r="U104">
        <v>792611.31</v>
      </c>
    </row>
    <row r="105" spans="1:21" ht="15" customHeight="1" x14ac:dyDescent="0.25">
      <c r="A105" t="s">
        <v>1742</v>
      </c>
      <c r="B105" s="8">
        <v>45038</v>
      </c>
      <c r="C105" s="8">
        <v>45043</v>
      </c>
      <c r="D105" t="s">
        <v>48</v>
      </c>
      <c r="E105" t="s">
        <v>3085</v>
      </c>
      <c r="F105" t="s">
        <v>3096</v>
      </c>
      <c r="G105" t="s">
        <v>1744</v>
      </c>
      <c r="H105">
        <v>8164966072</v>
      </c>
      <c r="I105" t="s">
        <v>24</v>
      </c>
      <c r="J105" t="s">
        <v>61</v>
      </c>
      <c r="K105" t="s">
        <v>84</v>
      </c>
      <c r="L105" t="s">
        <v>108</v>
      </c>
      <c r="M105" t="str">
        <f>TRIM(Table2[[#This Row],[Category]])</f>
        <v>Clothing</v>
      </c>
      <c r="N105" t="s">
        <v>109</v>
      </c>
      <c r="O105" t="s">
        <v>426</v>
      </c>
      <c r="P105">
        <v>5</v>
      </c>
      <c r="Q105">
        <v>5413.75</v>
      </c>
      <c r="R105">
        <v>10</v>
      </c>
      <c r="S105">
        <v>2706.88</v>
      </c>
      <c r="T105">
        <v>24361.87</v>
      </c>
      <c r="U105">
        <v>3635.67</v>
      </c>
    </row>
    <row r="106" spans="1:21" ht="15" customHeight="1" x14ac:dyDescent="0.25">
      <c r="A106" t="s">
        <v>2196</v>
      </c>
      <c r="B106" s="8">
        <v>45036</v>
      </c>
      <c r="C106" s="8">
        <v>45043</v>
      </c>
      <c r="D106" t="s">
        <v>48</v>
      </c>
      <c r="E106" t="s">
        <v>3084</v>
      </c>
      <c r="F106" t="s">
        <v>3038</v>
      </c>
      <c r="G106" t="s">
        <v>2198</v>
      </c>
      <c r="H106">
        <v>8159534539</v>
      </c>
      <c r="I106" t="s">
        <v>43</v>
      </c>
      <c r="J106" t="s">
        <v>61</v>
      </c>
      <c r="K106" t="s">
        <v>182</v>
      </c>
      <c r="L106" t="s">
        <v>85</v>
      </c>
      <c r="M106" t="str">
        <f>TRIM(Table2[[#This Row],[Category]])</f>
        <v>Furniture</v>
      </c>
      <c r="N106" t="s">
        <v>86</v>
      </c>
      <c r="O106" t="s">
        <v>238</v>
      </c>
      <c r="P106">
        <v>18</v>
      </c>
      <c r="Q106">
        <v>163237.1</v>
      </c>
      <c r="R106">
        <v>25</v>
      </c>
      <c r="S106">
        <v>734566.95</v>
      </c>
      <c r="T106">
        <v>2203700.85</v>
      </c>
      <c r="U106">
        <v>725888.48</v>
      </c>
    </row>
    <row r="107" spans="1:21" ht="15" customHeight="1" x14ac:dyDescent="0.25">
      <c r="A107" t="s">
        <v>122</v>
      </c>
      <c r="B107" s="8">
        <v>45043</v>
      </c>
      <c r="C107" s="8">
        <v>45051</v>
      </c>
      <c r="D107" t="s">
        <v>48</v>
      </c>
      <c r="E107" t="s">
        <v>3056</v>
      </c>
      <c r="F107" t="s">
        <v>3057</v>
      </c>
      <c r="G107" t="s">
        <v>124</v>
      </c>
      <c r="H107">
        <v>9051666754</v>
      </c>
      <c r="I107" t="s">
        <v>125</v>
      </c>
      <c r="J107" t="s">
        <v>25</v>
      </c>
      <c r="K107" t="s">
        <v>126</v>
      </c>
      <c r="L107" t="s">
        <v>27</v>
      </c>
      <c r="M107" t="str">
        <f>TRIM(Table2[[#This Row],[Category]])</f>
        <v>Food &amp; Beverages</v>
      </c>
      <c r="N107" t="s">
        <v>79</v>
      </c>
      <c r="O107" t="s">
        <v>127</v>
      </c>
      <c r="P107">
        <v>19</v>
      </c>
      <c r="Q107">
        <v>5361.77</v>
      </c>
      <c r="R107">
        <v>25</v>
      </c>
      <c r="S107">
        <v>25468.41</v>
      </c>
      <c r="T107">
        <v>76405.22</v>
      </c>
      <c r="U107">
        <v>3042.6</v>
      </c>
    </row>
    <row r="108" spans="1:21" ht="15" customHeight="1" x14ac:dyDescent="0.25">
      <c r="A108" t="s">
        <v>994</v>
      </c>
      <c r="B108" s="8">
        <v>45051</v>
      </c>
      <c r="C108" s="8">
        <v>45057</v>
      </c>
      <c r="D108" t="s">
        <v>48</v>
      </c>
      <c r="E108" t="s">
        <v>3092</v>
      </c>
      <c r="F108" t="s">
        <v>3054</v>
      </c>
      <c r="G108" t="s">
        <v>996</v>
      </c>
      <c r="H108">
        <v>8104005557</v>
      </c>
      <c r="I108" t="s">
        <v>43</v>
      </c>
      <c r="J108" t="s">
        <v>25</v>
      </c>
      <c r="K108" t="s">
        <v>168</v>
      </c>
      <c r="L108" t="s">
        <v>27</v>
      </c>
      <c r="M108" t="str">
        <f>TRIM(Table2[[#This Row],[Category]])</f>
        <v>Food &amp; Beverages</v>
      </c>
      <c r="N108" t="s">
        <v>173</v>
      </c>
      <c r="O108" t="s">
        <v>380</v>
      </c>
      <c r="P108">
        <v>16</v>
      </c>
      <c r="Q108">
        <v>5966.58</v>
      </c>
      <c r="R108">
        <v>10</v>
      </c>
      <c r="S108">
        <v>9546.5300000000007</v>
      </c>
      <c r="T108">
        <v>85918.75</v>
      </c>
      <c r="U108">
        <v>-10804.12</v>
      </c>
    </row>
    <row r="109" spans="1:21" ht="15" customHeight="1" x14ac:dyDescent="0.25">
      <c r="A109" t="s">
        <v>2869</v>
      </c>
      <c r="B109" s="8">
        <v>45056</v>
      </c>
      <c r="C109" s="8">
        <v>45061</v>
      </c>
      <c r="D109" t="s">
        <v>48</v>
      </c>
      <c r="E109" t="s">
        <v>3095</v>
      </c>
      <c r="F109" t="s">
        <v>3075</v>
      </c>
      <c r="G109" t="s">
        <v>2367</v>
      </c>
      <c r="H109">
        <v>8165381205</v>
      </c>
      <c r="I109" t="s">
        <v>35</v>
      </c>
      <c r="J109" t="s">
        <v>61</v>
      </c>
      <c r="K109" t="s">
        <v>62</v>
      </c>
      <c r="L109" t="s">
        <v>63</v>
      </c>
      <c r="M109" t="str">
        <f>TRIM(Table2[[#This Row],[Category]])</f>
        <v>Office Supplies</v>
      </c>
      <c r="N109" t="s">
        <v>312</v>
      </c>
      <c r="O109" t="s">
        <v>736</v>
      </c>
      <c r="P109">
        <v>2</v>
      </c>
      <c r="Q109">
        <v>20788.7</v>
      </c>
      <c r="R109">
        <v>15</v>
      </c>
      <c r="S109">
        <v>6236.61</v>
      </c>
      <c r="T109">
        <v>35340.79</v>
      </c>
      <c r="U109">
        <v>5099.8500000000004</v>
      </c>
    </row>
    <row r="110" spans="1:21" ht="15" customHeight="1" x14ac:dyDescent="0.25">
      <c r="A110" t="s">
        <v>854</v>
      </c>
      <c r="B110" s="8">
        <v>45057</v>
      </c>
      <c r="C110" s="8">
        <v>45064</v>
      </c>
      <c r="D110" t="s">
        <v>48</v>
      </c>
      <c r="E110" t="s">
        <v>3089</v>
      </c>
      <c r="F110" t="s">
        <v>3088</v>
      </c>
      <c r="G110" t="s">
        <v>856</v>
      </c>
      <c r="H110">
        <v>8108962169</v>
      </c>
      <c r="I110" t="s">
        <v>24</v>
      </c>
      <c r="J110" t="s">
        <v>69</v>
      </c>
      <c r="K110" t="s">
        <v>307</v>
      </c>
      <c r="L110" t="s">
        <v>857</v>
      </c>
      <c r="M110" t="str">
        <f>TRIM(Table2[[#This Row],[Category]])</f>
        <v>food &amp; beverages</v>
      </c>
      <c r="N110" t="s">
        <v>173</v>
      </c>
      <c r="O110" t="s">
        <v>174</v>
      </c>
      <c r="P110">
        <v>9</v>
      </c>
      <c r="Q110">
        <v>2950.72</v>
      </c>
      <c r="R110">
        <v>0</v>
      </c>
      <c r="S110">
        <v>0</v>
      </c>
      <c r="T110">
        <v>26556.48</v>
      </c>
      <c r="U110">
        <v>558.79</v>
      </c>
    </row>
    <row r="111" spans="1:21" ht="15" customHeight="1" x14ac:dyDescent="0.25">
      <c r="A111" t="s">
        <v>2271</v>
      </c>
      <c r="B111" s="8">
        <v>45067</v>
      </c>
      <c r="C111" s="8">
        <v>45074</v>
      </c>
      <c r="D111" t="s">
        <v>48</v>
      </c>
      <c r="E111" t="s">
        <v>3050</v>
      </c>
      <c r="F111" t="s">
        <v>3034</v>
      </c>
      <c r="G111" t="s">
        <v>2272</v>
      </c>
      <c r="H111">
        <v>8161894817</v>
      </c>
      <c r="I111" t="s">
        <v>43</v>
      </c>
      <c r="J111" t="s">
        <v>61</v>
      </c>
      <c r="K111" t="s">
        <v>182</v>
      </c>
      <c r="L111" t="s">
        <v>108</v>
      </c>
      <c r="M111" t="str">
        <f>TRIM(Table2[[#This Row],[Category]])</f>
        <v>Clothing</v>
      </c>
      <c r="N111" t="s">
        <v>38</v>
      </c>
      <c r="O111" t="s">
        <v>303</v>
      </c>
      <c r="P111">
        <v>19</v>
      </c>
      <c r="Q111">
        <v>13995.43</v>
      </c>
      <c r="R111">
        <v>10</v>
      </c>
      <c r="S111">
        <v>26591.32</v>
      </c>
      <c r="T111">
        <v>239321.85</v>
      </c>
      <c r="U111">
        <v>23546.799999999999</v>
      </c>
    </row>
    <row r="112" spans="1:21" ht="15" customHeight="1" x14ac:dyDescent="0.25">
      <c r="A112" t="s">
        <v>2708</v>
      </c>
      <c r="B112" s="8">
        <v>45066</v>
      </c>
      <c r="C112" s="8">
        <v>45074</v>
      </c>
      <c r="D112" t="s">
        <v>48</v>
      </c>
      <c r="E112" t="s">
        <v>3067</v>
      </c>
      <c r="F112" t="s">
        <v>3043</v>
      </c>
      <c r="G112" t="s">
        <v>2709</v>
      </c>
      <c r="H112">
        <v>9053779020</v>
      </c>
      <c r="I112" t="s">
        <v>35</v>
      </c>
      <c r="J112" t="s">
        <v>51</v>
      </c>
      <c r="K112" t="s">
        <v>316</v>
      </c>
      <c r="L112" t="s">
        <v>85</v>
      </c>
      <c r="M112" t="str">
        <f>TRIM(Table2[[#This Row],[Category]])</f>
        <v>Furniture</v>
      </c>
      <c r="N112" t="s">
        <v>218</v>
      </c>
      <c r="O112" t="s">
        <v>1058</v>
      </c>
      <c r="P112">
        <v>8</v>
      </c>
      <c r="Q112">
        <v>26470.55</v>
      </c>
      <c r="R112">
        <v>10</v>
      </c>
      <c r="S112">
        <v>21176.44</v>
      </c>
      <c r="T112">
        <v>190587.96</v>
      </c>
      <c r="U112">
        <f>U111</f>
        <v>23546.799999999999</v>
      </c>
    </row>
    <row r="113" spans="1:21" ht="15" customHeight="1" x14ac:dyDescent="0.25">
      <c r="A113" t="s">
        <v>984</v>
      </c>
      <c r="B113" s="8">
        <v>45075</v>
      </c>
      <c r="C113" s="8">
        <v>45080</v>
      </c>
      <c r="D113" t="s">
        <v>48</v>
      </c>
      <c r="E113" t="s">
        <v>3050</v>
      </c>
      <c r="F113" t="s">
        <v>3034</v>
      </c>
      <c r="G113" t="s">
        <v>986</v>
      </c>
      <c r="H113">
        <v>7036991787</v>
      </c>
      <c r="I113" t="s">
        <v>24</v>
      </c>
      <c r="J113" t="s">
        <v>25</v>
      </c>
      <c r="K113" t="s">
        <v>44</v>
      </c>
      <c r="L113" t="s">
        <v>85</v>
      </c>
      <c r="M113" t="str">
        <f>TRIM(Table2[[#This Row],[Category]])</f>
        <v>Furniture</v>
      </c>
      <c r="N113" t="s">
        <v>218</v>
      </c>
      <c r="O113" t="s">
        <v>321</v>
      </c>
      <c r="P113">
        <f>P112</f>
        <v>8</v>
      </c>
      <c r="Q113">
        <v>57043.59</v>
      </c>
      <c r="R113">
        <v>5</v>
      </c>
      <c r="S113">
        <v>8556.5400000000009</v>
      </c>
      <c r="T113">
        <v>162574.23000000001</v>
      </c>
      <c r="U113">
        <v>6612.15</v>
      </c>
    </row>
    <row r="114" spans="1:21" ht="15" customHeight="1" x14ac:dyDescent="0.25">
      <c r="A114" t="s">
        <v>209</v>
      </c>
      <c r="B114" s="8">
        <v>45094</v>
      </c>
      <c r="C114" s="8">
        <v>45102</v>
      </c>
      <c r="D114" t="s">
        <v>210</v>
      </c>
      <c r="E114" t="s">
        <v>3041</v>
      </c>
      <c r="F114" t="s">
        <v>3052</v>
      </c>
      <c r="G114" t="s">
        <v>212</v>
      </c>
      <c r="H114">
        <v>7036662319</v>
      </c>
      <c r="I114" t="s">
        <v>35</v>
      </c>
      <c r="J114" t="s">
        <v>61</v>
      </c>
      <c r="K114" t="s">
        <v>204</v>
      </c>
      <c r="L114" t="s">
        <v>108</v>
      </c>
      <c r="M114" t="str">
        <f>TRIM(Table2[[#This Row],[Category]])</f>
        <v>Clothing</v>
      </c>
      <c r="N114" t="s">
        <v>38</v>
      </c>
      <c r="O114" t="s">
        <v>213</v>
      </c>
      <c r="P114">
        <v>3</v>
      </c>
      <c r="Q114">
        <v>12847.68</v>
      </c>
      <c r="R114">
        <v>20</v>
      </c>
      <c r="S114">
        <v>7708.61</v>
      </c>
      <c r="T114">
        <v>30834.43</v>
      </c>
      <c r="U114">
        <v>-4266.5600000000004</v>
      </c>
    </row>
    <row r="115" spans="1:21" ht="15" customHeight="1" x14ac:dyDescent="0.25">
      <c r="A115" t="s">
        <v>566</v>
      </c>
      <c r="B115" s="8">
        <v>45097</v>
      </c>
      <c r="C115" s="8">
        <v>45104</v>
      </c>
      <c r="D115" t="s">
        <v>48</v>
      </c>
      <c r="E115" t="s">
        <v>3059</v>
      </c>
      <c r="F115" t="s">
        <v>3090</v>
      </c>
      <c r="G115" t="s">
        <v>568</v>
      </c>
      <c r="H115">
        <v>8146147356</v>
      </c>
      <c r="I115" t="s">
        <v>24</v>
      </c>
      <c r="J115" t="s">
        <v>51</v>
      </c>
      <c r="K115" t="s">
        <v>227</v>
      </c>
      <c r="L115" t="s">
        <v>85</v>
      </c>
      <c r="M115" t="str">
        <f>TRIM(Table2[[#This Row],[Category]])</f>
        <v>Furniture</v>
      </c>
      <c r="N115" t="s">
        <v>486</v>
      </c>
      <c r="O115" t="s">
        <v>527</v>
      </c>
      <c r="P115">
        <v>10</v>
      </c>
      <c r="Q115">
        <v>166774.23000000001</v>
      </c>
      <c r="R115">
        <v>0</v>
      </c>
      <c r="S115">
        <v>0</v>
      </c>
      <c r="T115">
        <v>1667742.3</v>
      </c>
      <c r="U115">
        <v>388962.19</v>
      </c>
    </row>
    <row r="116" spans="1:21" ht="15" customHeight="1" x14ac:dyDescent="0.25">
      <c r="A116" t="s">
        <v>2090</v>
      </c>
      <c r="B116" s="8">
        <v>45097</v>
      </c>
      <c r="C116" s="8">
        <v>45104</v>
      </c>
      <c r="D116" t="s">
        <v>48</v>
      </c>
      <c r="E116" t="s">
        <v>3080</v>
      </c>
      <c r="F116" t="s">
        <v>3064</v>
      </c>
      <c r="G116" t="s">
        <v>2091</v>
      </c>
      <c r="H116">
        <v>9058311783</v>
      </c>
      <c r="I116" t="s">
        <v>43</v>
      </c>
      <c r="J116" t="s">
        <v>69</v>
      </c>
      <c r="K116" t="s">
        <v>70</v>
      </c>
      <c r="L116" t="s">
        <v>63</v>
      </c>
      <c r="M116" t="str">
        <f>TRIM(Table2[[#This Row],[Category]])</f>
        <v>Office Supplies</v>
      </c>
      <c r="N116" t="s">
        <v>194</v>
      </c>
      <c r="O116" t="s">
        <v>195</v>
      </c>
      <c r="P116">
        <v>7</v>
      </c>
      <c r="Q116">
        <v>3909.82</v>
      </c>
      <c r="R116">
        <v>10</v>
      </c>
      <c r="S116">
        <v>2736.87</v>
      </c>
      <c r="T116">
        <v>24631.87</v>
      </c>
      <c r="U116">
        <v>-1689.39</v>
      </c>
    </row>
    <row r="117" spans="1:21" ht="15" customHeight="1" x14ac:dyDescent="0.25">
      <c r="A117" t="s">
        <v>2044</v>
      </c>
      <c r="B117" s="8">
        <v>45102</v>
      </c>
      <c r="C117" s="8">
        <v>45109</v>
      </c>
      <c r="D117" t="s">
        <v>48</v>
      </c>
      <c r="E117" t="s">
        <v>3081</v>
      </c>
      <c r="F117" t="s">
        <v>3039</v>
      </c>
      <c r="G117" t="s">
        <v>2045</v>
      </c>
      <c r="H117">
        <v>9074454281</v>
      </c>
      <c r="I117" t="s">
        <v>35</v>
      </c>
      <c r="J117" t="s">
        <v>51</v>
      </c>
      <c r="K117" t="s">
        <v>316</v>
      </c>
      <c r="L117" t="s">
        <v>96</v>
      </c>
      <c r="M117" t="str">
        <f>TRIM(Table2[[#This Row],[Category]])</f>
        <v>Technology</v>
      </c>
      <c r="N117" t="s">
        <v>120</v>
      </c>
      <c r="O117" t="s">
        <v>133</v>
      </c>
      <c r="P117">
        <v>1</v>
      </c>
      <c r="Q117">
        <v>41216.11</v>
      </c>
      <c r="R117">
        <v>5</v>
      </c>
      <c r="S117">
        <v>2060.81</v>
      </c>
      <c r="T117">
        <v>39155.300000000003</v>
      </c>
      <c r="U117">
        <v>5125.05</v>
      </c>
    </row>
    <row r="118" spans="1:21" ht="15" customHeight="1" x14ac:dyDescent="0.25">
      <c r="A118" t="s">
        <v>498</v>
      </c>
      <c r="B118" s="8">
        <v>45104</v>
      </c>
      <c r="C118" s="8">
        <v>45110</v>
      </c>
      <c r="D118" t="s">
        <v>48</v>
      </c>
      <c r="E118" t="s">
        <v>3094</v>
      </c>
      <c r="F118" t="s">
        <v>3066</v>
      </c>
      <c r="G118" t="s">
        <v>500</v>
      </c>
      <c r="H118">
        <v>8145859883</v>
      </c>
      <c r="I118" t="s">
        <v>35</v>
      </c>
      <c r="J118" t="s">
        <v>25</v>
      </c>
      <c r="K118" t="s">
        <v>26</v>
      </c>
      <c r="L118" t="s">
        <v>63</v>
      </c>
      <c r="M118" t="str">
        <f>TRIM(Table2[[#This Row],[Category]])</f>
        <v>Office Supplies</v>
      </c>
      <c r="N118" t="s">
        <v>64</v>
      </c>
      <c r="O118" t="s">
        <v>501</v>
      </c>
      <c r="P118">
        <v>13</v>
      </c>
      <c r="Q118">
        <v>20214.86</v>
      </c>
      <c r="R118">
        <v>10</v>
      </c>
      <c r="S118">
        <v>26279.32</v>
      </c>
      <c r="T118">
        <v>236513.86</v>
      </c>
      <c r="U118">
        <v>28884.61</v>
      </c>
    </row>
    <row r="119" spans="1:21" ht="15" customHeight="1" x14ac:dyDescent="0.25">
      <c r="A119" t="s">
        <v>1845</v>
      </c>
      <c r="B119" s="8">
        <v>45113</v>
      </c>
      <c r="C119" s="8">
        <v>45119</v>
      </c>
      <c r="D119" t="s">
        <v>48</v>
      </c>
      <c r="E119" t="s">
        <v>3073</v>
      </c>
      <c r="F119" t="s">
        <v>3057</v>
      </c>
      <c r="G119" t="s">
        <v>1847</v>
      </c>
      <c r="H119">
        <v>7063575158</v>
      </c>
      <c r="I119" t="s">
        <v>35</v>
      </c>
      <c r="J119" t="s">
        <v>61</v>
      </c>
      <c r="K119" t="s">
        <v>84</v>
      </c>
      <c r="L119" t="s">
        <v>63</v>
      </c>
      <c r="M119" t="str">
        <f>TRIM(Table2[[#This Row],[Category]])</f>
        <v>Office Supplies</v>
      </c>
      <c r="N119" t="s">
        <v>194</v>
      </c>
      <c r="O119" t="s">
        <v>257</v>
      </c>
      <c r="P119">
        <v>20</v>
      </c>
      <c r="Q119">
        <v>9784.08</v>
      </c>
      <c r="R119">
        <v>5</v>
      </c>
      <c r="S119">
        <v>9784.08</v>
      </c>
      <c r="T119">
        <v>185897.52</v>
      </c>
      <c r="U119">
        <v>-19237.650000000001</v>
      </c>
    </row>
    <row r="120" spans="1:21" ht="15" customHeight="1" x14ac:dyDescent="0.25">
      <c r="A120" t="s">
        <v>2263</v>
      </c>
      <c r="B120" s="8">
        <v>45121</v>
      </c>
      <c r="C120" s="8">
        <v>45126</v>
      </c>
      <c r="D120" t="s">
        <v>48</v>
      </c>
      <c r="E120" t="s">
        <v>3091</v>
      </c>
      <c r="F120" t="s">
        <v>3040</v>
      </c>
      <c r="G120" t="s">
        <v>1563</v>
      </c>
      <c r="H120">
        <v>7061736811</v>
      </c>
      <c r="I120" t="s">
        <v>24</v>
      </c>
      <c r="J120" t="s">
        <v>51</v>
      </c>
      <c r="K120" t="s">
        <v>223</v>
      </c>
      <c r="L120" t="s">
        <v>63</v>
      </c>
      <c r="M120" t="str">
        <f>TRIM(Table2[[#This Row],[Category]])</f>
        <v>Office Supplies</v>
      </c>
      <c r="N120" t="s">
        <v>558</v>
      </c>
      <c r="O120" t="s">
        <v>1460</v>
      </c>
      <c r="P120">
        <v>1</v>
      </c>
      <c r="Q120">
        <v>24292.95</v>
      </c>
      <c r="R120">
        <v>20</v>
      </c>
      <c r="S120">
        <v>4858.59</v>
      </c>
      <c r="T120">
        <v>19434.36</v>
      </c>
      <c r="U120">
        <v>8713.18</v>
      </c>
    </row>
    <row r="121" spans="1:21" ht="15" customHeight="1" x14ac:dyDescent="0.25">
      <c r="A121" t="s">
        <v>1812</v>
      </c>
      <c r="B121" s="8">
        <v>45122</v>
      </c>
      <c r="C121" s="8">
        <v>45130</v>
      </c>
      <c r="D121" t="s">
        <v>48</v>
      </c>
      <c r="E121" t="s">
        <v>3082</v>
      </c>
      <c r="F121" t="s">
        <v>3083</v>
      </c>
      <c r="G121" t="s">
        <v>1814</v>
      </c>
      <c r="H121">
        <v>9017320122</v>
      </c>
      <c r="I121" t="s">
        <v>1669</v>
      </c>
      <c r="J121" t="s">
        <v>51</v>
      </c>
      <c r="K121" t="s">
        <v>227</v>
      </c>
      <c r="L121" t="s">
        <v>96</v>
      </c>
      <c r="M121" t="str">
        <f>TRIM(Table2[[#This Row],[Category]])</f>
        <v>Technology</v>
      </c>
      <c r="N121" t="s">
        <v>97</v>
      </c>
      <c r="O121" t="s">
        <v>443</v>
      </c>
      <c r="P121">
        <v>7</v>
      </c>
      <c r="Q121">
        <v>375129.84</v>
      </c>
      <c r="R121">
        <v>5</v>
      </c>
      <c r="S121">
        <v>131295.44</v>
      </c>
      <c r="T121">
        <v>2494613.44</v>
      </c>
      <c r="U121">
        <v>674155.43</v>
      </c>
    </row>
    <row r="122" spans="1:21" ht="15" customHeight="1" x14ac:dyDescent="0.25">
      <c r="A122" t="s">
        <v>1976</v>
      </c>
      <c r="B122" s="8">
        <v>45122</v>
      </c>
      <c r="C122" s="8">
        <v>45130</v>
      </c>
      <c r="D122" t="s">
        <v>48</v>
      </c>
      <c r="E122" t="s">
        <v>3081</v>
      </c>
      <c r="F122" t="s">
        <v>3064</v>
      </c>
      <c r="G122" t="s">
        <v>1978</v>
      </c>
      <c r="H122">
        <v>8038041764</v>
      </c>
      <c r="I122" t="s">
        <v>35</v>
      </c>
      <c r="J122" t="s">
        <v>61</v>
      </c>
      <c r="K122" t="s">
        <v>3127</v>
      </c>
      <c r="L122" t="s">
        <v>27</v>
      </c>
      <c r="M122" t="str">
        <f>TRIM(Table2[[#This Row],[Category]])</f>
        <v>Food &amp; Beverages</v>
      </c>
      <c r="N122" t="s">
        <v>354</v>
      </c>
      <c r="O122" t="s">
        <v>494</v>
      </c>
      <c r="P122">
        <v>2</v>
      </c>
      <c r="Q122">
        <v>1717.4</v>
      </c>
      <c r="R122">
        <v>0</v>
      </c>
      <c r="S122">
        <v>0</v>
      </c>
      <c r="T122">
        <v>3434.8</v>
      </c>
      <c r="U122">
        <v>1329.18</v>
      </c>
    </row>
    <row r="123" spans="1:21" ht="15" customHeight="1" x14ac:dyDescent="0.25">
      <c r="A123" t="s">
        <v>2077</v>
      </c>
      <c r="B123" s="8">
        <v>45122</v>
      </c>
      <c r="C123" s="8">
        <v>45130</v>
      </c>
      <c r="D123" t="s">
        <v>48</v>
      </c>
      <c r="E123" t="s">
        <v>3070</v>
      </c>
      <c r="F123" t="s">
        <v>3062</v>
      </c>
      <c r="G123" t="s">
        <v>2079</v>
      </c>
      <c r="H123">
        <v>9076852648</v>
      </c>
      <c r="I123" t="s">
        <v>43</v>
      </c>
      <c r="J123" t="s">
        <v>25</v>
      </c>
      <c r="K123" t="s">
        <v>126</v>
      </c>
      <c r="L123" t="s">
        <v>63</v>
      </c>
      <c r="M123" t="str">
        <f>TRIM(Table2[[#This Row],[Category]])</f>
        <v>Office Supplies</v>
      </c>
      <c r="N123" t="s">
        <v>64</v>
      </c>
      <c r="O123" t="s">
        <v>777</v>
      </c>
      <c r="P123">
        <v>9</v>
      </c>
      <c r="Q123">
        <v>10723.71</v>
      </c>
      <c r="R123">
        <v>10</v>
      </c>
      <c r="S123">
        <v>9651.34</v>
      </c>
      <c r="T123">
        <v>86862.05</v>
      </c>
      <c r="U123">
        <v>-3097.19</v>
      </c>
    </row>
    <row r="124" spans="1:21" ht="15" customHeight="1" x14ac:dyDescent="0.25">
      <c r="A124" t="s">
        <v>2414</v>
      </c>
      <c r="B124" s="8">
        <v>45124</v>
      </c>
      <c r="C124" s="8">
        <v>45131</v>
      </c>
      <c r="D124" t="s">
        <v>48</v>
      </c>
      <c r="E124" t="s">
        <v>3063</v>
      </c>
      <c r="F124" t="s">
        <v>3054</v>
      </c>
      <c r="G124" t="s">
        <v>2416</v>
      </c>
      <c r="H124">
        <v>8101155591</v>
      </c>
      <c r="I124" t="s">
        <v>43</v>
      </c>
      <c r="J124" t="s">
        <v>25</v>
      </c>
      <c r="K124" t="s">
        <v>168</v>
      </c>
      <c r="L124" t="s">
        <v>85</v>
      </c>
      <c r="M124" t="str">
        <f>TRIM(Table2[[#This Row],[Category]])</f>
        <v>Furniture</v>
      </c>
      <c r="N124" t="s">
        <v>266</v>
      </c>
      <c r="O124" t="s">
        <v>803</v>
      </c>
      <c r="P124">
        <v>16</v>
      </c>
      <c r="Q124">
        <v>32117.9</v>
      </c>
      <c r="R124">
        <v>0</v>
      </c>
      <c r="S124">
        <v>0</v>
      </c>
      <c r="T124">
        <v>513886.4</v>
      </c>
      <c r="U124">
        <v>-58218.77</v>
      </c>
    </row>
    <row r="125" spans="1:21" ht="15" customHeight="1" x14ac:dyDescent="0.25">
      <c r="A125" t="s">
        <v>2854</v>
      </c>
      <c r="B125" s="8">
        <v>45125</v>
      </c>
      <c r="C125" s="8">
        <v>45131</v>
      </c>
      <c r="D125" t="s">
        <v>48</v>
      </c>
      <c r="E125" t="s">
        <v>3065</v>
      </c>
      <c r="F125" t="s">
        <v>3042</v>
      </c>
      <c r="G125" t="s">
        <v>2856</v>
      </c>
      <c r="H125">
        <v>8131758400</v>
      </c>
      <c r="I125" t="s">
        <v>24</v>
      </c>
      <c r="J125" t="s">
        <v>25</v>
      </c>
      <c r="K125" t="s">
        <v>26</v>
      </c>
      <c r="L125" t="s">
        <v>85</v>
      </c>
      <c r="M125" t="str">
        <f>TRIM(Table2[[#This Row],[Category]])</f>
        <v>Furniture</v>
      </c>
      <c r="N125" t="s">
        <v>218</v>
      </c>
      <c r="O125" t="s">
        <v>708</v>
      </c>
      <c r="P125">
        <v>10</v>
      </c>
      <c r="Q125">
        <v>41994.879999999997</v>
      </c>
      <c r="R125">
        <v>20</v>
      </c>
      <c r="S125">
        <v>83989.759999999995</v>
      </c>
      <c r="T125">
        <v>335959.03999999998</v>
      </c>
      <c r="U125">
        <v>-38042.29</v>
      </c>
    </row>
    <row r="126" spans="1:21" ht="15" customHeight="1" x14ac:dyDescent="0.25">
      <c r="A126" t="s">
        <v>356</v>
      </c>
      <c r="B126" s="8">
        <v>45129</v>
      </c>
      <c r="C126" s="8">
        <v>45135</v>
      </c>
      <c r="D126" t="s">
        <v>48</v>
      </c>
      <c r="E126" t="s">
        <v>3033</v>
      </c>
      <c r="F126" t="s">
        <v>3077</v>
      </c>
      <c r="G126" t="s">
        <v>358</v>
      </c>
      <c r="H126">
        <v>9023927575</v>
      </c>
      <c r="I126" t="s">
        <v>35</v>
      </c>
      <c r="J126" t="s">
        <v>61</v>
      </c>
      <c r="K126" t="s">
        <v>182</v>
      </c>
      <c r="L126" t="s">
        <v>96</v>
      </c>
      <c r="M126" t="str">
        <f>TRIM(Table2[[#This Row],[Category]])</f>
        <v>Technology</v>
      </c>
      <c r="N126" t="s">
        <v>120</v>
      </c>
      <c r="O126" t="s">
        <v>359</v>
      </c>
      <c r="P126">
        <v>8</v>
      </c>
      <c r="Q126">
        <v>21464.240000000002</v>
      </c>
      <c r="R126">
        <v>10</v>
      </c>
      <c r="S126">
        <v>17171.39</v>
      </c>
      <c r="T126">
        <v>154542.53</v>
      </c>
      <c r="U126">
        <v>-21718.07</v>
      </c>
    </row>
    <row r="127" spans="1:21" ht="15" customHeight="1" x14ac:dyDescent="0.25">
      <c r="A127" t="s">
        <v>381</v>
      </c>
      <c r="B127" s="8">
        <v>45132</v>
      </c>
      <c r="C127" s="8">
        <v>45138</v>
      </c>
      <c r="D127" t="s">
        <v>48</v>
      </c>
      <c r="E127" t="s">
        <v>3068</v>
      </c>
      <c r="F127" t="s">
        <v>3086</v>
      </c>
      <c r="G127" t="s">
        <v>383</v>
      </c>
      <c r="H127">
        <v>9055487028</v>
      </c>
      <c r="I127" t="s">
        <v>43</v>
      </c>
      <c r="J127" t="s">
        <v>384</v>
      </c>
      <c r="K127" t="s">
        <v>227</v>
      </c>
      <c r="L127" t="s">
        <v>96</v>
      </c>
      <c r="M127" t="str">
        <f>TRIM(Table2[[#This Row],[Category]])</f>
        <v>Technology</v>
      </c>
      <c r="N127" t="s">
        <v>385</v>
      </c>
      <c r="O127" t="s">
        <v>386</v>
      </c>
      <c r="P127">
        <v>10</v>
      </c>
      <c r="Q127">
        <v>320673.96999999997</v>
      </c>
      <c r="R127">
        <v>10</v>
      </c>
      <c r="S127">
        <v>320673.96999999997</v>
      </c>
      <c r="T127">
        <v>2886065.73</v>
      </c>
      <c r="U127">
        <v>174936.14</v>
      </c>
    </row>
    <row r="128" spans="1:21" ht="15" customHeight="1" x14ac:dyDescent="0.25">
      <c r="A128" t="s">
        <v>2948</v>
      </c>
      <c r="B128" s="8">
        <v>45133</v>
      </c>
      <c r="C128" s="8">
        <v>45138</v>
      </c>
      <c r="D128" t="s">
        <v>48</v>
      </c>
      <c r="E128" t="s">
        <v>3076</v>
      </c>
      <c r="F128" t="s">
        <v>3040</v>
      </c>
      <c r="G128" t="s">
        <v>2949</v>
      </c>
      <c r="H128">
        <v>8036392076</v>
      </c>
      <c r="I128" t="s">
        <v>24</v>
      </c>
      <c r="J128" t="s">
        <v>25</v>
      </c>
      <c r="K128" t="s">
        <v>168</v>
      </c>
      <c r="L128" t="s">
        <v>96</v>
      </c>
      <c r="M128" t="str">
        <f>TRIM(Table2[[#This Row],[Category]])</f>
        <v>Technology</v>
      </c>
      <c r="N128" t="s">
        <v>189</v>
      </c>
      <c r="O128" t="s">
        <v>478</v>
      </c>
      <c r="P128">
        <v>17</v>
      </c>
      <c r="Q128">
        <v>351539.63</v>
      </c>
      <c r="R128">
        <v>5</v>
      </c>
      <c r="S128">
        <v>298808.69</v>
      </c>
      <c r="T128">
        <v>5677365.0199999996</v>
      </c>
      <c r="U128">
        <v>2118249.8199999998</v>
      </c>
    </row>
    <row r="129" spans="1:21" ht="15" customHeight="1" x14ac:dyDescent="0.25">
      <c r="A129" t="s">
        <v>1736</v>
      </c>
      <c r="B129" s="8">
        <v>45132</v>
      </c>
      <c r="C129" s="8">
        <v>45139</v>
      </c>
      <c r="D129" t="s">
        <v>48</v>
      </c>
      <c r="E129" t="s">
        <v>3063</v>
      </c>
      <c r="F129" t="s">
        <v>3050</v>
      </c>
      <c r="G129" t="s">
        <v>1738</v>
      </c>
      <c r="H129">
        <v>7066058905</v>
      </c>
      <c r="I129" t="s">
        <v>35</v>
      </c>
      <c r="J129" t="s">
        <v>61</v>
      </c>
      <c r="K129" t="s">
        <v>204</v>
      </c>
      <c r="L129" t="s">
        <v>27</v>
      </c>
      <c r="M129" t="str">
        <f>TRIM(Table2[[#This Row],[Category]])</f>
        <v>Food &amp; Beverages</v>
      </c>
      <c r="N129" t="s">
        <v>28</v>
      </c>
      <c r="O129" t="s">
        <v>29</v>
      </c>
      <c r="P129">
        <v>19</v>
      </c>
      <c r="Q129">
        <v>5786.49</v>
      </c>
      <c r="R129">
        <v>0</v>
      </c>
      <c r="S129">
        <v>0</v>
      </c>
      <c r="T129">
        <v>109943.31</v>
      </c>
      <c r="U129">
        <v>127.98</v>
      </c>
    </row>
    <row r="130" spans="1:21" ht="15" customHeight="1" x14ac:dyDescent="0.25">
      <c r="A130" t="s">
        <v>1587</v>
      </c>
      <c r="B130" s="8">
        <v>45134</v>
      </c>
      <c r="C130" s="8">
        <v>45140</v>
      </c>
      <c r="D130" t="s">
        <v>48</v>
      </c>
      <c r="E130" t="s">
        <v>3058</v>
      </c>
      <c r="F130" t="s">
        <v>3071</v>
      </c>
      <c r="G130" t="s">
        <v>1589</v>
      </c>
      <c r="H130">
        <v>8158417942</v>
      </c>
      <c r="I130" t="s">
        <v>43</v>
      </c>
      <c r="J130" t="s">
        <v>51</v>
      </c>
      <c r="K130" t="s">
        <v>223</v>
      </c>
      <c r="L130" t="s">
        <v>63</v>
      </c>
      <c r="M130" t="str">
        <f>TRIM(Table2[[#This Row],[Category]])</f>
        <v>Office Supplies</v>
      </c>
      <c r="N130" t="s">
        <v>194</v>
      </c>
      <c r="O130" t="s">
        <v>257</v>
      </c>
      <c r="P130">
        <v>10</v>
      </c>
      <c r="Q130">
        <v>19497.310000000001</v>
      </c>
      <c r="R130">
        <v>0</v>
      </c>
      <c r="S130">
        <v>0</v>
      </c>
      <c r="T130">
        <v>194973.1</v>
      </c>
      <c r="U130">
        <v>-24921.05</v>
      </c>
    </row>
    <row r="131" spans="1:21" ht="15" customHeight="1" x14ac:dyDescent="0.25">
      <c r="A131" t="s">
        <v>629</v>
      </c>
      <c r="B131" s="8">
        <v>45136</v>
      </c>
      <c r="C131" s="8">
        <v>45141</v>
      </c>
      <c r="D131" t="s">
        <v>48</v>
      </c>
      <c r="E131" t="s">
        <v>3065</v>
      </c>
      <c r="F131" t="s">
        <v>3086</v>
      </c>
      <c r="G131" t="s">
        <v>631</v>
      </c>
      <c r="H131">
        <v>8034475536</v>
      </c>
      <c r="I131" t="s">
        <v>35</v>
      </c>
      <c r="J131" t="s">
        <v>69</v>
      </c>
      <c r="K131" t="s">
        <v>144</v>
      </c>
      <c r="L131" t="s">
        <v>27</v>
      </c>
      <c r="M131" t="str">
        <f>TRIM(Table2[[#This Row],[Category]])</f>
        <v>Food &amp; Beverages</v>
      </c>
      <c r="N131" t="s">
        <v>354</v>
      </c>
      <c r="O131" t="s">
        <v>433</v>
      </c>
      <c r="P131">
        <v>10</v>
      </c>
      <c r="Q131">
        <v>7452.34</v>
      </c>
      <c r="R131">
        <v>0</v>
      </c>
      <c r="S131">
        <v>0</v>
      </c>
      <c r="T131">
        <v>74523.399999999994</v>
      </c>
      <c r="U131">
        <v>14038.34</v>
      </c>
    </row>
    <row r="132" spans="1:21" ht="15" customHeight="1" x14ac:dyDescent="0.25">
      <c r="A132" t="s">
        <v>2668</v>
      </c>
      <c r="B132" s="8">
        <v>45133</v>
      </c>
      <c r="C132" s="8">
        <v>45141</v>
      </c>
      <c r="D132" t="s">
        <v>48</v>
      </c>
      <c r="E132" t="s">
        <v>3060</v>
      </c>
      <c r="F132" t="s">
        <v>3078</v>
      </c>
      <c r="G132" t="s">
        <v>2670</v>
      </c>
      <c r="H132" t="s">
        <v>59</v>
      </c>
      <c r="I132" t="s">
        <v>43</v>
      </c>
      <c r="J132" t="s">
        <v>25</v>
      </c>
      <c r="K132" t="s">
        <v>168</v>
      </c>
      <c r="L132" t="s">
        <v>96</v>
      </c>
      <c r="M132" t="str">
        <f>TRIM(Table2[[#This Row],[Category]])</f>
        <v>Technology</v>
      </c>
      <c r="N132" t="s">
        <v>97</v>
      </c>
      <c r="O132" t="s">
        <v>1416</v>
      </c>
      <c r="P132">
        <v>17</v>
      </c>
      <c r="Q132">
        <v>221462.1</v>
      </c>
      <c r="R132">
        <v>5</v>
      </c>
      <c r="S132">
        <v>188242.79</v>
      </c>
      <c r="T132">
        <v>3576612.91</v>
      </c>
      <c r="U132">
        <v>1409077.27</v>
      </c>
    </row>
    <row r="133" spans="1:21" ht="15" customHeight="1" x14ac:dyDescent="0.25">
      <c r="A133" t="s">
        <v>256</v>
      </c>
      <c r="B133" s="8">
        <v>45144</v>
      </c>
      <c r="C133" s="8">
        <v>45152</v>
      </c>
      <c r="D133" t="s">
        <v>48</v>
      </c>
      <c r="E133" t="s">
        <v>3055</v>
      </c>
      <c r="F133" t="s">
        <v>3071</v>
      </c>
      <c r="G133" t="s">
        <v>193</v>
      </c>
      <c r="H133">
        <v>8101861958</v>
      </c>
      <c r="I133" t="s">
        <v>35</v>
      </c>
      <c r="J133" t="s">
        <v>61</v>
      </c>
      <c r="K133" t="s">
        <v>204</v>
      </c>
      <c r="L133" t="s">
        <v>63</v>
      </c>
      <c r="M133" t="str">
        <f>TRIM(Table2[[#This Row],[Category]])</f>
        <v>Office Supplies</v>
      </c>
      <c r="N133" t="s">
        <v>194</v>
      </c>
      <c r="O133" t="s">
        <v>257</v>
      </c>
      <c r="P133">
        <v>3</v>
      </c>
      <c r="Q133">
        <v>3295.13</v>
      </c>
      <c r="R133">
        <v>15</v>
      </c>
      <c r="S133">
        <v>1482.81</v>
      </c>
      <c r="T133">
        <v>8402.58</v>
      </c>
      <c r="U133">
        <v>1218.78</v>
      </c>
    </row>
    <row r="134" spans="1:21" ht="15" customHeight="1" x14ac:dyDescent="0.25">
      <c r="A134" t="s">
        <v>1944</v>
      </c>
      <c r="B134" s="8">
        <v>45149</v>
      </c>
      <c r="C134" s="8">
        <v>45154</v>
      </c>
      <c r="D134" t="s">
        <v>48</v>
      </c>
      <c r="E134" t="s">
        <v>3084</v>
      </c>
      <c r="F134" t="s">
        <v>3090</v>
      </c>
      <c r="G134" t="s">
        <v>1946</v>
      </c>
      <c r="H134">
        <v>9053912192</v>
      </c>
      <c r="I134" t="s">
        <v>24</v>
      </c>
      <c r="J134" t="s">
        <v>51</v>
      </c>
      <c r="K134" t="s">
        <v>316</v>
      </c>
      <c r="L134" t="s">
        <v>27</v>
      </c>
      <c r="M134" t="str">
        <f>TRIM(Table2[[#This Row],[Category]])</f>
        <v>Food &amp; Beverages</v>
      </c>
      <c r="N134" t="s">
        <v>354</v>
      </c>
      <c r="O134" t="s">
        <v>355</v>
      </c>
      <c r="P134">
        <v>14</v>
      </c>
      <c r="Q134">
        <v>3352.21</v>
      </c>
      <c r="R134">
        <v>20</v>
      </c>
      <c r="S134">
        <v>9386.19</v>
      </c>
      <c r="T134">
        <v>37544.75</v>
      </c>
      <c r="U134">
        <v>6851.67</v>
      </c>
    </row>
    <row r="135" spans="1:21" ht="15" customHeight="1" x14ac:dyDescent="0.25">
      <c r="A135" t="s">
        <v>2209</v>
      </c>
      <c r="B135" s="8">
        <v>45150</v>
      </c>
      <c r="C135" s="8">
        <v>45158</v>
      </c>
      <c r="D135" t="s">
        <v>48</v>
      </c>
      <c r="E135" t="s">
        <v>3053</v>
      </c>
      <c r="F135" t="s">
        <v>3074</v>
      </c>
      <c r="G135" t="s">
        <v>2210</v>
      </c>
      <c r="H135">
        <v>9078128056</v>
      </c>
      <c r="I135" t="s">
        <v>35</v>
      </c>
      <c r="J135" t="s">
        <v>51</v>
      </c>
      <c r="K135" t="s">
        <v>52</v>
      </c>
      <c r="L135" t="s">
        <v>96</v>
      </c>
      <c r="M135" t="str">
        <f>TRIM(Table2[[#This Row],[Category]])</f>
        <v>Technology</v>
      </c>
      <c r="N135" t="s">
        <v>385</v>
      </c>
      <c r="O135" t="s">
        <v>942</v>
      </c>
      <c r="P135">
        <v>4</v>
      </c>
      <c r="Q135">
        <v>430997.25</v>
      </c>
      <c r="R135">
        <v>10</v>
      </c>
      <c r="S135">
        <v>172398.9</v>
      </c>
      <c r="T135">
        <v>1551590.1</v>
      </c>
      <c r="U135">
        <v>416107.21</v>
      </c>
    </row>
    <row r="136" spans="1:21" ht="15" customHeight="1" x14ac:dyDescent="0.25">
      <c r="A136" t="s">
        <v>2514</v>
      </c>
      <c r="B136" s="8">
        <v>45156</v>
      </c>
      <c r="C136" s="8">
        <v>45161</v>
      </c>
      <c r="D136" t="s">
        <v>48</v>
      </c>
      <c r="E136" t="s">
        <v>3059</v>
      </c>
      <c r="F136" t="s">
        <v>3069</v>
      </c>
      <c r="G136" t="s">
        <v>3126</v>
      </c>
      <c r="H136">
        <v>8107541701</v>
      </c>
      <c r="I136" t="s">
        <v>24</v>
      </c>
      <c r="J136" t="s">
        <v>69</v>
      </c>
      <c r="K136" t="s">
        <v>119</v>
      </c>
      <c r="L136" t="s">
        <v>1566</v>
      </c>
      <c r="M136" t="str">
        <f>TRIM(Table2[[#This Row],[Category]])</f>
        <v>furniture</v>
      </c>
      <c r="N136" t="s">
        <v>243</v>
      </c>
      <c r="O136" t="s">
        <v>439</v>
      </c>
      <c r="P136">
        <v>5</v>
      </c>
      <c r="Q136">
        <v>15698.17</v>
      </c>
      <c r="R136">
        <v>5</v>
      </c>
      <c r="S136">
        <v>3924.54</v>
      </c>
      <c r="T136">
        <v>74566.31</v>
      </c>
      <c r="U136">
        <v>16632.63</v>
      </c>
    </row>
    <row r="137" spans="1:21" ht="15" customHeight="1" x14ac:dyDescent="0.25">
      <c r="A137" t="s">
        <v>977</v>
      </c>
      <c r="B137" s="8">
        <v>45155</v>
      </c>
      <c r="C137" s="8">
        <v>45162</v>
      </c>
      <c r="D137" t="s">
        <v>48</v>
      </c>
      <c r="E137" t="s">
        <v>3080</v>
      </c>
      <c r="F137" t="s">
        <v>3050</v>
      </c>
      <c r="G137" t="s">
        <v>979</v>
      </c>
      <c r="H137">
        <v>9028342987</v>
      </c>
      <c r="I137" t="s">
        <v>24</v>
      </c>
      <c r="J137" t="s">
        <v>25</v>
      </c>
      <c r="K137" t="s">
        <v>44</v>
      </c>
      <c r="L137" t="s">
        <v>108</v>
      </c>
      <c r="M137" t="str">
        <f>TRIM(Table2[[#This Row],[Category]])</f>
        <v>Clothing</v>
      </c>
      <c r="N137" t="s">
        <v>183</v>
      </c>
      <c r="O137" t="s">
        <v>719</v>
      </c>
      <c r="P137">
        <v>18</v>
      </c>
      <c r="Q137">
        <v>22381.47</v>
      </c>
      <c r="R137">
        <v>5</v>
      </c>
      <c r="S137">
        <v>20143.32</v>
      </c>
      <c r="T137">
        <v>382723.14</v>
      </c>
      <c r="U137">
        <v>-26090.67</v>
      </c>
    </row>
    <row r="138" spans="1:21" ht="15" customHeight="1" x14ac:dyDescent="0.25">
      <c r="A138" t="s">
        <v>2083</v>
      </c>
      <c r="B138" s="8">
        <v>45165</v>
      </c>
      <c r="C138" s="8">
        <v>45170</v>
      </c>
      <c r="D138" t="s">
        <v>48</v>
      </c>
      <c r="E138" t="s">
        <v>3039</v>
      </c>
      <c r="F138" t="s">
        <v>3090</v>
      </c>
      <c r="G138" t="s">
        <v>2085</v>
      </c>
      <c r="H138">
        <v>8163070908</v>
      </c>
      <c r="I138" t="s">
        <v>43</v>
      </c>
      <c r="J138" t="s">
        <v>51</v>
      </c>
      <c r="K138" t="s">
        <v>316</v>
      </c>
      <c r="L138" t="s">
        <v>96</v>
      </c>
      <c r="M138" t="str">
        <f>TRIM(Table2[[#This Row],[Category]])</f>
        <v>Technology</v>
      </c>
      <c r="N138" t="s">
        <v>189</v>
      </c>
      <c r="O138" t="s">
        <v>325</v>
      </c>
      <c r="P138">
        <v>12</v>
      </c>
      <c r="Q138">
        <v>17214.259999999998</v>
      </c>
      <c r="R138">
        <v>0</v>
      </c>
      <c r="S138">
        <v>0</v>
      </c>
      <c r="T138">
        <v>206571.12</v>
      </c>
      <c r="U138">
        <v>-24800.68</v>
      </c>
    </row>
    <row r="139" spans="1:21" ht="15" customHeight="1" x14ac:dyDescent="0.25">
      <c r="A139" t="s">
        <v>2651</v>
      </c>
      <c r="B139" s="8">
        <v>45167</v>
      </c>
      <c r="C139" s="8">
        <v>45172</v>
      </c>
      <c r="D139" t="s">
        <v>48</v>
      </c>
      <c r="E139" t="s">
        <v>3082</v>
      </c>
      <c r="F139" t="s">
        <v>3062</v>
      </c>
      <c r="G139" t="s">
        <v>2653</v>
      </c>
      <c r="H139">
        <v>8065251915</v>
      </c>
      <c r="I139" t="s">
        <v>35</v>
      </c>
      <c r="J139" t="s">
        <v>61</v>
      </c>
      <c r="K139" t="s">
        <v>95</v>
      </c>
      <c r="L139" t="s">
        <v>108</v>
      </c>
      <c r="M139" t="str">
        <f>TRIM(Table2[[#This Row],[Category]])</f>
        <v>Clothing</v>
      </c>
      <c r="N139" t="s">
        <v>114</v>
      </c>
      <c r="O139" t="s">
        <v>115</v>
      </c>
      <c r="P139">
        <v>13</v>
      </c>
      <c r="Q139">
        <v>42629.61</v>
      </c>
      <c r="R139">
        <v>0</v>
      </c>
      <c r="S139">
        <v>0</v>
      </c>
      <c r="T139">
        <v>554184.93000000005</v>
      </c>
      <c r="U139">
        <v>148904.56</v>
      </c>
    </row>
    <row r="140" spans="1:21" ht="15" customHeight="1" x14ac:dyDescent="0.25">
      <c r="A140" t="s">
        <v>2468</v>
      </c>
      <c r="B140" s="8">
        <v>45169</v>
      </c>
      <c r="C140" s="8">
        <v>45175</v>
      </c>
      <c r="D140" t="s">
        <v>48</v>
      </c>
      <c r="E140" t="s">
        <v>3047</v>
      </c>
      <c r="F140" t="s">
        <v>3086</v>
      </c>
      <c r="G140" t="s">
        <v>2470</v>
      </c>
      <c r="H140">
        <v>8038364357</v>
      </c>
      <c r="I140" t="s">
        <v>35</v>
      </c>
      <c r="J140" t="s">
        <v>69</v>
      </c>
      <c r="K140" t="s">
        <v>119</v>
      </c>
      <c r="L140" t="s">
        <v>108</v>
      </c>
      <c r="M140" t="str">
        <f>TRIM(Table2[[#This Row],[Category]])</f>
        <v>Clothing</v>
      </c>
      <c r="N140" t="s">
        <v>189</v>
      </c>
      <c r="O140" t="s">
        <v>205</v>
      </c>
      <c r="P140">
        <v>7</v>
      </c>
      <c r="Q140">
        <v>44930.02</v>
      </c>
      <c r="R140">
        <v>15</v>
      </c>
      <c r="S140">
        <v>47176.52</v>
      </c>
      <c r="T140">
        <v>267333.62</v>
      </c>
      <c r="U140">
        <v>-10256.299999999999</v>
      </c>
    </row>
    <row r="141" spans="1:21" ht="15" customHeight="1" x14ac:dyDescent="0.25">
      <c r="A141" t="s">
        <v>2092</v>
      </c>
      <c r="B141" s="8">
        <v>45170</v>
      </c>
      <c r="C141" s="8">
        <v>45178</v>
      </c>
      <c r="D141" t="s">
        <v>48</v>
      </c>
      <c r="E141" t="str">
        <f>E142</f>
        <v>Obinna</v>
      </c>
      <c r="F141" t="str">
        <f>F140</f>
        <v>Lawal</v>
      </c>
      <c r="G141" t="s">
        <v>2093</v>
      </c>
      <c r="H141">
        <v>9028329845</v>
      </c>
      <c r="I141" t="s">
        <v>43</v>
      </c>
      <c r="J141" t="s">
        <v>61</v>
      </c>
      <c r="K141" t="s">
        <v>182</v>
      </c>
      <c r="L141" t="s">
        <v>96</v>
      </c>
      <c r="M141" t="str">
        <f>TRIM(Table2[[#This Row],[Category]])</f>
        <v>Technology</v>
      </c>
      <c r="N141" t="s">
        <v>385</v>
      </c>
      <c r="O141" t="s">
        <v>1010</v>
      </c>
      <c r="P141">
        <v>11</v>
      </c>
      <c r="Q141">
        <v>207227.08</v>
      </c>
      <c r="R141">
        <v>25</v>
      </c>
      <c r="S141">
        <v>569874.47</v>
      </c>
      <c r="T141">
        <v>1709623.41</v>
      </c>
      <c r="U141">
        <v>702531.94</v>
      </c>
    </row>
    <row r="142" spans="1:21" ht="15" customHeight="1" x14ac:dyDescent="0.25">
      <c r="A142" t="s">
        <v>1700</v>
      </c>
      <c r="B142" s="8">
        <v>45175</v>
      </c>
      <c r="C142" s="8">
        <v>45182</v>
      </c>
      <c r="D142" t="s">
        <v>48</v>
      </c>
      <c r="E142" t="s">
        <v>3097</v>
      </c>
      <c r="F142" t="s">
        <v>3079</v>
      </c>
      <c r="G142" t="s">
        <v>1702</v>
      </c>
      <c r="H142">
        <v>7061199493</v>
      </c>
      <c r="I142" t="s">
        <v>43</v>
      </c>
      <c r="J142" t="s">
        <v>61</v>
      </c>
      <c r="K142" t="s">
        <v>3127</v>
      </c>
      <c r="L142" t="s">
        <v>108</v>
      </c>
      <c r="M142" t="str">
        <f>TRIM(Table2[[#This Row],[Category]])</f>
        <v>Clothing</v>
      </c>
      <c r="N142" t="s">
        <v>189</v>
      </c>
      <c r="O142" t="s">
        <v>1703</v>
      </c>
      <c r="P142">
        <v>8</v>
      </c>
      <c r="Q142">
        <v>39215.040000000001</v>
      </c>
      <c r="R142">
        <v>5</v>
      </c>
      <c r="S142">
        <v>15686.02</v>
      </c>
      <c r="T142">
        <v>298034.3</v>
      </c>
      <c r="U142">
        <v>84642.2</v>
      </c>
    </row>
    <row r="143" spans="1:21" ht="15" customHeight="1" x14ac:dyDescent="0.25">
      <c r="A143" t="s">
        <v>488</v>
      </c>
      <c r="B143" s="8">
        <v>45195</v>
      </c>
      <c r="C143" s="8">
        <v>45203</v>
      </c>
      <c r="D143" t="s">
        <v>48</v>
      </c>
      <c r="E143" t="s">
        <v>3055</v>
      </c>
      <c r="F143" t="s">
        <v>3075</v>
      </c>
      <c r="G143" t="s">
        <v>489</v>
      </c>
      <c r="H143">
        <v>9027869154</v>
      </c>
      <c r="I143" t="s">
        <v>35</v>
      </c>
      <c r="J143" t="s">
        <v>61</v>
      </c>
      <c r="K143" t="s">
        <v>84</v>
      </c>
      <c r="L143" t="s">
        <v>27</v>
      </c>
      <c r="M143" t="str">
        <f>TRIM(Table2[[#This Row],[Category]])</f>
        <v>Food &amp; Beverages</v>
      </c>
      <c r="N143" t="s">
        <v>79</v>
      </c>
      <c r="O143" t="s">
        <v>490</v>
      </c>
      <c r="P143">
        <v>3</v>
      </c>
      <c r="Q143">
        <v>7787.32</v>
      </c>
      <c r="R143">
        <v>20</v>
      </c>
      <c r="S143">
        <v>4672.3900000000003</v>
      </c>
      <c r="T143">
        <v>18689.57</v>
      </c>
      <c r="U143">
        <v>2420.3000000000002</v>
      </c>
    </row>
    <row r="144" spans="1:21" ht="15" customHeight="1" x14ac:dyDescent="0.25">
      <c r="A144" t="s">
        <v>1804</v>
      </c>
      <c r="B144" s="8">
        <v>45198</v>
      </c>
      <c r="C144" s="8">
        <v>45203</v>
      </c>
      <c r="D144" t="s">
        <v>48</v>
      </c>
      <c r="E144" t="s">
        <v>3035</v>
      </c>
      <c r="F144" t="s">
        <v>3077</v>
      </c>
      <c r="G144" t="s">
        <v>1806</v>
      </c>
      <c r="H144">
        <v>8037512001</v>
      </c>
      <c r="I144" t="s">
        <v>24</v>
      </c>
      <c r="J144" t="s">
        <v>51</v>
      </c>
      <c r="K144" t="s">
        <v>316</v>
      </c>
      <c r="L144" t="s">
        <v>108</v>
      </c>
      <c r="M144" t="str">
        <f>TRIM(Table2[[#This Row],[Category]])</f>
        <v>Clothing</v>
      </c>
      <c r="N144" t="s">
        <v>38</v>
      </c>
      <c r="O144" t="s">
        <v>39</v>
      </c>
      <c r="P144">
        <v>5</v>
      </c>
      <c r="Q144">
        <v>36293.279999999999</v>
      </c>
      <c r="R144">
        <v>25</v>
      </c>
      <c r="S144">
        <v>45366.6</v>
      </c>
      <c r="T144">
        <v>136099.79999999999</v>
      </c>
      <c r="U144">
        <v>33786.19</v>
      </c>
    </row>
    <row r="145" spans="1:21" ht="15" customHeight="1" x14ac:dyDescent="0.25">
      <c r="A145" t="s">
        <v>410</v>
      </c>
      <c r="B145" s="8">
        <v>45197</v>
      </c>
      <c r="C145" s="8">
        <v>45205</v>
      </c>
      <c r="D145" t="s">
        <v>48</v>
      </c>
      <c r="E145" t="s">
        <v>3053</v>
      </c>
      <c r="F145" t="s">
        <v>3090</v>
      </c>
      <c r="G145" t="s">
        <v>413</v>
      </c>
      <c r="H145">
        <v>7035816353</v>
      </c>
      <c r="I145" t="s">
        <v>24</v>
      </c>
      <c r="J145" t="s">
        <v>414</v>
      </c>
      <c r="K145" t="s">
        <v>44</v>
      </c>
      <c r="L145" t="s">
        <v>96</v>
      </c>
      <c r="M145" t="str">
        <f>TRIM(Table2[[#This Row],[Category]])</f>
        <v>Technology</v>
      </c>
      <c r="N145" t="s">
        <v>120</v>
      </c>
      <c r="O145" t="s">
        <v>121</v>
      </c>
      <c r="P145">
        <v>13</v>
      </c>
      <c r="Q145">
        <v>273424.71999999997</v>
      </c>
      <c r="R145">
        <v>20</v>
      </c>
      <c r="S145">
        <v>710904.27</v>
      </c>
      <c r="T145">
        <v>2843617.09</v>
      </c>
      <c r="U145">
        <v>563598.21</v>
      </c>
    </row>
    <row r="146" spans="1:21" ht="15" customHeight="1" x14ac:dyDescent="0.25">
      <c r="A146" t="s">
        <v>2370</v>
      </c>
      <c r="B146" s="8">
        <v>45215</v>
      </c>
      <c r="C146" s="8">
        <v>45220</v>
      </c>
      <c r="D146" t="s">
        <v>48</v>
      </c>
      <c r="E146" t="s">
        <v>3050</v>
      </c>
      <c r="F146" t="s">
        <v>3083</v>
      </c>
      <c r="G146" t="s">
        <v>2372</v>
      </c>
      <c r="H146">
        <v>8142398988</v>
      </c>
      <c r="I146" t="s">
        <v>35</v>
      </c>
      <c r="J146" t="s">
        <v>69</v>
      </c>
      <c r="K146" t="s">
        <v>70</v>
      </c>
      <c r="L146" t="s">
        <v>156</v>
      </c>
      <c r="M146" t="str">
        <f>TRIM(Table2[[#This Row],[Category]])</f>
        <v>cLOTHING</v>
      </c>
      <c r="N146" t="s">
        <v>109</v>
      </c>
      <c r="O146" t="s">
        <v>110</v>
      </c>
      <c r="P146">
        <v>7</v>
      </c>
      <c r="Q146">
        <v>25321.86</v>
      </c>
      <c r="R146">
        <v>20</v>
      </c>
      <c r="S146">
        <v>35450.6</v>
      </c>
      <c r="T146">
        <v>141802.42000000001</v>
      </c>
      <c r="U146">
        <v>4250.75</v>
      </c>
    </row>
    <row r="147" spans="1:21" ht="15" customHeight="1" x14ac:dyDescent="0.25">
      <c r="A147" t="s">
        <v>819</v>
      </c>
      <c r="B147" s="8">
        <v>45214</v>
      </c>
      <c r="C147" s="8">
        <v>45221</v>
      </c>
      <c r="D147" t="s">
        <v>48</v>
      </c>
      <c r="E147" t="s">
        <v>3072</v>
      </c>
      <c r="F147" t="s">
        <v>3050</v>
      </c>
      <c r="G147" t="s">
        <v>821</v>
      </c>
      <c r="H147">
        <v>8107299138</v>
      </c>
      <c r="I147" t="s">
        <v>43</v>
      </c>
      <c r="J147" t="s">
        <v>25</v>
      </c>
      <c r="K147" t="s">
        <v>26</v>
      </c>
      <c r="L147" t="s">
        <v>85</v>
      </c>
      <c r="M147" t="str">
        <f>TRIM(Table2[[#This Row],[Category]])</f>
        <v>Furniture</v>
      </c>
      <c r="N147" t="s">
        <v>86</v>
      </c>
      <c r="O147" t="s">
        <v>238</v>
      </c>
      <c r="P147">
        <v>3</v>
      </c>
      <c r="Q147">
        <v>169995.47</v>
      </c>
      <c r="R147">
        <v>10</v>
      </c>
      <c r="S147">
        <v>50998.64</v>
      </c>
      <c r="T147">
        <v>458987.77</v>
      </c>
      <c r="U147">
        <v>94743.49</v>
      </c>
    </row>
    <row r="148" spans="1:21" ht="15" customHeight="1" x14ac:dyDescent="0.25">
      <c r="A148" t="s">
        <v>1631</v>
      </c>
      <c r="B148" s="8">
        <v>45213</v>
      </c>
      <c r="C148" s="8">
        <v>45221</v>
      </c>
      <c r="D148" t="s">
        <v>48</v>
      </c>
      <c r="E148" t="s">
        <v>3060</v>
      </c>
      <c r="F148" t="s">
        <v>3066</v>
      </c>
      <c r="G148" t="s">
        <v>1632</v>
      </c>
      <c r="H148">
        <v>8141484969</v>
      </c>
      <c r="I148" t="s">
        <v>43</v>
      </c>
      <c r="J148" t="s">
        <v>69</v>
      </c>
      <c r="K148" t="s">
        <v>307</v>
      </c>
      <c r="L148" t="s">
        <v>108</v>
      </c>
      <c r="M148" t="str">
        <f>TRIM(Table2[[#This Row],[Category]])</f>
        <v>Clothing</v>
      </c>
      <c r="N148" t="s">
        <v>109</v>
      </c>
      <c r="O148" t="s">
        <v>110</v>
      </c>
      <c r="P148">
        <v>19</v>
      </c>
      <c r="Q148">
        <v>13573.87</v>
      </c>
      <c r="R148">
        <v>0</v>
      </c>
      <c r="S148">
        <v>0</v>
      </c>
      <c r="T148">
        <v>257903.53</v>
      </c>
      <c r="U148">
        <v>-570.05999999999995</v>
      </c>
    </row>
    <row r="149" spans="1:21" ht="15" customHeight="1" x14ac:dyDescent="0.25">
      <c r="A149" t="s">
        <v>1628</v>
      </c>
      <c r="B149" s="8">
        <v>45217</v>
      </c>
      <c r="C149" s="8">
        <v>45223</v>
      </c>
      <c r="D149" t="s">
        <v>48</v>
      </c>
      <c r="E149" t="s">
        <v>3051</v>
      </c>
      <c r="F149" t="s">
        <v>3074</v>
      </c>
      <c r="G149" t="s">
        <v>1630</v>
      </c>
      <c r="H149">
        <v>7063029477</v>
      </c>
      <c r="I149" t="s">
        <v>43</v>
      </c>
      <c r="J149" t="s">
        <v>25</v>
      </c>
      <c r="K149" t="s">
        <v>44</v>
      </c>
      <c r="L149" t="s">
        <v>96</v>
      </c>
      <c r="M149" t="str">
        <f>TRIM(Table2[[#This Row],[Category]])</f>
        <v>Technology</v>
      </c>
      <c r="N149" t="s">
        <v>385</v>
      </c>
      <c r="O149" t="s">
        <v>781</v>
      </c>
      <c r="P149">
        <v>19</v>
      </c>
      <c r="Q149">
        <v>342178.18</v>
      </c>
      <c r="R149">
        <v>5</v>
      </c>
      <c r="S149">
        <v>325069.27</v>
      </c>
      <c r="T149">
        <f>T148</f>
        <v>257903.53</v>
      </c>
      <c r="U149">
        <v>900430.71</v>
      </c>
    </row>
    <row r="150" spans="1:21" ht="15" customHeight="1" x14ac:dyDescent="0.25">
      <c r="A150" t="s">
        <v>2503</v>
      </c>
      <c r="B150" s="8">
        <v>45218</v>
      </c>
      <c r="C150" s="8">
        <v>45226</v>
      </c>
      <c r="D150" t="s">
        <v>48</v>
      </c>
      <c r="E150" t="s">
        <v>3037</v>
      </c>
      <c r="F150" t="s">
        <v>3040</v>
      </c>
      <c r="G150" t="s">
        <v>2504</v>
      </c>
      <c r="H150">
        <v>8166374017</v>
      </c>
      <c r="I150" t="s">
        <v>35</v>
      </c>
      <c r="J150" t="s">
        <v>69</v>
      </c>
      <c r="K150" t="s">
        <v>155</v>
      </c>
      <c r="L150" t="s">
        <v>85</v>
      </c>
      <c r="M150" t="str">
        <f>TRIM(Table2[[#This Row],[Category]])</f>
        <v>Furniture</v>
      </c>
      <c r="N150" t="s">
        <v>486</v>
      </c>
      <c r="O150" t="s">
        <v>1193</v>
      </c>
      <c r="P150">
        <v>14</v>
      </c>
      <c r="Q150">
        <v>58388.97</v>
      </c>
      <c r="R150">
        <v>15</v>
      </c>
      <c r="S150">
        <v>122616.84</v>
      </c>
      <c r="T150">
        <v>694828.74</v>
      </c>
      <c r="U150">
        <v>77183.87</v>
      </c>
    </row>
    <row r="151" spans="1:21" ht="15" customHeight="1" x14ac:dyDescent="0.25">
      <c r="A151" t="s">
        <v>2466</v>
      </c>
      <c r="B151" s="8">
        <v>45225</v>
      </c>
      <c r="C151" s="8">
        <v>45231</v>
      </c>
      <c r="D151" t="s">
        <v>48</v>
      </c>
      <c r="E151" t="s">
        <v>3053</v>
      </c>
      <c r="F151" t="s">
        <v>3042</v>
      </c>
      <c r="G151" t="s">
        <v>2467</v>
      </c>
      <c r="H151">
        <v>8133600666</v>
      </c>
      <c r="I151" t="s">
        <v>24</v>
      </c>
      <c r="J151" t="s">
        <v>51</v>
      </c>
      <c r="K151" t="s">
        <v>227</v>
      </c>
      <c r="L151" t="s">
        <v>63</v>
      </c>
      <c r="M151" t="str">
        <f>TRIM(Table2[[#This Row],[Category]])</f>
        <v>Office Supplies</v>
      </c>
      <c r="N151" t="s">
        <v>249</v>
      </c>
      <c r="O151" t="s">
        <v>329</v>
      </c>
      <c r="P151">
        <v>8</v>
      </c>
      <c r="Q151">
        <v>5999.48</v>
      </c>
      <c r="R151">
        <v>5</v>
      </c>
      <c r="S151">
        <v>2399.79</v>
      </c>
      <c r="T151">
        <v>45596.05</v>
      </c>
      <c r="U151">
        <v>17102.240000000002</v>
      </c>
    </row>
    <row r="152" spans="1:21" ht="15" customHeight="1" x14ac:dyDescent="0.25">
      <c r="A152" t="s">
        <v>81</v>
      </c>
      <c r="B152" s="8">
        <v>45225</v>
      </c>
      <c r="C152" s="8">
        <v>45233</v>
      </c>
      <c r="D152" t="s">
        <v>48</v>
      </c>
      <c r="E152" t="s">
        <v>3047</v>
      </c>
      <c r="F152" t="s">
        <v>3038</v>
      </c>
      <c r="G152" t="s">
        <v>83</v>
      </c>
      <c r="H152">
        <v>8036159230</v>
      </c>
      <c r="I152" t="s">
        <v>24</v>
      </c>
      <c r="J152" t="s">
        <v>61</v>
      </c>
      <c r="K152" t="s">
        <v>84</v>
      </c>
      <c r="L152" t="s">
        <v>85</v>
      </c>
      <c r="M152" t="str">
        <f>TRIM(Table2[[#This Row],[Category]])</f>
        <v>Furniture</v>
      </c>
      <c r="N152" t="s">
        <v>86</v>
      </c>
      <c r="O152" t="s">
        <v>87</v>
      </c>
      <c r="P152">
        <v>3</v>
      </c>
      <c r="Q152">
        <v>159017.65</v>
      </c>
      <c r="R152">
        <v>0</v>
      </c>
      <c r="S152">
        <v>0</v>
      </c>
      <c r="T152">
        <v>477052.95</v>
      </c>
      <c r="U152">
        <v>137937.26</v>
      </c>
    </row>
    <row r="153" spans="1:21" ht="15" customHeight="1" x14ac:dyDescent="0.25">
      <c r="A153" t="s">
        <v>141</v>
      </c>
      <c r="B153" s="8">
        <v>45245</v>
      </c>
      <c r="C153" s="8">
        <v>45251</v>
      </c>
      <c r="D153" t="s">
        <v>48</v>
      </c>
      <c r="E153" t="s">
        <v>3061</v>
      </c>
      <c r="F153" t="s">
        <v>3062</v>
      </c>
      <c r="G153" t="s">
        <v>143</v>
      </c>
      <c r="H153">
        <v>8158175395</v>
      </c>
      <c r="I153" t="s">
        <v>35</v>
      </c>
      <c r="J153" t="s">
        <v>69</v>
      </c>
      <c r="K153" t="s">
        <v>144</v>
      </c>
      <c r="L153" t="s">
        <v>27</v>
      </c>
      <c r="M153" t="str">
        <f>TRIM(Table2[[#This Row],[Category]])</f>
        <v>Food &amp; Beverages</v>
      </c>
      <c r="N153" t="s">
        <v>79</v>
      </c>
      <c r="O153" t="s">
        <v>145</v>
      </c>
      <c r="P153">
        <v>5</v>
      </c>
      <c r="Q153">
        <v>879.38</v>
      </c>
      <c r="R153">
        <v>25</v>
      </c>
      <c r="S153">
        <v>1099.22</v>
      </c>
      <c r="T153">
        <v>3297.68</v>
      </c>
      <c r="U153">
        <v>-423.37</v>
      </c>
    </row>
    <row r="154" spans="1:21" ht="15" customHeight="1" x14ac:dyDescent="0.25">
      <c r="A154" t="s">
        <v>2903</v>
      </c>
      <c r="B154" s="8">
        <v>45247</v>
      </c>
      <c r="C154" s="8">
        <v>45255</v>
      </c>
      <c r="D154" t="s">
        <v>48</v>
      </c>
      <c r="E154" t="s">
        <v>3056</v>
      </c>
      <c r="F154" t="s">
        <v>3077</v>
      </c>
      <c r="G154" t="s">
        <v>2904</v>
      </c>
      <c r="H154">
        <v>8039789075</v>
      </c>
      <c r="I154" t="s">
        <v>24</v>
      </c>
      <c r="J154" t="s">
        <v>25</v>
      </c>
      <c r="K154" t="s">
        <v>26</v>
      </c>
      <c r="L154" t="s">
        <v>96</v>
      </c>
      <c r="M154" t="str">
        <f>TRIM(Table2[[#This Row],[Category]])</f>
        <v>Technology</v>
      </c>
      <c r="N154" t="s">
        <v>385</v>
      </c>
      <c r="O154" t="s">
        <v>942</v>
      </c>
      <c r="P154">
        <v>16</v>
      </c>
      <c r="Q154">
        <v>160225.60000000001</v>
      </c>
      <c r="R154">
        <v>10</v>
      </c>
      <c r="S154">
        <v>256360.95999999999</v>
      </c>
      <c r="T154">
        <v>2307248.64</v>
      </c>
      <c r="U154">
        <v>663464.79</v>
      </c>
    </row>
    <row r="155" spans="1:21" ht="15" customHeight="1" x14ac:dyDescent="0.25">
      <c r="A155" t="s">
        <v>430</v>
      </c>
      <c r="B155" s="8">
        <v>45251</v>
      </c>
      <c r="C155" s="8">
        <v>45257</v>
      </c>
      <c r="D155" t="s">
        <v>48</v>
      </c>
      <c r="E155" t="s">
        <v>3080</v>
      </c>
      <c r="F155" t="s">
        <v>3045</v>
      </c>
      <c r="G155" t="s">
        <v>432</v>
      </c>
      <c r="H155">
        <v>8104034091</v>
      </c>
      <c r="I155" t="s">
        <v>24</v>
      </c>
      <c r="J155" t="s">
        <v>25</v>
      </c>
      <c r="K155" t="s">
        <v>36</v>
      </c>
      <c r="L155" t="s">
        <v>27</v>
      </c>
      <c r="M155" t="str">
        <f>TRIM(Table2[[#This Row],[Category]])</f>
        <v>Food &amp; Beverages</v>
      </c>
      <c r="N155" t="s">
        <v>354</v>
      </c>
      <c r="O155" t="s">
        <v>433</v>
      </c>
      <c r="P155">
        <v>-2</v>
      </c>
      <c r="Q155">
        <v>636.42999999999995</v>
      </c>
      <c r="R155">
        <v>5</v>
      </c>
      <c r="S155">
        <v>381.86</v>
      </c>
      <c r="T155">
        <v>7255.3</v>
      </c>
      <c r="U155">
        <v>3132.5</v>
      </c>
    </row>
    <row r="156" spans="1:21" ht="15" customHeight="1" x14ac:dyDescent="0.25">
      <c r="A156" t="s">
        <v>805</v>
      </c>
      <c r="B156" s="8">
        <v>45251</v>
      </c>
      <c r="C156" s="8">
        <v>45258</v>
      </c>
      <c r="D156" t="s">
        <v>48</v>
      </c>
      <c r="E156" t="s">
        <v>3041</v>
      </c>
      <c r="F156" t="s">
        <v>3054</v>
      </c>
      <c r="G156" t="s">
        <v>807</v>
      </c>
      <c r="H156">
        <v>9018329435</v>
      </c>
      <c r="I156" t="s">
        <v>24</v>
      </c>
      <c r="J156" t="s">
        <v>51</v>
      </c>
      <c r="K156" t="s">
        <v>316</v>
      </c>
      <c r="L156" t="str">
        <f>L155</f>
        <v>Food &amp; Beverages</v>
      </c>
      <c r="M156" t="str">
        <f>TRIM(Table2[[#This Row],[Category]])</f>
        <v>Food &amp; Beverages</v>
      </c>
      <c r="N156" t="s">
        <v>38</v>
      </c>
      <c r="O156" t="s">
        <v>303</v>
      </c>
      <c r="P156">
        <v>18</v>
      </c>
      <c r="Q156">
        <v>32408.87</v>
      </c>
      <c r="R156">
        <v>10</v>
      </c>
      <c r="S156">
        <v>58335.97</v>
      </c>
      <c r="T156" t="s">
        <v>808</v>
      </c>
      <c r="U156">
        <v>-8430.66</v>
      </c>
    </row>
    <row r="157" spans="1:21" ht="15" customHeight="1" x14ac:dyDescent="0.25">
      <c r="A157" t="s">
        <v>1685</v>
      </c>
      <c r="B157" s="8">
        <v>45255</v>
      </c>
      <c r="C157" s="8">
        <v>45261</v>
      </c>
      <c r="D157" t="s">
        <v>48</v>
      </c>
      <c r="E157" t="s">
        <v>3093</v>
      </c>
      <c r="F157" t="s">
        <v>3071</v>
      </c>
      <c r="G157" t="s">
        <v>1687</v>
      </c>
      <c r="H157">
        <v>7037247000</v>
      </c>
      <c r="I157" t="s">
        <v>24</v>
      </c>
      <c r="J157" t="s">
        <v>61</v>
      </c>
      <c r="K157" t="s">
        <v>204</v>
      </c>
      <c r="L157" t="s">
        <v>85</v>
      </c>
      <c r="M157" t="str">
        <f>TRIM(Table2[[#This Row],[Category]])</f>
        <v>Furniture</v>
      </c>
      <c r="N157" t="s">
        <v>266</v>
      </c>
      <c r="O157" t="s">
        <v>1255</v>
      </c>
      <c r="P157">
        <v>3</v>
      </c>
      <c r="Q157">
        <v>159646.17000000001</v>
      </c>
      <c r="R157">
        <v>0</v>
      </c>
      <c r="S157">
        <v>0</v>
      </c>
      <c r="T157">
        <v>478938.51</v>
      </c>
      <c r="U157">
        <v>-30336.28</v>
      </c>
    </row>
    <row r="158" spans="1:21" ht="15" customHeight="1" x14ac:dyDescent="0.25">
      <c r="A158" t="s">
        <v>2435</v>
      </c>
      <c r="B158" s="8">
        <v>45263</v>
      </c>
      <c r="C158" s="8">
        <v>45262</v>
      </c>
      <c r="D158" t="s">
        <v>48</v>
      </c>
      <c r="E158" t="s">
        <v>3044</v>
      </c>
      <c r="F158" t="s">
        <v>3079</v>
      </c>
      <c r="G158" t="s">
        <v>2437</v>
      </c>
      <c r="H158">
        <v>7061426375</v>
      </c>
      <c r="I158" t="s">
        <v>43</v>
      </c>
      <c r="J158" t="s">
        <v>69</v>
      </c>
      <c r="K158" t="s">
        <v>155</v>
      </c>
      <c r="L158" t="s">
        <v>27</v>
      </c>
      <c r="M158" t="str">
        <f>TRIM(Table2[[#This Row],[Category]])</f>
        <v>Food &amp; Beverages</v>
      </c>
      <c r="N158" t="s">
        <v>354</v>
      </c>
      <c r="O158" t="s">
        <v>355</v>
      </c>
      <c r="P158">
        <v>15</v>
      </c>
      <c r="Q158">
        <v>2048.86</v>
      </c>
      <c r="R158">
        <v>0</v>
      </c>
      <c r="S158">
        <v>0</v>
      </c>
      <c r="T158">
        <v>30732.9</v>
      </c>
      <c r="U158">
        <v>-2392.04</v>
      </c>
    </row>
    <row r="159" spans="1:21" ht="15" customHeight="1" x14ac:dyDescent="0.25">
      <c r="A159" t="s">
        <v>2046</v>
      </c>
      <c r="B159" s="8">
        <v>45259</v>
      </c>
      <c r="C159" s="8">
        <v>45265</v>
      </c>
      <c r="D159" t="s">
        <v>48</v>
      </c>
      <c r="E159" t="s">
        <v>3035</v>
      </c>
      <c r="F159" t="s">
        <v>3096</v>
      </c>
      <c r="G159" t="s">
        <v>2048</v>
      </c>
      <c r="H159">
        <v>9026231562</v>
      </c>
      <c r="I159" t="s">
        <v>43</v>
      </c>
      <c r="J159" t="s">
        <v>69</v>
      </c>
      <c r="K159" t="s">
        <v>119</v>
      </c>
      <c r="L159" t="s">
        <v>108</v>
      </c>
      <c r="M159" t="str">
        <f>TRIM(Table2[[#This Row],[Category]])</f>
        <v>Clothing</v>
      </c>
      <c r="N159" t="s">
        <v>109</v>
      </c>
      <c r="O159" t="s">
        <v>426</v>
      </c>
      <c r="P159">
        <v>5</v>
      </c>
      <c r="Q159">
        <v>6543.4</v>
      </c>
      <c r="R159">
        <v>5</v>
      </c>
      <c r="S159">
        <v>1635.85</v>
      </c>
      <c r="T159">
        <v>31081.15</v>
      </c>
      <c r="U159">
        <v>12433.03</v>
      </c>
    </row>
    <row r="160" spans="1:21" ht="15" customHeight="1" x14ac:dyDescent="0.25">
      <c r="A160" t="s">
        <v>2828</v>
      </c>
      <c r="B160" s="8">
        <v>45261</v>
      </c>
      <c r="C160" s="8">
        <v>45267</v>
      </c>
      <c r="D160" t="s">
        <v>48</v>
      </c>
      <c r="E160" t="s">
        <v>3053</v>
      </c>
      <c r="F160" t="s">
        <v>3054</v>
      </c>
      <c r="G160" t="s">
        <v>2829</v>
      </c>
      <c r="H160">
        <v>9013067693</v>
      </c>
      <c r="I160" t="s">
        <v>43</v>
      </c>
      <c r="J160" t="s">
        <v>25</v>
      </c>
      <c r="K160" t="s">
        <v>26</v>
      </c>
      <c r="L160" t="s">
        <v>63</v>
      </c>
      <c r="M160" t="str">
        <f>TRIM(Table2[[#This Row],[Category]])</f>
        <v>Office Supplies</v>
      </c>
      <c r="N160" t="s">
        <v>558</v>
      </c>
      <c r="O160" t="s">
        <v>559</v>
      </c>
      <c r="P160">
        <v>17</v>
      </c>
      <c r="Q160">
        <v>9778.75</v>
      </c>
      <c r="R160">
        <v>10</v>
      </c>
      <c r="S160">
        <v>16623.88</v>
      </c>
      <c r="T160">
        <v>149614.87</v>
      </c>
      <c r="U160">
        <v>17362.37</v>
      </c>
    </row>
    <row r="161" spans="1:21" ht="15" customHeight="1" x14ac:dyDescent="0.25">
      <c r="A161" t="s">
        <v>2362</v>
      </c>
      <c r="B161" s="8">
        <v>45263</v>
      </c>
      <c r="C161" s="8">
        <v>45269</v>
      </c>
      <c r="D161" t="s">
        <v>48</v>
      </c>
      <c r="E161" t="s">
        <v>3093</v>
      </c>
      <c r="F161" t="s">
        <v>3052</v>
      </c>
      <c r="G161" t="s">
        <v>2364</v>
      </c>
      <c r="H161">
        <v>8105669360</v>
      </c>
      <c r="I161" t="s">
        <v>24</v>
      </c>
      <c r="J161" t="s">
        <v>69</v>
      </c>
      <c r="K161" t="s">
        <v>307</v>
      </c>
      <c r="L161" t="s">
        <v>27</v>
      </c>
      <c r="M161" t="str">
        <f>TRIM(Table2[[#This Row],[Category]])</f>
        <v>Food &amp; Beverages</v>
      </c>
      <c r="N161" t="s">
        <v>79</v>
      </c>
      <c r="O161" t="s">
        <v>490</v>
      </c>
      <c r="P161">
        <v>15</v>
      </c>
      <c r="Q161">
        <v>3045.06</v>
      </c>
      <c r="R161">
        <v>0</v>
      </c>
      <c r="S161">
        <v>0</v>
      </c>
      <c r="T161">
        <v>45675.9</v>
      </c>
      <c r="U161">
        <v>16168.64</v>
      </c>
    </row>
    <row r="162" spans="1:21" ht="15" customHeight="1" x14ac:dyDescent="0.25">
      <c r="A162" t="s">
        <v>2389</v>
      </c>
      <c r="B162" s="8">
        <v>45263</v>
      </c>
      <c r="C162" s="8">
        <v>45270</v>
      </c>
      <c r="D162" t="s">
        <v>48</v>
      </c>
      <c r="E162" t="s">
        <v>3037</v>
      </c>
      <c r="F162" t="s">
        <v>3039</v>
      </c>
      <c r="G162" t="s">
        <v>2391</v>
      </c>
      <c r="H162">
        <v>8162862787</v>
      </c>
      <c r="I162" t="s">
        <v>35</v>
      </c>
      <c r="J162" t="s">
        <v>69</v>
      </c>
      <c r="K162" t="s">
        <v>307</v>
      </c>
      <c r="L162" t="s">
        <v>108</v>
      </c>
      <c r="M162" t="str">
        <f>TRIM(Table2[[#This Row],[Category]])</f>
        <v>Clothing</v>
      </c>
      <c r="N162" t="s">
        <v>109</v>
      </c>
      <c r="O162" t="s">
        <v>110</v>
      </c>
      <c r="P162">
        <v>14</v>
      </c>
      <c r="Q162">
        <v>15955.46</v>
      </c>
      <c r="R162">
        <v>0</v>
      </c>
      <c r="S162">
        <v>0</v>
      </c>
      <c r="T162">
        <v>223376.44</v>
      </c>
      <c r="U162">
        <v>83625.52</v>
      </c>
    </row>
    <row r="163" spans="1:21" ht="15" customHeight="1" x14ac:dyDescent="0.25">
      <c r="A163" t="s">
        <v>224</v>
      </c>
      <c r="B163" s="8">
        <v>45273</v>
      </c>
      <c r="C163" s="8">
        <v>45281</v>
      </c>
      <c r="D163" t="s">
        <v>48</v>
      </c>
      <c r="E163" t="s">
        <v>3073</v>
      </c>
      <c r="F163" t="s">
        <v>3050</v>
      </c>
      <c r="G163" t="s">
        <v>226</v>
      </c>
      <c r="H163">
        <v>8038047416</v>
      </c>
      <c r="I163" t="s">
        <v>35</v>
      </c>
      <c r="J163" t="s">
        <v>51</v>
      </c>
      <c r="K163" t="s">
        <v>227</v>
      </c>
      <c r="L163" t="s">
        <v>108</v>
      </c>
      <c r="M163" t="str">
        <f>TRIM(Table2[[#This Row],[Category]])</f>
        <v>Clothing</v>
      </c>
      <c r="N163" t="s">
        <v>114</v>
      </c>
      <c r="O163" t="s">
        <v>115</v>
      </c>
      <c r="P163">
        <v>15</v>
      </c>
      <c r="Q163">
        <v>43313.87</v>
      </c>
      <c r="R163">
        <v>0</v>
      </c>
      <c r="S163">
        <v>0</v>
      </c>
      <c r="T163">
        <v>649708.05000000005</v>
      </c>
      <c r="U163">
        <v>72307.490000000005</v>
      </c>
    </row>
    <row r="164" spans="1:21" ht="15" customHeight="1" x14ac:dyDescent="0.25">
      <c r="A164" t="s">
        <v>2455</v>
      </c>
      <c r="B164" s="8">
        <v>45273</v>
      </c>
      <c r="C164" s="8">
        <v>45281</v>
      </c>
      <c r="D164" t="s">
        <v>48</v>
      </c>
      <c r="E164" t="s">
        <v>3039</v>
      </c>
      <c r="F164" t="s">
        <v>3057</v>
      </c>
      <c r="G164" t="s">
        <v>577</v>
      </c>
      <c r="H164">
        <v>7068244357</v>
      </c>
      <c r="I164" t="s">
        <v>24</v>
      </c>
      <c r="J164" t="s">
        <v>69</v>
      </c>
      <c r="K164" t="s">
        <v>70</v>
      </c>
      <c r="L164" t="s">
        <v>96</v>
      </c>
      <c r="M164" t="str">
        <f>TRIM(Table2[[#This Row],[Category]])</f>
        <v>Technology</v>
      </c>
      <c r="N164" t="s">
        <v>385</v>
      </c>
      <c r="O164" t="s">
        <v>1010</v>
      </c>
      <c r="P164">
        <v>11</v>
      </c>
      <c r="Q164">
        <v>93620.89</v>
      </c>
      <c r="R164">
        <v>0</v>
      </c>
      <c r="S164">
        <v>0</v>
      </c>
      <c r="T164">
        <v>1029829.79</v>
      </c>
      <c r="U164">
        <v>26122.77</v>
      </c>
    </row>
    <row r="165" spans="1:21" ht="15" customHeight="1" x14ac:dyDescent="0.25">
      <c r="A165" t="s">
        <v>797</v>
      </c>
      <c r="B165" s="8">
        <v>45282</v>
      </c>
      <c r="C165" s="8">
        <v>45288</v>
      </c>
      <c r="D165" t="s">
        <v>48</v>
      </c>
      <c r="E165" t="s">
        <v>3094</v>
      </c>
      <c r="F165" t="s">
        <v>3052</v>
      </c>
      <c r="G165" t="s">
        <v>799</v>
      </c>
      <c r="H165">
        <v>8156185050</v>
      </c>
      <c r="I165" t="s">
        <v>24</v>
      </c>
      <c r="J165" t="s">
        <v>51</v>
      </c>
      <c r="K165" t="s">
        <v>223</v>
      </c>
      <c r="L165" t="s">
        <v>85</v>
      </c>
      <c r="M165" t="str">
        <f>TRIM(Table2[[#This Row],[Category]])</f>
        <v>Furniture</v>
      </c>
      <c r="N165" t="s">
        <v>486</v>
      </c>
      <c r="O165" t="s">
        <v>487</v>
      </c>
      <c r="P165">
        <v>8</v>
      </c>
      <c r="Q165">
        <v>23524.27</v>
      </c>
      <c r="R165">
        <v>5</v>
      </c>
      <c r="S165">
        <v>9409.7099999999991</v>
      </c>
      <c r="T165">
        <v>178784.45</v>
      </c>
      <c r="U165">
        <v>-24679.98</v>
      </c>
    </row>
    <row r="166" spans="1:21" ht="15" customHeight="1" x14ac:dyDescent="0.25">
      <c r="A166" t="s">
        <v>2777</v>
      </c>
      <c r="B166" s="8">
        <v>45307</v>
      </c>
      <c r="C166" s="8">
        <v>45313</v>
      </c>
      <c r="D166" t="s">
        <v>48</v>
      </c>
      <c r="E166" t="s">
        <v>3058</v>
      </c>
      <c r="F166" t="s">
        <v>3052</v>
      </c>
      <c r="G166" t="s">
        <v>2778</v>
      </c>
      <c r="H166">
        <v>8061820610</v>
      </c>
      <c r="I166" t="s">
        <v>43</v>
      </c>
      <c r="J166" t="s">
        <v>51</v>
      </c>
      <c r="K166" t="s">
        <v>131</v>
      </c>
      <c r="L166" t="s">
        <v>96</v>
      </c>
      <c r="M166" t="str">
        <f>TRIM(Table2[[#This Row],[Category]])</f>
        <v>Technology</v>
      </c>
      <c r="N166" t="s">
        <v>97</v>
      </c>
      <c r="O166" t="s">
        <v>230</v>
      </c>
      <c r="P166">
        <v>16</v>
      </c>
      <c r="Q166">
        <v>96154.68</v>
      </c>
      <c r="R166">
        <v>20</v>
      </c>
      <c r="S166">
        <v>307694.98</v>
      </c>
      <c r="T166">
        <v>1230779.8999999999</v>
      </c>
      <c r="U166">
        <v>301538.21000000002</v>
      </c>
    </row>
    <row r="167" spans="1:21" ht="15" customHeight="1" x14ac:dyDescent="0.25">
      <c r="A167" t="s">
        <v>2881</v>
      </c>
      <c r="B167" s="8">
        <v>45311</v>
      </c>
      <c r="C167" s="8">
        <v>45318</v>
      </c>
      <c r="D167" t="s">
        <v>210</v>
      </c>
      <c r="E167" t="s">
        <v>3048</v>
      </c>
      <c r="F167" t="s">
        <v>3079</v>
      </c>
      <c r="G167" t="s">
        <v>2882</v>
      </c>
      <c r="H167">
        <v>9011702514</v>
      </c>
      <c r="I167" t="s">
        <v>43</v>
      </c>
      <c r="J167" t="s">
        <v>61</v>
      </c>
      <c r="K167" t="s">
        <v>182</v>
      </c>
      <c r="L167" t="s">
        <v>27</v>
      </c>
      <c r="M167" t="str">
        <f>TRIM(Table2[[#This Row],[Category]])</f>
        <v>Food &amp; Beverages</v>
      </c>
      <c r="N167" t="s">
        <v>79</v>
      </c>
      <c r="O167" t="s">
        <v>127</v>
      </c>
      <c r="P167">
        <v>7</v>
      </c>
      <c r="Q167">
        <v>708.38</v>
      </c>
      <c r="R167">
        <v>5</v>
      </c>
      <c r="S167">
        <v>247.93</v>
      </c>
      <c r="T167">
        <v>4710.7299999999996</v>
      </c>
      <c r="U167">
        <v>452.75</v>
      </c>
    </row>
    <row r="168" spans="1:21" ht="15" customHeight="1" x14ac:dyDescent="0.25">
      <c r="A168" t="s">
        <v>2895</v>
      </c>
      <c r="B168" s="8">
        <v>45316</v>
      </c>
      <c r="C168" s="8">
        <v>45322</v>
      </c>
      <c r="D168" t="s">
        <v>48</v>
      </c>
      <c r="E168" t="s">
        <v>3060</v>
      </c>
      <c r="F168" t="s">
        <v>3078</v>
      </c>
      <c r="G168" t="s">
        <v>2896</v>
      </c>
      <c r="H168">
        <v>8035621002</v>
      </c>
      <c r="I168" t="s">
        <v>24</v>
      </c>
      <c r="J168" t="s">
        <v>25</v>
      </c>
      <c r="K168" t="s">
        <v>126</v>
      </c>
      <c r="L168" t="s">
        <v>63</v>
      </c>
      <c r="M168" t="str">
        <f>TRIM(Table2[[#This Row],[Category]])</f>
        <v>Office Supplies</v>
      </c>
      <c r="N168" t="s">
        <v>469</v>
      </c>
      <c r="O168" t="s">
        <v>1595</v>
      </c>
      <c r="P168">
        <v>2</v>
      </c>
      <c r="Q168">
        <v>11909.23</v>
      </c>
      <c r="R168">
        <v>10</v>
      </c>
      <c r="S168">
        <v>2381.85</v>
      </c>
      <c r="T168">
        <v>21436.61</v>
      </c>
      <c r="U168">
        <v>-2732.64</v>
      </c>
    </row>
    <row r="169" spans="1:21" ht="15" customHeight="1" x14ac:dyDescent="0.25">
      <c r="A169" t="s">
        <v>2034</v>
      </c>
      <c r="B169" s="8">
        <v>45327</v>
      </c>
      <c r="C169" s="8">
        <v>45332</v>
      </c>
      <c r="D169" t="s">
        <v>48</v>
      </c>
      <c r="E169" t="s">
        <v>3047</v>
      </c>
      <c r="F169" t="s">
        <v>3043</v>
      </c>
      <c r="G169" t="s">
        <v>2036</v>
      </c>
      <c r="H169">
        <v>8031174416</v>
      </c>
      <c r="I169" t="s">
        <v>24</v>
      </c>
      <c r="J169" t="s">
        <v>69</v>
      </c>
      <c r="K169" t="s">
        <v>70</v>
      </c>
      <c r="L169" t="s">
        <v>85</v>
      </c>
      <c r="M169" t="str">
        <f>TRIM(Table2[[#This Row],[Category]])</f>
        <v>Furniture</v>
      </c>
      <c r="N169" t="s">
        <v>86</v>
      </c>
      <c r="O169" t="s">
        <v>178</v>
      </c>
      <c r="P169">
        <v>14</v>
      </c>
      <c r="Q169">
        <v>156158.87</v>
      </c>
      <c r="R169">
        <v>5</v>
      </c>
      <c r="S169">
        <v>109311.21</v>
      </c>
      <c r="T169">
        <v>2076912.97</v>
      </c>
      <c r="U169">
        <v>-99453.24</v>
      </c>
    </row>
    <row r="170" spans="1:21" ht="15" customHeight="1" x14ac:dyDescent="0.25">
      <c r="A170" t="s">
        <v>1786</v>
      </c>
      <c r="B170" s="8">
        <v>45331</v>
      </c>
      <c r="C170" s="8">
        <v>45338</v>
      </c>
      <c r="D170" t="s">
        <v>48</v>
      </c>
      <c r="E170" t="s">
        <v>3089</v>
      </c>
      <c r="F170" t="s">
        <v>3083</v>
      </c>
      <c r="G170" t="s">
        <v>1788</v>
      </c>
      <c r="H170">
        <v>9058205036</v>
      </c>
      <c r="I170" t="s">
        <v>125</v>
      </c>
      <c r="J170" t="s">
        <v>25</v>
      </c>
      <c r="K170" t="s">
        <v>26</v>
      </c>
      <c r="L170" t="s">
        <v>63</v>
      </c>
      <c r="M170" t="str">
        <f>TRIM(Table2[[#This Row],[Category]])</f>
        <v>Office Supplies</v>
      </c>
      <c r="N170" t="s">
        <v>558</v>
      </c>
      <c r="O170" t="s">
        <v>1380</v>
      </c>
      <c r="P170">
        <v>8</v>
      </c>
      <c r="Q170">
        <v>24986.41</v>
      </c>
      <c r="R170">
        <v>10</v>
      </c>
      <c r="S170">
        <v>19989.13</v>
      </c>
      <c r="T170">
        <v>179902.15</v>
      </c>
      <c r="U170">
        <v>44804.09</v>
      </c>
    </row>
    <row r="171" spans="1:21" ht="15" customHeight="1" x14ac:dyDescent="0.25">
      <c r="A171" t="s">
        <v>1783</v>
      </c>
      <c r="B171" s="8">
        <v>45335</v>
      </c>
      <c r="C171" s="8">
        <v>45340</v>
      </c>
      <c r="D171" t="s">
        <v>48</v>
      </c>
      <c r="E171" t="s">
        <v>3091</v>
      </c>
      <c r="F171" t="s">
        <v>3050</v>
      </c>
      <c r="G171" t="s">
        <v>1785</v>
      </c>
      <c r="H171">
        <v>8034938956</v>
      </c>
      <c r="I171" t="s">
        <v>43</v>
      </c>
      <c r="J171" t="s">
        <v>61</v>
      </c>
      <c r="K171" t="s">
        <v>95</v>
      </c>
      <c r="L171" t="s">
        <v>37</v>
      </c>
      <c r="M171" t="str">
        <f>TRIM(Table2[[#This Row],[Category]])</f>
        <v>clothing</v>
      </c>
      <c r="N171" t="s">
        <v>183</v>
      </c>
      <c r="O171" t="s">
        <v>719</v>
      </c>
      <c r="P171">
        <v>9</v>
      </c>
      <c r="Q171">
        <v>2408.7800000000002</v>
      </c>
      <c r="R171">
        <v>0</v>
      </c>
      <c r="S171">
        <v>0</v>
      </c>
      <c r="T171">
        <v>21679.02</v>
      </c>
      <c r="U171">
        <v>5402.27</v>
      </c>
    </row>
    <row r="172" spans="1:21" ht="15" customHeight="1" x14ac:dyDescent="0.25">
      <c r="A172" t="s">
        <v>2732</v>
      </c>
      <c r="B172" s="8">
        <v>45334</v>
      </c>
      <c r="C172" s="8">
        <v>45340</v>
      </c>
      <c r="D172" t="s">
        <v>48</v>
      </c>
      <c r="E172" t="s">
        <v>3049</v>
      </c>
      <c r="F172" t="s">
        <v>3064</v>
      </c>
      <c r="G172" t="s">
        <v>2734</v>
      </c>
      <c r="H172">
        <v>8159220106</v>
      </c>
      <c r="I172" t="s">
        <v>35</v>
      </c>
      <c r="J172" t="s">
        <v>61</v>
      </c>
      <c r="K172" t="s">
        <v>84</v>
      </c>
      <c r="L172" t="s">
        <v>108</v>
      </c>
      <c r="M172" t="str">
        <f>TRIM(Table2[[#This Row],[Category]])</f>
        <v>Clothing</v>
      </c>
      <c r="N172" t="s">
        <v>189</v>
      </c>
      <c r="O172" t="s">
        <v>205</v>
      </c>
      <c r="P172">
        <v>17</v>
      </c>
      <c r="Q172">
        <v>33228.1</v>
      </c>
      <c r="R172">
        <v>20</v>
      </c>
      <c r="S172">
        <v>112975.54</v>
      </c>
      <c r="T172">
        <v>451902.16</v>
      </c>
      <c r="U172">
        <v>193081.05</v>
      </c>
    </row>
    <row r="173" spans="1:21" ht="15" customHeight="1" x14ac:dyDescent="0.25">
      <c r="A173" t="s">
        <v>47</v>
      </c>
      <c r="B173" s="8">
        <v>45340</v>
      </c>
      <c r="C173" s="8">
        <v>45347</v>
      </c>
      <c r="D173" t="s">
        <v>48</v>
      </c>
      <c r="E173" t="s">
        <v>3039</v>
      </c>
      <c r="F173" t="s">
        <v>3040</v>
      </c>
      <c r="G173" t="s">
        <v>50</v>
      </c>
      <c r="H173">
        <v>8107210606</v>
      </c>
      <c r="I173" t="s">
        <v>35</v>
      </c>
      <c r="J173" t="s">
        <v>51</v>
      </c>
      <c r="K173" t="s">
        <v>52</v>
      </c>
      <c r="L173" t="s">
        <v>53</v>
      </c>
      <c r="M173" t="str">
        <f>TRIM(Table2[[#This Row],[Category]])</f>
        <v>office supplies</v>
      </c>
      <c r="N173" t="s">
        <v>54</v>
      </c>
      <c r="O173" t="s">
        <v>55</v>
      </c>
      <c r="P173">
        <v>3</v>
      </c>
      <c r="Q173">
        <v>17694.599999999999</v>
      </c>
      <c r="R173">
        <v>0</v>
      </c>
      <c r="S173">
        <v>0</v>
      </c>
      <c r="T173">
        <v>53083.8</v>
      </c>
      <c r="U173">
        <v>9049.93</v>
      </c>
    </row>
    <row r="174" spans="1:21" ht="15" customHeight="1" x14ac:dyDescent="0.25">
      <c r="A174" t="s">
        <v>2413</v>
      </c>
      <c r="B174" s="8">
        <v>45340</v>
      </c>
      <c r="C174" s="8">
        <v>45348</v>
      </c>
      <c r="D174" t="s">
        <v>48</v>
      </c>
      <c r="E174" t="s">
        <v>3058</v>
      </c>
      <c r="F174" t="s">
        <v>3086</v>
      </c>
      <c r="G174" t="s">
        <v>834</v>
      </c>
      <c r="H174">
        <v>7037046381</v>
      </c>
      <c r="I174" t="s">
        <v>35</v>
      </c>
      <c r="J174" t="s">
        <v>25</v>
      </c>
      <c r="K174" t="s">
        <v>3127</v>
      </c>
      <c r="L174" t="s">
        <v>53</v>
      </c>
      <c r="M174" t="str">
        <f>TRIM(Table2[[#This Row],[Category]])</f>
        <v>office supplies</v>
      </c>
      <c r="N174" t="s">
        <v>194</v>
      </c>
      <c r="O174" t="s">
        <v>700</v>
      </c>
      <c r="P174">
        <v>10</v>
      </c>
      <c r="Q174">
        <v>11136.65</v>
      </c>
      <c r="R174">
        <v>5</v>
      </c>
      <c r="S174">
        <v>5568.32</v>
      </c>
      <c r="T174">
        <v>105798.18</v>
      </c>
      <c r="U174">
        <v>47590.55</v>
      </c>
    </row>
    <row r="175" spans="1:21" ht="15" customHeight="1" x14ac:dyDescent="0.25">
      <c r="A175" t="s">
        <v>201</v>
      </c>
      <c r="B175" s="8">
        <v>45341</v>
      </c>
      <c r="C175" s="8">
        <v>45349</v>
      </c>
      <c r="D175" t="s">
        <v>48</v>
      </c>
      <c r="E175" t="s">
        <v>3049</v>
      </c>
      <c r="F175" t="s">
        <v>3039</v>
      </c>
      <c r="G175" t="s">
        <v>203</v>
      </c>
      <c r="H175">
        <v>9027542890</v>
      </c>
      <c r="I175" t="s">
        <v>43</v>
      </c>
      <c r="J175" t="s">
        <v>61</v>
      </c>
      <c r="K175" t="s">
        <v>204</v>
      </c>
      <c r="L175" t="s">
        <v>108</v>
      </c>
      <c r="M175" t="str">
        <f>TRIM(Table2[[#This Row],[Category]])</f>
        <v>Clothing</v>
      </c>
      <c r="N175" t="s">
        <v>189</v>
      </c>
      <c r="O175" t="s">
        <v>205</v>
      </c>
      <c r="P175">
        <v>8</v>
      </c>
      <c r="Q175">
        <v>36394.33</v>
      </c>
      <c r="R175">
        <v>20</v>
      </c>
      <c r="S175">
        <v>58230.93</v>
      </c>
      <c r="T175">
        <v>232923.71</v>
      </c>
      <c r="U175">
        <v>-4273.46</v>
      </c>
    </row>
    <row r="176" spans="1:21" ht="15" customHeight="1" x14ac:dyDescent="0.25">
      <c r="A176" t="s">
        <v>2313</v>
      </c>
      <c r="B176" s="8">
        <v>45344</v>
      </c>
      <c r="C176" s="8">
        <v>45349</v>
      </c>
      <c r="D176" t="s">
        <v>210</v>
      </c>
      <c r="E176" t="s">
        <v>3095</v>
      </c>
      <c r="F176" t="s">
        <v>3040</v>
      </c>
      <c r="G176" t="s">
        <v>2315</v>
      </c>
      <c r="H176" t="s">
        <v>1930</v>
      </c>
      <c r="I176" t="s">
        <v>24</v>
      </c>
      <c r="J176" t="s">
        <v>25</v>
      </c>
      <c r="K176" t="s">
        <v>126</v>
      </c>
      <c r="L176" t="s">
        <v>96</v>
      </c>
      <c r="M176" t="str">
        <f>TRIM(Table2[[#This Row],[Category]])</f>
        <v>Technology</v>
      </c>
      <c r="N176" t="s">
        <v>385</v>
      </c>
      <c r="O176" t="s">
        <v>386</v>
      </c>
      <c r="P176">
        <v>3</v>
      </c>
      <c r="Q176">
        <v>328893.37</v>
      </c>
      <c r="R176">
        <v>15</v>
      </c>
      <c r="S176">
        <v>148002.01999999999</v>
      </c>
      <c r="T176">
        <v>838678.09</v>
      </c>
      <c r="U176">
        <v>359873.44</v>
      </c>
    </row>
    <row r="177" spans="1:21" ht="15" customHeight="1" x14ac:dyDescent="0.25">
      <c r="A177" t="s">
        <v>876</v>
      </c>
      <c r="B177" s="8">
        <v>45343</v>
      </c>
      <c r="C177" s="8">
        <v>45350</v>
      </c>
      <c r="D177" t="s">
        <v>48</v>
      </c>
      <c r="E177" t="s">
        <v>3051</v>
      </c>
      <c r="F177" t="s">
        <v>3090</v>
      </c>
      <c r="G177" t="s">
        <v>878</v>
      </c>
      <c r="H177">
        <v>8104360419</v>
      </c>
      <c r="I177" t="s">
        <v>35</v>
      </c>
      <c r="J177" t="s">
        <v>25</v>
      </c>
      <c r="K177" t="s">
        <v>168</v>
      </c>
      <c r="L177" t="s">
        <v>63</v>
      </c>
      <c r="M177" t="str">
        <f>TRIM(Table2[[#This Row],[Category]])</f>
        <v>Office Supplies</v>
      </c>
      <c r="N177" t="s">
        <v>64</v>
      </c>
      <c r="O177" t="s">
        <v>777</v>
      </c>
      <c r="P177">
        <v>15</v>
      </c>
      <c r="Q177">
        <v>22374.71</v>
      </c>
      <c r="R177">
        <v>0</v>
      </c>
      <c r="S177">
        <v>0</v>
      </c>
      <c r="T177" t="s">
        <v>879</v>
      </c>
      <c r="U177">
        <v>13367.8</v>
      </c>
    </row>
    <row r="178" spans="1:21" ht="15" customHeight="1" x14ac:dyDescent="0.25">
      <c r="A178" t="s">
        <v>1954</v>
      </c>
      <c r="B178" s="8">
        <v>45344</v>
      </c>
      <c r="C178" s="8">
        <v>45352</v>
      </c>
      <c r="D178" t="s">
        <v>48</v>
      </c>
      <c r="E178" t="s">
        <v>3035</v>
      </c>
      <c r="F178" t="s">
        <v>3086</v>
      </c>
      <c r="G178" t="s">
        <v>1821</v>
      </c>
      <c r="H178">
        <v>8163704873</v>
      </c>
      <c r="I178" t="s">
        <v>35</v>
      </c>
      <c r="J178" t="s">
        <v>25</v>
      </c>
      <c r="K178" t="s">
        <v>36</v>
      </c>
      <c r="L178" t="s">
        <v>85</v>
      </c>
      <c r="M178" t="str">
        <f>TRIM(Table2[[#This Row],[Category]])</f>
        <v>Furniture</v>
      </c>
      <c r="N178" t="s">
        <v>486</v>
      </c>
      <c r="O178" t="s">
        <v>487</v>
      </c>
      <c r="P178">
        <v>3</v>
      </c>
      <c r="Q178">
        <v>160255.07</v>
      </c>
      <c r="R178">
        <v>5</v>
      </c>
      <c r="S178">
        <v>24038.26</v>
      </c>
      <c r="T178">
        <v>456726.95</v>
      </c>
      <c r="U178">
        <v>173849.11</v>
      </c>
    </row>
    <row r="179" spans="1:21" ht="15" customHeight="1" x14ac:dyDescent="0.25">
      <c r="A179" t="s">
        <v>782</v>
      </c>
      <c r="B179" s="8">
        <v>45345</v>
      </c>
      <c r="C179" s="8">
        <v>45353</v>
      </c>
      <c r="D179" t="s">
        <v>48</v>
      </c>
      <c r="E179" t="s">
        <v>3065</v>
      </c>
      <c r="F179" t="s">
        <v>3039</v>
      </c>
      <c r="G179" t="s">
        <v>784</v>
      </c>
      <c r="H179">
        <v>8105613428</v>
      </c>
      <c r="I179" t="s">
        <v>43</v>
      </c>
      <c r="J179" t="s">
        <v>69</v>
      </c>
      <c r="K179" t="s">
        <v>70</v>
      </c>
      <c r="L179" t="s">
        <v>63</v>
      </c>
      <c r="M179" t="str">
        <f>TRIM(Table2[[#This Row],[Category]])</f>
        <v>Office Supplies</v>
      </c>
      <c r="N179" t="s">
        <v>64</v>
      </c>
      <c r="O179" t="s">
        <v>501</v>
      </c>
      <c r="P179">
        <v>20</v>
      </c>
      <c r="Q179">
        <v>1348.91</v>
      </c>
      <c r="R179">
        <v>5</v>
      </c>
      <c r="S179">
        <v>1348.91</v>
      </c>
      <c r="T179">
        <v>25629.29</v>
      </c>
      <c r="U179">
        <v>6109.18</v>
      </c>
    </row>
    <row r="180" spans="1:21" ht="15" customHeight="1" x14ac:dyDescent="0.25">
      <c r="A180" t="s">
        <v>886</v>
      </c>
      <c r="B180" s="8">
        <v>45347</v>
      </c>
      <c r="C180" s="8">
        <v>45354</v>
      </c>
      <c r="D180" t="s">
        <v>48</v>
      </c>
      <c r="E180" t="s">
        <v>3048</v>
      </c>
      <c r="F180" t="s">
        <v>3050</v>
      </c>
      <c r="G180" t="s">
        <v>403</v>
      </c>
      <c r="H180">
        <v>8165879280</v>
      </c>
      <c r="I180" t="s">
        <v>35</v>
      </c>
      <c r="J180" t="s">
        <v>51</v>
      </c>
      <c r="K180" t="s">
        <v>223</v>
      </c>
      <c r="L180" t="s">
        <v>108</v>
      </c>
      <c r="M180" t="str">
        <f>TRIM(Table2[[#This Row],[Category]])</f>
        <v>Clothing</v>
      </c>
      <c r="N180" t="s">
        <v>189</v>
      </c>
      <c r="O180" t="s">
        <v>205</v>
      </c>
      <c r="P180">
        <v>14</v>
      </c>
      <c r="Q180">
        <v>24537.06</v>
      </c>
      <c r="R180">
        <v>0</v>
      </c>
      <c r="S180">
        <v>0</v>
      </c>
      <c r="T180">
        <v>343518.84</v>
      </c>
      <c r="U180">
        <v>19113.29</v>
      </c>
    </row>
    <row r="181" spans="1:21" ht="15" customHeight="1" x14ac:dyDescent="0.25">
      <c r="A181" t="s">
        <v>2430</v>
      </c>
      <c r="B181" s="8">
        <v>45350</v>
      </c>
      <c r="C181" s="8">
        <v>45355</v>
      </c>
      <c r="D181" t="s">
        <v>48</v>
      </c>
      <c r="E181" t="s">
        <v>3050</v>
      </c>
      <c r="F181" t="s">
        <v>3062</v>
      </c>
      <c r="G181" t="s">
        <v>2432</v>
      </c>
      <c r="H181">
        <v>8101572338</v>
      </c>
      <c r="I181" t="s">
        <v>24</v>
      </c>
      <c r="J181" t="s">
        <v>51</v>
      </c>
      <c r="K181" t="s">
        <v>131</v>
      </c>
      <c r="L181" t="s">
        <v>85</v>
      </c>
      <c r="M181" t="str">
        <f>TRIM(Table2[[#This Row],[Category]])</f>
        <v>Furniture</v>
      </c>
      <c r="N181" t="s">
        <v>218</v>
      </c>
      <c r="O181" t="s">
        <v>219</v>
      </c>
      <c r="P181">
        <v>19</v>
      </c>
      <c r="Q181">
        <v>63475.57</v>
      </c>
      <c r="R181">
        <v>20</v>
      </c>
      <c r="S181">
        <v>241207.17</v>
      </c>
      <c r="T181">
        <v>964828.66</v>
      </c>
      <c r="U181">
        <v>135372.13</v>
      </c>
    </row>
    <row r="182" spans="1:21" ht="15" customHeight="1" x14ac:dyDescent="0.25">
      <c r="A182" t="s">
        <v>2527</v>
      </c>
      <c r="B182" s="8">
        <v>45356</v>
      </c>
      <c r="C182" s="8">
        <v>45362</v>
      </c>
      <c r="D182" t="s">
        <v>48</v>
      </c>
      <c r="E182" t="s">
        <v>3081</v>
      </c>
      <c r="F182" t="s">
        <v>3096</v>
      </c>
      <c r="G182" t="s">
        <v>2529</v>
      </c>
      <c r="H182">
        <v>8138314004</v>
      </c>
      <c r="I182" t="s">
        <v>35</v>
      </c>
      <c r="J182" t="s">
        <v>699</v>
      </c>
      <c r="K182" t="s">
        <v>26</v>
      </c>
      <c r="L182" t="s">
        <v>27</v>
      </c>
      <c r="M182" t="str">
        <f>TRIM(Table2[[#This Row],[Category]])</f>
        <v>Food &amp; Beverages</v>
      </c>
      <c r="N182" t="s">
        <v>45</v>
      </c>
      <c r="O182" t="s">
        <v>875</v>
      </c>
      <c r="P182">
        <v>15</v>
      </c>
      <c r="Q182">
        <v>5985.27</v>
      </c>
      <c r="R182">
        <v>0</v>
      </c>
      <c r="S182">
        <v>0</v>
      </c>
      <c r="T182">
        <v>89779.05</v>
      </c>
      <c r="U182">
        <v>22240.61</v>
      </c>
    </row>
    <row r="183" spans="1:21" ht="15" customHeight="1" x14ac:dyDescent="0.25">
      <c r="A183" t="s">
        <v>2716</v>
      </c>
      <c r="B183" s="8">
        <v>45358</v>
      </c>
      <c r="C183" s="8">
        <v>45365</v>
      </c>
      <c r="D183" t="s">
        <v>48</v>
      </c>
      <c r="E183" t="s">
        <v>3073</v>
      </c>
      <c r="F183" t="s">
        <v>3045</v>
      </c>
      <c r="G183" t="s">
        <v>2718</v>
      </c>
      <c r="H183">
        <v>8148319762</v>
      </c>
      <c r="I183" t="s">
        <v>24</v>
      </c>
      <c r="J183" t="s">
        <v>25</v>
      </c>
      <c r="K183" t="s">
        <v>168</v>
      </c>
      <c r="L183" t="s">
        <v>108</v>
      </c>
      <c r="M183" t="str">
        <f>TRIM(Table2[[#This Row],[Category]])</f>
        <v>Clothing</v>
      </c>
      <c r="N183" t="s">
        <v>183</v>
      </c>
      <c r="O183" t="s">
        <v>719</v>
      </c>
      <c r="P183">
        <v>12</v>
      </c>
      <c r="Q183">
        <v>20806.580000000002</v>
      </c>
      <c r="R183" t="s">
        <v>30</v>
      </c>
      <c r="S183">
        <v>12483.95</v>
      </c>
      <c r="T183">
        <v>237195.01</v>
      </c>
      <c r="U183">
        <v>2721.33</v>
      </c>
    </row>
    <row r="184" spans="1:21" ht="15" customHeight="1" x14ac:dyDescent="0.25">
      <c r="A184" t="s">
        <v>1457</v>
      </c>
      <c r="B184" s="8">
        <v>45363</v>
      </c>
      <c r="C184" s="8">
        <v>45370</v>
      </c>
      <c r="D184" t="s">
        <v>48</v>
      </c>
      <c r="E184" t="s">
        <v>3089</v>
      </c>
      <c r="F184" t="s">
        <v>3057</v>
      </c>
      <c r="G184" t="s">
        <v>1459</v>
      </c>
      <c r="H184">
        <v>9056918393</v>
      </c>
      <c r="I184" t="s">
        <v>35</v>
      </c>
      <c r="J184" t="s">
        <v>588</v>
      </c>
      <c r="K184" t="s">
        <v>155</v>
      </c>
      <c r="L184" t="s">
        <v>63</v>
      </c>
      <c r="M184" t="str">
        <f>TRIM(Table2[[#This Row],[Category]])</f>
        <v>Office Supplies</v>
      </c>
      <c r="N184" t="s">
        <v>558</v>
      </c>
      <c r="O184" t="s">
        <v>1460</v>
      </c>
      <c r="P184">
        <v>2</v>
      </c>
      <c r="Q184">
        <v>1189.5999999999999</v>
      </c>
      <c r="R184">
        <v>0</v>
      </c>
      <c r="S184">
        <v>0</v>
      </c>
      <c r="T184">
        <v>2379.1999999999998</v>
      </c>
      <c r="U184">
        <v>837.86</v>
      </c>
    </row>
    <row r="185" spans="1:21" ht="15" customHeight="1" x14ac:dyDescent="0.25">
      <c r="A185" t="s">
        <v>1085</v>
      </c>
      <c r="B185" s="8">
        <v>45375</v>
      </c>
      <c r="C185" s="8">
        <v>45380</v>
      </c>
      <c r="D185" t="s">
        <v>48</v>
      </c>
      <c r="E185" t="s">
        <v>3072</v>
      </c>
      <c r="F185" t="s">
        <v>3036</v>
      </c>
      <c r="G185" t="s">
        <v>1087</v>
      </c>
      <c r="H185">
        <v>8067540534</v>
      </c>
      <c r="I185" t="s">
        <v>35</v>
      </c>
      <c r="J185" t="s">
        <v>69</v>
      </c>
      <c r="K185" t="s">
        <v>155</v>
      </c>
      <c r="L185" t="s">
        <v>63</v>
      </c>
      <c r="M185" t="str">
        <f>TRIM(Table2[[#This Row],[Category]])</f>
        <v>Office Supplies</v>
      </c>
      <c r="N185" t="s">
        <v>54</v>
      </c>
      <c r="O185" t="s">
        <v>150</v>
      </c>
      <c r="P185">
        <v>15</v>
      </c>
      <c r="Q185">
        <v>18571.03</v>
      </c>
      <c r="R185">
        <v>0</v>
      </c>
      <c r="S185">
        <v>0</v>
      </c>
      <c r="T185">
        <v>278565.45</v>
      </c>
      <c r="U185">
        <v>-19843.259999999998</v>
      </c>
    </row>
    <row r="186" spans="1:21" ht="15" customHeight="1" x14ac:dyDescent="0.25">
      <c r="A186" t="s">
        <v>2365</v>
      </c>
      <c r="B186" s="8">
        <v>45378</v>
      </c>
      <c r="C186" s="8">
        <v>45383</v>
      </c>
      <c r="D186" t="s">
        <v>48</v>
      </c>
      <c r="E186" t="s">
        <v>3095</v>
      </c>
      <c r="F186" t="s">
        <v>3075</v>
      </c>
      <c r="G186" t="s">
        <v>2367</v>
      </c>
      <c r="H186">
        <v>8169971681</v>
      </c>
      <c r="I186" t="s">
        <v>43</v>
      </c>
      <c r="J186" t="s">
        <v>61</v>
      </c>
      <c r="K186" t="s">
        <v>62</v>
      </c>
      <c r="L186" t="s">
        <v>27</v>
      </c>
      <c r="M186" t="str">
        <f>TRIM(Table2[[#This Row],[Category]])</f>
        <v>Food &amp; Beverages</v>
      </c>
      <c r="N186" t="s">
        <v>79</v>
      </c>
      <c r="O186" t="s">
        <v>145</v>
      </c>
      <c r="P186">
        <v>17</v>
      </c>
      <c r="Q186">
        <v>3739.07</v>
      </c>
      <c r="R186">
        <v>5</v>
      </c>
      <c r="S186">
        <v>3178.21</v>
      </c>
      <c r="T186">
        <v>60385.98</v>
      </c>
      <c r="U186">
        <v>-192.31</v>
      </c>
    </row>
    <row r="187" spans="1:21" ht="15" customHeight="1" x14ac:dyDescent="0.25">
      <c r="A187" t="s">
        <v>2443</v>
      </c>
      <c r="B187" s="8">
        <v>45382</v>
      </c>
      <c r="C187" s="8">
        <v>45389</v>
      </c>
      <c r="D187" t="s">
        <v>48</v>
      </c>
      <c r="E187" t="s">
        <v>3098</v>
      </c>
      <c r="F187" t="s">
        <v>3075</v>
      </c>
      <c r="G187" t="s">
        <v>2445</v>
      </c>
      <c r="H187">
        <v>8148851806</v>
      </c>
      <c r="I187" t="s">
        <v>43</v>
      </c>
      <c r="J187" t="s">
        <v>69</v>
      </c>
      <c r="K187" t="s">
        <v>119</v>
      </c>
      <c r="L187" t="s">
        <v>63</v>
      </c>
      <c r="M187" t="str">
        <f>TRIM(Table2[[#This Row],[Category]])</f>
        <v>Office Supplies</v>
      </c>
      <c r="N187" t="s">
        <v>54</v>
      </c>
      <c r="O187" t="s">
        <v>55</v>
      </c>
      <c r="P187">
        <v>9</v>
      </c>
      <c r="Q187">
        <v>508.66</v>
      </c>
      <c r="R187">
        <v>25</v>
      </c>
      <c r="S187">
        <v>1144.49</v>
      </c>
      <c r="T187">
        <v>3433.45</v>
      </c>
      <c r="U187">
        <v>861.36</v>
      </c>
    </row>
    <row r="188" spans="1:21" ht="15" customHeight="1" x14ac:dyDescent="0.25">
      <c r="A188" t="s">
        <v>589</v>
      </c>
      <c r="B188" s="8">
        <v>45385</v>
      </c>
      <c r="C188" s="8">
        <v>45393</v>
      </c>
      <c r="D188" t="s">
        <v>48</v>
      </c>
      <c r="E188" t="s">
        <v>3067</v>
      </c>
      <c r="F188" t="s">
        <v>3077</v>
      </c>
      <c r="G188" t="s">
        <v>592</v>
      </c>
      <c r="H188">
        <v>9021946973</v>
      </c>
      <c r="I188" t="s">
        <v>24</v>
      </c>
      <c r="J188" t="s">
        <v>25</v>
      </c>
      <c r="K188" t="s">
        <v>126</v>
      </c>
      <c r="L188" t="s">
        <v>85</v>
      </c>
      <c r="M188" t="str">
        <f>TRIM(Table2[[#This Row],[Category]])</f>
        <v>Furniture</v>
      </c>
      <c r="N188" t="s">
        <v>266</v>
      </c>
      <c r="O188" t="s">
        <v>593</v>
      </c>
      <c r="P188">
        <v>19</v>
      </c>
      <c r="Q188">
        <v>48275.78</v>
      </c>
      <c r="R188">
        <v>10</v>
      </c>
      <c r="S188">
        <v>91723.98</v>
      </c>
      <c r="T188">
        <v>825515.84</v>
      </c>
      <c r="U188">
        <v>162201.39000000001</v>
      </c>
    </row>
    <row r="189" spans="1:21" ht="15" customHeight="1" x14ac:dyDescent="0.25">
      <c r="A189" t="s">
        <v>398</v>
      </c>
      <c r="B189" s="8">
        <v>45391</v>
      </c>
      <c r="C189" s="8">
        <v>45396</v>
      </c>
      <c r="D189" t="s">
        <v>48</v>
      </c>
      <c r="E189" t="s">
        <v>3041</v>
      </c>
      <c r="F189" t="s">
        <v>3062</v>
      </c>
      <c r="G189" t="s">
        <v>400</v>
      </c>
      <c r="H189">
        <v>8037070880</v>
      </c>
      <c r="I189" t="s">
        <v>43</v>
      </c>
      <c r="J189" t="s">
        <v>69</v>
      </c>
      <c r="K189" t="s">
        <v>70</v>
      </c>
      <c r="L189" t="s">
        <v>96</v>
      </c>
      <c r="M189" t="str">
        <f>TRIM(Table2[[#This Row],[Category]])</f>
        <v>Technology</v>
      </c>
      <c r="N189" t="s">
        <v>189</v>
      </c>
      <c r="O189" t="s">
        <v>287</v>
      </c>
      <c r="P189">
        <v>19</v>
      </c>
      <c r="Q189">
        <v>120842.67</v>
      </c>
      <c r="R189">
        <v>15</v>
      </c>
      <c r="S189">
        <v>344401.61</v>
      </c>
      <c r="T189">
        <v>1951609.12</v>
      </c>
      <c r="U189">
        <v>320800.68</v>
      </c>
    </row>
    <row r="190" spans="1:21" ht="15" customHeight="1" x14ac:dyDescent="0.25">
      <c r="A190" t="s">
        <v>992</v>
      </c>
      <c r="B190" s="8">
        <v>45391</v>
      </c>
      <c r="C190" s="8">
        <v>45397</v>
      </c>
      <c r="D190" t="s">
        <v>48</v>
      </c>
      <c r="E190" t="s">
        <v>3063</v>
      </c>
      <c r="F190" t="s">
        <v>3077</v>
      </c>
      <c r="G190" t="s">
        <v>993</v>
      </c>
      <c r="H190">
        <v>8158920589</v>
      </c>
      <c r="I190" t="s">
        <v>35</v>
      </c>
      <c r="J190" t="s">
        <v>25</v>
      </c>
      <c r="K190" t="s">
        <v>26</v>
      </c>
      <c r="L190" t="s">
        <v>85</v>
      </c>
      <c r="M190" t="str">
        <f>TRIM(Table2[[#This Row],[Category]])</f>
        <v>Furniture</v>
      </c>
      <c r="N190" t="s">
        <v>243</v>
      </c>
      <c r="O190" t="s">
        <v>439</v>
      </c>
      <c r="P190">
        <v>19</v>
      </c>
      <c r="Q190">
        <v>46408.74</v>
      </c>
      <c r="R190">
        <v>10</v>
      </c>
      <c r="S190">
        <v>88176.61</v>
      </c>
      <c r="T190">
        <v>793589.45</v>
      </c>
      <c r="U190">
        <v>-55290.36</v>
      </c>
    </row>
    <row r="191" spans="1:21" ht="15" customHeight="1" x14ac:dyDescent="0.25">
      <c r="A191" t="s">
        <v>2348</v>
      </c>
      <c r="B191" s="8">
        <v>45394</v>
      </c>
      <c r="C191" s="8">
        <v>45402</v>
      </c>
      <c r="D191" t="s">
        <v>48</v>
      </c>
      <c r="E191" t="s">
        <v>3098</v>
      </c>
      <c r="F191" t="s">
        <v>3050</v>
      </c>
      <c r="G191" t="s">
        <v>2350</v>
      </c>
      <c r="H191">
        <v>8163029740</v>
      </c>
      <c r="I191" t="s">
        <v>24</v>
      </c>
      <c r="J191" t="s">
        <v>25</v>
      </c>
      <c r="K191" t="s">
        <v>26</v>
      </c>
      <c r="L191" t="s">
        <v>1751</v>
      </c>
      <c r="M191" t="str">
        <f>TRIM(Table2[[#This Row],[Category]])</f>
        <v>FOOD &amp; BEVERAGES</v>
      </c>
      <c r="N191" t="s">
        <v>173</v>
      </c>
      <c r="O191" t="s">
        <v>279</v>
      </c>
      <c r="P191">
        <v>2</v>
      </c>
      <c r="Q191">
        <v>3676.61</v>
      </c>
      <c r="R191">
        <v>10</v>
      </c>
      <c r="S191">
        <v>735.32</v>
      </c>
      <c r="T191">
        <v>6617.9</v>
      </c>
      <c r="U191">
        <v>2230.2199999999998</v>
      </c>
    </row>
    <row r="192" spans="1:21" ht="15" customHeight="1" x14ac:dyDescent="0.25">
      <c r="A192" t="s">
        <v>2537</v>
      </c>
      <c r="B192" s="8">
        <v>45401</v>
      </c>
      <c r="C192" s="8">
        <v>45406</v>
      </c>
      <c r="D192" t="s">
        <v>48</v>
      </c>
      <c r="E192" t="s">
        <v>3085</v>
      </c>
      <c r="F192" t="s">
        <v>3034</v>
      </c>
      <c r="G192" t="s">
        <v>2539</v>
      </c>
      <c r="H192">
        <v>9016396496</v>
      </c>
      <c r="I192" t="s">
        <v>24</v>
      </c>
      <c r="J192" t="s">
        <v>25</v>
      </c>
      <c r="K192" t="s">
        <v>26</v>
      </c>
      <c r="L192" t="s">
        <v>63</v>
      </c>
      <c r="M192" t="str">
        <f>TRIM(Table2[[#This Row],[Category]])</f>
        <v>Office Supplies</v>
      </c>
      <c r="N192" t="s">
        <v>249</v>
      </c>
      <c r="O192" t="s">
        <v>2013</v>
      </c>
      <c r="P192">
        <v>8</v>
      </c>
      <c r="Q192">
        <v>22587.23</v>
      </c>
      <c r="R192">
        <v>0</v>
      </c>
      <c r="S192">
        <v>0</v>
      </c>
      <c r="T192">
        <v>180697.84</v>
      </c>
      <c r="U192">
        <v>14225.99</v>
      </c>
    </row>
    <row r="193" spans="1:21" ht="15" customHeight="1" x14ac:dyDescent="0.25">
      <c r="A193" t="s">
        <v>1993</v>
      </c>
      <c r="B193" s="8">
        <v>45404</v>
      </c>
      <c r="C193" s="8">
        <v>45409</v>
      </c>
      <c r="D193" t="s">
        <v>48</v>
      </c>
      <c r="E193" t="str">
        <f>E194</f>
        <v>Ikenna</v>
      </c>
      <c r="F193" t="str">
        <f>F192</f>
        <v>Atiku</v>
      </c>
      <c r="G193" t="s">
        <v>370</v>
      </c>
      <c r="H193">
        <v>9078450817</v>
      </c>
      <c r="I193" t="s">
        <v>24</v>
      </c>
      <c r="J193" t="s">
        <v>25</v>
      </c>
      <c r="K193" t="s">
        <v>26</v>
      </c>
      <c r="L193" t="s">
        <v>27</v>
      </c>
      <c r="M193" t="str">
        <f>TRIM(Table2[[#This Row],[Category]])</f>
        <v>Food &amp; Beverages</v>
      </c>
      <c r="N193" t="s">
        <v>173</v>
      </c>
      <c r="O193" t="s">
        <v>279</v>
      </c>
      <c r="P193">
        <v>14</v>
      </c>
      <c r="Q193">
        <v>5441.37</v>
      </c>
      <c r="R193">
        <v>5</v>
      </c>
      <c r="S193">
        <v>3808.96</v>
      </c>
      <c r="T193">
        <v>72370.22</v>
      </c>
      <c r="U193">
        <v>-1177.6400000000001</v>
      </c>
    </row>
    <row r="194" spans="1:21" ht="15" customHeight="1" x14ac:dyDescent="0.25">
      <c r="A194" t="s">
        <v>440</v>
      </c>
      <c r="B194" s="8">
        <v>45411</v>
      </c>
      <c r="C194" s="8">
        <v>45416</v>
      </c>
      <c r="D194" t="s">
        <v>48</v>
      </c>
      <c r="E194" t="s">
        <v>3058</v>
      </c>
      <c r="F194" t="s">
        <v>3075</v>
      </c>
      <c r="G194" t="s">
        <v>442</v>
      </c>
      <c r="H194" t="s">
        <v>23</v>
      </c>
      <c r="I194" t="s">
        <v>43</v>
      </c>
      <c r="J194" t="s">
        <v>61</v>
      </c>
      <c r="K194" t="s">
        <v>204</v>
      </c>
      <c r="L194" t="s">
        <v>96</v>
      </c>
      <c r="M194" t="str">
        <f>TRIM(Table2[[#This Row],[Category]])</f>
        <v>Technology</v>
      </c>
      <c r="N194" t="s">
        <v>97</v>
      </c>
      <c r="O194" t="s">
        <v>443</v>
      </c>
      <c r="P194">
        <v>4</v>
      </c>
      <c r="Q194">
        <v>27261.58</v>
      </c>
      <c r="R194">
        <v>10</v>
      </c>
      <c r="S194">
        <v>10904.63</v>
      </c>
      <c r="T194">
        <f>T193</f>
        <v>72370.22</v>
      </c>
      <c r="U194">
        <v>31879.21</v>
      </c>
    </row>
    <row r="195" spans="1:21" ht="15" customHeight="1" x14ac:dyDescent="0.25">
      <c r="A195" t="s">
        <v>2031</v>
      </c>
      <c r="B195" s="8">
        <v>45412</v>
      </c>
      <c r="C195" s="8">
        <v>45419</v>
      </c>
      <c r="D195" t="s">
        <v>48</v>
      </c>
      <c r="E195" t="s">
        <v>3091</v>
      </c>
      <c r="F195" t="s">
        <v>3074</v>
      </c>
      <c r="G195" t="s">
        <v>2033</v>
      </c>
      <c r="H195">
        <v>7062338271</v>
      </c>
      <c r="I195" t="s">
        <v>43</v>
      </c>
      <c r="J195" t="s">
        <v>25</v>
      </c>
      <c r="K195" t="s">
        <v>26</v>
      </c>
      <c r="L195" t="s">
        <v>27</v>
      </c>
      <c r="M195" t="str">
        <f>TRIM(Table2[[#This Row],[Category]])</f>
        <v>Food &amp; Beverages</v>
      </c>
      <c r="N195" t="s">
        <v>45</v>
      </c>
      <c r="O195" t="s">
        <v>875</v>
      </c>
      <c r="P195">
        <v>13</v>
      </c>
      <c r="Q195">
        <v>5014.87</v>
      </c>
      <c r="R195">
        <v>10</v>
      </c>
      <c r="S195">
        <v>6519.33</v>
      </c>
      <c r="T195">
        <v>58673.98</v>
      </c>
      <c r="U195">
        <v>15717.24</v>
      </c>
    </row>
    <row r="196" spans="1:21" ht="15" customHeight="1" x14ac:dyDescent="0.25">
      <c r="A196" t="s">
        <v>2823</v>
      </c>
      <c r="B196" s="8">
        <v>45422</v>
      </c>
      <c r="C196" s="8">
        <v>45429</v>
      </c>
      <c r="D196" t="s">
        <v>48</v>
      </c>
      <c r="E196" t="s">
        <v>3080</v>
      </c>
      <c r="F196" t="s">
        <v>3083</v>
      </c>
      <c r="G196" t="s">
        <v>2825</v>
      </c>
      <c r="H196">
        <v>8067803915</v>
      </c>
      <c r="I196" t="s">
        <v>35</v>
      </c>
      <c r="J196" t="s">
        <v>51</v>
      </c>
      <c r="K196" t="s">
        <v>223</v>
      </c>
      <c r="L196" t="s">
        <v>27</v>
      </c>
      <c r="M196" t="str">
        <f>TRIM(Table2[[#This Row],[Category]])</f>
        <v>Food &amp; Beverages</v>
      </c>
      <c r="N196" t="s">
        <v>354</v>
      </c>
      <c r="O196" t="s">
        <v>494</v>
      </c>
      <c r="P196">
        <v>19</v>
      </c>
      <c r="Q196">
        <v>5623.01</v>
      </c>
      <c r="R196">
        <v>0</v>
      </c>
      <c r="S196">
        <v>0</v>
      </c>
      <c r="T196">
        <v>106837.19</v>
      </c>
      <c r="U196">
        <v>36182.31</v>
      </c>
    </row>
    <row r="197" spans="1:21" ht="15" customHeight="1" x14ac:dyDescent="0.25">
      <c r="A197" t="s">
        <v>1732</v>
      </c>
      <c r="B197" s="8">
        <v>45425</v>
      </c>
      <c r="C197" s="8">
        <v>45430</v>
      </c>
      <c r="D197" t="s">
        <v>48</v>
      </c>
      <c r="E197" t="s">
        <v>3049</v>
      </c>
      <c r="F197" t="s">
        <v>3074</v>
      </c>
      <c r="G197" t="s">
        <v>1734</v>
      </c>
      <c r="H197">
        <v>9072059841</v>
      </c>
      <c r="I197" t="s">
        <v>35</v>
      </c>
      <c r="J197" t="s">
        <v>61</v>
      </c>
      <c r="K197" t="s">
        <v>62</v>
      </c>
      <c r="L197" t="str">
        <f>L196</f>
        <v>Food &amp; Beverages</v>
      </c>
      <c r="M197" t="str">
        <f>TRIM(Table2[[#This Row],[Category]])</f>
        <v>Food &amp; Beverages</v>
      </c>
      <c r="N197" t="s">
        <v>86</v>
      </c>
      <c r="O197" t="s">
        <v>87</v>
      </c>
      <c r="P197">
        <v>2</v>
      </c>
      <c r="Q197">
        <v>132529.98000000001</v>
      </c>
      <c r="R197">
        <v>15</v>
      </c>
      <c r="S197">
        <v>39758.99</v>
      </c>
      <c r="T197">
        <v>225300.97</v>
      </c>
      <c r="U197">
        <v>35484.92</v>
      </c>
    </row>
    <row r="198" spans="1:21" ht="15" customHeight="1" x14ac:dyDescent="0.25">
      <c r="A198" t="s">
        <v>427</v>
      </c>
      <c r="B198" s="8">
        <v>45429</v>
      </c>
      <c r="C198" s="8">
        <v>45436</v>
      </c>
      <c r="D198" t="s">
        <v>48</v>
      </c>
      <c r="E198" t="s">
        <v>3047</v>
      </c>
      <c r="F198" t="s">
        <v>3039</v>
      </c>
      <c r="G198" t="s">
        <v>429</v>
      </c>
      <c r="H198">
        <v>8104593556</v>
      </c>
      <c r="I198" t="s">
        <v>24</v>
      </c>
      <c r="J198" t="s">
        <v>51</v>
      </c>
      <c r="K198" t="s">
        <v>131</v>
      </c>
      <c r="L198" t="s">
        <v>63</v>
      </c>
      <c r="M198" t="str">
        <f>TRIM(Table2[[#This Row],[Category]])</f>
        <v>Office Supplies</v>
      </c>
      <c r="N198" t="s">
        <v>194</v>
      </c>
      <c r="O198" t="s">
        <v>257</v>
      </c>
      <c r="P198">
        <v>5</v>
      </c>
      <c r="Q198">
        <v>5204.13</v>
      </c>
      <c r="R198">
        <v>0</v>
      </c>
      <c r="S198">
        <v>0</v>
      </c>
      <c r="T198">
        <v>26020.65</v>
      </c>
      <c r="U198">
        <v>-2698.37</v>
      </c>
    </row>
    <row r="199" spans="1:21" ht="15" customHeight="1" x14ac:dyDescent="0.25">
      <c r="A199" t="s">
        <v>1919</v>
      </c>
      <c r="B199" s="8">
        <v>45435</v>
      </c>
      <c r="C199" s="8">
        <v>45441</v>
      </c>
      <c r="D199" t="s">
        <v>48</v>
      </c>
      <c r="E199" t="s">
        <v>3039</v>
      </c>
      <c r="F199" t="s">
        <v>3040</v>
      </c>
      <c r="G199" t="s">
        <v>1920</v>
      </c>
      <c r="H199">
        <v>8069837877</v>
      </c>
      <c r="I199" t="s">
        <v>35</v>
      </c>
      <c r="J199" t="s">
        <v>61</v>
      </c>
      <c r="K199" t="s">
        <v>95</v>
      </c>
      <c r="L199" t="s">
        <v>85</v>
      </c>
      <c r="M199" t="str">
        <f>TRIM(Table2[[#This Row],[Category]])</f>
        <v>Furniture</v>
      </c>
      <c r="N199" t="s">
        <v>86</v>
      </c>
      <c r="O199" t="s">
        <v>238</v>
      </c>
      <c r="P199">
        <v>13</v>
      </c>
      <c r="Q199">
        <v>25153.55</v>
      </c>
      <c r="R199">
        <v>0</v>
      </c>
      <c r="S199">
        <v>0</v>
      </c>
      <c r="T199">
        <v>326996.15000000002</v>
      </c>
      <c r="U199">
        <v>-27460.71</v>
      </c>
    </row>
    <row r="200" spans="1:21" ht="15" customHeight="1" x14ac:dyDescent="0.25">
      <c r="A200" t="s">
        <v>2582</v>
      </c>
      <c r="B200" s="8">
        <v>45442</v>
      </c>
      <c r="C200" s="8">
        <v>45447</v>
      </c>
      <c r="D200" t="s">
        <v>48</v>
      </c>
      <c r="E200" t="s">
        <v>3053</v>
      </c>
      <c r="F200" t="s">
        <v>3046</v>
      </c>
      <c r="G200" t="s">
        <v>2583</v>
      </c>
      <c r="H200">
        <v>7037064624</v>
      </c>
      <c r="I200" t="s">
        <v>24</v>
      </c>
      <c r="J200" t="s">
        <v>69</v>
      </c>
      <c r="K200" t="s">
        <v>144</v>
      </c>
      <c r="L200" t="s">
        <v>27</v>
      </c>
      <c r="M200" t="str">
        <f>TRIM(Table2[[#This Row],[Category]])</f>
        <v>Food &amp; Beverages</v>
      </c>
      <c r="N200" t="s">
        <v>79</v>
      </c>
      <c r="O200" t="s">
        <v>234</v>
      </c>
      <c r="P200">
        <v>11</v>
      </c>
      <c r="Q200">
        <v>2320.77</v>
      </c>
      <c r="R200">
        <v>20</v>
      </c>
      <c r="S200">
        <v>5105.6899999999996</v>
      </c>
      <c r="T200">
        <v>20422.78</v>
      </c>
      <c r="U200">
        <v>1324.78</v>
      </c>
    </row>
    <row r="201" spans="1:21" ht="15" customHeight="1" x14ac:dyDescent="0.25">
      <c r="A201" t="s">
        <v>276</v>
      </c>
      <c r="B201" s="8">
        <v>45446</v>
      </c>
      <c r="C201" s="8">
        <v>45453</v>
      </c>
      <c r="D201" t="s">
        <v>48</v>
      </c>
      <c r="E201" t="s">
        <v>3080</v>
      </c>
      <c r="F201" t="s">
        <v>3036</v>
      </c>
      <c r="G201" t="s">
        <v>278</v>
      </c>
      <c r="H201">
        <v>8064840714</v>
      </c>
      <c r="I201" t="s">
        <v>35</v>
      </c>
      <c r="J201" t="s">
        <v>69</v>
      </c>
      <c r="K201" t="s">
        <v>70</v>
      </c>
      <c r="L201" t="s">
        <v>27</v>
      </c>
      <c r="M201" t="str">
        <f>TRIM(Table2[[#This Row],[Category]])</f>
        <v>Food &amp; Beverages</v>
      </c>
      <c r="N201" t="s">
        <v>173</v>
      </c>
      <c r="O201" t="s">
        <v>279</v>
      </c>
      <c r="P201">
        <v>-1</v>
      </c>
      <c r="Q201">
        <v>7996.71</v>
      </c>
      <c r="R201">
        <v>0</v>
      </c>
      <c r="S201">
        <v>0</v>
      </c>
      <c r="T201">
        <v>71970.39</v>
      </c>
      <c r="U201">
        <v>22157.19</v>
      </c>
    </row>
    <row r="202" spans="1:21" ht="15" customHeight="1" x14ac:dyDescent="0.25">
      <c r="A202" t="s">
        <v>2545</v>
      </c>
      <c r="B202" s="8">
        <v>45446</v>
      </c>
      <c r="C202" s="8">
        <v>45453</v>
      </c>
      <c r="D202" t="s">
        <v>48</v>
      </c>
      <c r="E202" t="s">
        <v>3084</v>
      </c>
      <c r="F202" t="s">
        <v>3090</v>
      </c>
      <c r="G202" t="s">
        <v>2546</v>
      </c>
      <c r="H202">
        <v>7064808186</v>
      </c>
      <c r="I202" t="s">
        <v>24</v>
      </c>
      <c r="J202" t="s">
        <v>61</v>
      </c>
      <c r="K202" t="s">
        <v>182</v>
      </c>
      <c r="L202" t="str">
        <f>L201</f>
        <v>Food &amp; Beverages</v>
      </c>
      <c r="M202" t="str">
        <f>TRIM(Table2[[#This Row],[Category]])</f>
        <v>Food &amp; Beverages</v>
      </c>
      <c r="N202" t="s">
        <v>109</v>
      </c>
      <c r="O202" t="s">
        <v>157</v>
      </c>
      <c r="P202">
        <v>13</v>
      </c>
      <c r="Q202">
        <v>10948.34</v>
      </c>
      <c r="R202">
        <v>15</v>
      </c>
      <c r="S202">
        <v>21349.26</v>
      </c>
      <c r="T202">
        <v>120979.16</v>
      </c>
      <c r="U202">
        <v>45993.02</v>
      </c>
    </row>
    <row r="203" spans="1:21" ht="15" customHeight="1" x14ac:dyDescent="0.25">
      <c r="A203" t="s">
        <v>769</v>
      </c>
      <c r="B203" s="8">
        <v>45452</v>
      </c>
      <c r="C203" s="8">
        <v>45458</v>
      </c>
      <c r="D203" t="s">
        <v>48</v>
      </c>
      <c r="E203" t="s">
        <v>3059</v>
      </c>
      <c r="F203" t="s">
        <v>3064</v>
      </c>
      <c r="G203" t="s">
        <v>771</v>
      </c>
      <c r="H203">
        <v>8036284972</v>
      </c>
      <c r="I203" t="s">
        <v>24</v>
      </c>
      <c r="J203" t="s">
        <v>69</v>
      </c>
      <c r="K203" t="s">
        <v>307</v>
      </c>
      <c r="L203" t="s">
        <v>108</v>
      </c>
      <c r="M203" t="str">
        <f>TRIM(Table2[[#This Row],[Category]])</f>
        <v>Clothing</v>
      </c>
      <c r="N203" t="s">
        <v>38</v>
      </c>
      <c r="O203" t="s">
        <v>39</v>
      </c>
      <c r="P203">
        <v>8</v>
      </c>
      <c r="Q203">
        <v>21468.59</v>
      </c>
      <c r="R203">
        <v>0</v>
      </c>
      <c r="S203">
        <v>0</v>
      </c>
      <c r="T203">
        <v>171748.72</v>
      </c>
      <c r="U203">
        <v>71470.28</v>
      </c>
    </row>
    <row r="204" spans="1:21" ht="15" customHeight="1" x14ac:dyDescent="0.25">
      <c r="A204" t="s">
        <v>2392</v>
      </c>
      <c r="B204" s="8">
        <v>45459</v>
      </c>
      <c r="C204" s="8">
        <v>45465</v>
      </c>
      <c r="D204" t="s">
        <v>48</v>
      </c>
      <c r="E204" t="s">
        <v>3041</v>
      </c>
      <c r="F204" t="s">
        <v>3057</v>
      </c>
      <c r="G204" t="s">
        <v>2394</v>
      </c>
      <c r="H204">
        <v>8159909162</v>
      </c>
      <c r="I204" t="s">
        <v>35</v>
      </c>
      <c r="J204" t="s">
        <v>51</v>
      </c>
      <c r="K204" t="s">
        <v>227</v>
      </c>
      <c r="L204" t="s">
        <v>63</v>
      </c>
      <c r="M204" t="str">
        <f>TRIM(Table2[[#This Row],[Category]])</f>
        <v>Office Supplies</v>
      </c>
      <c r="N204" t="s">
        <v>469</v>
      </c>
      <c r="O204" t="s">
        <v>470</v>
      </c>
      <c r="P204">
        <v>3</v>
      </c>
      <c r="Q204">
        <v>3941.46</v>
      </c>
      <c r="R204">
        <v>10</v>
      </c>
      <c r="S204">
        <v>1182.44</v>
      </c>
      <c r="T204">
        <v>10641.94</v>
      </c>
      <c r="U204">
        <v>4515.59</v>
      </c>
    </row>
    <row r="205" spans="1:21" ht="15" customHeight="1" x14ac:dyDescent="0.25">
      <c r="A205" t="s">
        <v>1319</v>
      </c>
      <c r="B205" s="8">
        <v>45466</v>
      </c>
      <c r="C205" s="8">
        <v>45473</v>
      </c>
      <c r="D205" t="s">
        <v>48</v>
      </c>
      <c r="E205" t="s">
        <v>3072</v>
      </c>
      <c r="F205" t="s">
        <v>3090</v>
      </c>
      <c r="G205" t="s">
        <v>1321</v>
      </c>
      <c r="H205">
        <v>8065204309</v>
      </c>
      <c r="I205" t="s">
        <v>24</v>
      </c>
      <c r="J205" t="s">
        <v>69</v>
      </c>
      <c r="K205" t="s">
        <v>119</v>
      </c>
      <c r="L205" t="s">
        <v>108</v>
      </c>
      <c r="M205" t="str">
        <f>TRIM(Table2[[#This Row],[Category]])</f>
        <v>Clothing</v>
      </c>
      <c r="N205" t="s">
        <v>114</v>
      </c>
      <c r="O205" t="s">
        <v>115</v>
      </c>
      <c r="P205">
        <v>1</v>
      </c>
      <c r="Q205">
        <v>8400.73</v>
      </c>
      <c r="R205">
        <v>0</v>
      </c>
      <c r="S205">
        <v>0</v>
      </c>
      <c r="T205">
        <v>8400.73</v>
      </c>
      <c r="U205">
        <v>2089.8000000000002</v>
      </c>
    </row>
    <row r="206" spans="1:21" ht="15" customHeight="1" x14ac:dyDescent="0.25">
      <c r="A206" t="s">
        <v>2373</v>
      </c>
      <c r="B206" s="8">
        <v>45468</v>
      </c>
      <c r="C206" s="8">
        <v>45474</v>
      </c>
      <c r="D206" t="s">
        <v>48</v>
      </c>
      <c r="E206" t="s">
        <v>3035</v>
      </c>
      <c r="F206" t="s">
        <v>3079</v>
      </c>
      <c r="G206" t="s">
        <v>422</v>
      </c>
      <c r="H206">
        <v>8035223626</v>
      </c>
      <c r="I206" t="s">
        <v>43</v>
      </c>
      <c r="J206" t="s">
        <v>25</v>
      </c>
      <c r="K206" t="s">
        <v>36</v>
      </c>
      <c r="L206" t="s">
        <v>37</v>
      </c>
      <c r="M206" t="str">
        <f>TRIM(Table2[[#This Row],[Category]])</f>
        <v>clothing</v>
      </c>
      <c r="N206" t="s">
        <v>189</v>
      </c>
      <c r="O206" t="s">
        <v>325</v>
      </c>
      <c r="P206">
        <v>6</v>
      </c>
      <c r="Q206">
        <v>23182.02</v>
      </c>
      <c r="R206">
        <v>10</v>
      </c>
      <c r="S206">
        <v>13909.21</v>
      </c>
      <c r="T206">
        <v>125182.91</v>
      </c>
      <c r="U206">
        <v>19325.21</v>
      </c>
    </row>
    <row r="207" spans="1:21" ht="15" customHeight="1" x14ac:dyDescent="0.25">
      <c r="A207" t="s">
        <v>2230</v>
      </c>
      <c r="B207" s="8">
        <v>45488</v>
      </c>
      <c r="C207" s="8">
        <v>45494</v>
      </c>
      <c r="D207" t="s">
        <v>48</v>
      </c>
      <c r="E207" t="s">
        <v>3094</v>
      </c>
      <c r="F207" t="s">
        <v>3046</v>
      </c>
      <c r="G207" t="s">
        <v>2232</v>
      </c>
      <c r="H207">
        <v>9024894252</v>
      </c>
      <c r="I207" t="s">
        <v>24</v>
      </c>
      <c r="J207" t="s">
        <v>69</v>
      </c>
      <c r="K207" t="s">
        <v>144</v>
      </c>
      <c r="L207" t="s">
        <v>108</v>
      </c>
      <c r="M207" t="str">
        <f>TRIM(Table2[[#This Row],[Category]])</f>
        <v>Clothing</v>
      </c>
      <c r="N207" t="s">
        <v>38</v>
      </c>
      <c r="O207" t="s">
        <v>213</v>
      </c>
      <c r="P207">
        <v>10</v>
      </c>
      <c r="Q207">
        <v>26215.59</v>
      </c>
      <c r="R207">
        <v>10</v>
      </c>
      <c r="S207">
        <v>26215.59</v>
      </c>
      <c r="T207">
        <v>235940.31</v>
      </c>
      <c r="U207">
        <v>-15038.19</v>
      </c>
    </row>
    <row r="208" spans="1:21" ht="15" customHeight="1" x14ac:dyDescent="0.25">
      <c r="A208" t="s">
        <v>1677</v>
      </c>
      <c r="B208" s="8">
        <v>45492</v>
      </c>
      <c r="C208" s="8">
        <v>45497</v>
      </c>
      <c r="D208" t="s">
        <v>48</v>
      </c>
      <c r="E208" t="s">
        <v>3089</v>
      </c>
      <c r="F208" t="s">
        <v>3043</v>
      </c>
      <c r="G208" t="s">
        <v>1679</v>
      </c>
      <c r="H208">
        <v>9074741740</v>
      </c>
      <c r="I208" t="s">
        <v>35</v>
      </c>
      <c r="J208" t="s">
        <v>588</v>
      </c>
      <c r="K208" t="s">
        <v>144</v>
      </c>
      <c r="L208" t="s">
        <v>85</v>
      </c>
      <c r="M208" t="str">
        <f>TRIM(Table2[[#This Row],[Category]])</f>
        <v>Furniture</v>
      </c>
      <c r="N208" t="s">
        <v>486</v>
      </c>
      <c r="O208" t="s">
        <v>527</v>
      </c>
      <c r="P208">
        <v>16</v>
      </c>
      <c r="Q208">
        <v>44659.82</v>
      </c>
      <c r="R208">
        <v>10</v>
      </c>
      <c r="S208">
        <v>71455.710000000006</v>
      </c>
      <c r="T208">
        <v>643101.41</v>
      </c>
      <c r="U208">
        <v>215029.18</v>
      </c>
    </row>
    <row r="209" spans="1:21" ht="15" customHeight="1" x14ac:dyDescent="0.25">
      <c r="A209" t="s">
        <v>1666</v>
      </c>
      <c r="B209" s="8">
        <v>45490</v>
      </c>
      <c r="C209" s="8">
        <v>45498</v>
      </c>
      <c r="D209" t="s">
        <v>48</v>
      </c>
      <c r="E209" t="s">
        <v>1667</v>
      </c>
      <c r="F209" t="str">
        <f>F208</f>
        <v>Abubakar</v>
      </c>
      <c r="G209" t="s">
        <v>1668</v>
      </c>
      <c r="H209">
        <v>9052699161</v>
      </c>
      <c r="I209" t="s">
        <v>1669</v>
      </c>
      <c r="J209" t="s">
        <v>69</v>
      </c>
      <c r="K209" t="s">
        <v>119</v>
      </c>
      <c r="L209" t="s">
        <v>63</v>
      </c>
      <c r="M209" t="str">
        <f>TRIM(Table2[[#This Row],[Category]])</f>
        <v>Office Supplies</v>
      </c>
      <c r="N209" t="s">
        <v>469</v>
      </c>
      <c r="O209" t="s">
        <v>470</v>
      </c>
      <c r="P209">
        <v>11</v>
      </c>
      <c r="Q209">
        <v>11624.88</v>
      </c>
      <c r="R209">
        <v>5</v>
      </c>
      <c r="S209">
        <v>6393.68</v>
      </c>
      <c r="T209">
        <v>121480</v>
      </c>
      <c r="U209">
        <v>-10349.620000000001</v>
      </c>
    </row>
    <row r="210" spans="1:21" ht="15" customHeight="1" x14ac:dyDescent="0.25">
      <c r="A210" t="s">
        <v>1100</v>
      </c>
      <c r="B210" s="8">
        <v>45494</v>
      </c>
      <c r="C210" s="8">
        <v>45502</v>
      </c>
      <c r="D210" t="s">
        <v>48</v>
      </c>
      <c r="E210" t="s">
        <v>3091</v>
      </c>
      <c r="F210" t="s">
        <v>3078</v>
      </c>
      <c r="G210" t="s">
        <v>1102</v>
      </c>
      <c r="H210">
        <v>8136379509</v>
      </c>
      <c r="I210" t="s">
        <v>43</v>
      </c>
      <c r="J210" t="s">
        <v>61</v>
      </c>
      <c r="K210" t="s">
        <v>62</v>
      </c>
      <c r="L210" t="s">
        <v>96</v>
      </c>
      <c r="M210" t="str">
        <f>TRIM(Table2[[#This Row],[Category]])</f>
        <v>Technology</v>
      </c>
      <c r="N210" t="s">
        <v>385</v>
      </c>
      <c r="O210" t="s">
        <v>743</v>
      </c>
      <c r="P210">
        <v>1</v>
      </c>
      <c r="Q210">
        <v>436826.55</v>
      </c>
      <c r="R210">
        <v>0</v>
      </c>
      <c r="S210">
        <v>0</v>
      </c>
      <c r="T210">
        <v>436826.55</v>
      </c>
      <c r="U210">
        <v>189320.44</v>
      </c>
    </row>
    <row r="211" spans="1:21" ht="15" customHeight="1" x14ac:dyDescent="0.25">
      <c r="A211" t="s">
        <v>1244</v>
      </c>
      <c r="B211" s="8">
        <v>45502</v>
      </c>
      <c r="C211" s="8">
        <v>45510</v>
      </c>
      <c r="D211" t="s">
        <v>48</v>
      </c>
      <c r="E211" t="s">
        <v>3070</v>
      </c>
      <c r="F211" t="s">
        <v>3038</v>
      </c>
      <c r="G211" t="s">
        <v>1246</v>
      </c>
      <c r="H211">
        <v>8161738700</v>
      </c>
      <c r="I211" t="s">
        <v>24</v>
      </c>
      <c r="J211" t="s">
        <v>61</v>
      </c>
      <c r="K211" t="s">
        <v>62</v>
      </c>
      <c r="L211" t="s">
        <v>27</v>
      </c>
      <c r="M211" t="str">
        <f>TRIM(Table2[[#This Row],[Category]])</f>
        <v>Food &amp; Beverages</v>
      </c>
      <c r="N211" t="s">
        <v>79</v>
      </c>
      <c r="O211" t="s">
        <v>80</v>
      </c>
      <c r="P211">
        <v>2</v>
      </c>
      <c r="Q211">
        <v>3894.94</v>
      </c>
      <c r="R211">
        <v>0</v>
      </c>
      <c r="S211">
        <v>0</v>
      </c>
      <c r="T211">
        <v>7789.88</v>
      </c>
      <c r="U211">
        <v>1264.6600000000001</v>
      </c>
    </row>
    <row r="212" spans="1:21" ht="15" customHeight="1" x14ac:dyDescent="0.25">
      <c r="A212" t="s">
        <v>2753</v>
      </c>
      <c r="B212" s="8">
        <v>45503</v>
      </c>
      <c r="C212" s="8">
        <v>45510</v>
      </c>
      <c r="D212" t="s">
        <v>48</v>
      </c>
      <c r="E212" t="s">
        <v>3085</v>
      </c>
      <c r="F212" t="s">
        <v>3034</v>
      </c>
      <c r="G212" t="s">
        <v>2754</v>
      </c>
      <c r="H212">
        <v>8038867277</v>
      </c>
      <c r="I212" t="s">
        <v>35</v>
      </c>
      <c r="J212" t="s">
        <v>61</v>
      </c>
      <c r="K212" t="s">
        <v>204</v>
      </c>
      <c r="L212" t="s">
        <v>63</v>
      </c>
      <c r="M212" t="str">
        <f>TRIM(Table2[[#This Row],[Category]])</f>
        <v>Office Supplies</v>
      </c>
      <c r="N212" t="s">
        <v>312</v>
      </c>
      <c r="O212" t="s">
        <v>686</v>
      </c>
      <c r="P212">
        <v>11</v>
      </c>
      <c r="Q212">
        <v>13924.17</v>
      </c>
      <c r="R212">
        <v>10</v>
      </c>
      <c r="S212">
        <v>15316.59</v>
      </c>
      <c r="T212">
        <v>137849.28</v>
      </c>
      <c r="U212">
        <v>22886.49</v>
      </c>
    </row>
    <row r="213" spans="1:21" ht="15" customHeight="1" x14ac:dyDescent="0.25">
      <c r="A213" t="s">
        <v>1807</v>
      </c>
      <c r="B213" s="8" t="s">
        <v>1808</v>
      </c>
      <c r="C213" s="8">
        <v>45512</v>
      </c>
      <c r="D213" t="s">
        <v>48</v>
      </c>
      <c r="E213" t="s">
        <v>3084</v>
      </c>
      <c r="F213" t="s">
        <v>3042</v>
      </c>
      <c r="G213" t="s">
        <v>1810</v>
      </c>
      <c r="H213">
        <v>8034672603</v>
      </c>
      <c r="I213" t="s">
        <v>43</v>
      </c>
      <c r="J213" t="s">
        <v>61</v>
      </c>
      <c r="K213" t="s">
        <v>95</v>
      </c>
      <c r="L213" t="s">
        <v>37</v>
      </c>
      <c r="M213" t="str">
        <f>TRIM(Table2[[#This Row],[Category]])</f>
        <v>clothing</v>
      </c>
      <c r="N213" t="s">
        <v>183</v>
      </c>
      <c r="O213" t="s">
        <v>372</v>
      </c>
      <c r="P213">
        <v>5</v>
      </c>
      <c r="Q213">
        <v>27863.01</v>
      </c>
      <c r="R213">
        <v>0</v>
      </c>
      <c r="S213">
        <v>0</v>
      </c>
      <c r="T213" t="s">
        <v>1811</v>
      </c>
      <c r="U213">
        <v>29162.57</v>
      </c>
    </row>
    <row r="214" spans="1:21" ht="15" customHeight="1" x14ac:dyDescent="0.25">
      <c r="A214" t="s">
        <v>2958</v>
      </c>
      <c r="B214" s="8">
        <v>45512</v>
      </c>
      <c r="C214" s="8">
        <v>45517</v>
      </c>
      <c r="D214" t="s">
        <v>48</v>
      </c>
      <c r="E214" t="s">
        <v>3082</v>
      </c>
      <c r="F214" t="s">
        <v>3086</v>
      </c>
      <c r="G214" t="s">
        <v>2960</v>
      </c>
      <c r="H214">
        <v>9072705514</v>
      </c>
      <c r="I214" t="s">
        <v>43</v>
      </c>
      <c r="J214" t="s">
        <v>69</v>
      </c>
      <c r="K214" t="s">
        <v>307</v>
      </c>
      <c r="L214" t="s">
        <v>96</v>
      </c>
      <c r="M214" t="str">
        <f>TRIM(Table2[[#This Row],[Category]])</f>
        <v>Technology</v>
      </c>
      <c r="N214" t="s">
        <v>254</v>
      </c>
      <c r="O214" t="s">
        <v>255</v>
      </c>
      <c r="P214">
        <v>4</v>
      </c>
      <c r="Q214">
        <v>15202.03</v>
      </c>
      <c r="R214">
        <v>5</v>
      </c>
      <c r="S214">
        <v>3040.41</v>
      </c>
      <c r="T214">
        <v>57767.71</v>
      </c>
      <c r="U214">
        <v>17342.02</v>
      </c>
    </row>
    <row r="215" spans="1:21" ht="15" customHeight="1" x14ac:dyDescent="0.25">
      <c r="A215" t="s">
        <v>2106</v>
      </c>
      <c r="B215" s="8">
        <v>45512</v>
      </c>
      <c r="C215" s="8">
        <v>45520</v>
      </c>
      <c r="D215" t="s">
        <v>48</v>
      </c>
      <c r="E215" t="s">
        <v>3068</v>
      </c>
      <c r="F215" t="s">
        <v>3054</v>
      </c>
      <c r="G215" t="s">
        <v>2107</v>
      </c>
      <c r="H215">
        <v>8168668568</v>
      </c>
      <c r="I215" t="s">
        <v>24</v>
      </c>
      <c r="J215" t="s">
        <v>69</v>
      </c>
      <c r="K215" t="s">
        <v>70</v>
      </c>
      <c r="L215" t="s">
        <v>96</v>
      </c>
      <c r="M215" t="str">
        <f>TRIM(Table2[[#This Row],[Category]])</f>
        <v>Technology</v>
      </c>
      <c r="N215" t="s">
        <v>254</v>
      </c>
      <c r="O215" t="s">
        <v>530</v>
      </c>
      <c r="P215">
        <v>10</v>
      </c>
      <c r="Q215">
        <v>19793.55</v>
      </c>
      <c r="R215">
        <v>200</v>
      </c>
      <c r="S215">
        <v>0</v>
      </c>
      <c r="T215">
        <v>197935.5</v>
      </c>
      <c r="U215">
        <v>46923.66</v>
      </c>
    </row>
    <row r="216" spans="1:21" ht="15" customHeight="1" x14ac:dyDescent="0.25">
      <c r="A216" t="s">
        <v>1424</v>
      </c>
      <c r="B216" s="8">
        <v>45522</v>
      </c>
      <c r="C216" s="8">
        <v>45527</v>
      </c>
      <c r="D216" t="s">
        <v>48</v>
      </c>
      <c r="E216" t="s">
        <v>3061</v>
      </c>
      <c r="F216" t="s">
        <v>3090</v>
      </c>
      <c r="G216" t="s">
        <v>1426</v>
      </c>
      <c r="H216">
        <v>8161172342</v>
      </c>
      <c r="I216" t="s">
        <v>24</v>
      </c>
      <c r="J216" t="s">
        <v>25</v>
      </c>
      <c r="K216" t="s">
        <v>36</v>
      </c>
      <c r="L216" t="s">
        <v>96</v>
      </c>
      <c r="M216" t="str">
        <f>TRIM(Table2[[#This Row],[Category]])</f>
        <v>Technology</v>
      </c>
      <c r="N216" t="s">
        <v>120</v>
      </c>
      <c r="O216" t="s">
        <v>121</v>
      </c>
      <c r="P216">
        <v>7</v>
      </c>
      <c r="Q216">
        <v>104349.52</v>
      </c>
      <c r="R216">
        <v>0</v>
      </c>
      <c r="S216">
        <v>0</v>
      </c>
      <c r="T216">
        <v>730446.64</v>
      </c>
      <c r="U216">
        <v>184335.8</v>
      </c>
    </row>
    <row r="217" spans="1:21" ht="15" customHeight="1" x14ac:dyDescent="0.25">
      <c r="A217" t="s">
        <v>1366</v>
      </c>
      <c r="B217" s="8">
        <v>45525</v>
      </c>
      <c r="C217" s="8">
        <v>45530</v>
      </c>
      <c r="D217" t="s">
        <v>48</v>
      </c>
      <c r="E217" t="s">
        <v>3068</v>
      </c>
      <c r="F217" t="s">
        <v>3075</v>
      </c>
      <c r="G217" t="s">
        <v>1368</v>
      </c>
      <c r="H217">
        <v>8142644153</v>
      </c>
      <c r="I217" t="s">
        <v>35</v>
      </c>
      <c r="J217" t="s">
        <v>25</v>
      </c>
      <c r="K217" t="s">
        <v>168</v>
      </c>
      <c r="L217" t="s">
        <v>108</v>
      </c>
      <c r="M217" t="str">
        <f>TRIM(Table2[[#This Row],[Category]])</f>
        <v>Clothing</v>
      </c>
      <c r="N217" t="s">
        <v>183</v>
      </c>
      <c r="O217" t="s">
        <v>372</v>
      </c>
      <c r="P217">
        <v>1</v>
      </c>
      <c r="Q217">
        <v>5572.94</v>
      </c>
      <c r="R217">
        <v>15</v>
      </c>
      <c r="S217">
        <v>835.94</v>
      </c>
      <c r="T217">
        <v>4737</v>
      </c>
      <c r="U217">
        <v>1989.35</v>
      </c>
    </row>
    <row r="218" spans="1:21" ht="15" customHeight="1" x14ac:dyDescent="0.25">
      <c r="A218" t="s">
        <v>1691</v>
      </c>
      <c r="B218" s="8">
        <v>45525</v>
      </c>
      <c r="C218" s="8">
        <v>45530</v>
      </c>
      <c r="D218" t="s">
        <v>48</v>
      </c>
      <c r="E218" t="s">
        <v>3048</v>
      </c>
      <c r="F218" t="s">
        <v>3075</v>
      </c>
      <c r="G218" t="s">
        <v>237</v>
      </c>
      <c r="H218">
        <v>9029542262</v>
      </c>
      <c r="I218" t="s">
        <v>24</v>
      </c>
      <c r="J218" t="s">
        <v>69</v>
      </c>
      <c r="K218" t="s">
        <v>119</v>
      </c>
      <c r="L218" t="s">
        <v>63</v>
      </c>
      <c r="M218" t="str">
        <f>TRIM(Table2[[#This Row],[Category]])</f>
        <v>Office Supplies</v>
      </c>
      <c r="N218" t="s">
        <v>64</v>
      </c>
      <c r="O218" t="s">
        <v>777</v>
      </c>
      <c r="P218">
        <v>11</v>
      </c>
      <c r="Q218">
        <v>11874.55</v>
      </c>
      <c r="R218">
        <v>10</v>
      </c>
      <c r="S218">
        <v>13062</v>
      </c>
      <c r="T218">
        <v>117558.05</v>
      </c>
      <c r="U218">
        <v>19430.63</v>
      </c>
    </row>
    <row r="219" spans="1:21" ht="15" customHeight="1" x14ac:dyDescent="0.25">
      <c r="A219" t="s">
        <v>2053</v>
      </c>
      <c r="B219" s="8" t="s">
        <v>2054</v>
      </c>
      <c r="C219" s="8">
        <v>45545</v>
      </c>
      <c r="D219" t="s">
        <v>48</v>
      </c>
      <c r="E219" t="s">
        <v>3097</v>
      </c>
      <c r="F219" t="s">
        <v>3036</v>
      </c>
      <c r="G219" t="s">
        <v>2056</v>
      </c>
      <c r="H219">
        <v>8152410406</v>
      </c>
      <c r="I219" t="s">
        <v>43</v>
      </c>
      <c r="J219" t="s">
        <v>69</v>
      </c>
      <c r="K219" t="s">
        <v>119</v>
      </c>
      <c r="L219" t="s">
        <v>63</v>
      </c>
      <c r="M219" t="str">
        <f>TRIM(Table2[[#This Row],[Category]])</f>
        <v>Office Supplies</v>
      </c>
      <c r="N219" t="s">
        <v>64</v>
      </c>
      <c r="O219" t="s">
        <v>501</v>
      </c>
      <c r="P219">
        <v>17</v>
      </c>
      <c r="Q219">
        <v>4190.1899999999996</v>
      </c>
      <c r="R219" t="s">
        <v>2057</v>
      </c>
      <c r="S219">
        <v>10684.98</v>
      </c>
      <c r="T219">
        <v>60548.25</v>
      </c>
      <c r="U219">
        <v>9370.2099999999991</v>
      </c>
    </row>
    <row r="220" spans="1:21" ht="15" customHeight="1" x14ac:dyDescent="0.25">
      <c r="A220" t="s">
        <v>2678</v>
      </c>
      <c r="B220" s="8">
        <v>45540</v>
      </c>
      <c r="C220" s="8">
        <v>45545</v>
      </c>
      <c r="D220" t="s">
        <v>48</v>
      </c>
      <c r="E220" t="s">
        <v>3094</v>
      </c>
      <c r="F220" t="s">
        <v>3062</v>
      </c>
      <c r="G220" t="s">
        <v>2679</v>
      </c>
      <c r="H220">
        <v>9077937523</v>
      </c>
      <c r="I220" t="s">
        <v>35</v>
      </c>
      <c r="J220" t="s">
        <v>61</v>
      </c>
      <c r="K220" t="s">
        <v>84</v>
      </c>
      <c r="L220" t="s">
        <v>63</v>
      </c>
      <c r="M220" t="str">
        <f>TRIM(Table2[[#This Row],[Category]])</f>
        <v>Office Supplies</v>
      </c>
      <c r="N220" t="s">
        <v>54</v>
      </c>
      <c r="O220" t="s">
        <v>55</v>
      </c>
      <c r="P220">
        <f>P219</f>
        <v>17</v>
      </c>
      <c r="Q220">
        <v>10456.59</v>
      </c>
      <c r="R220">
        <v>0</v>
      </c>
      <c r="S220">
        <v>0</v>
      </c>
      <c r="T220">
        <v>146392.26</v>
      </c>
      <c r="U220">
        <v>54516.66</v>
      </c>
    </row>
    <row r="221" spans="1:21" ht="15" customHeight="1" x14ac:dyDescent="0.25">
      <c r="A221" t="s">
        <v>1387</v>
      </c>
      <c r="B221" s="8">
        <v>45544</v>
      </c>
      <c r="C221" s="8">
        <v>45551</v>
      </c>
      <c r="D221" t="s">
        <v>48</v>
      </c>
      <c r="E221" t="s">
        <v>3093</v>
      </c>
      <c r="F221" t="s">
        <v>3078</v>
      </c>
      <c r="G221" t="s">
        <v>1388</v>
      </c>
      <c r="H221">
        <v>8108414487</v>
      </c>
      <c r="I221" t="s">
        <v>35</v>
      </c>
      <c r="J221" t="s">
        <v>25</v>
      </c>
      <c r="K221" t="s">
        <v>26</v>
      </c>
      <c r="L221" t="s">
        <v>27</v>
      </c>
      <c r="M221" t="str">
        <f>TRIM(Table2[[#This Row],[Category]])</f>
        <v>Food &amp; Beverages</v>
      </c>
      <c r="N221" t="s">
        <v>173</v>
      </c>
      <c r="O221" t="s">
        <v>174</v>
      </c>
      <c r="P221">
        <v>10</v>
      </c>
      <c r="Q221">
        <v>1626</v>
      </c>
      <c r="R221">
        <v>0</v>
      </c>
      <c r="S221">
        <v>0</v>
      </c>
      <c r="T221">
        <v>16260</v>
      </c>
      <c r="U221">
        <v>4823.95</v>
      </c>
    </row>
    <row r="222" spans="1:21" ht="15" customHeight="1" x14ac:dyDescent="0.25">
      <c r="A222" t="s">
        <v>1796</v>
      </c>
      <c r="B222" s="8">
        <v>45549</v>
      </c>
      <c r="C222" s="8">
        <v>45555</v>
      </c>
      <c r="D222" t="s">
        <v>48</v>
      </c>
      <c r="E222" t="s">
        <v>3059</v>
      </c>
      <c r="F222" t="s">
        <v>3052</v>
      </c>
      <c r="G222" t="s">
        <v>1797</v>
      </c>
      <c r="H222">
        <v>9022500416</v>
      </c>
      <c r="I222" t="s">
        <v>43</v>
      </c>
      <c r="J222" t="s">
        <v>69</v>
      </c>
      <c r="K222" t="s">
        <v>119</v>
      </c>
      <c r="L222" t="s">
        <v>96</v>
      </c>
      <c r="M222" t="str">
        <f>TRIM(Table2[[#This Row],[Category]])</f>
        <v>Technology</v>
      </c>
      <c r="N222" t="s">
        <v>189</v>
      </c>
      <c r="O222" t="s">
        <v>287</v>
      </c>
      <c r="P222">
        <v>11</v>
      </c>
      <c r="Q222">
        <v>84702.35</v>
      </c>
      <c r="R222">
        <v>15</v>
      </c>
      <c r="S222">
        <v>139758.88</v>
      </c>
      <c r="T222">
        <v>791966.97</v>
      </c>
      <c r="U222">
        <v>245339.72</v>
      </c>
    </row>
    <row r="223" spans="1:21" ht="15" customHeight="1" x14ac:dyDescent="0.25">
      <c r="A223" t="s">
        <v>1706</v>
      </c>
      <c r="B223" s="8">
        <v>45585</v>
      </c>
      <c r="C223" s="8">
        <v>45592</v>
      </c>
      <c r="D223" t="s">
        <v>48</v>
      </c>
      <c r="E223" t="s">
        <v>3095</v>
      </c>
      <c r="F223" t="s">
        <v>3043</v>
      </c>
      <c r="G223" t="s">
        <v>1708</v>
      </c>
      <c r="H223">
        <v>7067767404</v>
      </c>
      <c r="I223" t="s">
        <v>24</v>
      </c>
      <c r="J223" t="s">
        <v>61</v>
      </c>
      <c r="K223" t="s">
        <v>182</v>
      </c>
      <c r="L223" t="s">
        <v>27</v>
      </c>
      <c r="M223" t="str">
        <f>TRIM(Table2[[#This Row],[Category]])</f>
        <v>Food &amp; Beverages</v>
      </c>
      <c r="N223" t="s">
        <v>45</v>
      </c>
      <c r="O223" t="s">
        <v>838</v>
      </c>
      <c r="P223">
        <v>19</v>
      </c>
      <c r="Q223">
        <v>4819.55</v>
      </c>
      <c r="R223">
        <v>0</v>
      </c>
      <c r="S223">
        <v>0</v>
      </c>
      <c r="T223">
        <v>91571.45</v>
      </c>
      <c r="U223">
        <v>36929.53</v>
      </c>
    </row>
    <row r="224" spans="1:21" ht="15" customHeight="1" x14ac:dyDescent="0.25">
      <c r="A224" t="s">
        <v>1837</v>
      </c>
      <c r="B224" s="8">
        <v>45598</v>
      </c>
      <c r="C224" s="8">
        <v>45605</v>
      </c>
      <c r="D224" t="s">
        <v>48</v>
      </c>
      <c r="E224" t="s">
        <v>3073</v>
      </c>
      <c r="F224" t="s">
        <v>3077</v>
      </c>
      <c r="G224" t="s">
        <v>1839</v>
      </c>
      <c r="H224">
        <v>7061001435</v>
      </c>
      <c r="I224" t="s">
        <v>35</v>
      </c>
      <c r="J224" t="s">
        <v>51</v>
      </c>
      <c r="K224" t="s">
        <v>52</v>
      </c>
      <c r="L224" t="s">
        <v>85</v>
      </c>
      <c r="M224" t="str">
        <f>TRIM(Table2[[#This Row],[Category]])</f>
        <v>Furniture</v>
      </c>
      <c r="N224" t="s">
        <v>243</v>
      </c>
      <c r="O224" t="s">
        <v>1054</v>
      </c>
      <c r="P224">
        <v>17</v>
      </c>
      <c r="Q224">
        <v>170748.91</v>
      </c>
      <c r="R224">
        <v>10</v>
      </c>
      <c r="S224">
        <v>290273.15000000002</v>
      </c>
      <c r="T224">
        <v>2612458.3199999998</v>
      </c>
      <c r="U224">
        <v>641344.27</v>
      </c>
    </row>
    <row r="225" spans="1:21" ht="15" customHeight="1" x14ac:dyDescent="0.25">
      <c r="A225" t="s">
        <v>2610</v>
      </c>
      <c r="B225" s="8">
        <v>45609</v>
      </c>
      <c r="C225" s="8">
        <v>45614</v>
      </c>
      <c r="D225" t="s">
        <v>48</v>
      </c>
      <c r="E225" t="s">
        <v>3033</v>
      </c>
      <c r="F225" t="s">
        <v>3083</v>
      </c>
      <c r="G225" t="s">
        <v>2611</v>
      </c>
      <c r="H225">
        <v>8063347324</v>
      </c>
      <c r="I225" t="s">
        <v>24</v>
      </c>
      <c r="J225" t="s">
        <v>51</v>
      </c>
      <c r="K225" t="s">
        <v>227</v>
      </c>
      <c r="L225" t="s">
        <v>85</v>
      </c>
      <c r="M225" t="str">
        <f>TRIM(Table2[[#This Row],[Category]])</f>
        <v>Furniture</v>
      </c>
      <c r="N225" t="s">
        <v>86</v>
      </c>
      <c r="O225" t="s">
        <v>238</v>
      </c>
      <c r="P225">
        <v>8</v>
      </c>
      <c r="Q225">
        <v>36101.660000000003</v>
      </c>
      <c r="R225">
        <v>0</v>
      </c>
      <c r="S225">
        <v>0</v>
      </c>
      <c r="T225">
        <v>288813.28000000003</v>
      </c>
      <c r="U225">
        <v>87451.43</v>
      </c>
    </row>
    <row r="226" spans="1:21" ht="15" customHeight="1" x14ac:dyDescent="0.25">
      <c r="A226" t="s">
        <v>2870</v>
      </c>
      <c r="B226" s="8">
        <v>45622</v>
      </c>
      <c r="C226" s="8">
        <v>45628</v>
      </c>
      <c r="D226" t="s">
        <v>48</v>
      </c>
      <c r="E226" t="s">
        <v>3085</v>
      </c>
      <c r="F226" t="s">
        <v>3071</v>
      </c>
      <c r="G226" t="s">
        <v>1662</v>
      </c>
      <c r="H226">
        <v>7062344809</v>
      </c>
      <c r="I226" t="s">
        <v>35</v>
      </c>
      <c r="J226" t="s">
        <v>61</v>
      </c>
      <c r="K226" t="s">
        <v>62</v>
      </c>
      <c r="L226" t="s">
        <v>63</v>
      </c>
      <c r="M226" t="str">
        <f>TRIM(Table2[[#This Row],[Category]])</f>
        <v>Office Supplies</v>
      </c>
      <c r="N226" t="s">
        <v>64</v>
      </c>
      <c r="O226" t="s">
        <v>501</v>
      </c>
      <c r="P226">
        <v>11</v>
      </c>
      <c r="Q226">
        <v>17192.8</v>
      </c>
      <c r="R226">
        <v>0</v>
      </c>
      <c r="S226">
        <v>0</v>
      </c>
      <c r="T226">
        <v>189120.8</v>
      </c>
      <c r="U226">
        <v>-24611.49</v>
      </c>
    </row>
    <row r="227" spans="1:21" ht="15" customHeight="1" x14ac:dyDescent="0.25">
      <c r="A227" t="s">
        <v>1138</v>
      </c>
      <c r="B227" s="8">
        <v>45622</v>
      </c>
      <c r="C227" s="8">
        <v>45628</v>
      </c>
      <c r="D227" t="s">
        <v>48</v>
      </c>
      <c r="E227" t="s">
        <v>3093</v>
      </c>
      <c r="F227" t="s">
        <v>3046</v>
      </c>
      <c r="G227" t="s">
        <v>1140</v>
      </c>
      <c r="H227">
        <v>8134604128</v>
      </c>
      <c r="I227" t="s">
        <v>43</v>
      </c>
      <c r="J227" t="s">
        <v>25</v>
      </c>
      <c r="K227" t="s">
        <v>26</v>
      </c>
      <c r="L227" t="s">
        <v>63</v>
      </c>
      <c r="M227" t="str">
        <f>TRIM(Table2[[#This Row],[Category]])</f>
        <v>Office Supplies</v>
      </c>
      <c r="N227" t="s">
        <v>249</v>
      </c>
      <c r="O227" t="s">
        <v>1141</v>
      </c>
      <c r="P227">
        <v>17</v>
      </c>
      <c r="Q227">
        <v>23018.25</v>
      </c>
      <c r="R227">
        <v>25</v>
      </c>
      <c r="S227">
        <v>97827.56</v>
      </c>
      <c r="T227">
        <v>293482.69</v>
      </c>
      <c r="U227">
        <v>56466.34</v>
      </c>
    </row>
    <row r="228" spans="1:21" ht="15" customHeight="1" x14ac:dyDescent="0.25">
      <c r="A228" t="s">
        <v>1434</v>
      </c>
      <c r="B228" s="8">
        <v>45626</v>
      </c>
      <c r="C228" s="8">
        <v>45632</v>
      </c>
      <c r="D228" t="s">
        <v>48</v>
      </c>
      <c r="E228" t="s">
        <v>3089</v>
      </c>
      <c r="F228" t="s">
        <v>3096</v>
      </c>
      <c r="G228" t="s">
        <v>1436</v>
      </c>
      <c r="H228">
        <v>9015836389</v>
      </c>
      <c r="I228" t="s">
        <v>43</v>
      </c>
      <c r="J228" t="s">
        <v>51</v>
      </c>
      <c r="K228" t="s">
        <v>52</v>
      </c>
      <c r="L228" t="s">
        <v>27</v>
      </c>
      <c r="M228" t="str">
        <f>TRIM(Table2[[#This Row],[Category]])</f>
        <v>Food &amp; Beverages</v>
      </c>
      <c r="N228" t="s">
        <v>79</v>
      </c>
      <c r="O228" t="s">
        <v>145</v>
      </c>
      <c r="P228">
        <v>4</v>
      </c>
      <c r="Q228" t="s">
        <v>1437</v>
      </c>
      <c r="R228">
        <v>15</v>
      </c>
      <c r="S228">
        <v>1695.89</v>
      </c>
      <c r="T228">
        <v>9610.07</v>
      </c>
      <c r="U228">
        <v>193.8</v>
      </c>
    </row>
    <row r="229" spans="1:21" ht="15" customHeight="1" x14ac:dyDescent="0.25">
      <c r="A229" t="s">
        <v>1184</v>
      </c>
      <c r="B229" s="8">
        <v>45628</v>
      </c>
      <c r="C229" s="8">
        <v>45633</v>
      </c>
      <c r="D229" t="s">
        <v>48</v>
      </c>
      <c r="E229" t="s">
        <v>3053</v>
      </c>
      <c r="F229" t="s">
        <v>3071</v>
      </c>
      <c r="G229" t="s">
        <v>1185</v>
      </c>
      <c r="H229">
        <v>8139702386</v>
      </c>
      <c r="I229" t="s">
        <v>43</v>
      </c>
      <c r="J229" t="s">
        <v>69</v>
      </c>
      <c r="K229" t="s">
        <v>144</v>
      </c>
      <c r="L229" t="s">
        <v>27</v>
      </c>
      <c r="M229" t="str">
        <f>TRIM(Table2[[#This Row],[Category]])</f>
        <v>Food &amp; Beverages</v>
      </c>
      <c r="N229" t="s">
        <v>28</v>
      </c>
      <c r="O229" t="s">
        <v>29</v>
      </c>
      <c r="P229">
        <v>17</v>
      </c>
      <c r="Q229">
        <v>4594.3</v>
      </c>
      <c r="R229">
        <v>0</v>
      </c>
      <c r="S229">
        <v>0</v>
      </c>
      <c r="T229" t="s">
        <v>1186</v>
      </c>
      <c r="U229">
        <v>-2818.72</v>
      </c>
    </row>
    <row r="230" spans="1:21" ht="15" customHeight="1" x14ac:dyDescent="0.25">
      <c r="A230" t="s">
        <v>892</v>
      </c>
      <c r="B230" s="8">
        <v>45627</v>
      </c>
      <c r="C230" s="8">
        <v>45634</v>
      </c>
      <c r="D230" t="s">
        <v>48</v>
      </c>
      <c r="E230" t="s">
        <v>3085</v>
      </c>
      <c r="F230" t="s">
        <v>3088</v>
      </c>
      <c r="G230" t="s">
        <v>894</v>
      </c>
      <c r="H230">
        <v>7062760168</v>
      </c>
      <c r="I230" t="s">
        <v>43</v>
      </c>
      <c r="J230" t="s">
        <v>25</v>
      </c>
      <c r="K230" t="s">
        <v>44</v>
      </c>
      <c r="L230" t="s">
        <v>27</v>
      </c>
      <c r="M230" t="str">
        <f>TRIM(Table2[[#This Row],[Category]])</f>
        <v>Food &amp; Beverages</v>
      </c>
      <c r="N230" t="s">
        <v>173</v>
      </c>
      <c r="O230" t="s">
        <v>279</v>
      </c>
      <c r="P230">
        <v>4</v>
      </c>
      <c r="Q230">
        <v>2476.84</v>
      </c>
      <c r="R230">
        <v>110</v>
      </c>
      <c r="S230">
        <v>1981.47</v>
      </c>
      <c r="T230">
        <v>7925.89</v>
      </c>
      <c r="U230">
        <v>-244.21</v>
      </c>
    </row>
    <row r="231" spans="1:21" ht="15" customHeight="1" x14ac:dyDescent="0.25">
      <c r="A231" t="s">
        <v>892</v>
      </c>
      <c r="B231" s="8">
        <v>45627</v>
      </c>
      <c r="C231" s="8">
        <v>45634</v>
      </c>
      <c r="D231" t="s">
        <v>48</v>
      </c>
      <c r="E231" t="s">
        <v>3085</v>
      </c>
      <c r="F231" t="s">
        <v>3088</v>
      </c>
      <c r="G231" t="s">
        <v>894</v>
      </c>
      <c r="H231" t="s">
        <v>1508</v>
      </c>
      <c r="I231" t="s">
        <v>43</v>
      </c>
      <c r="J231" t="s">
        <v>25</v>
      </c>
      <c r="K231" t="s">
        <v>44</v>
      </c>
      <c r="L231" t="s">
        <v>27</v>
      </c>
      <c r="M231" t="str">
        <f>TRIM(Table2[[#This Row],[Category]])</f>
        <v>Food &amp; Beverages</v>
      </c>
      <c r="N231" t="s">
        <v>173</v>
      </c>
      <c r="O231" t="s">
        <v>279</v>
      </c>
      <c r="P231">
        <v>4</v>
      </c>
      <c r="Q231">
        <v>2476.84</v>
      </c>
      <c r="R231">
        <v>20</v>
      </c>
      <c r="S231">
        <v>1981.47</v>
      </c>
      <c r="T231">
        <v>7925.89</v>
      </c>
      <c r="U231">
        <v>-244.21</v>
      </c>
    </row>
    <row r="232" spans="1:21" ht="15" customHeight="1" x14ac:dyDescent="0.25">
      <c r="A232" t="s">
        <v>1731</v>
      </c>
      <c r="B232" s="8">
        <v>45632</v>
      </c>
      <c r="C232" s="8">
        <v>45637</v>
      </c>
      <c r="D232" t="s">
        <v>48</v>
      </c>
      <c r="E232" t="s">
        <v>3098</v>
      </c>
      <c r="F232" t="s">
        <v>3078</v>
      </c>
      <c r="G232" t="s">
        <v>1374</v>
      </c>
      <c r="H232">
        <v>8141879382</v>
      </c>
      <c r="I232" t="s">
        <v>24</v>
      </c>
      <c r="J232" t="s">
        <v>61</v>
      </c>
      <c r="K232" t="s">
        <v>204</v>
      </c>
      <c r="L232" t="s">
        <v>27</v>
      </c>
      <c r="M232" t="str">
        <f>TRIM(Table2[[#This Row],[Category]])</f>
        <v>Food &amp; Beverages</v>
      </c>
      <c r="N232" t="s">
        <v>79</v>
      </c>
      <c r="O232" t="s">
        <v>145</v>
      </c>
      <c r="P232">
        <v>7</v>
      </c>
      <c r="Q232">
        <v>6247.55</v>
      </c>
      <c r="R232">
        <v>5</v>
      </c>
      <c r="S232">
        <v>2186.64</v>
      </c>
      <c r="T232">
        <v>41546.21</v>
      </c>
      <c r="U232">
        <v>3107.11</v>
      </c>
    </row>
    <row r="233" spans="1:21" ht="15" customHeight="1" x14ac:dyDescent="0.25">
      <c r="A233" t="s">
        <v>2883</v>
      </c>
      <c r="B233" s="8">
        <v>45638</v>
      </c>
      <c r="C233" s="8">
        <v>45644</v>
      </c>
      <c r="D233" t="s">
        <v>48</v>
      </c>
      <c r="E233" t="s">
        <v>3033</v>
      </c>
      <c r="F233" t="s">
        <v>3050</v>
      </c>
      <c r="G233" t="s">
        <v>2885</v>
      </c>
      <c r="H233">
        <v>8161788304</v>
      </c>
      <c r="I233" t="s">
        <v>43</v>
      </c>
      <c r="J233" t="s">
        <v>69</v>
      </c>
      <c r="K233" t="s">
        <v>155</v>
      </c>
      <c r="L233" t="s">
        <v>96</v>
      </c>
      <c r="M233" t="str">
        <f>TRIM(Table2[[#This Row],[Category]])</f>
        <v>Technology</v>
      </c>
      <c r="N233" t="s">
        <v>189</v>
      </c>
      <c r="O233" t="s">
        <v>325</v>
      </c>
      <c r="P233">
        <v>4</v>
      </c>
      <c r="Q233">
        <v>378180.72</v>
      </c>
      <c r="R233">
        <v>25</v>
      </c>
      <c r="S233">
        <v>378180.72</v>
      </c>
      <c r="T233">
        <v>1134542.1599999999</v>
      </c>
      <c r="U233">
        <v>452842.23999999999</v>
      </c>
    </row>
    <row r="234" spans="1:21" ht="15" customHeight="1" x14ac:dyDescent="0.25">
      <c r="A234" t="s">
        <v>733</v>
      </c>
      <c r="B234" s="8">
        <v>45643</v>
      </c>
      <c r="C234" s="8">
        <v>45648</v>
      </c>
      <c r="D234" t="s">
        <v>48</v>
      </c>
      <c r="E234" t="s">
        <v>3073</v>
      </c>
      <c r="F234" t="s">
        <v>3074</v>
      </c>
      <c r="G234" t="s">
        <v>735</v>
      </c>
      <c r="H234">
        <v>7068060918</v>
      </c>
      <c r="I234" t="s">
        <v>391</v>
      </c>
      <c r="J234" t="s">
        <v>61</v>
      </c>
      <c r="K234" t="s">
        <v>204</v>
      </c>
      <c r="L234" t="s">
        <v>63</v>
      </c>
      <c r="M234" t="str">
        <f>TRIM(Table2[[#This Row],[Category]])</f>
        <v>Office Supplies</v>
      </c>
      <c r="N234" t="s">
        <v>312</v>
      </c>
      <c r="O234" t="s">
        <v>736</v>
      </c>
      <c r="P234">
        <v>3</v>
      </c>
      <c r="Q234">
        <v>19186.79</v>
      </c>
      <c r="R234">
        <v>0</v>
      </c>
      <c r="S234">
        <v>0</v>
      </c>
      <c r="T234">
        <v>57560.37</v>
      </c>
      <c r="U234">
        <v>11651.26</v>
      </c>
    </row>
    <row r="235" spans="1:21" ht="15" customHeight="1" x14ac:dyDescent="0.25">
      <c r="A235" t="s">
        <v>1654</v>
      </c>
      <c r="B235" s="8">
        <v>45653</v>
      </c>
      <c r="C235" s="8">
        <v>45660</v>
      </c>
      <c r="D235" t="s">
        <v>48</v>
      </c>
      <c r="E235" t="s">
        <v>3060</v>
      </c>
      <c r="F235" t="s">
        <v>3071</v>
      </c>
      <c r="G235" t="s">
        <v>759</v>
      </c>
      <c r="H235">
        <v>7061870113</v>
      </c>
      <c r="I235" t="s">
        <v>24</v>
      </c>
      <c r="J235" t="s">
        <v>51</v>
      </c>
      <c r="K235" t="s">
        <v>131</v>
      </c>
      <c r="L235" t="s">
        <v>63</v>
      </c>
      <c r="M235" t="str">
        <f>TRIM(Table2[[#This Row],[Category]])</f>
        <v>Office Supplies</v>
      </c>
      <c r="N235" t="s">
        <v>64</v>
      </c>
      <c r="O235" t="s">
        <v>104</v>
      </c>
      <c r="P235">
        <v>17</v>
      </c>
      <c r="Q235">
        <v>7213.87</v>
      </c>
      <c r="R235">
        <v>20</v>
      </c>
      <c r="S235">
        <v>24527.16</v>
      </c>
      <c r="T235">
        <v>98108.63</v>
      </c>
      <c r="U235">
        <v>14455.8</v>
      </c>
    </row>
    <row r="236" spans="1:21" ht="15" customHeight="1" x14ac:dyDescent="0.25">
      <c r="A236" t="s">
        <v>2440</v>
      </c>
      <c r="B236" s="8">
        <v>45653</v>
      </c>
      <c r="C236" s="8">
        <v>45660</v>
      </c>
      <c r="D236" t="s">
        <v>48</v>
      </c>
      <c r="E236" t="s">
        <v>3037</v>
      </c>
      <c r="F236" t="s">
        <v>3043</v>
      </c>
      <c r="G236" t="s">
        <v>2442</v>
      </c>
      <c r="H236">
        <v>7033663379</v>
      </c>
      <c r="I236" t="s">
        <v>24</v>
      </c>
      <c r="J236" t="s">
        <v>61</v>
      </c>
      <c r="K236" t="s">
        <v>84</v>
      </c>
      <c r="L236" t="s">
        <v>96</v>
      </c>
      <c r="M236" t="str">
        <f>TRIM(Table2[[#This Row],[Category]])</f>
        <v>Technology</v>
      </c>
      <c r="N236" t="s">
        <v>385</v>
      </c>
      <c r="O236" t="s">
        <v>1010</v>
      </c>
      <c r="P236">
        <v>5</v>
      </c>
      <c r="Q236">
        <v>113422.01</v>
      </c>
      <c r="R236">
        <v>25</v>
      </c>
      <c r="S236">
        <v>141777.51</v>
      </c>
      <c r="T236">
        <v>425332.54</v>
      </c>
      <c r="U236">
        <v>176647.07</v>
      </c>
    </row>
    <row r="237" spans="1:21" ht="15" customHeight="1" x14ac:dyDescent="0.25">
      <c r="A237" t="s">
        <v>1179</v>
      </c>
      <c r="B237" s="8">
        <v>45538</v>
      </c>
      <c r="C237" s="8">
        <f>C236</f>
        <v>45660</v>
      </c>
      <c r="D237" t="s">
        <v>48</v>
      </c>
      <c r="E237" t="s">
        <v>3092</v>
      </c>
      <c r="F237" t="s">
        <v>3086</v>
      </c>
      <c r="G237" t="s">
        <v>1180</v>
      </c>
      <c r="H237">
        <v>9017273997</v>
      </c>
      <c r="I237" t="s">
        <v>43</v>
      </c>
      <c r="J237" t="s">
        <v>61</v>
      </c>
      <c r="K237" t="s">
        <v>95</v>
      </c>
      <c r="L237" t="s">
        <v>85</v>
      </c>
      <c r="M237" t="str">
        <f>TRIM(Table2[[#This Row],[Category]])</f>
        <v>Furniture</v>
      </c>
      <c r="N237" t="s">
        <v>486</v>
      </c>
      <c r="O237" t="s">
        <v>1018</v>
      </c>
      <c r="P237">
        <v>6</v>
      </c>
      <c r="Q237">
        <v>89501.67</v>
      </c>
      <c r="R237">
        <v>5</v>
      </c>
      <c r="S237">
        <v>26850.5</v>
      </c>
      <c r="T237">
        <v>510159.52</v>
      </c>
      <c r="U237">
        <v>-7262.71</v>
      </c>
    </row>
    <row r="238" spans="1:21" ht="15" customHeight="1" x14ac:dyDescent="0.25">
      <c r="A238" t="s">
        <v>1040</v>
      </c>
      <c r="B238" s="8">
        <v>44562</v>
      </c>
      <c r="C238" s="8">
        <v>44565</v>
      </c>
      <c r="D238" t="s">
        <v>73</v>
      </c>
      <c r="E238" t="s">
        <v>3081</v>
      </c>
      <c r="F238" t="s">
        <v>3036</v>
      </c>
      <c r="G238" t="s">
        <v>1042</v>
      </c>
      <c r="H238">
        <v>7037629401</v>
      </c>
      <c r="I238" t="s">
        <v>43</v>
      </c>
      <c r="J238" t="s">
        <v>61</v>
      </c>
      <c r="K238" t="s">
        <v>95</v>
      </c>
      <c r="L238" t="s">
        <v>108</v>
      </c>
      <c r="M238" t="str">
        <f>TRIM(Table2[[#This Row],[Category]])</f>
        <v>Clothing</v>
      </c>
      <c r="N238" t="s">
        <v>189</v>
      </c>
      <c r="O238" t="s">
        <v>190</v>
      </c>
      <c r="P238">
        <v>3</v>
      </c>
      <c r="Q238">
        <v>24262.94</v>
      </c>
      <c r="R238">
        <v>0</v>
      </c>
      <c r="S238">
        <v>0</v>
      </c>
      <c r="T238">
        <v>72788.820000000007</v>
      </c>
      <c r="U238">
        <v>13084.2</v>
      </c>
    </row>
    <row r="239" spans="1:21" ht="15" customHeight="1" x14ac:dyDescent="0.25">
      <c r="A239" t="s">
        <v>1637</v>
      </c>
      <c r="B239" s="8">
        <v>44563</v>
      </c>
      <c r="C239" s="8">
        <v>44566</v>
      </c>
      <c r="D239" t="s">
        <v>73</v>
      </c>
      <c r="E239" t="s">
        <v>3055</v>
      </c>
      <c r="F239" t="s">
        <v>3036</v>
      </c>
      <c r="G239" t="s">
        <v>1639</v>
      </c>
      <c r="H239">
        <v>8037377917</v>
      </c>
      <c r="I239" t="s">
        <v>43</v>
      </c>
      <c r="J239" t="s">
        <v>69</v>
      </c>
      <c r="K239" t="s">
        <v>155</v>
      </c>
      <c r="L239" t="s">
        <v>1640</v>
      </c>
      <c r="M239" t="str">
        <f>TRIM(Table2[[#This Row],[Category]])</f>
        <v>oFFICE sUPPLIES</v>
      </c>
      <c r="N239" t="s">
        <v>194</v>
      </c>
      <c r="O239" t="s">
        <v>336</v>
      </c>
      <c r="P239">
        <v>17</v>
      </c>
      <c r="Q239">
        <v>14836.4</v>
      </c>
      <c r="R239">
        <v>10</v>
      </c>
      <c r="S239">
        <v>25221.88</v>
      </c>
      <c r="T239">
        <v>226996.92</v>
      </c>
      <c r="U239">
        <v>-27854.6</v>
      </c>
    </row>
    <row r="240" spans="1:21" ht="15" customHeight="1" x14ac:dyDescent="0.25">
      <c r="A240" t="s">
        <v>2649</v>
      </c>
      <c r="B240" s="8">
        <v>44563</v>
      </c>
      <c r="C240" s="8">
        <v>44568</v>
      </c>
      <c r="D240" t="s">
        <v>73</v>
      </c>
      <c r="E240" t="s">
        <v>3072</v>
      </c>
      <c r="F240" t="s">
        <v>3083</v>
      </c>
      <c r="G240" t="s">
        <v>1723</v>
      </c>
      <c r="H240">
        <v>8066143155</v>
      </c>
      <c r="I240" t="s">
        <v>24</v>
      </c>
      <c r="J240" t="s">
        <v>588</v>
      </c>
      <c r="K240" t="s">
        <v>119</v>
      </c>
      <c r="L240" t="s">
        <v>85</v>
      </c>
      <c r="M240" t="str">
        <f>TRIM(Table2[[#This Row],[Category]])</f>
        <v>Furniture</v>
      </c>
      <c r="N240" t="s">
        <v>486</v>
      </c>
      <c r="O240" t="s">
        <v>2650</v>
      </c>
      <c r="P240">
        <v>18</v>
      </c>
      <c r="Q240">
        <v>149939.9</v>
      </c>
      <c r="R240">
        <v>0</v>
      </c>
      <c r="S240">
        <v>0</v>
      </c>
      <c r="T240">
        <v>2698918.2</v>
      </c>
      <c r="U240">
        <v>1136056.56</v>
      </c>
    </row>
    <row r="241" spans="1:21" ht="15" customHeight="1" x14ac:dyDescent="0.25">
      <c r="A241" t="s">
        <v>1792</v>
      </c>
      <c r="B241" s="8">
        <v>44568</v>
      </c>
      <c r="C241" s="8">
        <v>44573</v>
      </c>
      <c r="D241" t="s">
        <v>73</v>
      </c>
      <c r="E241" t="s">
        <v>3041</v>
      </c>
      <c r="F241" t="s">
        <v>3046</v>
      </c>
      <c r="G241" t="s">
        <v>1793</v>
      </c>
      <c r="H241">
        <v>8031767629</v>
      </c>
      <c r="I241" t="s">
        <v>43</v>
      </c>
      <c r="J241" t="s">
        <v>69</v>
      </c>
      <c r="K241" t="s">
        <v>155</v>
      </c>
      <c r="L241" t="s">
        <v>63</v>
      </c>
      <c r="M241" t="str">
        <f>TRIM(Table2[[#This Row],[Category]])</f>
        <v>Office Supplies</v>
      </c>
      <c r="N241" t="s">
        <v>469</v>
      </c>
      <c r="O241" t="s">
        <v>546</v>
      </c>
      <c r="P241">
        <v>16</v>
      </c>
      <c r="Q241">
        <v>6222.19</v>
      </c>
      <c r="R241">
        <v>15</v>
      </c>
      <c r="S241">
        <v>14933.26</v>
      </c>
      <c r="T241">
        <v>84621.78</v>
      </c>
      <c r="U241">
        <v>24838.42</v>
      </c>
    </row>
    <row r="242" spans="1:21" ht="15" customHeight="1" x14ac:dyDescent="0.25">
      <c r="A242" t="s">
        <v>2122</v>
      </c>
      <c r="B242" s="8">
        <v>44572</v>
      </c>
      <c r="C242" s="8">
        <v>44576</v>
      </c>
      <c r="D242" t="s">
        <v>73</v>
      </c>
      <c r="E242" t="s">
        <v>3051</v>
      </c>
      <c r="F242" t="s">
        <v>3057</v>
      </c>
      <c r="G242" t="s">
        <v>2124</v>
      </c>
      <c r="H242">
        <v>7034108891</v>
      </c>
      <c r="I242" t="s">
        <v>35</v>
      </c>
      <c r="J242" t="s">
        <v>25</v>
      </c>
      <c r="K242" t="s">
        <v>126</v>
      </c>
      <c r="L242" t="s">
        <v>27</v>
      </c>
      <c r="M242" t="str">
        <f>TRIM(Table2[[#This Row],[Category]])</f>
        <v>Food &amp; Beverages</v>
      </c>
      <c r="N242" t="s">
        <v>28</v>
      </c>
      <c r="O242" t="s">
        <v>508</v>
      </c>
      <c r="P242">
        <v>19</v>
      </c>
      <c r="Q242">
        <v>6709.5</v>
      </c>
      <c r="R242">
        <v>20</v>
      </c>
      <c r="S242">
        <v>25496.1</v>
      </c>
      <c r="T242">
        <v>101984.4</v>
      </c>
      <c r="U242">
        <v>15349.69</v>
      </c>
    </row>
    <row r="243" spans="1:21" ht="15" customHeight="1" x14ac:dyDescent="0.25">
      <c r="A243" t="s">
        <v>1680</v>
      </c>
      <c r="B243" s="8">
        <v>44575</v>
      </c>
      <c r="C243" s="8">
        <v>44579</v>
      </c>
      <c r="D243" t="s">
        <v>73</v>
      </c>
      <c r="E243" t="s">
        <v>3049</v>
      </c>
      <c r="F243" t="s">
        <v>3050</v>
      </c>
      <c r="G243" t="s">
        <v>1681</v>
      </c>
      <c r="H243">
        <v>8032932555</v>
      </c>
      <c r="I243" t="s">
        <v>43</v>
      </c>
      <c r="J243" t="s">
        <v>69</v>
      </c>
      <c r="K243" t="s">
        <v>119</v>
      </c>
      <c r="L243" t="s">
        <v>85</v>
      </c>
      <c r="M243" t="str">
        <f>TRIM(Table2[[#This Row],[Category]])</f>
        <v>Furniture</v>
      </c>
      <c r="N243" t="s">
        <v>243</v>
      </c>
      <c r="O243" t="s">
        <v>439</v>
      </c>
      <c r="P243">
        <v>19</v>
      </c>
      <c r="Q243">
        <v>41437.39</v>
      </c>
      <c r="R243">
        <v>10</v>
      </c>
      <c r="S243">
        <v>78731.039999999994</v>
      </c>
      <c r="T243">
        <v>708579.37</v>
      </c>
      <c r="U243">
        <v>-87620.87</v>
      </c>
    </row>
    <row r="244" spans="1:21" ht="15" customHeight="1" x14ac:dyDescent="0.25">
      <c r="A244" t="s">
        <v>1822</v>
      </c>
      <c r="B244" s="8">
        <v>44580</v>
      </c>
      <c r="C244" s="8">
        <v>44584</v>
      </c>
      <c r="D244" t="s">
        <v>1823</v>
      </c>
      <c r="E244" t="s">
        <v>3094</v>
      </c>
      <c r="F244" t="s">
        <v>3038</v>
      </c>
      <c r="G244" t="s">
        <v>1825</v>
      </c>
      <c r="H244">
        <v>7068165734</v>
      </c>
      <c r="I244" t="s">
        <v>24</v>
      </c>
      <c r="J244" t="s">
        <v>61</v>
      </c>
      <c r="K244" t="s">
        <v>62</v>
      </c>
      <c r="L244" t="s">
        <v>85</v>
      </c>
      <c r="M244" t="str">
        <f>TRIM(Table2[[#This Row],[Category]])</f>
        <v>Furniture</v>
      </c>
      <c r="N244" t="s">
        <v>86</v>
      </c>
      <c r="O244" t="s">
        <v>584</v>
      </c>
      <c r="P244">
        <v>16</v>
      </c>
      <c r="Q244">
        <v>69160.42</v>
      </c>
      <c r="R244">
        <v>0</v>
      </c>
      <c r="S244">
        <v>0</v>
      </c>
      <c r="T244">
        <v>1106566.72</v>
      </c>
      <c r="U244">
        <v>461480.28</v>
      </c>
    </row>
    <row r="245" spans="1:21" ht="15" customHeight="1" x14ac:dyDescent="0.25">
      <c r="A245" t="s">
        <v>1904</v>
      </c>
      <c r="B245" s="8">
        <v>44580</v>
      </c>
      <c r="C245" s="8">
        <v>44585</v>
      </c>
      <c r="D245" t="s">
        <v>73</v>
      </c>
      <c r="E245" t="s">
        <v>3039</v>
      </c>
      <c r="F245" t="s">
        <v>3075</v>
      </c>
      <c r="G245" t="s">
        <v>1906</v>
      </c>
      <c r="H245">
        <v>8164696630</v>
      </c>
      <c r="I245" t="s">
        <v>24</v>
      </c>
      <c r="J245" t="s">
        <v>25</v>
      </c>
      <c r="K245" t="s">
        <v>126</v>
      </c>
      <c r="L245" t="s">
        <v>63</v>
      </c>
      <c r="M245" t="str">
        <f>TRIM(Table2[[#This Row],[Category]])</f>
        <v>Office Supplies</v>
      </c>
      <c r="N245" t="s">
        <v>469</v>
      </c>
      <c r="O245" t="s">
        <v>1082</v>
      </c>
      <c r="P245">
        <v>6</v>
      </c>
      <c r="Q245">
        <v>14027.7</v>
      </c>
      <c r="R245">
        <v>5</v>
      </c>
      <c r="S245">
        <v>4208.3100000000004</v>
      </c>
      <c r="T245">
        <v>79957.89</v>
      </c>
      <c r="U245">
        <v>-9805.44</v>
      </c>
    </row>
    <row r="246" spans="1:21" ht="15" customHeight="1" x14ac:dyDescent="0.25">
      <c r="A246" t="s">
        <v>2744</v>
      </c>
      <c r="B246" s="8">
        <v>44584</v>
      </c>
      <c r="C246" s="8">
        <v>44587</v>
      </c>
      <c r="D246" t="s">
        <v>73</v>
      </c>
      <c r="E246" t="s">
        <v>3084</v>
      </c>
      <c r="F246" t="s">
        <v>3034</v>
      </c>
      <c r="G246" t="s">
        <v>3126</v>
      </c>
      <c r="H246">
        <v>8031414120</v>
      </c>
      <c r="I246" t="s">
        <v>43</v>
      </c>
      <c r="J246" t="s">
        <v>51</v>
      </c>
      <c r="K246" t="s">
        <v>131</v>
      </c>
      <c r="L246" t="s">
        <v>27</v>
      </c>
      <c r="M246" t="str">
        <f>TRIM(Table2[[#This Row],[Category]])</f>
        <v>Food &amp; Beverages</v>
      </c>
      <c r="N246" t="s">
        <v>354</v>
      </c>
      <c r="O246" t="s">
        <v>789</v>
      </c>
      <c r="P246">
        <v>15</v>
      </c>
      <c r="Q246">
        <v>3158.75</v>
      </c>
      <c r="R246">
        <v>15</v>
      </c>
      <c r="S246">
        <v>7107.19</v>
      </c>
      <c r="T246">
        <v>40274.06</v>
      </c>
      <c r="U246">
        <v>2030.8</v>
      </c>
    </row>
    <row r="247" spans="1:21" ht="15" customHeight="1" x14ac:dyDescent="0.25">
      <c r="A247" t="s">
        <v>1770</v>
      </c>
      <c r="B247" s="8">
        <v>44587</v>
      </c>
      <c r="C247" s="8">
        <v>44590</v>
      </c>
      <c r="D247" t="s">
        <v>73</v>
      </c>
      <c r="E247" t="s">
        <v>3081</v>
      </c>
      <c r="F247" t="s">
        <v>3040</v>
      </c>
      <c r="G247" t="s">
        <v>1772</v>
      </c>
      <c r="H247">
        <v>7062348021</v>
      </c>
      <c r="I247" t="s">
        <v>35</v>
      </c>
      <c r="J247" t="s">
        <v>61</v>
      </c>
      <c r="K247" t="s">
        <v>182</v>
      </c>
      <c r="L247" t="s">
        <v>1773</v>
      </c>
      <c r="M247" t="str">
        <f>TRIM(Table2[[#This Row],[Category]])</f>
        <v>Food&amp;Beverages</v>
      </c>
      <c r="N247" t="s">
        <v>354</v>
      </c>
      <c r="O247" t="s">
        <v>433</v>
      </c>
      <c r="P247">
        <v>14</v>
      </c>
      <c r="Q247">
        <v>1576.84</v>
      </c>
      <c r="R247">
        <v>10</v>
      </c>
      <c r="S247">
        <v>2207.58</v>
      </c>
      <c r="T247">
        <v>19868.18</v>
      </c>
      <c r="U247">
        <v>5267.1</v>
      </c>
    </row>
    <row r="248" spans="1:21" ht="15" customHeight="1" x14ac:dyDescent="0.25">
      <c r="A248" t="s">
        <v>2792</v>
      </c>
      <c r="B248" s="8">
        <v>44591</v>
      </c>
      <c r="C248" s="8">
        <v>44596</v>
      </c>
      <c r="D248" t="s">
        <v>73</v>
      </c>
      <c r="E248" t="s">
        <v>3068</v>
      </c>
      <c r="F248" t="s">
        <v>3050</v>
      </c>
      <c r="G248" t="s">
        <v>2793</v>
      </c>
      <c r="H248">
        <v>9075120422</v>
      </c>
      <c r="I248" t="s">
        <v>24</v>
      </c>
      <c r="J248" t="s">
        <v>51</v>
      </c>
      <c r="K248" t="s">
        <v>131</v>
      </c>
      <c r="L248" t="s">
        <v>108</v>
      </c>
      <c r="M248" t="str">
        <f>TRIM(Table2[[#This Row],[Category]])</f>
        <v>Clothing</v>
      </c>
      <c r="N248" t="s">
        <v>114</v>
      </c>
      <c r="O248" t="s">
        <v>291</v>
      </c>
      <c r="P248">
        <v>9</v>
      </c>
      <c r="Q248">
        <v>7584.73</v>
      </c>
      <c r="R248">
        <v>0</v>
      </c>
      <c r="S248">
        <v>0</v>
      </c>
      <c r="T248">
        <v>68262.570000000007</v>
      </c>
      <c r="U248">
        <v>16688.439999999999</v>
      </c>
    </row>
    <row r="249" spans="1:21" ht="15" customHeight="1" x14ac:dyDescent="0.25">
      <c r="A249" t="s">
        <v>2738</v>
      </c>
      <c r="B249" s="8">
        <v>44595</v>
      </c>
      <c r="C249" s="8">
        <v>44598</v>
      </c>
      <c r="D249" t="s">
        <v>73</v>
      </c>
      <c r="E249" t="s">
        <v>3053</v>
      </c>
      <c r="F249" t="s">
        <v>3036</v>
      </c>
      <c r="G249" t="s">
        <v>2739</v>
      </c>
      <c r="H249">
        <v>7068824038</v>
      </c>
      <c r="I249" t="s">
        <v>35</v>
      </c>
      <c r="J249" t="s">
        <v>51</v>
      </c>
      <c r="K249" t="s">
        <v>316</v>
      </c>
      <c r="L249" t="s">
        <v>108</v>
      </c>
      <c r="M249" t="str">
        <f>TRIM(Table2[[#This Row],[Category]])</f>
        <v>Clothing</v>
      </c>
      <c r="N249" t="s">
        <v>38</v>
      </c>
      <c r="O249" t="s">
        <v>303</v>
      </c>
      <c r="P249">
        <v>14</v>
      </c>
      <c r="Q249">
        <v>21921.87</v>
      </c>
      <c r="R249">
        <v>0</v>
      </c>
      <c r="S249">
        <v>0</v>
      </c>
      <c r="T249" t="s">
        <v>2740</v>
      </c>
      <c r="U249">
        <v>-853.32</v>
      </c>
    </row>
    <row r="250" spans="1:21" ht="15" customHeight="1" x14ac:dyDescent="0.25">
      <c r="A250" t="s">
        <v>2925</v>
      </c>
      <c r="B250" s="8">
        <v>44594</v>
      </c>
      <c r="C250" s="8">
        <v>44599</v>
      </c>
      <c r="D250" t="s">
        <v>73</v>
      </c>
      <c r="E250" t="s">
        <v>3053</v>
      </c>
      <c r="F250" t="s">
        <v>3036</v>
      </c>
      <c r="G250" t="s">
        <v>2926</v>
      </c>
      <c r="H250">
        <v>7068058810</v>
      </c>
      <c r="I250" t="s">
        <v>43</v>
      </c>
      <c r="J250" t="s">
        <v>25</v>
      </c>
      <c r="K250" t="s">
        <v>44</v>
      </c>
      <c r="L250" t="s">
        <v>2052</v>
      </c>
      <c r="M250" t="str">
        <f>TRIM(Table2[[#This Row],[Category]])</f>
        <v>fOOD &amp; bEVERAGES</v>
      </c>
      <c r="N250" t="s">
        <v>173</v>
      </c>
      <c r="O250" t="s">
        <v>662</v>
      </c>
      <c r="P250">
        <v>10</v>
      </c>
      <c r="Q250">
        <v>6995.77</v>
      </c>
      <c r="R250">
        <v>25</v>
      </c>
      <c r="S250">
        <v>17489.43</v>
      </c>
      <c r="T250">
        <v>52468.27</v>
      </c>
      <c r="U250">
        <v>12332.65</v>
      </c>
    </row>
    <row r="251" spans="1:21" ht="15" customHeight="1" x14ac:dyDescent="0.25">
      <c r="A251" t="s">
        <v>2029</v>
      </c>
      <c r="B251" s="8">
        <v>44605</v>
      </c>
      <c r="C251" s="8">
        <v>44609</v>
      </c>
      <c r="D251" t="s">
        <v>73</v>
      </c>
      <c r="E251" t="s">
        <v>3047</v>
      </c>
      <c r="F251" t="s">
        <v>3040</v>
      </c>
      <c r="G251" t="s">
        <v>2030</v>
      </c>
      <c r="H251">
        <v>8145770866</v>
      </c>
      <c r="I251" t="s">
        <v>43</v>
      </c>
      <c r="J251" t="s">
        <v>51</v>
      </c>
      <c r="K251" t="s">
        <v>227</v>
      </c>
      <c r="L251" t="s">
        <v>85</v>
      </c>
      <c r="M251" t="str">
        <f>TRIM(Table2[[#This Row],[Category]])</f>
        <v>Furniture</v>
      </c>
      <c r="N251" t="s">
        <v>486</v>
      </c>
      <c r="O251" t="s">
        <v>487</v>
      </c>
      <c r="P251">
        <v>17</v>
      </c>
      <c r="Q251">
        <v>162082.68</v>
      </c>
      <c r="R251">
        <v>0</v>
      </c>
      <c r="S251">
        <v>0</v>
      </c>
      <c r="T251">
        <v>2755405.56</v>
      </c>
      <c r="U251">
        <v>144476.72</v>
      </c>
    </row>
    <row r="252" spans="1:21" ht="15" customHeight="1" x14ac:dyDescent="0.25">
      <c r="A252" t="s">
        <v>2755</v>
      </c>
      <c r="B252" s="8">
        <v>44607</v>
      </c>
      <c r="C252" s="8">
        <v>44611</v>
      </c>
      <c r="D252" t="s">
        <v>73</v>
      </c>
      <c r="E252" t="s">
        <v>3055</v>
      </c>
      <c r="F252" t="s">
        <v>3036</v>
      </c>
      <c r="G252" t="s">
        <v>1639</v>
      </c>
      <c r="H252">
        <v>8156042710</v>
      </c>
      <c r="I252" t="s">
        <v>35</v>
      </c>
      <c r="J252" t="s">
        <v>51</v>
      </c>
      <c r="K252" t="s">
        <v>227</v>
      </c>
      <c r="L252" t="s">
        <v>108</v>
      </c>
      <c r="M252" t="str">
        <f>TRIM(Table2[[#This Row],[Category]])</f>
        <v>Clothing</v>
      </c>
      <c r="N252" t="s">
        <v>183</v>
      </c>
      <c r="O252" t="s">
        <v>719</v>
      </c>
      <c r="P252">
        <v>10</v>
      </c>
      <c r="Q252">
        <v>42940.32</v>
      </c>
      <c r="R252">
        <v>10</v>
      </c>
      <c r="S252">
        <v>42940.32</v>
      </c>
      <c r="T252">
        <v>386462.88</v>
      </c>
      <c r="U252">
        <v>-33275.199999999997</v>
      </c>
    </row>
    <row r="253" spans="1:21" ht="15" customHeight="1" x14ac:dyDescent="0.25">
      <c r="A253" t="s">
        <v>1926</v>
      </c>
      <c r="B253" s="8">
        <v>44611</v>
      </c>
      <c r="C253" s="8">
        <v>44614</v>
      </c>
      <c r="D253" t="s">
        <v>73</v>
      </c>
      <c r="E253" t="s">
        <v>3068</v>
      </c>
      <c r="F253" t="s">
        <v>3045</v>
      </c>
      <c r="G253" t="s">
        <v>1928</v>
      </c>
      <c r="H253">
        <v>7035812480</v>
      </c>
      <c r="I253" t="s">
        <v>35</v>
      </c>
      <c r="J253" t="s">
        <v>69</v>
      </c>
      <c r="K253" t="s">
        <v>119</v>
      </c>
      <c r="L253" t="s">
        <v>85</v>
      </c>
      <c r="M253" t="str">
        <f>TRIM(Table2[[#This Row],[Category]])</f>
        <v>Furniture</v>
      </c>
      <c r="N253" t="s">
        <v>486</v>
      </c>
      <c r="O253" t="s">
        <v>487</v>
      </c>
      <c r="P253">
        <v>4</v>
      </c>
      <c r="Q253">
        <v>92593.14</v>
      </c>
      <c r="R253">
        <v>5</v>
      </c>
      <c r="S253">
        <v>18518.63</v>
      </c>
      <c r="T253">
        <v>351853.93</v>
      </c>
      <c r="U253">
        <v>-31300.31</v>
      </c>
    </row>
    <row r="254" spans="1:21" ht="15" customHeight="1" x14ac:dyDescent="0.25">
      <c r="A254" t="s">
        <v>2857</v>
      </c>
      <c r="B254" s="8">
        <v>44626</v>
      </c>
      <c r="C254" s="8">
        <v>44629</v>
      </c>
      <c r="D254" t="s">
        <v>73</v>
      </c>
      <c r="E254" t="s">
        <v>3082</v>
      </c>
      <c r="F254" t="s">
        <v>3039</v>
      </c>
      <c r="G254" t="s">
        <v>2859</v>
      </c>
      <c r="H254">
        <v>8038244779</v>
      </c>
      <c r="I254" t="s">
        <v>24</v>
      </c>
      <c r="J254" t="s">
        <v>69</v>
      </c>
      <c r="K254" t="s">
        <v>119</v>
      </c>
      <c r="L254" t="s">
        <v>841</v>
      </c>
      <c r="M254" t="str">
        <f>TRIM(Table2[[#This Row],[Category]])</f>
        <v>fURNITURE</v>
      </c>
      <c r="N254" t="s">
        <v>86</v>
      </c>
      <c r="O254" t="s">
        <v>87</v>
      </c>
      <c r="P254">
        <v>1</v>
      </c>
      <c r="Q254">
        <v>89481.57</v>
      </c>
      <c r="R254">
        <v>0</v>
      </c>
      <c r="S254">
        <v>0</v>
      </c>
      <c r="T254">
        <v>89481.57</v>
      </c>
      <c r="U254">
        <v>6686.19</v>
      </c>
    </row>
    <row r="255" spans="1:21" ht="15" customHeight="1" x14ac:dyDescent="0.25">
      <c r="A255" t="s">
        <v>1745</v>
      </c>
      <c r="B255" s="8">
        <v>44639</v>
      </c>
      <c r="C255" s="8">
        <v>44642</v>
      </c>
      <c r="D255" t="s">
        <v>73</v>
      </c>
      <c r="E255" t="s">
        <v>3080</v>
      </c>
      <c r="F255" t="s">
        <v>3071</v>
      </c>
      <c r="G255" t="s">
        <v>1747</v>
      </c>
      <c r="H255">
        <v>8105666187</v>
      </c>
      <c r="I255" t="s">
        <v>43</v>
      </c>
      <c r="J255" t="s">
        <v>61</v>
      </c>
      <c r="K255" t="s">
        <v>62</v>
      </c>
      <c r="L255" t="s">
        <v>63</v>
      </c>
      <c r="M255" t="str">
        <f>TRIM(Table2[[#This Row],[Category]])</f>
        <v>Office Supplies</v>
      </c>
      <c r="N255" t="s">
        <v>469</v>
      </c>
      <c r="O255" t="s">
        <v>470</v>
      </c>
      <c r="P255">
        <v>14</v>
      </c>
      <c r="Q255">
        <v>13261.39</v>
      </c>
      <c r="R255">
        <v>10</v>
      </c>
      <c r="S255">
        <v>18565.95</v>
      </c>
      <c r="T255">
        <v>167093.51</v>
      </c>
      <c r="U255">
        <v>50183.29</v>
      </c>
    </row>
    <row r="256" spans="1:21" ht="15" customHeight="1" x14ac:dyDescent="0.25">
      <c r="A256" t="s">
        <v>964</v>
      </c>
      <c r="B256" s="8">
        <v>44643</v>
      </c>
      <c r="C256" s="8">
        <v>44648</v>
      </c>
      <c r="D256" t="s">
        <v>73</v>
      </c>
      <c r="E256" t="s">
        <v>3041</v>
      </c>
      <c r="F256" t="s">
        <v>3045</v>
      </c>
      <c r="G256" t="s">
        <v>966</v>
      </c>
      <c r="H256">
        <v>7065304875</v>
      </c>
      <c r="I256" t="s">
        <v>35</v>
      </c>
      <c r="J256" t="s">
        <v>51</v>
      </c>
      <c r="K256" t="s">
        <v>316</v>
      </c>
      <c r="L256" t="s">
        <v>27</v>
      </c>
      <c r="M256" t="str">
        <f>TRIM(Table2[[#This Row],[Category]])</f>
        <v>Food &amp; Beverages</v>
      </c>
      <c r="N256" t="s">
        <v>45</v>
      </c>
      <c r="O256" t="s">
        <v>308</v>
      </c>
      <c r="P256">
        <v>12</v>
      </c>
      <c r="Q256">
        <v>7317.29</v>
      </c>
      <c r="R256">
        <v>25</v>
      </c>
      <c r="S256">
        <v>21951.87</v>
      </c>
      <c r="T256">
        <v>65855.61</v>
      </c>
      <c r="U256">
        <v>21843.65</v>
      </c>
    </row>
    <row r="257" spans="1:21" ht="15" customHeight="1" x14ac:dyDescent="0.25">
      <c r="A257" t="s">
        <v>835</v>
      </c>
      <c r="B257" s="8">
        <v>44649</v>
      </c>
      <c r="C257" s="8">
        <v>44653</v>
      </c>
      <c r="D257" t="s">
        <v>73</v>
      </c>
      <c r="E257" t="s">
        <v>3081</v>
      </c>
      <c r="F257" t="s">
        <v>3069</v>
      </c>
      <c r="G257" t="s">
        <v>837</v>
      </c>
      <c r="H257">
        <v>8133480985</v>
      </c>
      <c r="I257" t="s">
        <v>35</v>
      </c>
      <c r="J257" t="s">
        <v>61</v>
      </c>
      <c r="K257" t="s">
        <v>62</v>
      </c>
      <c r="L257" t="s">
        <v>27</v>
      </c>
      <c r="M257" t="str">
        <f>TRIM(Table2[[#This Row],[Category]])</f>
        <v>Food &amp; Beverages</v>
      </c>
      <c r="N257" t="s">
        <v>45</v>
      </c>
      <c r="O257" t="s">
        <v>838</v>
      </c>
      <c r="P257">
        <v>3</v>
      </c>
      <c r="Q257">
        <v>7313.19</v>
      </c>
      <c r="R257">
        <v>0</v>
      </c>
      <c r="S257">
        <v>0</v>
      </c>
      <c r="T257">
        <v>21939.57</v>
      </c>
      <c r="U257">
        <v>1817.9</v>
      </c>
    </row>
    <row r="258" spans="1:21" ht="15" customHeight="1" x14ac:dyDescent="0.25">
      <c r="A258" t="s">
        <v>2729</v>
      </c>
      <c r="B258" s="8">
        <v>44661</v>
      </c>
      <c r="C258" s="8">
        <v>44665</v>
      </c>
      <c r="D258" t="s">
        <v>73</v>
      </c>
      <c r="E258" t="s">
        <v>3084</v>
      </c>
      <c r="F258" t="s">
        <v>3086</v>
      </c>
      <c r="G258" t="s">
        <v>2731</v>
      </c>
      <c r="H258">
        <v>8137160440</v>
      </c>
      <c r="I258" t="s">
        <v>35</v>
      </c>
      <c r="J258" t="s">
        <v>414</v>
      </c>
      <c r="K258" t="s">
        <v>168</v>
      </c>
      <c r="L258" t="s">
        <v>27</v>
      </c>
      <c r="M258" t="str">
        <f>TRIM(Table2[[#This Row],[Category]])</f>
        <v>Food &amp; Beverages</v>
      </c>
      <c r="N258" t="s">
        <v>45</v>
      </c>
      <c r="O258" t="s">
        <v>875</v>
      </c>
      <c r="P258">
        <v>6</v>
      </c>
      <c r="Q258">
        <v>2192.5700000000002</v>
      </c>
      <c r="R258">
        <v>0</v>
      </c>
      <c r="S258">
        <v>0</v>
      </c>
      <c r="T258">
        <v>13155.42</v>
      </c>
      <c r="U258">
        <v>3657.97</v>
      </c>
    </row>
    <row r="259" spans="1:21" ht="15" customHeight="1" x14ac:dyDescent="0.25">
      <c r="A259" t="s">
        <v>2763</v>
      </c>
      <c r="B259" s="8">
        <v>44667</v>
      </c>
      <c r="C259" s="8">
        <v>44670</v>
      </c>
      <c r="D259" t="s">
        <v>73</v>
      </c>
      <c r="E259" t="s">
        <v>3055</v>
      </c>
      <c r="F259" t="s">
        <v>3062</v>
      </c>
      <c r="G259" t="s">
        <v>2765</v>
      </c>
      <c r="H259">
        <v>8105889267</v>
      </c>
      <c r="I259" t="s">
        <v>24</v>
      </c>
      <c r="J259" t="s">
        <v>69</v>
      </c>
      <c r="K259" t="s">
        <v>307</v>
      </c>
      <c r="L259" t="s">
        <v>63</v>
      </c>
      <c r="M259" t="str">
        <f>TRIM(Table2[[#This Row],[Category]])</f>
        <v>Office Supplies</v>
      </c>
      <c r="N259" t="s">
        <v>469</v>
      </c>
      <c r="O259" t="s">
        <v>1082</v>
      </c>
      <c r="P259">
        <v>3</v>
      </c>
      <c r="Q259">
        <v>16818.43</v>
      </c>
      <c r="R259">
        <v>0</v>
      </c>
      <c r="S259">
        <v>0</v>
      </c>
      <c r="T259">
        <f>T258</f>
        <v>13155.42</v>
      </c>
      <c r="U259">
        <v>-2566.5100000000002</v>
      </c>
    </row>
    <row r="260" spans="1:21" ht="15" customHeight="1" x14ac:dyDescent="0.25">
      <c r="A260" t="s">
        <v>2950</v>
      </c>
      <c r="B260" s="8">
        <v>44665</v>
      </c>
      <c r="C260" s="8">
        <v>44670</v>
      </c>
      <c r="D260" t="s">
        <v>73</v>
      </c>
      <c r="E260" t="s">
        <v>3073</v>
      </c>
      <c r="F260" t="s">
        <v>3043</v>
      </c>
      <c r="G260" t="s">
        <v>2952</v>
      </c>
      <c r="H260">
        <v>8161282157</v>
      </c>
      <c r="I260" t="s">
        <v>24</v>
      </c>
      <c r="J260" t="s">
        <v>69</v>
      </c>
      <c r="K260" t="s">
        <v>70</v>
      </c>
      <c r="L260" t="s">
        <v>108</v>
      </c>
      <c r="M260" t="str">
        <f>TRIM(Table2[[#This Row],[Category]])</f>
        <v>Clothing</v>
      </c>
      <c r="N260" t="s">
        <v>183</v>
      </c>
      <c r="O260" t="s">
        <v>869</v>
      </c>
      <c r="P260">
        <v>13</v>
      </c>
      <c r="Q260">
        <v>27749.94</v>
      </c>
      <c r="R260">
        <v>0</v>
      </c>
      <c r="S260">
        <v>0</v>
      </c>
      <c r="T260">
        <v>360749.22</v>
      </c>
      <c r="U260">
        <v>-41518.92</v>
      </c>
    </row>
    <row r="261" spans="1:21" ht="15" customHeight="1" x14ac:dyDescent="0.25">
      <c r="A261" t="s">
        <v>1106</v>
      </c>
      <c r="B261" s="8">
        <v>44676</v>
      </c>
      <c r="C261" s="8">
        <v>44673</v>
      </c>
      <c r="D261" t="s">
        <v>73</v>
      </c>
      <c r="E261" t="s">
        <v>3058</v>
      </c>
      <c r="F261" t="s">
        <v>3050</v>
      </c>
      <c r="G261" t="s">
        <v>1107</v>
      </c>
      <c r="H261">
        <v>8104224451</v>
      </c>
      <c r="I261" t="s">
        <v>35</v>
      </c>
      <c r="J261" t="s">
        <v>25</v>
      </c>
      <c r="K261" t="s">
        <v>3127</v>
      </c>
      <c r="L261" t="s">
        <v>63</v>
      </c>
      <c r="M261" t="str">
        <f>TRIM(Table2[[#This Row],[Category]])</f>
        <v>Office Supplies</v>
      </c>
      <c r="N261" t="s">
        <v>194</v>
      </c>
      <c r="O261" t="s">
        <v>257</v>
      </c>
      <c r="P261">
        <v>4</v>
      </c>
      <c r="Q261">
        <v>20792.18</v>
      </c>
      <c r="R261">
        <v>5</v>
      </c>
      <c r="S261">
        <v>4158.4399999999996</v>
      </c>
      <c r="T261">
        <v>79010.28</v>
      </c>
      <c r="U261">
        <v>6390.25</v>
      </c>
    </row>
    <row r="262" spans="1:21" ht="15" customHeight="1" x14ac:dyDescent="0.25">
      <c r="A262" t="s">
        <v>1619</v>
      </c>
      <c r="B262" s="8">
        <v>44670</v>
      </c>
      <c r="C262" s="8">
        <v>44675</v>
      </c>
      <c r="D262" t="s">
        <v>73</v>
      </c>
      <c r="E262" t="s">
        <v>3070</v>
      </c>
      <c r="F262" t="s">
        <v>3052</v>
      </c>
      <c r="G262" t="s">
        <v>1621</v>
      </c>
      <c r="H262">
        <v>8151313131</v>
      </c>
      <c r="I262" t="s">
        <v>35</v>
      </c>
      <c r="J262" t="s">
        <v>25</v>
      </c>
      <c r="K262" t="s">
        <v>36</v>
      </c>
      <c r="L262" t="s">
        <v>96</v>
      </c>
      <c r="M262" t="str">
        <f>TRIM(Table2[[#This Row],[Category]])</f>
        <v>Technology</v>
      </c>
      <c r="N262" t="s">
        <v>254</v>
      </c>
      <c r="O262" t="s">
        <v>255</v>
      </c>
      <c r="P262">
        <v>9</v>
      </c>
      <c r="Q262">
        <v>433633.89</v>
      </c>
      <c r="R262">
        <v>5</v>
      </c>
      <c r="S262">
        <v>195135.25</v>
      </c>
      <c r="T262">
        <v>3707569.76</v>
      </c>
      <c r="U262">
        <v>-10484.950000000001</v>
      </c>
    </row>
    <row r="263" spans="1:21" ht="15" customHeight="1" x14ac:dyDescent="0.25">
      <c r="A263" t="s">
        <v>1063</v>
      </c>
      <c r="B263" s="8">
        <v>44672</v>
      </c>
      <c r="C263" s="8">
        <v>44677</v>
      </c>
      <c r="D263" t="s">
        <v>73</v>
      </c>
      <c r="E263" t="s">
        <v>3068</v>
      </c>
      <c r="F263" t="s">
        <v>3083</v>
      </c>
      <c r="G263" t="s">
        <v>1065</v>
      </c>
      <c r="H263">
        <v>8156826541</v>
      </c>
      <c r="I263" t="s">
        <v>35</v>
      </c>
      <c r="J263" t="s">
        <v>51</v>
      </c>
      <c r="K263" t="s">
        <v>316</v>
      </c>
      <c r="L263" t="s">
        <v>108</v>
      </c>
      <c r="M263" t="str">
        <f>TRIM(Table2[[#This Row],[Category]])</f>
        <v>Clothing</v>
      </c>
      <c r="N263" t="s">
        <v>109</v>
      </c>
      <c r="O263" t="s">
        <v>690</v>
      </c>
      <c r="P263">
        <v>17</v>
      </c>
      <c r="Q263">
        <v>43989.81</v>
      </c>
      <c r="R263">
        <v>20</v>
      </c>
      <c r="S263">
        <v>149565.35</v>
      </c>
      <c r="T263">
        <v>598261.42000000004</v>
      </c>
      <c r="U263">
        <v>23565.97</v>
      </c>
    </row>
    <row r="264" spans="1:21" ht="15" customHeight="1" x14ac:dyDescent="0.25">
      <c r="A264" t="s">
        <v>1214</v>
      </c>
      <c r="B264" s="8">
        <v>44681</v>
      </c>
      <c r="C264" s="8">
        <v>44684</v>
      </c>
      <c r="D264" t="s">
        <v>73</v>
      </c>
      <c r="E264" t="s">
        <v>3094</v>
      </c>
      <c r="F264" t="s">
        <v>3034</v>
      </c>
      <c r="G264" t="s">
        <v>1216</v>
      </c>
      <c r="H264">
        <v>8145818203</v>
      </c>
      <c r="I264" t="s">
        <v>35</v>
      </c>
      <c r="J264" t="s">
        <v>69</v>
      </c>
      <c r="K264" t="s">
        <v>155</v>
      </c>
      <c r="L264" t="s">
        <v>108</v>
      </c>
      <c r="M264" t="str">
        <f>TRIM(Table2[[#This Row],[Category]])</f>
        <v>Clothing</v>
      </c>
      <c r="N264" t="s">
        <v>189</v>
      </c>
      <c r="O264" t="s">
        <v>325</v>
      </c>
      <c r="P264">
        <v>19</v>
      </c>
      <c r="Q264">
        <v>13165.38</v>
      </c>
      <c r="R264">
        <v>10</v>
      </c>
      <c r="S264">
        <v>25014.22</v>
      </c>
      <c r="T264">
        <v>225128</v>
      </c>
      <c r="U264">
        <v>91461.23</v>
      </c>
    </row>
    <row r="265" spans="1:21" ht="15" customHeight="1" x14ac:dyDescent="0.25">
      <c r="A265" t="s">
        <v>1337</v>
      </c>
      <c r="B265" s="8">
        <v>44692</v>
      </c>
      <c r="C265" s="8">
        <v>44695</v>
      </c>
      <c r="D265" t="s">
        <v>73</v>
      </c>
      <c r="E265" t="s">
        <v>3056</v>
      </c>
      <c r="F265" t="s">
        <v>3083</v>
      </c>
      <c r="G265" t="s">
        <v>1339</v>
      </c>
      <c r="H265">
        <v>8064399754</v>
      </c>
      <c r="I265" t="s">
        <v>24</v>
      </c>
      <c r="J265" t="s">
        <v>25</v>
      </c>
      <c r="K265" t="s">
        <v>168</v>
      </c>
      <c r="L265" t="s">
        <v>108</v>
      </c>
      <c r="M265" t="str">
        <f>TRIM(Table2[[#This Row],[Category]])</f>
        <v>Clothing</v>
      </c>
      <c r="N265" t="s">
        <v>38</v>
      </c>
      <c r="O265" t="s">
        <v>213</v>
      </c>
      <c r="P265">
        <v>19</v>
      </c>
      <c r="Q265">
        <v>15942.1</v>
      </c>
      <c r="R265">
        <v>25</v>
      </c>
      <c r="S265">
        <v>75724.98</v>
      </c>
      <c r="T265">
        <v>227174.92</v>
      </c>
      <c r="U265">
        <v>-15357.56</v>
      </c>
    </row>
    <row r="266" spans="1:21" ht="15" customHeight="1" x14ac:dyDescent="0.25">
      <c r="A266" t="s">
        <v>2125</v>
      </c>
      <c r="B266" s="8">
        <v>44699</v>
      </c>
      <c r="C266" s="8">
        <v>44703</v>
      </c>
      <c r="D266" t="s">
        <v>1823</v>
      </c>
      <c r="E266" t="s">
        <v>3068</v>
      </c>
      <c r="F266" t="s">
        <v>3040</v>
      </c>
      <c r="G266" t="s">
        <v>2126</v>
      </c>
      <c r="H266">
        <v>8032188961</v>
      </c>
      <c r="I266" t="s">
        <v>24</v>
      </c>
      <c r="J266" t="s">
        <v>51</v>
      </c>
      <c r="K266" t="s">
        <v>227</v>
      </c>
      <c r="L266" t="s">
        <v>27</v>
      </c>
      <c r="M266" t="str">
        <f>TRIM(Table2[[#This Row],[Category]])</f>
        <v>Food &amp; Beverages</v>
      </c>
      <c r="N266" t="s">
        <v>79</v>
      </c>
      <c r="O266" t="s">
        <v>490</v>
      </c>
      <c r="P266">
        <v>10</v>
      </c>
      <c r="Q266">
        <v>6324.38</v>
      </c>
      <c r="R266">
        <v>0</v>
      </c>
      <c r="S266">
        <v>0</v>
      </c>
      <c r="T266">
        <v>63243.8</v>
      </c>
      <c r="U266">
        <v>-5011.66</v>
      </c>
    </row>
    <row r="267" spans="1:21" ht="15" customHeight="1" x14ac:dyDescent="0.25">
      <c r="A267" t="s">
        <v>616</v>
      </c>
      <c r="B267" s="8">
        <v>44701</v>
      </c>
      <c r="C267" s="8">
        <v>44706</v>
      </c>
      <c r="D267" t="s">
        <v>73</v>
      </c>
      <c r="E267" t="s">
        <v>3084</v>
      </c>
      <c r="F267" t="s">
        <v>3046</v>
      </c>
      <c r="G267" t="s">
        <v>3126</v>
      </c>
      <c r="H267">
        <v>8158650572</v>
      </c>
      <c r="I267" t="s">
        <v>24</v>
      </c>
      <c r="J267" t="s">
        <v>69</v>
      </c>
      <c r="K267" t="s">
        <v>119</v>
      </c>
      <c r="L267" t="s">
        <v>63</v>
      </c>
      <c r="M267" t="str">
        <f>TRIM(Table2[[#This Row],[Category]])</f>
        <v>Office Supplies</v>
      </c>
      <c r="N267" t="s">
        <v>249</v>
      </c>
      <c r="O267" t="s">
        <v>250</v>
      </c>
      <c r="P267">
        <v>20</v>
      </c>
      <c r="Q267">
        <v>16124.35</v>
      </c>
      <c r="R267">
        <v>20</v>
      </c>
      <c r="S267">
        <v>64497.4</v>
      </c>
      <c r="T267">
        <v>257989.6</v>
      </c>
      <c r="U267">
        <v>63354.66</v>
      </c>
    </row>
    <row r="268" spans="1:21" ht="15" customHeight="1" x14ac:dyDescent="0.25">
      <c r="A268" t="s">
        <v>1129</v>
      </c>
      <c r="B268" s="8">
        <v>44707</v>
      </c>
      <c r="C268" s="8">
        <v>44710</v>
      </c>
      <c r="D268" t="s">
        <v>73</v>
      </c>
      <c r="E268" t="s">
        <v>3082</v>
      </c>
      <c r="F268" t="s">
        <v>3040</v>
      </c>
      <c r="G268" t="s">
        <v>1131</v>
      </c>
      <c r="H268">
        <v>8032341452</v>
      </c>
      <c r="I268" t="s">
        <v>43</v>
      </c>
      <c r="J268" t="s">
        <v>51</v>
      </c>
      <c r="K268" t="s">
        <v>52</v>
      </c>
      <c r="L268" t="s">
        <v>108</v>
      </c>
      <c r="M268" t="str">
        <f>TRIM(Table2[[#This Row],[Category]])</f>
        <v>Clothing</v>
      </c>
      <c r="N268" t="s">
        <v>114</v>
      </c>
      <c r="O268" t="s">
        <v>482</v>
      </c>
      <c r="P268">
        <v>14</v>
      </c>
      <c r="Q268">
        <v>25994.86</v>
      </c>
      <c r="R268">
        <v>10</v>
      </c>
      <c r="S268">
        <v>36392.800000000003</v>
      </c>
      <c r="T268">
        <v>327535.24</v>
      </c>
      <c r="U268">
        <v>106956.55</v>
      </c>
    </row>
    <row r="269" spans="1:21" ht="15" customHeight="1" x14ac:dyDescent="0.25">
      <c r="A269" t="s">
        <v>273</v>
      </c>
      <c r="B269" s="8">
        <v>44708</v>
      </c>
      <c r="C269" s="8">
        <v>44711</v>
      </c>
      <c r="D269" t="s">
        <v>73</v>
      </c>
      <c r="E269" t="s">
        <v>3048</v>
      </c>
      <c r="F269" t="s">
        <v>3079</v>
      </c>
      <c r="G269" t="s">
        <v>275</v>
      </c>
      <c r="H269">
        <v>9055842082</v>
      </c>
      <c r="I269" t="s">
        <v>43</v>
      </c>
      <c r="J269" t="s">
        <v>61</v>
      </c>
      <c r="K269" t="s">
        <v>62</v>
      </c>
      <c r="L269" t="s">
        <v>108</v>
      </c>
      <c r="M269" t="str">
        <f>TRIM(Table2[[#This Row],[Category]])</f>
        <v>Clothing</v>
      </c>
      <c r="N269" t="s">
        <v>114</v>
      </c>
      <c r="O269" t="s">
        <v>115</v>
      </c>
      <c r="P269">
        <v>13</v>
      </c>
      <c r="Q269">
        <v>31613.15</v>
      </c>
      <c r="R269">
        <v>10</v>
      </c>
      <c r="S269">
        <v>41097.1</v>
      </c>
      <c r="T269">
        <v>369873.85</v>
      </c>
      <c r="U269">
        <v>55585.87</v>
      </c>
    </row>
    <row r="270" spans="1:21" ht="15" customHeight="1" x14ac:dyDescent="0.25">
      <c r="A270" t="s">
        <v>1660</v>
      </c>
      <c r="B270" s="8">
        <v>44711</v>
      </c>
      <c r="C270" s="8">
        <v>44716</v>
      </c>
      <c r="D270" t="s">
        <v>73</v>
      </c>
      <c r="E270" t="s">
        <v>3085</v>
      </c>
      <c r="F270" t="s">
        <v>3071</v>
      </c>
      <c r="G270" t="s">
        <v>1662</v>
      </c>
      <c r="H270">
        <v>9078490291</v>
      </c>
      <c r="I270" t="s">
        <v>24</v>
      </c>
      <c r="J270" t="s">
        <v>1663</v>
      </c>
      <c r="K270" t="s">
        <v>44</v>
      </c>
      <c r="L270" t="s">
        <v>27</v>
      </c>
      <c r="M270" t="str">
        <f>TRIM(Table2[[#This Row],[Category]])</f>
        <v>Food &amp; Beverages</v>
      </c>
      <c r="N270" t="s">
        <v>79</v>
      </c>
      <c r="O270" t="s">
        <v>145</v>
      </c>
      <c r="P270">
        <v>2</v>
      </c>
      <c r="Q270">
        <v>7803.85</v>
      </c>
      <c r="R270">
        <v>15</v>
      </c>
      <c r="S270">
        <v>2341.16</v>
      </c>
      <c r="T270">
        <v>13266.54</v>
      </c>
      <c r="U270">
        <v>503.7</v>
      </c>
    </row>
    <row r="271" spans="1:21" ht="15" customHeight="1" x14ac:dyDescent="0.25">
      <c r="A271" t="s">
        <v>406</v>
      </c>
      <c r="B271" s="8">
        <v>44716</v>
      </c>
      <c r="C271" s="8">
        <v>44719</v>
      </c>
      <c r="D271" t="s">
        <v>73</v>
      </c>
      <c r="E271" t="s">
        <v>3089</v>
      </c>
      <c r="F271" t="s">
        <v>3071</v>
      </c>
      <c r="G271" t="s">
        <v>408</v>
      </c>
      <c r="H271">
        <v>9076422534</v>
      </c>
      <c r="I271" t="s">
        <v>35</v>
      </c>
      <c r="J271" t="s">
        <v>51</v>
      </c>
      <c r="K271" t="s">
        <v>131</v>
      </c>
      <c r="L271" t="s">
        <v>63</v>
      </c>
      <c r="M271" t="str">
        <f>TRIM(Table2[[#This Row],[Category]])</f>
        <v>Office Supplies</v>
      </c>
      <c r="N271" t="s">
        <v>54</v>
      </c>
      <c r="O271" t="s">
        <v>409</v>
      </c>
      <c r="P271">
        <v>15</v>
      </c>
      <c r="Q271">
        <v>2173.0100000000002</v>
      </c>
      <c r="R271">
        <v>10</v>
      </c>
      <c r="S271">
        <v>3259.51</v>
      </c>
      <c r="T271">
        <v>29335.64</v>
      </c>
      <c r="U271">
        <v>9616.16</v>
      </c>
    </row>
    <row r="272" spans="1:21" ht="15" customHeight="1" x14ac:dyDescent="0.25">
      <c r="A272" t="s">
        <v>2252</v>
      </c>
      <c r="B272" s="8">
        <v>44720</v>
      </c>
      <c r="C272" s="8">
        <v>44725</v>
      </c>
      <c r="D272" t="s">
        <v>73</v>
      </c>
      <c r="E272" t="s">
        <v>3084</v>
      </c>
      <c r="F272" t="s">
        <v>3038</v>
      </c>
      <c r="G272" t="s">
        <v>2198</v>
      </c>
      <c r="H272">
        <v>8163991801</v>
      </c>
      <c r="I272" t="s">
        <v>24</v>
      </c>
      <c r="J272" t="s">
        <v>69</v>
      </c>
      <c r="K272" t="s">
        <v>144</v>
      </c>
      <c r="L272" t="s">
        <v>63</v>
      </c>
      <c r="M272" t="str">
        <f>TRIM(Table2[[#This Row],[Category]])</f>
        <v>Office Supplies</v>
      </c>
      <c r="N272" t="s">
        <v>312</v>
      </c>
      <c r="O272" t="s">
        <v>628</v>
      </c>
      <c r="P272">
        <v>17</v>
      </c>
      <c r="Q272">
        <v>3604.25</v>
      </c>
      <c r="R272">
        <v>15</v>
      </c>
      <c r="S272">
        <v>9190.84</v>
      </c>
      <c r="T272">
        <v>52081.41</v>
      </c>
      <c r="U272">
        <v>2504.91</v>
      </c>
    </row>
    <row r="273" spans="1:21" ht="15" customHeight="1" x14ac:dyDescent="0.25">
      <c r="A273" t="s">
        <v>1921</v>
      </c>
      <c r="B273" s="8">
        <v>44733</v>
      </c>
      <c r="C273" s="8">
        <v>44737</v>
      </c>
      <c r="D273" t="s">
        <v>73</v>
      </c>
      <c r="E273" t="s">
        <v>3084</v>
      </c>
      <c r="F273" t="s">
        <v>3040</v>
      </c>
      <c r="G273" t="s">
        <v>1923</v>
      </c>
      <c r="H273">
        <v>9021157641</v>
      </c>
      <c r="I273" t="s">
        <v>35</v>
      </c>
      <c r="J273" t="s">
        <v>25</v>
      </c>
      <c r="K273" t="s">
        <v>26</v>
      </c>
      <c r="L273" t="s">
        <v>96</v>
      </c>
      <c r="M273" t="str">
        <f>TRIM(Table2[[#This Row],[Category]])</f>
        <v>Technology</v>
      </c>
      <c r="N273" t="s">
        <v>254</v>
      </c>
      <c r="O273" t="s">
        <v>455</v>
      </c>
      <c r="P273">
        <v>3</v>
      </c>
      <c r="Q273">
        <v>385933.29</v>
      </c>
      <c r="R273">
        <v>5</v>
      </c>
      <c r="S273">
        <v>57889.99</v>
      </c>
      <c r="T273">
        <v>1099909.8799999999</v>
      </c>
      <c r="U273">
        <v>-73102.149999999994</v>
      </c>
    </row>
    <row r="274" spans="1:21" ht="15" customHeight="1" x14ac:dyDescent="0.25">
      <c r="A274" t="s">
        <v>1865</v>
      </c>
      <c r="B274" s="8">
        <v>44735</v>
      </c>
      <c r="C274" s="8">
        <v>44740</v>
      </c>
      <c r="D274" t="s">
        <v>73</v>
      </c>
      <c r="E274" t="s">
        <v>3092</v>
      </c>
      <c r="F274" t="s">
        <v>3054</v>
      </c>
      <c r="G274" t="s">
        <v>996</v>
      </c>
      <c r="H274">
        <v>8069177419</v>
      </c>
      <c r="I274" t="s">
        <v>43</v>
      </c>
      <c r="J274" t="s">
        <v>25</v>
      </c>
      <c r="K274" t="s">
        <v>3127</v>
      </c>
      <c r="L274" t="s">
        <v>96</v>
      </c>
      <c r="M274" t="str">
        <f>TRIM(Table2[[#This Row],[Category]])</f>
        <v>Technology</v>
      </c>
      <c r="N274" t="s">
        <v>385</v>
      </c>
      <c r="O274" t="s">
        <v>386</v>
      </c>
      <c r="P274">
        <v>13</v>
      </c>
      <c r="Q274">
        <v>113351.43</v>
      </c>
      <c r="R274">
        <v>10</v>
      </c>
      <c r="S274">
        <v>147356.85999999999</v>
      </c>
      <c r="T274">
        <v>1326211.73</v>
      </c>
      <c r="U274">
        <v>39217.370000000003</v>
      </c>
    </row>
    <row r="275" spans="1:21" ht="15" customHeight="1" x14ac:dyDescent="0.25">
      <c r="A275" t="s">
        <v>2086</v>
      </c>
      <c r="B275" s="8">
        <v>44738</v>
      </c>
      <c r="C275" s="8">
        <v>44743</v>
      </c>
      <c r="D275" t="s">
        <v>73</v>
      </c>
      <c r="E275" t="s">
        <v>3091</v>
      </c>
      <c r="F275" t="s">
        <v>3054</v>
      </c>
      <c r="G275" t="s">
        <v>2088</v>
      </c>
      <c r="H275">
        <v>7062354222</v>
      </c>
      <c r="I275" t="s">
        <v>43</v>
      </c>
      <c r="J275" t="s">
        <v>61</v>
      </c>
      <c r="K275" t="s">
        <v>182</v>
      </c>
      <c r="L275" t="s">
        <v>1441</v>
      </c>
      <c r="M275" t="str">
        <f>TRIM(Table2[[#This Row],[Category]])</f>
        <v>OFFICE SUPPLIES</v>
      </c>
      <c r="N275" t="s">
        <v>54</v>
      </c>
      <c r="O275" t="s">
        <v>1039</v>
      </c>
      <c r="P275">
        <v>12</v>
      </c>
      <c r="Q275" t="s">
        <v>2089</v>
      </c>
      <c r="R275">
        <v>5</v>
      </c>
      <c r="S275">
        <v>7255.72</v>
      </c>
      <c r="T275">
        <v>137858.6</v>
      </c>
      <c r="U275">
        <v>46461.86</v>
      </c>
    </row>
    <row r="276" spans="1:21" ht="15" customHeight="1" x14ac:dyDescent="0.25">
      <c r="A276" t="s">
        <v>2671</v>
      </c>
      <c r="B276" s="8">
        <v>44738</v>
      </c>
      <c r="C276" s="8">
        <v>44743</v>
      </c>
      <c r="D276" t="s">
        <v>73</v>
      </c>
      <c r="E276" t="s">
        <v>3065</v>
      </c>
      <c r="F276" t="s">
        <v>3069</v>
      </c>
      <c r="G276" t="s">
        <v>2672</v>
      </c>
      <c r="H276">
        <v>8147263217</v>
      </c>
      <c r="I276" t="s">
        <v>35</v>
      </c>
      <c r="J276" t="s">
        <v>61</v>
      </c>
      <c r="K276" t="s">
        <v>95</v>
      </c>
      <c r="L276" t="s">
        <v>27</v>
      </c>
      <c r="M276" t="str">
        <f>TRIM(Table2[[#This Row],[Category]])</f>
        <v>Food &amp; Beverages</v>
      </c>
      <c r="N276" t="s">
        <v>45</v>
      </c>
      <c r="O276" t="s">
        <v>875</v>
      </c>
      <c r="P276">
        <v>6</v>
      </c>
      <c r="Q276">
        <v>814.51</v>
      </c>
      <c r="R276">
        <v>15</v>
      </c>
      <c r="S276">
        <v>733.06</v>
      </c>
      <c r="T276">
        <v>4154</v>
      </c>
      <c r="U276">
        <v>-334.36</v>
      </c>
    </row>
    <row r="277" spans="1:21" ht="15" customHeight="1" x14ac:dyDescent="0.25">
      <c r="A277" t="s">
        <v>1091</v>
      </c>
      <c r="B277" s="8">
        <v>44745</v>
      </c>
      <c r="C277" s="8">
        <v>44749</v>
      </c>
      <c r="D277" t="s">
        <v>73</v>
      </c>
      <c r="E277" t="s">
        <v>3093</v>
      </c>
      <c r="F277" t="s">
        <v>3039</v>
      </c>
      <c r="G277" t="s">
        <v>1093</v>
      </c>
      <c r="H277">
        <v>8163612506</v>
      </c>
      <c r="I277" t="s">
        <v>43</v>
      </c>
      <c r="J277" t="s">
        <v>51</v>
      </c>
      <c r="K277" t="s">
        <v>223</v>
      </c>
      <c r="L277" t="s">
        <v>63</v>
      </c>
      <c r="M277" t="str">
        <f>TRIM(Table2[[#This Row],[Category]])</f>
        <v>Office Supplies</v>
      </c>
      <c r="N277" t="s">
        <v>249</v>
      </c>
      <c r="O277" t="s">
        <v>465</v>
      </c>
      <c r="P277">
        <v>5</v>
      </c>
      <c r="Q277">
        <v>13321.25</v>
      </c>
      <c r="R277">
        <v>10</v>
      </c>
      <c r="S277">
        <v>6660.62</v>
      </c>
      <c r="T277">
        <v>59945.63</v>
      </c>
      <c r="U277">
        <v>1322.24</v>
      </c>
    </row>
    <row r="278" spans="1:21" ht="15" customHeight="1" x14ac:dyDescent="0.25">
      <c r="A278" t="s">
        <v>1369</v>
      </c>
      <c r="B278" s="8">
        <v>44747</v>
      </c>
      <c r="C278" s="8">
        <v>44750</v>
      </c>
      <c r="D278" t="s">
        <v>73</v>
      </c>
      <c r="E278" t="s">
        <v>3055</v>
      </c>
      <c r="F278" t="s">
        <v>3069</v>
      </c>
      <c r="G278" t="s">
        <v>1371</v>
      </c>
      <c r="H278">
        <v>8108705487</v>
      </c>
      <c r="I278" t="s">
        <v>43</v>
      </c>
      <c r="J278" t="s">
        <v>61</v>
      </c>
      <c r="K278" t="s">
        <v>182</v>
      </c>
      <c r="L278" t="s">
        <v>27</v>
      </c>
      <c r="M278" t="str">
        <f>TRIM(Table2[[#This Row],[Category]])</f>
        <v>Food &amp; Beverages</v>
      </c>
      <c r="N278" t="s">
        <v>173</v>
      </c>
      <c r="O278" t="s">
        <v>279</v>
      </c>
      <c r="P278">
        <v>15</v>
      </c>
      <c r="Q278">
        <v>7818.44</v>
      </c>
      <c r="R278">
        <v>0</v>
      </c>
      <c r="S278">
        <v>0</v>
      </c>
      <c r="T278">
        <v>117276.6</v>
      </c>
      <c r="U278">
        <v>43922.36</v>
      </c>
    </row>
    <row r="279" spans="1:21" ht="15" customHeight="1" x14ac:dyDescent="0.25">
      <c r="A279" t="s">
        <v>2423</v>
      </c>
      <c r="B279" s="8">
        <v>44750</v>
      </c>
      <c r="C279" s="8">
        <v>44754</v>
      </c>
      <c r="D279" t="s">
        <v>73</v>
      </c>
      <c r="E279" t="s">
        <v>3044</v>
      </c>
      <c r="F279" t="s">
        <v>3038</v>
      </c>
      <c r="G279" t="s">
        <v>2425</v>
      </c>
      <c r="H279">
        <v>8147963833</v>
      </c>
      <c r="I279" t="s">
        <v>43</v>
      </c>
      <c r="J279" t="s">
        <v>25</v>
      </c>
      <c r="K279" t="s">
        <v>26</v>
      </c>
      <c r="L279" t="s">
        <v>857</v>
      </c>
      <c r="M279" t="str">
        <f>TRIM(Table2[[#This Row],[Category]])</f>
        <v>food &amp; beverages</v>
      </c>
      <c r="N279" t="s">
        <v>28</v>
      </c>
      <c r="O279" t="s">
        <v>508</v>
      </c>
      <c r="P279">
        <v>1</v>
      </c>
      <c r="Q279">
        <v>6898.25</v>
      </c>
      <c r="R279">
        <v>10</v>
      </c>
      <c r="S279">
        <v>689.83</v>
      </c>
      <c r="T279">
        <v>6208.42</v>
      </c>
      <c r="U279">
        <v>842.77</v>
      </c>
    </row>
    <row r="280" spans="1:21" ht="15" customHeight="1" x14ac:dyDescent="0.25">
      <c r="A280" t="s">
        <v>2813</v>
      </c>
      <c r="B280" s="8" t="s">
        <v>2814</v>
      </c>
      <c r="C280" s="8">
        <v>44755</v>
      </c>
      <c r="D280" t="s">
        <v>73</v>
      </c>
      <c r="E280" t="s">
        <v>3070</v>
      </c>
      <c r="F280" t="s">
        <v>3088</v>
      </c>
      <c r="G280" t="s">
        <v>2815</v>
      </c>
      <c r="H280">
        <v>7032902103</v>
      </c>
      <c r="I280" t="s">
        <v>43</v>
      </c>
      <c r="J280" t="s">
        <v>25</v>
      </c>
      <c r="K280" t="s">
        <v>44</v>
      </c>
      <c r="L280" t="s">
        <v>96</v>
      </c>
      <c r="M280" t="str">
        <f>TRIM(Table2[[#This Row],[Category]])</f>
        <v>Technology</v>
      </c>
      <c r="N280" t="s">
        <v>97</v>
      </c>
      <c r="O280" t="s">
        <v>1416</v>
      </c>
      <c r="P280">
        <v>4</v>
      </c>
      <c r="Q280">
        <v>153465.60000000001</v>
      </c>
      <c r="R280">
        <v>0</v>
      </c>
      <c r="S280">
        <v>0</v>
      </c>
      <c r="T280">
        <v>613862.40000000002</v>
      </c>
      <c r="U280">
        <v>120223</v>
      </c>
    </row>
    <row r="281" spans="1:21" ht="15" customHeight="1" x14ac:dyDescent="0.25">
      <c r="A281" t="s">
        <v>2224</v>
      </c>
      <c r="B281" s="8">
        <v>44757</v>
      </c>
      <c r="C281" s="8">
        <v>44762</v>
      </c>
      <c r="D281" t="s">
        <v>73</v>
      </c>
      <c r="E281" t="s">
        <v>3035</v>
      </c>
      <c r="F281" t="s">
        <v>3079</v>
      </c>
      <c r="G281" t="s">
        <v>2226</v>
      </c>
      <c r="H281">
        <v>8136237674</v>
      </c>
      <c r="I281" t="s">
        <v>35</v>
      </c>
      <c r="J281" t="s">
        <v>69</v>
      </c>
      <c r="K281" t="s">
        <v>307</v>
      </c>
      <c r="L281" t="s">
        <v>63</v>
      </c>
      <c r="M281" t="str">
        <f>TRIM(Table2[[#This Row],[Category]])</f>
        <v>Office Supplies</v>
      </c>
      <c r="N281" t="s">
        <v>64</v>
      </c>
      <c r="O281" t="s">
        <v>777</v>
      </c>
      <c r="P281">
        <v>10</v>
      </c>
      <c r="Q281">
        <v>18715.34</v>
      </c>
      <c r="R281">
        <v>10</v>
      </c>
      <c r="S281">
        <v>18715.34</v>
      </c>
      <c r="T281" t="s">
        <v>2227</v>
      </c>
      <c r="U281">
        <v>21112.6</v>
      </c>
    </row>
    <row r="282" spans="1:21" ht="15" customHeight="1" x14ac:dyDescent="0.25">
      <c r="A282" t="s">
        <v>2472</v>
      </c>
      <c r="B282" s="8">
        <v>44759</v>
      </c>
      <c r="C282" s="8">
        <v>44764</v>
      </c>
      <c r="D282" t="s">
        <v>73</v>
      </c>
      <c r="E282" t="s">
        <v>3055</v>
      </c>
      <c r="F282" t="s">
        <v>3077</v>
      </c>
      <c r="G282" t="s">
        <v>2473</v>
      </c>
      <c r="H282">
        <v>8064822259</v>
      </c>
      <c r="I282" t="s">
        <v>24</v>
      </c>
      <c r="J282" t="s">
        <v>61</v>
      </c>
      <c r="K282" t="s">
        <v>84</v>
      </c>
      <c r="L282" t="s">
        <v>63</v>
      </c>
      <c r="M282" t="str">
        <f>TRIM(Table2[[#This Row],[Category]])</f>
        <v>Office Supplies</v>
      </c>
      <c r="N282" t="s">
        <v>469</v>
      </c>
      <c r="O282" t="s">
        <v>1099</v>
      </c>
      <c r="P282">
        <v>8</v>
      </c>
      <c r="Q282">
        <v>20616.400000000001</v>
      </c>
      <c r="R282">
        <v>20</v>
      </c>
      <c r="S282">
        <v>32986.239999999998</v>
      </c>
      <c r="T282">
        <v>131944.95999999999</v>
      </c>
      <c r="U282">
        <v>1514.74</v>
      </c>
    </row>
    <row r="283" spans="1:21" ht="15" customHeight="1" x14ac:dyDescent="0.25">
      <c r="A283" t="s">
        <v>2710</v>
      </c>
      <c r="B283" s="8">
        <v>44767</v>
      </c>
      <c r="C283" s="8">
        <v>44770</v>
      </c>
      <c r="D283" t="s">
        <v>73</v>
      </c>
      <c r="E283" t="s">
        <v>3051</v>
      </c>
      <c r="F283" t="s">
        <v>3078</v>
      </c>
      <c r="G283" t="s">
        <v>2711</v>
      </c>
      <c r="H283">
        <v>8143523050</v>
      </c>
      <c r="I283" t="s">
        <v>35</v>
      </c>
      <c r="J283" t="s">
        <v>69</v>
      </c>
      <c r="K283" t="s">
        <v>70</v>
      </c>
      <c r="L283" t="s">
        <v>108</v>
      </c>
      <c r="M283" t="str">
        <f>TRIM(Table2[[#This Row],[Category]])</f>
        <v>Clothing</v>
      </c>
      <c r="N283" t="s">
        <v>189</v>
      </c>
      <c r="O283" t="s">
        <v>478</v>
      </c>
      <c r="P283">
        <v>9</v>
      </c>
      <c r="Q283">
        <v>2990.14</v>
      </c>
      <c r="R283">
        <v>5</v>
      </c>
      <c r="S283">
        <v>1345.56</v>
      </c>
      <c r="T283">
        <v>25565.7</v>
      </c>
      <c r="U283">
        <v>9691.5400000000009</v>
      </c>
    </row>
    <row r="284" spans="1:21" ht="15" customHeight="1" x14ac:dyDescent="0.25">
      <c r="A284" t="s">
        <v>1418</v>
      </c>
      <c r="B284" s="8">
        <v>44771</v>
      </c>
      <c r="C284" s="8">
        <v>44774</v>
      </c>
      <c r="D284" t="s">
        <v>73</v>
      </c>
      <c r="E284" t="s">
        <v>3084</v>
      </c>
      <c r="F284" t="s">
        <v>3075</v>
      </c>
      <c r="G284" t="s">
        <v>1420</v>
      </c>
      <c r="H284">
        <v>8034161109</v>
      </c>
      <c r="I284" t="s">
        <v>43</v>
      </c>
      <c r="J284" t="s">
        <v>69</v>
      </c>
      <c r="K284" t="s">
        <v>70</v>
      </c>
      <c r="L284" t="s">
        <v>27</v>
      </c>
      <c r="M284" t="str">
        <f>TRIM(Table2[[#This Row],[Category]])</f>
        <v>Food &amp; Beverages</v>
      </c>
      <c r="N284" t="s">
        <v>173</v>
      </c>
      <c r="O284" t="s">
        <v>1421</v>
      </c>
      <c r="P284">
        <v>18</v>
      </c>
      <c r="Q284">
        <v>6814.74</v>
      </c>
      <c r="R284">
        <v>0</v>
      </c>
      <c r="S284">
        <v>0</v>
      </c>
      <c r="T284">
        <v>122665.32</v>
      </c>
      <c r="U284">
        <v>12316.55</v>
      </c>
    </row>
    <row r="285" spans="1:21" ht="15" customHeight="1" x14ac:dyDescent="0.25">
      <c r="A285" t="s">
        <v>772</v>
      </c>
      <c r="B285" s="8">
        <v>44778</v>
      </c>
      <c r="C285" s="8">
        <v>44781</v>
      </c>
      <c r="D285" t="s">
        <v>73</v>
      </c>
      <c r="E285" t="s">
        <v>3053</v>
      </c>
      <c r="F285" t="s">
        <v>3071</v>
      </c>
      <c r="G285" t="s">
        <v>774</v>
      </c>
      <c r="H285">
        <v>7063025626</v>
      </c>
      <c r="I285" t="s">
        <v>35</v>
      </c>
      <c r="J285" t="s">
        <v>61</v>
      </c>
      <c r="K285" t="s">
        <v>84</v>
      </c>
      <c r="L285" t="s">
        <v>27</v>
      </c>
      <c r="M285" t="str">
        <f>TRIM(Table2[[#This Row],[Category]])</f>
        <v>Food &amp; Beverages</v>
      </c>
      <c r="N285" t="s">
        <v>45</v>
      </c>
      <c r="O285" t="s">
        <v>523</v>
      </c>
      <c r="P285">
        <v>15</v>
      </c>
      <c r="Q285">
        <v>3779.76</v>
      </c>
      <c r="R285">
        <v>10</v>
      </c>
      <c r="S285">
        <v>5669.64</v>
      </c>
      <c r="T285">
        <v>51026.76</v>
      </c>
      <c r="U285">
        <v>18445.63</v>
      </c>
    </row>
    <row r="286" spans="1:21" ht="15" customHeight="1" x14ac:dyDescent="0.25">
      <c r="A286" t="s">
        <v>2835</v>
      </c>
      <c r="B286" s="8">
        <v>44786</v>
      </c>
      <c r="C286" s="8">
        <v>44790</v>
      </c>
      <c r="D286" t="s">
        <v>73</v>
      </c>
      <c r="E286" t="s">
        <v>3073</v>
      </c>
      <c r="F286" t="s">
        <v>3075</v>
      </c>
      <c r="G286" t="s">
        <v>2837</v>
      </c>
      <c r="H286">
        <v>9012658169</v>
      </c>
      <c r="I286" t="s">
        <v>35</v>
      </c>
      <c r="J286" t="s">
        <v>69</v>
      </c>
      <c r="K286" t="s">
        <v>70</v>
      </c>
      <c r="L286" t="s">
        <v>63</v>
      </c>
      <c r="M286" t="str">
        <f>TRIM(Table2[[#This Row],[Category]])</f>
        <v>Office Supplies</v>
      </c>
      <c r="N286" t="s">
        <v>194</v>
      </c>
      <c r="O286" t="s">
        <v>195</v>
      </c>
      <c r="P286">
        <f>P285</f>
        <v>15</v>
      </c>
      <c r="Q286">
        <v>20086.8</v>
      </c>
      <c r="R286">
        <v>0</v>
      </c>
      <c r="S286">
        <v>0</v>
      </c>
      <c r="T286">
        <v>261128.4</v>
      </c>
      <c r="U286">
        <v>-29303.66</v>
      </c>
    </row>
    <row r="287" spans="1:21" ht="15" customHeight="1" x14ac:dyDescent="0.25">
      <c r="A287" t="s">
        <v>2061</v>
      </c>
      <c r="B287" s="8">
        <v>44789</v>
      </c>
      <c r="C287" s="8">
        <v>44792</v>
      </c>
      <c r="D287" t="s">
        <v>73</v>
      </c>
      <c r="E287" t="str">
        <f t="shared" ref="E287:E288" si="1">E288</f>
        <v>Gbenga</v>
      </c>
      <c r="F287" t="str">
        <f>F286</f>
        <v>Dangote</v>
      </c>
      <c r="G287" t="s">
        <v>2062</v>
      </c>
      <c r="H287">
        <v>9055465729</v>
      </c>
      <c r="I287" t="s">
        <v>24</v>
      </c>
      <c r="J287" t="s">
        <v>25</v>
      </c>
      <c r="K287" t="s">
        <v>26</v>
      </c>
      <c r="L287" t="s">
        <v>85</v>
      </c>
      <c r="M287" t="str">
        <f>TRIM(Table2[[#This Row],[Category]])</f>
        <v>Furniture</v>
      </c>
      <c r="N287" t="s">
        <v>86</v>
      </c>
      <c r="O287" t="s">
        <v>238</v>
      </c>
      <c r="P287">
        <v>8</v>
      </c>
      <c r="Q287">
        <v>25377.5</v>
      </c>
      <c r="R287">
        <v>15</v>
      </c>
      <c r="S287">
        <v>30453</v>
      </c>
      <c r="T287">
        <v>172567</v>
      </c>
      <c r="U287">
        <v>14693.19</v>
      </c>
    </row>
    <row r="288" spans="1:21" ht="15" customHeight="1" x14ac:dyDescent="0.25">
      <c r="A288" t="s">
        <v>1377</v>
      </c>
      <c r="B288" s="8">
        <v>44794</v>
      </c>
      <c r="C288" s="8">
        <v>44799</v>
      </c>
      <c r="D288" t="s">
        <v>73</v>
      </c>
      <c r="E288" t="str">
        <f t="shared" si="1"/>
        <v>Gbenga</v>
      </c>
      <c r="F288" t="s">
        <v>3055</v>
      </c>
      <c r="G288" t="s">
        <v>1379</v>
      </c>
      <c r="H288">
        <v>9024782209</v>
      </c>
      <c r="I288" t="s">
        <v>43</v>
      </c>
      <c r="J288" t="s">
        <v>61</v>
      </c>
      <c r="K288" t="s">
        <v>62</v>
      </c>
      <c r="L288" t="s">
        <v>63</v>
      </c>
      <c r="M288" t="str">
        <f>TRIM(Table2[[#This Row],[Category]])</f>
        <v>Office Supplies</v>
      </c>
      <c r="N288" t="s">
        <v>558</v>
      </c>
      <c r="O288" t="s">
        <v>1380</v>
      </c>
      <c r="P288">
        <v>14</v>
      </c>
      <c r="Q288">
        <v>12837.37</v>
      </c>
      <c r="R288">
        <v>10</v>
      </c>
      <c r="S288">
        <v>17972.32</v>
      </c>
      <c r="T288">
        <v>161750.85999999999</v>
      </c>
      <c r="U288">
        <v>-18977.259999999998</v>
      </c>
    </row>
    <row r="289" spans="1:21" ht="15" customHeight="1" x14ac:dyDescent="0.25">
      <c r="A289" t="s">
        <v>1860</v>
      </c>
      <c r="B289" s="8">
        <v>44803</v>
      </c>
      <c r="C289" s="8">
        <v>44807</v>
      </c>
      <c r="D289" t="s">
        <v>73</v>
      </c>
      <c r="E289" t="s">
        <v>3093</v>
      </c>
      <c r="F289" t="s">
        <v>3083</v>
      </c>
      <c r="G289" t="s">
        <v>1861</v>
      </c>
      <c r="H289">
        <v>8164574653</v>
      </c>
      <c r="I289" t="s">
        <v>24</v>
      </c>
      <c r="J289" t="s">
        <v>25</v>
      </c>
      <c r="K289" t="s">
        <v>44</v>
      </c>
      <c r="L289" t="s">
        <v>96</v>
      </c>
      <c r="M289" t="str">
        <f>TRIM(Table2[[#This Row],[Category]])</f>
        <v>Technology</v>
      </c>
      <c r="N289" t="s">
        <v>254</v>
      </c>
      <c r="O289" t="s">
        <v>530</v>
      </c>
      <c r="P289">
        <v>10</v>
      </c>
      <c r="Q289">
        <v>109596.49</v>
      </c>
      <c r="R289">
        <v>25</v>
      </c>
      <c r="S289">
        <v>273991.23</v>
      </c>
      <c r="T289">
        <v>821973.67</v>
      </c>
      <c r="U289">
        <v>283939.65000000002</v>
      </c>
    </row>
    <row r="290" spans="1:21" ht="15" customHeight="1" x14ac:dyDescent="0.25">
      <c r="A290" t="s">
        <v>1937</v>
      </c>
      <c r="B290" s="8">
        <v>44802</v>
      </c>
      <c r="C290" s="8">
        <v>44807</v>
      </c>
      <c r="D290" t="s">
        <v>73</v>
      </c>
      <c r="E290" t="s">
        <v>3084</v>
      </c>
      <c r="F290" t="s">
        <v>3045</v>
      </c>
      <c r="G290" t="s">
        <v>1939</v>
      </c>
      <c r="H290">
        <v>9018125430</v>
      </c>
      <c r="I290" t="s">
        <v>24</v>
      </c>
      <c r="J290" t="s">
        <v>61</v>
      </c>
      <c r="K290" t="s">
        <v>95</v>
      </c>
      <c r="L290" t="s">
        <v>63</v>
      </c>
      <c r="M290" t="str">
        <f>TRIM(Table2[[#This Row],[Category]])</f>
        <v>Office Supplies</v>
      </c>
      <c r="N290" t="s">
        <v>249</v>
      </c>
      <c r="O290" t="s">
        <v>465</v>
      </c>
      <c r="P290">
        <v>3</v>
      </c>
      <c r="Q290">
        <v>16737.310000000001</v>
      </c>
      <c r="R290">
        <v>20</v>
      </c>
      <c r="S290">
        <v>10042.39</v>
      </c>
      <c r="T290" t="s">
        <v>1940</v>
      </c>
      <c r="U290">
        <v>14158.25</v>
      </c>
    </row>
    <row r="291" spans="1:21" ht="15" customHeight="1" x14ac:dyDescent="0.25">
      <c r="A291" t="s">
        <v>744</v>
      </c>
      <c r="B291" s="8">
        <v>44806</v>
      </c>
      <c r="C291" s="8">
        <v>44809</v>
      </c>
      <c r="D291" t="s">
        <v>73</v>
      </c>
      <c r="E291" t="s">
        <v>3033</v>
      </c>
      <c r="F291" t="s">
        <v>3078</v>
      </c>
      <c r="G291" t="s">
        <v>746</v>
      </c>
      <c r="H291">
        <v>8109328426</v>
      </c>
      <c r="I291" t="s">
        <v>24</v>
      </c>
      <c r="J291" t="s">
        <v>25</v>
      </c>
      <c r="K291" t="s">
        <v>44</v>
      </c>
      <c r="L291" t="s">
        <v>63</v>
      </c>
      <c r="M291" t="str">
        <f>TRIM(Table2[[#This Row],[Category]])</f>
        <v>Office Supplies</v>
      </c>
      <c r="N291" t="s">
        <v>312</v>
      </c>
      <c r="O291" t="s">
        <v>686</v>
      </c>
      <c r="P291">
        <v>9</v>
      </c>
      <c r="Q291">
        <v>19683.18</v>
      </c>
      <c r="R291">
        <v>0</v>
      </c>
      <c r="S291">
        <v>0</v>
      </c>
      <c r="T291">
        <v>177148.62</v>
      </c>
      <c r="U291">
        <v>12953.4</v>
      </c>
    </row>
    <row r="292" spans="1:21" ht="15" customHeight="1" x14ac:dyDescent="0.25">
      <c r="A292" t="s">
        <v>1487</v>
      </c>
      <c r="B292" s="8">
        <v>44812</v>
      </c>
      <c r="C292" s="8">
        <v>44816</v>
      </c>
      <c r="D292" t="s">
        <v>73</v>
      </c>
      <c r="E292" t="s">
        <v>3095</v>
      </c>
      <c r="F292" t="s">
        <v>3042</v>
      </c>
      <c r="G292" t="s">
        <v>1489</v>
      </c>
      <c r="H292">
        <v>9024958384</v>
      </c>
      <c r="I292" t="s">
        <v>35</v>
      </c>
      <c r="J292" t="s">
        <v>51</v>
      </c>
      <c r="K292" t="s">
        <v>316</v>
      </c>
      <c r="L292" t="s">
        <v>37</v>
      </c>
      <c r="M292" t="str">
        <f>TRIM(Table2[[#This Row],[Category]])</f>
        <v>clothing</v>
      </c>
      <c r="N292" t="s">
        <v>109</v>
      </c>
      <c r="O292" t="s">
        <v>1258</v>
      </c>
      <c r="P292">
        <v>7</v>
      </c>
      <c r="Q292">
        <v>6593</v>
      </c>
      <c r="R292">
        <v>10</v>
      </c>
      <c r="S292">
        <v>4615.1000000000004</v>
      </c>
      <c r="T292">
        <v>41535.9</v>
      </c>
      <c r="U292">
        <v>4722.0200000000004</v>
      </c>
    </row>
    <row r="293" spans="1:21" ht="15" customHeight="1" x14ac:dyDescent="0.25">
      <c r="A293" t="s">
        <v>2595</v>
      </c>
      <c r="B293" s="8">
        <v>44822</v>
      </c>
      <c r="C293" s="8">
        <v>44826</v>
      </c>
      <c r="D293" t="s">
        <v>73</v>
      </c>
      <c r="E293" t="s">
        <v>3094</v>
      </c>
      <c r="F293" t="s">
        <v>3043</v>
      </c>
      <c r="G293" t="s">
        <v>2597</v>
      </c>
      <c r="H293">
        <v>8035179188</v>
      </c>
      <c r="I293" t="s">
        <v>43</v>
      </c>
      <c r="J293" t="s">
        <v>51</v>
      </c>
      <c r="K293" t="s">
        <v>227</v>
      </c>
      <c r="L293" t="s">
        <v>108</v>
      </c>
      <c r="M293" t="str">
        <f>TRIM(Table2[[#This Row],[Category]])</f>
        <v>Clothing</v>
      </c>
      <c r="N293" t="s">
        <v>189</v>
      </c>
      <c r="O293" t="s">
        <v>478</v>
      </c>
      <c r="P293">
        <v>11</v>
      </c>
      <c r="Q293">
        <v>40293.949999999997</v>
      </c>
      <c r="R293">
        <v>25</v>
      </c>
      <c r="S293">
        <v>110808.36</v>
      </c>
      <c r="T293">
        <v>332425.09000000003</v>
      </c>
      <c r="U293">
        <v>125801.92</v>
      </c>
    </row>
    <row r="294" spans="1:21" ht="15" customHeight="1" x14ac:dyDescent="0.25">
      <c r="A294" t="s">
        <v>491</v>
      </c>
      <c r="B294" s="8">
        <v>44826</v>
      </c>
      <c r="C294" s="8">
        <v>44830</v>
      </c>
      <c r="D294" t="s">
        <v>73</v>
      </c>
      <c r="E294" t="s">
        <v>3092</v>
      </c>
      <c r="F294" t="s">
        <v>3086</v>
      </c>
      <c r="G294" t="s">
        <v>493</v>
      </c>
      <c r="H294">
        <v>8033083077</v>
      </c>
      <c r="I294" t="s">
        <v>24</v>
      </c>
      <c r="J294" t="s">
        <v>51</v>
      </c>
      <c r="K294" t="s">
        <v>131</v>
      </c>
      <c r="L294" t="s">
        <v>27</v>
      </c>
      <c r="M294" t="str">
        <f>TRIM(Table2[[#This Row],[Category]])</f>
        <v>Food &amp; Beverages</v>
      </c>
      <c r="N294" t="s">
        <v>354</v>
      </c>
      <c r="O294" t="s">
        <v>494</v>
      </c>
      <c r="P294">
        <v>11</v>
      </c>
      <c r="Q294">
        <v>1567.86</v>
      </c>
      <c r="R294">
        <v>5</v>
      </c>
      <c r="S294">
        <v>862.32</v>
      </c>
      <c r="T294">
        <v>16384.14</v>
      </c>
      <c r="U294">
        <v>943.95</v>
      </c>
    </row>
    <row r="295" spans="1:21" ht="15" customHeight="1" x14ac:dyDescent="0.25">
      <c r="A295" t="s">
        <v>800</v>
      </c>
      <c r="B295" s="8">
        <v>44829</v>
      </c>
      <c r="C295" s="8">
        <v>44833</v>
      </c>
      <c r="D295" t="s">
        <v>73</v>
      </c>
      <c r="E295" t="s">
        <v>3065</v>
      </c>
      <c r="F295" t="s">
        <v>3079</v>
      </c>
      <c r="G295" t="s">
        <v>802</v>
      </c>
      <c r="H295">
        <v>8031367637</v>
      </c>
      <c r="I295" t="s">
        <v>43</v>
      </c>
      <c r="J295" t="s">
        <v>69</v>
      </c>
      <c r="K295" t="s">
        <v>307</v>
      </c>
      <c r="L295" t="s">
        <v>85</v>
      </c>
      <c r="M295" t="str">
        <f>TRIM(Table2[[#This Row],[Category]])</f>
        <v>Furniture</v>
      </c>
      <c r="N295" t="s">
        <v>266</v>
      </c>
      <c r="O295" t="s">
        <v>803</v>
      </c>
      <c r="P295">
        <v>17</v>
      </c>
      <c r="Q295">
        <v>141191.04000000001</v>
      </c>
      <c r="R295">
        <v>10</v>
      </c>
      <c r="S295">
        <v>240024.77</v>
      </c>
      <c r="T295" t="s">
        <v>804</v>
      </c>
      <c r="U295">
        <v>920979.17</v>
      </c>
    </row>
    <row r="296" spans="1:21" ht="15" customHeight="1" x14ac:dyDescent="0.25">
      <c r="A296" t="s">
        <v>1554</v>
      </c>
      <c r="B296" s="8">
        <v>44838</v>
      </c>
      <c r="C296" s="8">
        <v>44841</v>
      </c>
      <c r="D296" t="s">
        <v>73</v>
      </c>
      <c r="E296" t="s">
        <v>3050</v>
      </c>
      <c r="F296" t="s">
        <v>3038</v>
      </c>
      <c r="G296" t="s">
        <v>1555</v>
      </c>
      <c r="H296">
        <v>9014157826</v>
      </c>
      <c r="I296" t="s">
        <v>35</v>
      </c>
      <c r="J296" t="s">
        <v>69</v>
      </c>
      <c r="K296" t="s">
        <v>144</v>
      </c>
      <c r="L296" t="s">
        <v>96</v>
      </c>
      <c r="M296" t="str">
        <f>TRIM(Table2[[#This Row],[Category]])</f>
        <v>Technology</v>
      </c>
      <c r="N296" t="s">
        <v>385</v>
      </c>
      <c r="O296" t="s">
        <v>942</v>
      </c>
      <c r="P296">
        <v>8</v>
      </c>
      <c r="Q296">
        <v>297151.09999999998</v>
      </c>
      <c r="R296">
        <v>15</v>
      </c>
      <c r="S296">
        <v>356581.32</v>
      </c>
      <c r="T296">
        <v>2020627.48</v>
      </c>
      <c r="U296">
        <v>717835.64</v>
      </c>
    </row>
    <row r="297" spans="1:21" ht="15" customHeight="1" x14ac:dyDescent="0.25">
      <c r="A297" t="s">
        <v>2565</v>
      </c>
      <c r="B297" s="8">
        <v>44838</v>
      </c>
      <c r="C297" s="8">
        <v>44843</v>
      </c>
      <c r="D297" t="s">
        <v>73</v>
      </c>
      <c r="E297" t="s">
        <v>3093</v>
      </c>
      <c r="F297" t="s">
        <v>3069</v>
      </c>
      <c r="G297" t="s">
        <v>2566</v>
      </c>
      <c r="H297">
        <v>8102861798</v>
      </c>
      <c r="I297" t="s">
        <v>35</v>
      </c>
      <c r="J297" t="s">
        <v>25</v>
      </c>
      <c r="K297" t="s">
        <v>44</v>
      </c>
      <c r="L297" t="s">
        <v>85</v>
      </c>
      <c r="M297" t="str">
        <f>TRIM(Table2[[#This Row],[Category]])</f>
        <v>Furniture</v>
      </c>
      <c r="N297" t="s">
        <v>243</v>
      </c>
      <c r="O297" t="s">
        <v>404</v>
      </c>
      <c r="P297">
        <v>3</v>
      </c>
      <c r="Q297">
        <v>130362.21</v>
      </c>
      <c r="R297">
        <v>10</v>
      </c>
      <c r="S297">
        <v>39108.660000000003</v>
      </c>
      <c r="T297">
        <v>351977.97</v>
      </c>
      <c r="U297">
        <v>74509.350000000006</v>
      </c>
    </row>
    <row r="298" spans="1:21" ht="15" customHeight="1" x14ac:dyDescent="0.25">
      <c r="A298" t="s">
        <v>2646</v>
      </c>
      <c r="B298" s="8">
        <v>44847</v>
      </c>
      <c r="C298" s="8">
        <v>44850</v>
      </c>
      <c r="D298" t="s">
        <v>73</v>
      </c>
      <c r="E298" t="s">
        <v>3058</v>
      </c>
      <c r="F298" t="s">
        <v>3050</v>
      </c>
      <c r="G298" t="s">
        <v>1107</v>
      </c>
      <c r="H298">
        <v>8069411821</v>
      </c>
      <c r="I298" t="s">
        <v>43</v>
      </c>
      <c r="J298" t="s">
        <v>61</v>
      </c>
      <c r="K298" t="s">
        <v>84</v>
      </c>
      <c r="L298" t="s">
        <v>27</v>
      </c>
      <c r="M298" t="str">
        <f>TRIM(Table2[[#This Row],[Category]])</f>
        <v>Food &amp; Beverages</v>
      </c>
      <c r="N298" t="s">
        <v>79</v>
      </c>
      <c r="O298" t="s">
        <v>234</v>
      </c>
      <c r="P298">
        <v>1</v>
      </c>
      <c r="Q298">
        <v>1099.3800000000001</v>
      </c>
      <c r="R298">
        <v>10</v>
      </c>
      <c r="S298">
        <v>109.94</v>
      </c>
      <c r="T298">
        <v>989.44</v>
      </c>
      <c r="U298">
        <v>406.37</v>
      </c>
    </row>
    <row r="299" spans="1:21" ht="15" customHeight="1" x14ac:dyDescent="0.25">
      <c r="A299" t="s">
        <v>2667</v>
      </c>
      <c r="B299" s="8">
        <v>44847</v>
      </c>
      <c r="C299" s="8">
        <v>44850</v>
      </c>
      <c r="D299" t="s">
        <v>73</v>
      </c>
      <c r="E299" t="s">
        <v>3080</v>
      </c>
      <c r="F299" t="s">
        <v>3057</v>
      </c>
      <c r="G299" t="s">
        <v>1014</v>
      </c>
      <c r="H299">
        <v>8149323942</v>
      </c>
      <c r="I299" t="s">
        <v>35</v>
      </c>
      <c r="J299" t="s">
        <v>69</v>
      </c>
      <c r="K299" t="s">
        <v>307</v>
      </c>
      <c r="L299" t="s">
        <v>63</v>
      </c>
      <c r="M299" t="str">
        <f>TRIM(Table2[[#This Row],[Category]])</f>
        <v>Office Supplies</v>
      </c>
      <c r="N299" t="s">
        <v>194</v>
      </c>
      <c r="O299" t="s">
        <v>257</v>
      </c>
      <c r="P299">
        <v>17</v>
      </c>
      <c r="Q299">
        <v>1003.17</v>
      </c>
      <c r="R299">
        <v>10</v>
      </c>
      <c r="S299">
        <v>1705.39</v>
      </c>
      <c r="T299">
        <v>15348.5</v>
      </c>
      <c r="U299">
        <v>3543.96</v>
      </c>
    </row>
    <row r="300" spans="1:21" ht="15" customHeight="1" x14ac:dyDescent="0.25">
      <c r="A300" t="s">
        <v>2245</v>
      </c>
      <c r="B300" s="8">
        <v>44851</v>
      </c>
      <c r="C300" s="8">
        <v>44855</v>
      </c>
      <c r="D300" t="s">
        <v>73</v>
      </c>
      <c r="E300" t="s">
        <v>3070</v>
      </c>
      <c r="F300" t="s">
        <v>3069</v>
      </c>
      <c r="G300" t="s">
        <v>3126</v>
      </c>
      <c r="H300">
        <v>9027228596</v>
      </c>
      <c r="I300" t="s">
        <v>24</v>
      </c>
      <c r="J300" t="s">
        <v>51</v>
      </c>
      <c r="K300" t="s">
        <v>227</v>
      </c>
      <c r="L300" t="s">
        <v>27</v>
      </c>
      <c r="M300" t="str">
        <f>TRIM(Table2[[#This Row],[Category]])</f>
        <v>Food &amp; Beverages</v>
      </c>
      <c r="N300" t="s">
        <v>173</v>
      </c>
      <c r="O300" t="s">
        <v>174</v>
      </c>
      <c r="P300">
        <v>7</v>
      </c>
      <c r="Q300">
        <v>3935.25</v>
      </c>
      <c r="R300">
        <v>10</v>
      </c>
      <c r="S300">
        <v>2754.68</v>
      </c>
      <c r="T300">
        <v>24792.07</v>
      </c>
      <c r="U300">
        <v>10071.719999999999</v>
      </c>
    </row>
    <row r="301" spans="1:21" ht="15" customHeight="1" x14ac:dyDescent="0.25">
      <c r="A301" t="s">
        <v>610</v>
      </c>
      <c r="B301" s="8">
        <v>44860</v>
      </c>
      <c r="C301" s="8">
        <v>44863</v>
      </c>
      <c r="D301" t="s">
        <v>73</v>
      </c>
      <c r="E301" t="s">
        <v>3061</v>
      </c>
      <c r="F301" t="s">
        <v>3077</v>
      </c>
      <c r="G301" t="s">
        <v>612</v>
      </c>
      <c r="H301">
        <v>8163557039</v>
      </c>
      <c r="I301" t="s">
        <v>24</v>
      </c>
      <c r="J301" t="s">
        <v>69</v>
      </c>
      <c r="K301" t="s">
        <v>307</v>
      </c>
      <c r="L301" t="s">
        <v>85</v>
      </c>
      <c r="M301" t="str">
        <f>TRIM(Table2[[#This Row],[Category]])</f>
        <v>Furniture</v>
      </c>
      <c r="N301" t="s">
        <v>243</v>
      </c>
      <c r="O301" t="s">
        <v>613</v>
      </c>
      <c r="P301">
        <v>8</v>
      </c>
      <c r="Q301">
        <v>73332.44</v>
      </c>
      <c r="R301">
        <v>20</v>
      </c>
      <c r="S301">
        <v>117331.9</v>
      </c>
      <c r="T301">
        <v>469327.62</v>
      </c>
      <c r="U301">
        <v>84659.91</v>
      </c>
    </row>
    <row r="302" spans="1:21" ht="15" customHeight="1" x14ac:dyDescent="0.25">
      <c r="A302" t="s">
        <v>762</v>
      </c>
      <c r="B302" s="8">
        <v>44870</v>
      </c>
      <c r="C302" s="8">
        <v>44865</v>
      </c>
      <c r="D302" t="s">
        <v>73</v>
      </c>
      <c r="E302" t="s">
        <v>3051</v>
      </c>
      <c r="F302" t="s">
        <v>3046</v>
      </c>
      <c r="G302" t="s">
        <v>764</v>
      </c>
      <c r="H302">
        <v>8156812025</v>
      </c>
      <c r="I302" t="s">
        <v>24</v>
      </c>
      <c r="J302" t="s">
        <v>69</v>
      </c>
      <c r="K302" t="s">
        <v>119</v>
      </c>
      <c r="L302" t="s">
        <v>96</v>
      </c>
      <c r="M302" t="str">
        <f>TRIM(Table2[[#This Row],[Category]])</f>
        <v>Technology</v>
      </c>
      <c r="N302" t="s">
        <v>97</v>
      </c>
      <c r="O302" t="s">
        <v>98</v>
      </c>
      <c r="P302">
        <v>13</v>
      </c>
      <c r="Q302" t="s">
        <v>765</v>
      </c>
      <c r="R302">
        <v>10</v>
      </c>
      <c r="S302">
        <v>448674.43</v>
      </c>
      <c r="T302">
        <v>4038069.91</v>
      </c>
      <c r="U302">
        <v>-353858.44</v>
      </c>
    </row>
    <row r="303" spans="1:21" ht="15" customHeight="1" x14ac:dyDescent="0.25">
      <c r="A303" t="s">
        <v>179</v>
      </c>
      <c r="B303" s="8">
        <v>44863</v>
      </c>
      <c r="C303" s="8">
        <v>44866</v>
      </c>
      <c r="D303" t="s">
        <v>73</v>
      </c>
      <c r="E303" t="s">
        <v>3063</v>
      </c>
      <c r="F303" t="s">
        <v>3043</v>
      </c>
      <c r="G303" t="s">
        <v>181</v>
      </c>
      <c r="H303">
        <v>9052221854</v>
      </c>
      <c r="I303" t="s">
        <v>35</v>
      </c>
      <c r="J303" t="s">
        <v>61</v>
      </c>
      <c r="K303" t="s">
        <v>182</v>
      </c>
      <c r="L303" t="s">
        <v>108</v>
      </c>
      <c r="M303" t="str">
        <f>TRIM(Table2[[#This Row],[Category]])</f>
        <v>Clothing</v>
      </c>
      <c r="N303" t="s">
        <v>183</v>
      </c>
      <c r="O303" t="s">
        <v>184</v>
      </c>
      <c r="P303">
        <v>13</v>
      </c>
      <c r="Q303">
        <v>10360.719999999999</v>
      </c>
      <c r="R303">
        <v>20</v>
      </c>
      <c r="S303">
        <v>26937.87</v>
      </c>
      <c r="T303">
        <v>107751.49</v>
      </c>
      <c r="U303">
        <v>9675.19</v>
      </c>
    </row>
    <row r="304" spans="1:21" ht="15" customHeight="1" x14ac:dyDescent="0.25">
      <c r="A304" t="s">
        <v>2357</v>
      </c>
      <c r="B304" s="8">
        <v>44862</v>
      </c>
      <c r="C304" s="8">
        <v>44867</v>
      </c>
      <c r="D304" t="s">
        <v>73</v>
      </c>
      <c r="E304" t="s">
        <v>3076</v>
      </c>
      <c r="F304" t="s">
        <v>3086</v>
      </c>
      <c r="G304" t="s">
        <v>2359</v>
      </c>
      <c r="H304">
        <v>8164823830</v>
      </c>
      <c r="I304" t="s">
        <v>24</v>
      </c>
      <c r="J304" t="s">
        <v>51</v>
      </c>
      <c r="K304" t="s">
        <v>131</v>
      </c>
      <c r="L304" t="s">
        <v>96</v>
      </c>
      <c r="M304" t="str">
        <f>TRIM(Table2[[#This Row],[Category]])</f>
        <v>Technology</v>
      </c>
      <c r="N304" t="s">
        <v>385</v>
      </c>
      <c r="O304" t="s">
        <v>1010</v>
      </c>
      <c r="P304">
        <v>19</v>
      </c>
      <c r="Q304">
        <v>146786.10999999999</v>
      </c>
      <c r="R304">
        <v>0</v>
      </c>
      <c r="S304">
        <v>0</v>
      </c>
      <c r="T304">
        <v>2788936.09</v>
      </c>
      <c r="U304">
        <v>15765.03</v>
      </c>
    </row>
    <row r="305" spans="1:21" ht="15" customHeight="1" x14ac:dyDescent="0.25">
      <c r="A305" t="s">
        <v>2783</v>
      </c>
      <c r="B305" s="8">
        <v>44864</v>
      </c>
      <c r="C305" s="8">
        <v>44868</v>
      </c>
      <c r="D305" t="s">
        <v>73</v>
      </c>
      <c r="E305" t="s">
        <v>3092</v>
      </c>
      <c r="F305" t="s">
        <v>3036</v>
      </c>
      <c r="G305" t="s">
        <v>2784</v>
      </c>
      <c r="H305">
        <v>8154299424</v>
      </c>
      <c r="I305" t="s">
        <v>35</v>
      </c>
      <c r="J305" t="s">
        <v>69</v>
      </c>
      <c r="K305" t="s">
        <v>155</v>
      </c>
      <c r="L305" t="s">
        <v>108</v>
      </c>
      <c r="M305" t="str">
        <f>TRIM(Table2[[#This Row],[Category]])</f>
        <v>Clothing</v>
      </c>
      <c r="N305" t="s">
        <v>114</v>
      </c>
      <c r="O305" t="s">
        <v>115</v>
      </c>
      <c r="P305">
        <v>19</v>
      </c>
      <c r="Q305">
        <v>43458.13</v>
      </c>
      <c r="R305">
        <v>25</v>
      </c>
      <c r="S305">
        <v>206426.12</v>
      </c>
      <c r="T305">
        <v>619278.35</v>
      </c>
      <c r="U305">
        <v>14934.5</v>
      </c>
    </row>
    <row r="306" spans="1:21" ht="15" customHeight="1" x14ac:dyDescent="0.25">
      <c r="A306" t="s">
        <v>2556</v>
      </c>
      <c r="B306" s="8">
        <v>44870</v>
      </c>
      <c r="C306" s="8">
        <v>44873</v>
      </c>
      <c r="D306" t="s">
        <v>73</v>
      </c>
      <c r="E306" t="s">
        <v>3093</v>
      </c>
      <c r="F306" t="s">
        <v>3042</v>
      </c>
      <c r="G306" t="s">
        <v>2558</v>
      </c>
      <c r="H306">
        <v>7036293212</v>
      </c>
      <c r="I306" t="s">
        <v>43</v>
      </c>
      <c r="J306" t="s">
        <v>25</v>
      </c>
      <c r="K306" t="s">
        <v>44</v>
      </c>
      <c r="L306" t="s">
        <v>27</v>
      </c>
      <c r="M306" t="str">
        <f>TRIM(Table2[[#This Row],[Category]])</f>
        <v>Food &amp; Beverages</v>
      </c>
      <c r="N306" t="s">
        <v>28</v>
      </c>
      <c r="O306" t="s">
        <v>262</v>
      </c>
      <c r="P306">
        <v>6</v>
      </c>
      <c r="Q306">
        <v>2907.38</v>
      </c>
      <c r="R306">
        <v>10</v>
      </c>
      <c r="S306">
        <v>1744.43</v>
      </c>
      <c r="T306">
        <v>15699.85</v>
      </c>
      <c r="U306">
        <v>501.52</v>
      </c>
    </row>
    <row r="307" spans="1:21" ht="15" customHeight="1" x14ac:dyDescent="0.25">
      <c r="A307" t="s">
        <v>2705</v>
      </c>
      <c r="B307" s="8">
        <v>44872</v>
      </c>
      <c r="C307" s="8">
        <v>44875</v>
      </c>
      <c r="D307" t="s">
        <v>73</v>
      </c>
      <c r="E307" t="s">
        <v>3060</v>
      </c>
      <c r="F307" t="s">
        <v>3057</v>
      </c>
      <c r="G307" t="s">
        <v>2707</v>
      </c>
      <c r="H307">
        <v>9024688845</v>
      </c>
      <c r="I307" t="s">
        <v>43</v>
      </c>
      <c r="J307" t="s">
        <v>51</v>
      </c>
      <c r="K307" t="s">
        <v>227</v>
      </c>
      <c r="L307" t="s">
        <v>85</v>
      </c>
      <c r="M307" t="str">
        <f>TRIM(Table2[[#This Row],[Category]])</f>
        <v>Furniture</v>
      </c>
      <c r="N307" t="s">
        <v>486</v>
      </c>
      <c r="O307" t="s">
        <v>1193</v>
      </c>
      <c r="P307">
        <v>1</v>
      </c>
      <c r="Q307">
        <v>101174.34</v>
      </c>
      <c r="R307">
        <v>0</v>
      </c>
      <c r="S307">
        <v>0</v>
      </c>
      <c r="T307">
        <v>101174.34</v>
      </c>
      <c r="U307">
        <v>-9641.24</v>
      </c>
    </row>
    <row r="308" spans="1:21" ht="15" customHeight="1" x14ac:dyDescent="0.25">
      <c r="A308" t="s">
        <v>1296</v>
      </c>
      <c r="B308" s="8">
        <v>44877</v>
      </c>
      <c r="C308" s="8">
        <v>44881</v>
      </c>
      <c r="D308" t="s">
        <v>73</v>
      </c>
      <c r="E308" t="s">
        <v>3051</v>
      </c>
      <c r="F308" t="s">
        <v>3096</v>
      </c>
      <c r="G308" t="s">
        <v>1298</v>
      </c>
      <c r="H308">
        <v>8138385078</v>
      </c>
      <c r="I308" t="s">
        <v>35</v>
      </c>
      <c r="J308" t="s">
        <v>25</v>
      </c>
      <c r="K308" t="s">
        <v>44</v>
      </c>
      <c r="L308" t="s">
        <v>85</v>
      </c>
      <c r="M308" t="str">
        <f>TRIM(Table2[[#This Row],[Category]])</f>
        <v>Furniture</v>
      </c>
      <c r="N308" t="s">
        <v>218</v>
      </c>
      <c r="O308" t="s">
        <v>842</v>
      </c>
      <c r="P308">
        <v>12</v>
      </c>
      <c r="Q308">
        <v>134310.10999999999</v>
      </c>
      <c r="R308">
        <v>0</v>
      </c>
      <c r="S308">
        <v>0</v>
      </c>
      <c r="T308">
        <v>1611721.32</v>
      </c>
      <c r="U308">
        <v>379329.34</v>
      </c>
    </row>
    <row r="309" spans="1:21" ht="15" customHeight="1" x14ac:dyDescent="0.25">
      <c r="A309" t="s">
        <v>673</v>
      </c>
      <c r="B309" s="8">
        <v>44889</v>
      </c>
      <c r="C309" s="8">
        <v>44893</v>
      </c>
      <c r="D309" t="s">
        <v>73</v>
      </c>
      <c r="E309" t="s">
        <v>3060</v>
      </c>
      <c r="F309" t="s">
        <v>3066</v>
      </c>
      <c r="G309" t="s">
        <v>675</v>
      </c>
      <c r="H309">
        <v>8137795568</v>
      </c>
      <c r="I309" t="s">
        <v>24</v>
      </c>
      <c r="J309" t="s">
        <v>61</v>
      </c>
      <c r="K309" t="s">
        <v>62</v>
      </c>
      <c r="L309" t="s">
        <v>85</v>
      </c>
      <c r="M309" t="str">
        <f>TRIM(Table2[[#This Row],[Category]])</f>
        <v>Furniture</v>
      </c>
      <c r="N309" t="s">
        <v>218</v>
      </c>
      <c r="O309" t="s">
        <v>219</v>
      </c>
      <c r="P309">
        <v>20</v>
      </c>
      <c r="Q309">
        <v>76040.17</v>
      </c>
      <c r="R309">
        <v>5</v>
      </c>
      <c r="S309">
        <v>76040.17</v>
      </c>
      <c r="T309">
        <v>1444763.23</v>
      </c>
      <c r="U309">
        <v>173003.18</v>
      </c>
    </row>
    <row r="310" spans="1:21" ht="15" customHeight="1" x14ac:dyDescent="0.25">
      <c r="A310" t="s">
        <v>981</v>
      </c>
      <c r="B310" s="8">
        <v>44891</v>
      </c>
      <c r="C310" s="8">
        <v>44894</v>
      </c>
      <c r="D310" t="s">
        <v>73</v>
      </c>
      <c r="E310" t="s">
        <v>3067</v>
      </c>
      <c r="F310" t="s">
        <v>3088</v>
      </c>
      <c r="G310" t="s">
        <v>983</v>
      </c>
      <c r="H310">
        <v>8132923047</v>
      </c>
      <c r="I310" t="s">
        <v>43</v>
      </c>
      <c r="J310" t="s">
        <v>51</v>
      </c>
      <c r="K310" t="s">
        <v>131</v>
      </c>
      <c r="L310" t="s">
        <v>85</v>
      </c>
      <c r="M310" t="str">
        <f>TRIM(Table2[[#This Row],[Category]])</f>
        <v>Furniture</v>
      </c>
      <c r="N310" t="s">
        <v>266</v>
      </c>
      <c r="O310" t="s">
        <v>267</v>
      </c>
      <c r="P310">
        <v>18</v>
      </c>
      <c r="Q310">
        <v>154438.69</v>
      </c>
      <c r="R310">
        <v>20</v>
      </c>
      <c r="S310">
        <v>555979.28</v>
      </c>
      <c r="T310">
        <v>2223917.14</v>
      </c>
      <c r="U310">
        <v>526634.05000000005</v>
      </c>
    </row>
    <row r="311" spans="1:21" ht="15" customHeight="1" x14ac:dyDescent="0.25">
      <c r="A311" t="s">
        <v>1392</v>
      </c>
      <c r="B311" s="8">
        <v>44892</v>
      </c>
      <c r="C311" s="8">
        <v>44895</v>
      </c>
      <c r="D311" t="s">
        <v>73</v>
      </c>
      <c r="E311" t="s">
        <v>3056</v>
      </c>
      <c r="F311" t="s">
        <v>3090</v>
      </c>
      <c r="G311" t="s">
        <v>1394</v>
      </c>
      <c r="H311">
        <v>9053121873</v>
      </c>
      <c r="I311" t="s">
        <v>959</v>
      </c>
      <c r="J311" t="s">
        <v>51</v>
      </c>
      <c r="K311" t="s">
        <v>131</v>
      </c>
      <c r="L311" t="s">
        <v>108</v>
      </c>
      <c r="M311" t="str">
        <f>TRIM(Table2[[#This Row],[Category]])</f>
        <v>Clothing</v>
      </c>
      <c r="N311" t="s">
        <v>38</v>
      </c>
      <c r="O311" t="s">
        <v>39</v>
      </c>
      <c r="P311">
        <v>18</v>
      </c>
      <c r="Q311">
        <v>9933.35</v>
      </c>
      <c r="R311">
        <v>0</v>
      </c>
      <c r="S311">
        <v>0</v>
      </c>
      <c r="T311">
        <v>178800.3</v>
      </c>
      <c r="U311">
        <v>44580.63</v>
      </c>
    </row>
    <row r="312" spans="1:21" ht="15" customHeight="1" x14ac:dyDescent="0.25">
      <c r="A312" t="s">
        <v>1991</v>
      </c>
      <c r="B312" s="8">
        <v>44895</v>
      </c>
      <c r="C312" s="8">
        <v>44900</v>
      </c>
      <c r="D312" t="s">
        <v>73</v>
      </c>
      <c r="E312" t="s">
        <v>3068</v>
      </c>
      <c r="F312" t="s">
        <v>3045</v>
      </c>
      <c r="G312" t="s">
        <v>1992</v>
      </c>
      <c r="H312">
        <v>8038339925</v>
      </c>
      <c r="I312" t="s">
        <v>43</v>
      </c>
      <c r="J312" t="s">
        <v>69</v>
      </c>
      <c r="K312" t="s">
        <v>70</v>
      </c>
      <c r="L312" t="s">
        <v>63</v>
      </c>
      <c r="M312" t="str">
        <f>TRIM(Table2[[#This Row],[Category]])</f>
        <v>Office Supplies</v>
      </c>
      <c r="N312" t="s">
        <v>469</v>
      </c>
      <c r="O312" t="s">
        <v>1099</v>
      </c>
      <c r="P312">
        <v>4</v>
      </c>
      <c r="Q312">
        <v>23478.59</v>
      </c>
      <c r="R312">
        <v>0</v>
      </c>
      <c r="S312">
        <v>0</v>
      </c>
      <c r="T312">
        <v>93914.36</v>
      </c>
      <c r="U312">
        <v>31326.44</v>
      </c>
    </row>
    <row r="313" spans="1:21" ht="15" customHeight="1" x14ac:dyDescent="0.25">
      <c r="A313" t="s">
        <v>2105</v>
      </c>
      <c r="B313" s="8">
        <v>44911</v>
      </c>
      <c r="C313" s="8">
        <v>44916</v>
      </c>
      <c r="D313" t="s">
        <v>73</v>
      </c>
      <c r="E313" t="s">
        <v>3037</v>
      </c>
      <c r="F313" t="s">
        <v>3052</v>
      </c>
      <c r="G313" t="s">
        <v>698</v>
      </c>
      <c r="H313">
        <v>8145865999</v>
      </c>
      <c r="I313" t="s">
        <v>35</v>
      </c>
      <c r="J313" t="s">
        <v>25</v>
      </c>
      <c r="K313" t="s">
        <v>126</v>
      </c>
      <c r="L313" t="s">
        <v>63</v>
      </c>
      <c r="M313" t="str">
        <f>TRIM(Table2[[#This Row],[Category]])</f>
        <v>Office Supplies</v>
      </c>
      <c r="N313" t="s">
        <v>469</v>
      </c>
      <c r="O313" t="s">
        <v>470</v>
      </c>
      <c r="P313">
        <v>16</v>
      </c>
      <c r="Q313">
        <v>23997.74</v>
      </c>
      <c r="R313">
        <v>10</v>
      </c>
      <c r="S313">
        <v>38396.379999999997</v>
      </c>
      <c r="T313">
        <v>345567.46</v>
      </c>
      <c r="U313">
        <v>86606.05</v>
      </c>
    </row>
    <row r="314" spans="1:21" ht="15" customHeight="1" x14ac:dyDescent="0.25">
      <c r="A314" t="s">
        <v>1275</v>
      </c>
      <c r="B314" s="8">
        <v>44917</v>
      </c>
      <c r="C314" s="8">
        <v>44921</v>
      </c>
      <c r="D314" t="s">
        <v>73</v>
      </c>
      <c r="E314" t="s">
        <v>3033</v>
      </c>
      <c r="F314" t="s">
        <v>3052</v>
      </c>
      <c r="G314" t="s">
        <v>3126</v>
      </c>
      <c r="H314">
        <v>8037044627</v>
      </c>
      <c r="I314" t="s">
        <v>43</v>
      </c>
      <c r="J314" t="s">
        <v>69</v>
      </c>
      <c r="K314" t="s">
        <v>70</v>
      </c>
      <c r="L314" t="s">
        <v>108</v>
      </c>
      <c r="M314" t="str">
        <f>TRIM(Table2[[#This Row],[Category]])</f>
        <v>Clothing</v>
      </c>
      <c r="N314" t="s">
        <v>109</v>
      </c>
      <c r="O314" t="s">
        <v>157</v>
      </c>
      <c r="P314">
        <v>5</v>
      </c>
      <c r="Q314">
        <v>44890.61</v>
      </c>
      <c r="R314" t="s">
        <v>376</v>
      </c>
      <c r="S314">
        <v>0</v>
      </c>
      <c r="T314">
        <v>224453.05</v>
      </c>
      <c r="U314">
        <v>-32105.39</v>
      </c>
    </row>
    <row r="315" spans="1:21" ht="15" customHeight="1" x14ac:dyDescent="0.25">
      <c r="A315" t="s">
        <v>1275</v>
      </c>
      <c r="B315" s="8">
        <v>44917</v>
      </c>
      <c r="C315" s="8">
        <v>44921</v>
      </c>
      <c r="D315" t="s">
        <v>73</v>
      </c>
      <c r="E315" t="s">
        <v>3033</v>
      </c>
      <c r="F315" t="s">
        <v>3052</v>
      </c>
      <c r="G315" t="s">
        <v>3126</v>
      </c>
      <c r="H315">
        <v>8037044627</v>
      </c>
      <c r="I315" t="s">
        <v>43</v>
      </c>
      <c r="J315" t="s">
        <v>69</v>
      </c>
      <c r="K315" t="s">
        <v>70</v>
      </c>
      <c r="L315" t="s">
        <v>108</v>
      </c>
      <c r="M315" t="str">
        <f>TRIM(Table2[[#This Row],[Category]])</f>
        <v>Clothing</v>
      </c>
      <c r="N315" t="s">
        <v>109</v>
      </c>
      <c r="O315" t="s">
        <v>157</v>
      </c>
      <c r="P315">
        <v>5</v>
      </c>
      <c r="Q315">
        <v>44890.61</v>
      </c>
      <c r="R315">
        <v>0</v>
      </c>
      <c r="S315">
        <v>0</v>
      </c>
      <c r="T315">
        <v>224453.05</v>
      </c>
      <c r="U315">
        <v>-32105.39</v>
      </c>
    </row>
    <row r="316" spans="1:21" ht="15" customHeight="1" x14ac:dyDescent="0.25">
      <c r="A316" t="s">
        <v>1077</v>
      </c>
      <c r="B316" s="8">
        <v>44919</v>
      </c>
      <c r="C316" s="8">
        <v>44923</v>
      </c>
      <c r="D316" t="s">
        <v>73</v>
      </c>
      <c r="E316" t="s">
        <v>3097</v>
      </c>
      <c r="F316" t="s">
        <v>3074</v>
      </c>
      <c r="G316" t="s">
        <v>1078</v>
      </c>
      <c r="H316">
        <v>9028498243</v>
      </c>
      <c r="I316" t="s">
        <v>24</v>
      </c>
      <c r="J316" t="s">
        <v>25</v>
      </c>
      <c r="K316" t="s">
        <v>44</v>
      </c>
      <c r="L316" t="s">
        <v>96</v>
      </c>
      <c r="M316" t="str">
        <f>TRIM(Table2[[#This Row],[Category]])</f>
        <v>Technology</v>
      </c>
      <c r="N316" t="s">
        <v>189</v>
      </c>
      <c r="O316" t="s">
        <v>205</v>
      </c>
      <c r="P316">
        <v>5</v>
      </c>
      <c r="Q316">
        <v>139637.76000000001</v>
      </c>
      <c r="R316">
        <v>0</v>
      </c>
      <c r="S316">
        <v>0</v>
      </c>
      <c r="T316">
        <v>698188.80000000005</v>
      </c>
      <c r="U316">
        <v>163619.42000000001</v>
      </c>
    </row>
    <row r="317" spans="1:21" ht="15" customHeight="1" x14ac:dyDescent="0.25">
      <c r="A317" t="s">
        <v>2877</v>
      </c>
      <c r="B317" s="8">
        <v>44921</v>
      </c>
      <c r="C317" s="8">
        <v>44925</v>
      </c>
      <c r="D317" t="s">
        <v>73</v>
      </c>
      <c r="E317" t="str">
        <f>E318</f>
        <v>Ibrahim</v>
      </c>
      <c r="F317" t="str">
        <f>F316</f>
        <v>Osei</v>
      </c>
      <c r="G317" t="s">
        <v>2878</v>
      </c>
      <c r="H317">
        <v>7037366035</v>
      </c>
      <c r="I317" t="s">
        <v>35</v>
      </c>
      <c r="J317" t="s">
        <v>69</v>
      </c>
      <c r="K317" t="s">
        <v>155</v>
      </c>
      <c r="L317" t="s">
        <v>108</v>
      </c>
      <c r="M317" t="str">
        <f>TRIM(Table2[[#This Row],[Category]])</f>
        <v>Clothing</v>
      </c>
      <c r="N317" t="s">
        <v>114</v>
      </c>
      <c r="O317" t="s">
        <v>891</v>
      </c>
      <c r="P317">
        <v>1</v>
      </c>
      <c r="Q317">
        <v>20691.669999999998</v>
      </c>
      <c r="R317">
        <v>0</v>
      </c>
      <c r="S317">
        <v>0</v>
      </c>
      <c r="T317" t="s">
        <v>2879</v>
      </c>
      <c r="U317">
        <v>4335.46</v>
      </c>
    </row>
    <row r="318" spans="1:21" ht="15" customHeight="1" x14ac:dyDescent="0.25">
      <c r="A318" t="s">
        <v>2627</v>
      </c>
      <c r="B318" s="8">
        <v>44932</v>
      </c>
      <c r="C318" s="8">
        <v>44936</v>
      </c>
      <c r="D318" t="s">
        <v>73</v>
      </c>
      <c r="E318" t="s">
        <v>3082</v>
      </c>
      <c r="F318" t="s">
        <v>3083</v>
      </c>
      <c r="G318" t="s">
        <v>2628</v>
      </c>
      <c r="H318">
        <v>9016492169</v>
      </c>
      <c r="I318" t="s">
        <v>35</v>
      </c>
      <c r="J318" t="s">
        <v>25</v>
      </c>
      <c r="K318" t="s">
        <v>44</v>
      </c>
      <c r="L318" t="s">
        <v>108</v>
      </c>
      <c r="M318" t="str">
        <f>TRIM(Table2[[#This Row],[Category]])</f>
        <v>Clothing</v>
      </c>
      <c r="N318" t="s">
        <v>183</v>
      </c>
      <c r="O318" t="s">
        <v>184</v>
      </c>
      <c r="P318">
        <v>16</v>
      </c>
      <c r="Q318">
        <v>34415.919999999998</v>
      </c>
      <c r="R318">
        <v>20</v>
      </c>
      <c r="S318">
        <v>110130.94</v>
      </c>
      <c r="T318">
        <v>440523.78</v>
      </c>
      <c r="U318">
        <v>82156.77</v>
      </c>
    </row>
    <row r="319" spans="1:21" ht="15" customHeight="1" x14ac:dyDescent="0.25">
      <c r="A319" t="s">
        <v>2187</v>
      </c>
      <c r="B319" s="8">
        <v>44937</v>
      </c>
      <c r="C319" s="8">
        <v>44942</v>
      </c>
      <c r="D319" t="s">
        <v>73</v>
      </c>
      <c r="E319" t="s">
        <v>3035</v>
      </c>
      <c r="F319" t="s">
        <v>3042</v>
      </c>
      <c r="G319" t="s">
        <v>2189</v>
      </c>
      <c r="H319">
        <v>8101130589</v>
      </c>
      <c r="I319" t="s">
        <v>43</v>
      </c>
      <c r="J319" t="s">
        <v>69</v>
      </c>
      <c r="K319" t="s">
        <v>144</v>
      </c>
      <c r="L319" t="s">
        <v>2190</v>
      </c>
      <c r="M319" t="str">
        <f>TRIM(Table2[[#This Row],[Category]])</f>
        <v>Food&amp; Beverages</v>
      </c>
      <c r="N319" t="s">
        <v>173</v>
      </c>
      <c r="O319" t="s">
        <v>174</v>
      </c>
      <c r="P319">
        <v>15</v>
      </c>
      <c r="Q319">
        <v>5489.08</v>
      </c>
      <c r="R319">
        <v>15</v>
      </c>
      <c r="S319">
        <v>12350.43</v>
      </c>
      <c r="T319">
        <v>69985.77</v>
      </c>
      <c r="U319">
        <v>2957.75</v>
      </c>
    </row>
    <row r="320" spans="1:21" ht="15" customHeight="1" x14ac:dyDescent="0.25">
      <c r="A320" t="s">
        <v>2395</v>
      </c>
      <c r="B320" s="8">
        <v>44939</v>
      </c>
      <c r="C320" s="8">
        <v>44943</v>
      </c>
      <c r="D320" t="s">
        <v>73</v>
      </c>
      <c r="E320" t="s">
        <v>3039</v>
      </c>
      <c r="F320" t="s">
        <v>3043</v>
      </c>
      <c r="G320" t="s">
        <v>2397</v>
      </c>
      <c r="H320">
        <v>7036587015</v>
      </c>
      <c r="I320" t="s">
        <v>24</v>
      </c>
      <c r="J320" t="s">
        <v>51</v>
      </c>
      <c r="K320" t="s">
        <v>316</v>
      </c>
      <c r="L320" t="s">
        <v>85</v>
      </c>
      <c r="M320" t="str">
        <f>TRIM(Table2[[#This Row],[Category]])</f>
        <v>Furniture</v>
      </c>
      <c r="N320" t="s">
        <v>243</v>
      </c>
      <c r="O320" t="s">
        <v>404</v>
      </c>
      <c r="P320">
        <v>1</v>
      </c>
      <c r="Q320">
        <v>111822.11</v>
      </c>
      <c r="R320">
        <v>0</v>
      </c>
      <c r="S320">
        <v>0</v>
      </c>
      <c r="T320">
        <v>111822.11</v>
      </c>
      <c r="U320">
        <v>-8776.44</v>
      </c>
    </row>
    <row r="321" spans="1:21" ht="15" customHeight="1" x14ac:dyDescent="0.25">
      <c r="A321" t="s">
        <v>1780</v>
      </c>
      <c r="B321" s="8">
        <v>44942</v>
      </c>
      <c r="C321" s="8">
        <v>44945</v>
      </c>
      <c r="D321" t="s">
        <v>73</v>
      </c>
      <c r="E321" t="s">
        <v>3087</v>
      </c>
      <c r="F321" t="s">
        <v>3034</v>
      </c>
      <c r="G321" t="s">
        <v>1782</v>
      </c>
      <c r="H321">
        <v>9024219293</v>
      </c>
      <c r="I321" t="s">
        <v>24</v>
      </c>
      <c r="J321" t="s">
        <v>25</v>
      </c>
      <c r="K321" t="s">
        <v>168</v>
      </c>
      <c r="L321" t="s">
        <v>63</v>
      </c>
      <c r="M321" t="str">
        <f>TRIM(Table2[[#This Row],[Category]])</f>
        <v>Office Supplies</v>
      </c>
      <c r="N321" t="s">
        <v>194</v>
      </c>
      <c r="O321" t="s">
        <v>257</v>
      </c>
      <c r="P321">
        <v>20</v>
      </c>
      <c r="Q321">
        <v>11297.9</v>
      </c>
      <c r="R321">
        <v>0</v>
      </c>
      <c r="S321">
        <v>0</v>
      </c>
      <c r="T321">
        <v>225958</v>
      </c>
      <c r="U321">
        <v>83834.3</v>
      </c>
    </row>
    <row r="322" spans="1:21" ht="15" customHeight="1" x14ac:dyDescent="0.25">
      <c r="A322" t="s">
        <v>1280</v>
      </c>
      <c r="B322" s="8" t="s">
        <v>1281</v>
      </c>
      <c r="C322" s="8">
        <v>44946</v>
      </c>
      <c r="D322" t="s">
        <v>73</v>
      </c>
      <c r="E322" t="s">
        <v>3080</v>
      </c>
      <c r="F322" t="s">
        <v>3046</v>
      </c>
      <c r="G322" t="s">
        <v>1283</v>
      </c>
      <c r="H322">
        <v>8034972005</v>
      </c>
      <c r="I322" t="s">
        <v>43</v>
      </c>
      <c r="J322" t="s">
        <v>69</v>
      </c>
      <c r="K322" t="s">
        <v>70</v>
      </c>
      <c r="L322" t="s">
        <v>27</v>
      </c>
      <c r="M322" t="str">
        <f>TRIM(Table2[[#This Row],[Category]])</f>
        <v>Food &amp; Beverages</v>
      </c>
      <c r="N322" t="s">
        <v>45</v>
      </c>
      <c r="O322" t="s">
        <v>875</v>
      </c>
      <c r="P322">
        <v>19</v>
      </c>
      <c r="Q322">
        <v>7434.55</v>
      </c>
      <c r="R322">
        <v>10</v>
      </c>
      <c r="S322">
        <v>14125.65</v>
      </c>
      <c r="T322">
        <v>127130.8</v>
      </c>
      <c r="U322">
        <v>-16517.2</v>
      </c>
    </row>
    <row r="323" spans="1:21" ht="15" customHeight="1" x14ac:dyDescent="0.25">
      <c r="A323" t="s">
        <v>2818</v>
      </c>
      <c r="B323" s="8">
        <v>44941</v>
      </c>
      <c r="C323" s="8">
        <v>44946</v>
      </c>
      <c r="D323" t="s">
        <v>73</v>
      </c>
      <c r="E323" t="s">
        <v>3094</v>
      </c>
      <c r="F323" t="s">
        <v>3078</v>
      </c>
      <c r="G323" t="s">
        <v>2820</v>
      </c>
      <c r="H323">
        <v>9071282620</v>
      </c>
      <c r="I323" t="s">
        <v>43</v>
      </c>
      <c r="J323" t="s">
        <v>61</v>
      </c>
      <c r="K323" t="s">
        <v>95</v>
      </c>
      <c r="L323" t="s">
        <v>534</v>
      </c>
      <c r="M323" t="str">
        <f>TRIM(Table2[[#This Row],[Category]])</f>
        <v>CLOTHING</v>
      </c>
      <c r="N323" t="s">
        <v>109</v>
      </c>
      <c r="O323" t="s">
        <v>1258</v>
      </c>
      <c r="P323">
        <v>17</v>
      </c>
      <c r="Q323">
        <v>9282.89</v>
      </c>
      <c r="R323">
        <v>5</v>
      </c>
      <c r="S323">
        <v>7890.46</v>
      </c>
      <c r="T323">
        <v>149918.67000000001</v>
      </c>
      <c r="U323">
        <v>66532.12</v>
      </c>
    </row>
    <row r="324" spans="1:21" ht="15" customHeight="1" x14ac:dyDescent="0.25">
      <c r="A324" t="s">
        <v>930</v>
      </c>
      <c r="B324" s="8">
        <v>44946</v>
      </c>
      <c r="C324" s="8">
        <v>44949</v>
      </c>
      <c r="D324" t="s">
        <v>73</v>
      </c>
      <c r="E324" t="s">
        <v>3058</v>
      </c>
      <c r="F324" t="s">
        <v>3052</v>
      </c>
      <c r="G324" t="s">
        <v>932</v>
      </c>
      <c r="H324">
        <v>8034197381</v>
      </c>
      <c r="I324" t="s">
        <v>43</v>
      </c>
      <c r="J324" t="s">
        <v>69</v>
      </c>
      <c r="K324" t="s">
        <v>307</v>
      </c>
      <c r="L324" t="s">
        <v>63</v>
      </c>
      <c r="M324" t="str">
        <f>TRIM(Table2[[#This Row],[Category]])</f>
        <v>Office Supplies</v>
      </c>
      <c r="N324" t="s">
        <v>249</v>
      </c>
      <c r="O324" t="s">
        <v>329</v>
      </c>
      <c r="P324">
        <v>19</v>
      </c>
      <c r="Q324">
        <v>1639.26</v>
      </c>
      <c r="R324">
        <v>0</v>
      </c>
      <c r="S324">
        <v>0</v>
      </c>
      <c r="T324">
        <v>31145.94</v>
      </c>
      <c r="U324">
        <v>9757.6200000000008</v>
      </c>
    </row>
    <row r="325" spans="1:21" ht="15" customHeight="1" x14ac:dyDescent="0.25">
      <c r="A325" t="s">
        <v>105</v>
      </c>
      <c r="B325" s="8">
        <v>44951</v>
      </c>
      <c r="C325" s="8">
        <v>44956</v>
      </c>
      <c r="D325" t="s">
        <v>73</v>
      </c>
      <c r="E325" t="s">
        <v>3053</v>
      </c>
      <c r="F325" t="s">
        <v>3054</v>
      </c>
      <c r="G325" t="s">
        <v>107</v>
      </c>
      <c r="H325">
        <v>8105673212</v>
      </c>
      <c r="I325" t="s">
        <v>35</v>
      </c>
      <c r="J325" t="s">
        <v>51</v>
      </c>
      <c r="K325" t="s">
        <v>52</v>
      </c>
      <c r="L325" t="s">
        <v>108</v>
      </c>
      <c r="M325" t="str">
        <f>TRIM(Table2[[#This Row],[Category]])</f>
        <v>Clothing</v>
      </c>
      <c r="N325" t="s">
        <v>109</v>
      </c>
      <c r="O325" t="s">
        <v>110</v>
      </c>
      <c r="P325">
        <v>18</v>
      </c>
      <c r="Q325">
        <v>21054.62</v>
      </c>
      <c r="R325">
        <v>0</v>
      </c>
      <c r="S325">
        <v>0</v>
      </c>
      <c r="T325">
        <v>378983.16</v>
      </c>
      <c r="U325">
        <v>-45344.2</v>
      </c>
    </row>
    <row r="326" spans="1:21" ht="15" customHeight="1" x14ac:dyDescent="0.25">
      <c r="A326" t="s">
        <v>1895</v>
      </c>
      <c r="B326" s="8">
        <v>44957</v>
      </c>
      <c r="C326" s="8">
        <v>44962</v>
      </c>
      <c r="D326" t="s">
        <v>73</v>
      </c>
      <c r="E326" t="s">
        <v>3053</v>
      </c>
      <c r="F326" t="s">
        <v>3038</v>
      </c>
      <c r="G326" t="s">
        <v>1897</v>
      </c>
      <c r="H326">
        <v>8156752873</v>
      </c>
      <c r="I326" t="s">
        <v>24</v>
      </c>
      <c r="J326" t="s">
        <v>25</v>
      </c>
      <c r="K326" t="s">
        <v>26</v>
      </c>
      <c r="L326" t="s">
        <v>63</v>
      </c>
      <c r="M326" t="str">
        <f>TRIM(Table2[[#This Row],[Category]])</f>
        <v>Office Supplies</v>
      </c>
      <c r="N326" t="s">
        <v>469</v>
      </c>
      <c r="O326" t="s">
        <v>546</v>
      </c>
      <c r="P326">
        <v>7</v>
      </c>
      <c r="Q326">
        <v>24746.29</v>
      </c>
      <c r="R326">
        <v>25</v>
      </c>
      <c r="S326">
        <v>43306.01</v>
      </c>
      <c r="T326">
        <v>129918.02</v>
      </c>
      <c r="U326">
        <v>36696.86</v>
      </c>
    </row>
    <row r="327" spans="1:21" ht="15" customHeight="1" x14ac:dyDescent="0.25">
      <c r="A327" t="s">
        <v>1043</v>
      </c>
      <c r="B327" s="8" t="s">
        <v>1044</v>
      </c>
      <c r="C327" s="8">
        <v>44964</v>
      </c>
      <c r="D327" t="s">
        <v>73</v>
      </c>
      <c r="E327" t="s">
        <v>3058</v>
      </c>
      <c r="F327" t="s">
        <v>3057</v>
      </c>
      <c r="G327" t="s">
        <v>1046</v>
      </c>
      <c r="H327">
        <v>8163936596</v>
      </c>
      <c r="I327" t="s">
        <v>43</v>
      </c>
      <c r="J327" t="s">
        <v>51</v>
      </c>
      <c r="K327" t="s">
        <v>223</v>
      </c>
      <c r="L327" t="s">
        <v>108</v>
      </c>
      <c r="M327" t="str">
        <f>TRIM(Table2[[#This Row],[Category]])</f>
        <v>Clothing</v>
      </c>
      <c r="N327" t="s">
        <v>189</v>
      </c>
      <c r="O327" t="s">
        <v>287</v>
      </c>
      <c r="P327">
        <v>17</v>
      </c>
      <c r="Q327">
        <v>26021.119999999999</v>
      </c>
      <c r="R327">
        <v>10</v>
      </c>
      <c r="S327">
        <v>44235.9</v>
      </c>
      <c r="T327">
        <v>398123.14</v>
      </c>
      <c r="U327">
        <v>21490.5</v>
      </c>
    </row>
    <row r="328" spans="1:21" ht="15" customHeight="1" x14ac:dyDescent="0.25">
      <c r="A328" t="s">
        <v>1305</v>
      </c>
      <c r="B328" s="8">
        <v>44961</v>
      </c>
      <c r="C328" s="8">
        <v>44966</v>
      </c>
      <c r="D328" t="s">
        <v>73</v>
      </c>
      <c r="E328" t="s">
        <v>3095</v>
      </c>
      <c r="F328" t="s">
        <v>3069</v>
      </c>
      <c r="G328" t="s">
        <v>1306</v>
      </c>
      <c r="H328">
        <v>7031177469</v>
      </c>
      <c r="I328" t="s">
        <v>24</v>
      </c>
      <c r="J328" t="s">
        <v>588</v>
      </c>
      <c r="K328" t="s">
        <v>70</v>
      </c>
      <c r="L328" t="s">
        <v>96</v>
      </c>
      <c r="M328" t="str">
        <f>TRIM(Table2[[#This Row],[Category]])</f>
        <v>Technology</v>
      </c>
      <c r="N328" t="s">
        <v>120</v>
      </c>
      <c r="O328" t="s">
        <v>1307</v>
      </c>
      <c r="P328">
        <v>17</v>
      </c>
      <c r="Q328">
        <v>193893.21</v>
      </c>
      <c r="R328">
        <v>0</v>
      </c>
      <c r="S328">
        <v>0</v>
      </c>
      <c r="T328">
        <v>3296184.57</v>
      </c>
      <c r="U328">
        <v>861292.14</v>
      </c>
    </row>
    <row r="329" spans="1:21" ht="15" customHeight="1" x14ac:dyDescent="0.25">
      <c r="A329" t="s">
        <v>2119</v>
      </c>
      <c r="B329" s="8" t="s">
        <v>2120</v>
      </c>
      <c r="C329" s="8">
        <v>44966</v>
      </c>
      <c r="D329" t="s">
        <v>73</v>
      </c>
      <c r="E329" t="s">
        <v>3089</v>
      </c>
      <c r="F329" t="s">
        <v>3071</v>
      </c>
      <c r="G329" t="s">
        <v>2121</v>
      </c>
      <c r="H329">
        <v>8134375454</v>
      </c>
      <c r="I329" t="s">
        <v>35</v>
      </c>
      <c r="J329" t="s">
        <v>69</v>
      </c>
      <c r="K329" t="s">
        <v>70</v>
      </c>
      <c r="L329" t="s">
        <v>85</v>
      </c>
      <c r="M329" t="str">
        <f>TRIM(Table2[[#This Row],[Category]])</f>
        <v>Furniture</v>
      </c>
      <c r="N329" t="s">
        <v>486</v>
      </c>
      <c r="O329" t="s">
        <v>527</v>
      </c>
      <c r="P329">
        <v>7</v>
      </c>
      <c r="Q329">
        <v>147091.62</v>
      </c>
      <c r="R329" t="s">
        <v>376</v>
      </c>
      <c r="S329">
        <v>0</v>
      </c>
      <c r="T329">
        <v>1029641.34</v>
      </c>
      <c r="U329">
        <v>205171.24</v>
      </c>
    </row>
    <row r="330" spans="1:21" ht="15" customHeight="1" x14ac:dyDescent="0.25">
      <c r="A330" t="s">
        <v>1979</v>
      </c>
      <c r="B330" s="8">
        <v>44968</v>
      </c>
      <c r="C330" s="8">
        <v>44972</v>
      </c>
      <c r="D330" t="s">
        <v>73</v>
      </c>
      <c r="E330" t="s">
        <v>3051</v>
      </c>
      <c r="F330" t="s">
        <v>3083</v>
      </c>
      <c r="G330" t="s">
        <v>1981</v>
      </c>
      <c r="H330">
        <v>8153695916</v>
      </c>
      <c r="I330" t="s">
        <v>43</v>
      </c>
      <c r="J330" t="s">
        <v>69</v>
      </c>
      <c r="K330" t="s">
        <v>144</v>
      </c>
      <c r="L330" t="s">
        <v>108</v>
      </c>
      <c r="M330" t="str">
        <f>TRIM(Table2[[#This Row],[Category]])</f>
        <v>Clothing</v>
      </c>
      <c r="N330" t="s">
        <v>38</v>
      </c>
      <c r="O330" t="s">
        <v>296</v>
      </c>
      <c r="P330">
        <v>1</v>
      </c>
      <c r="Q330">
        <v>18732.93</v>
      </c>
      <c r="R330">
        <v>25</v>
      </c>
      <c r="S330">
        <v>4683.2299999999996</v>
      </c>
      <c r="T330">
        <v>14049.7</v>
      </c>
      <c r="U330">
        <v>4493.7</v>
      </c>
    </row>
    <row r="331" spans="1:21" ht="15" customHeight="1" x14ac:dyDescent="0.25">
      <c r="A331" t="s">
        <v>1870</v>
      </c>
      <c r="B331" s="8">
        <v>44969</v>
      </c>
      <c r="C331" s="8">
        <v>44973</v>
      </c>
      <c r="D331" t="s">
        <v>73</v>
      </c>
      <c r="E331" t="s">
        <v>3091</v>
      </c>
      <c r="F331" t="s">
        <v>3038</v>
      </c>
      <c r="G331" t="s">
        <v>3126</v>
      </c>
      <c r="H331">
        <v>8149314244</v>
      </c>
      <c r="I331" t="s">
        <v>35</v>
      </c>
      <c r="J331" t="s">
        <v>69</v>
      </c>
      <c r="K331" t="s">
        <v>144</v>
      </c>
      <c r="L331" t="s">
        <v>85</v>
      </c>
      <c r="M331" t="str">
        <f>TRIM(Table2[[#This Row],[Category]])</f>
        <v>Furniture</v>
      </c>
      <c r="N331" t="s">
        <v>243</v>
      </c>
      <c r="O331" t="s">
        <v>439</v>
      </c>
      <c r="P331">
        <v>13</v>
      </c>
      <c r="Q331">
        <v>94319.679999999993</v>
      </c>
      <c r="R331">
        <v>0</v>
      </c>
      <c r="S331">
        <v>0</v>
      </c>
      <c r="T331">
        <v>1226155.8400000001</v>
      </c>
      <c r="U331">
        <v>-103193.68</v>
      </c>
    </row>
    <row r="332" spans="1:21" ht="15" customHeight="1" x14ac:dyDescent="0.25">
      <c r="A332" t="s">
        <v>2286</v>
      </c>
      <c r="B332" s="8">
        <v>44972</v>
      </c>
      <c r="C332" s="8">
        <v>44975</v>
      </c>
      <c r="D332" t="s">
        <v>73</v>
      </c>
      <c r="E332" t="s">
        <v>3093</v>
      </c>
      <c r="F332" t="s">
        <v>3064</v>
      </c>
      <c r="G332" t="s">
        <v>2288</v>
      </c>
      <c r="H332">
        <v>8104962502</v>
      </c>
      <c r="I332" t="s">
        <v>35</v>
      </c>
      <c r="J332" t="s">
        <v>588</v>
      </c>
      <c r="K332" t="s">
        <v>204</v>
      </c>
      <c r="L332" t="s">
        <v>85</v>
      </c>
      <c r="M332" t="str">
        <f>TRIM(Table2[[#This Row],[Category]])</f>
        <v>Furniture</v>
      </c>
      <c r="N332" t="s">
        <v>486</v>
      </c>
      <c r="O332" t="s">
        <v>487</v>
      </c>
      <c r="P332">
        <v>5</v>
      </c>
      <c r="Q332">
        <v>132551.10999999999</v>
      </c>
      <c r="R332">
        <v>25</v>
      </c>
      <c r="S332">
        <v>165688.89000000001</v>
      </c>
      <c r="T332">
        <v>497066.66</v>
      </c>
      <c r="U332">
        <v>177652.14</v>
      </c>
    </row>
    <row r="333" spans="1:21" ht="15" customHeight="1" x14ac:dyDescent="0.25">
      <c r="A333" t="s">
        <v>937</v>
      </c>
      <c r="B333" s="8">
        <v>44973</v>
      </c>
      <c r="C333" s="8">
        <v>44976</v>
      </c>
      <c r="D333" t="s">
        <v>73</v>
      </c>
      <c r="E333" t="str">
        <f>E334</f>
        <v>Gbenga</v>
      </c>
      <c r="F333" t="str">
        <f>F332</f>
        <v>Eze</v>
      </c>
      <c r="G333" t="s">
        <v>938</v>
      </c>
      <c r="H333">
        <v>9076793064</v>
      </c>
      <c r="I333" t="s">
        <v>43</v>
      </c>
      <c r="J333" t="s">
        <v>51</v>
      </c>
      <c r="K333" t="s">
        <v>227</v>
      </c>
      <c r="L333" t="s">
        <v>85</v>
      </c>
      <c r="M333" t="str">
        <f>TRIM(Table2[[#This Row],[Category]])</f>
        <v>Furniture</v>
      </c>
      <c r="N333" t="s">
        <v>218</v>
      </c>
      <c r="O333" t="s">
        <v>842</v>
      </c>
      <c r="P333">
        <v>11</v>
      </c>
      <c r="Q333">
        <v>101308.53</v>
      </c>
      <c r="R333">
        <v>0</v>
      </c>
      <c r="S333">
        <v>0</v>
      </c>
      <c r="T333">
        <v>1114393.83</v>
      </c>
      <c r="U333">
        <v>341522.72</v>
      </c>
    </row>
    <row r="334" spans="1:21" ht="15" customHeight="1" x14ac:dyDescent="0.25">
      <c r="A334" t="s">
        <v>2625</v>
      </c>
      <c r="B334" s="8">
        <v>44971</v>
      </c>
      <c r="C334" s="8">
        <v>44976</v>
      </c>
      <c r="D334" t="s">
        <v>73</v>
      </c>
      <c r="E334" t="s">
        <v>3093</v>
      </c>
      <c r="F334" t="s">
        <v>3042</v>
      </c>
      <c r="G334" t="s">
        <v>2626</v>
      </c>
      <c r="H334">
        <v>9056089714</v>
      </c>
      <c r="I334" t="s">
        <v>24</v>
      </c>
      <c r="J334" t="s">
        <v>69</v>
      </c>
      <c r="K334" t="s">
        <v>307</v>
      </c>
      <c r="L334" t="s">
        <v>1441</v>
      </c>
      <c r="M334" t="str">
        <f>TRIM(Table2[[#This Row],[Category]])</f>
        <v>OFFICE SUPPLIES</v>
      </c>
      <c r="N334" t="s">
        <v>64</v>
      </c>
      <c r="O334" t="s">
        <v>815</v>
      </c>
      <c r="P334">
        <v>8</v>
      </c>
      <c r="Q334">
        <v>16371.84</v>
      </c>
      <c r="R334">
        <v>10</v>
      </c>
      <c r="S334">
        <v>13097.47</v>
      </c>
      <c r="T334">
        <v>117877.25</v>
      </c>
      <c r="U334">
        <v>-2347.69</v>
      </c>
    </row>
    <row r="335" spans="1:21" ht="15" customHeight="1" x14ac:dyDescent="0.25">
      <c r="A335" t="s">
        <v>1674</v>
      </c>
      <c r="B335" s="8">
        <v>44972</v>
      </c>
      <c r="C335" s="8">
        <v>44977</v>
      </c>
      <c r="D335" t="s">
        <v>73</v>
      </c>
      <c r="E335" t="s">
        <v>3050</v>
      </c>
      <c r="F335" t="s">
        <v>3079</v>
      </c>
      <c r="G335" t="s">
        <v>1676</v>
      </c>
      <c r="H335">
        <v>7034176859</v>
      </c>
      <c r="I335" t="s">
        <v>43</v>
      </c>
      <c r="J335" t="s">
        <v>25</v>
      </c>
      <c r="K335" t="s">
        <v>168</v>
      </c>
      <c r="L335" t="s">
        <v>108</v>
      </c>
      <c r="M335" t="str">
        <f>TRIM(Table2[[#This Row],[Category]])</f>
        <v>Clothing</v>
      </c>
      <c r="N335" t="s">
        <v>183</v>
      </c>
      <c r="O335" t="s">
        <v>184</v>
      </c>
      <c r="P335">
        <v>19</v>
      </c>
      <c r="Q335">
        <v>31773.8</v>
      </c>
      <c r="R335">
        <v>10</v>
      </c>
      <c r="S335">
        <v>60370.22</v>
      </c>
      <c r="T335">
        <v>543331.98</v>
      </c>
      <c r="U335">
        <v>119349.33</v>
      </c>
    </row>
    <row r="336" spans="1:21" ht="15" customHeight="1" x14ac:dyDescent="0.25">
      <c r="A336" t="s">
        <v>2166</v>
      </c>
      <c r="B336" s="8">
        <v>44979</v>
      </c>
      <c r="C336" s="8">
        <v>44983</v>
      </c>
      <c r="D336" t="s">
        <v>73</v>
      </c>
      <c r="E336" t="s">
        <v>3094</v>
      </c>
      <c r="F336" t="s">
        <v>3039</v>
      </c>
      <c r="G336" t="s">
        <v>2167</v>
      </c>
      <c r="H336">
        <v>8068155068</v>
      </c>
      <c r="I336" t="s">
        <v>35</v>
      </c>
      <c r="J336" t="s">
        <v>25</v>
      </c>
      <c r="K336" t="s">
        <v>36</v>
      </c>
      <c r="L336" t="s">
        <v>1119</v>
      </c>
      <c r="M336" t="str">
        <f>TRIM(Table2[[#This Row],[Category]])</f>
        <v>Office Supplies</v>
      </c>
      <c r="N336" t="s">
        <v>54</v>
      </c>
      <c r="O336" t="s">
        <v>1039</v>
      </c>
      <c r="P336">
        <v>12</v>
      </c>
      <c r="Q336">
        <v>8500.24</v>
      </c>
      <c r="R336">
        <v>10</v>
      </c>
      <c r="S336">
        <v>10200.290000000001</v>
      </c>
      <c r="T336">
        <v>91802.59</v>
      </c>
      <c r="U336">
        <v>39939.57</v>
      </c>
    </row>
    <row r="337" spans="1:21" ht="15" customHeight="1" x14ac:dyDescent="0.25">
      <c r="A337" t="s">
        <v>1159</v>
      </c>
      <c r="B337" s="8">
        <v>44979</v>
      </c>
      <c r="C337" s="8">
        <v>44984</v>
      </c>
      <c r="D337" t="s">
        <v>73</v>
      </c>
      <c r="E337" t="s">
        <v>3070</v>
      </c>
      <c r="F337" t="s">
        <v>3096</v>
      </c>
      <c r="G337" t="s">
        <v>422</v>
      </c>
      <c r="H337">
        <v>8159103837</v>
      </c>
      <c r="I337" t="s">
        <v>35</v>
      </c>
      <c r="J337" t="s">
        <v>25</v>
      </c>
      <c r="K337" t="s">
        <v>44</v>
      </c>
      <c r="L337" t="s">
        <v>27</v>
      </c>
      <c r="M337" t="str">
        <f>TRIM(Table2[[#This Row],[Category]])</f>
        <v>Food &amp; Beverages</v>
      </c>
      <c r="N337" t="s">
        <v>354</v>
      </c>
      <c r="O337" t="s">
        <v>355</v>
      </c>
      <c r="P337">
        <v>17</v>
      </c>
      <c r="Q337">
        <v>3199.87</v>
      </c>
      <c r="R337">
        <v>0</v>
      </c>
      <c r="S337">
        <v>0</v>
      </c>
      <c r="T337">
        <v>54397.79</v>
      </c>
      <c r="U337">
        <v>178.09</v>
      </c>
    </row>
    <row r="338" spans="1:21" ht="15" customHeight="1" x14ac:dyDescent="0.25">
      <c r="A338" t="s">
        <v>2233</v>
      </c>
      <c r="B338" s="8">
        <v>44987</v>
      </c>
      <c r="C338" s="8">
        <v>44986</v>
      </c>
      <c r="D338" t="s">
        <v>73</v>
      </c>
      <c r="E338" t="s">
        <v>3035</v>
      </c>
      <c r="F338" t="s">
        <v>3043</v>
      </c>
      <c r="G338" t="s">
        <v>2234</v>
      </c>
      <c r="H338">
        <v>8107764490</v>
      </c>
      <c r="I338" t="s">
        <v>24</v>
      </c>
      <c r="J338" t="s">
        <v>588</v>
      </c>
      <c r="K338" t="s">
        <v>26</v>
      </c>
      <c r="L338" t="s">
        <v>27</v>
      </c>
      <c r="M338" t="str">
        <f>TRIM(Table2[[#This Row],[Category]])</f>
        <v>Food &amp; Beverages</v>
      </c>
      <c r="N338" t="s">
        <v>28</v>
      </c>
      <c r="O338" t="s">
        <v>347</v>
      </c>
      <c r="P338">
        <v>19</v>
      </c>
      <c r="Q338" t="s">
        <v>2235</v>
      </c>
      <c r="R338">
        <v>5</v>
      </c>
      <c r="S338">
        <v>5573.98</v>
      </c>
      <c r="T338">
        <v>105905.67</v>
      </c>
      <c r="U338">
        <v>-12141.05</v>
      </c>
    </row>
    <row r="339" spans="1:21" ht="15" customHeight="1" x14ac:dyDescent="0.25">
      <c r="A339" t="s">
        <v>677</v>
      </c>
      <c r="B339" s="8">
        <v>44983</v>
      </c>
      <c r="C339" s="8">
        <v>44987</v>
      </c>
      <c r="D339" t="s">
        <v>73</v>
      </c>
      <c r="E339" t="s">
        <v>3044</v>
      </c>
      <c r="F339" t="s">
        <v>3057</v>
      </c>
      <c r="G339" t="s">
        <v>679</v>
      </c>
      <c r="H339">
        <v>9024136665</v>
      </c>
      <c r="I339" t="s">
        <v>35</v>
      </c>
      <c r="J339" t="s">
        <v>69</v>
      </c>
      <c r="K339" t="s">
        <v>70</v>
      </c>
      <c r="L339" t="s">
        <v>63</v>
      </c>
      <c r="M339" t="str">
        <f>TRIM(Table2[[#This Row],[Category]])</f>
        <v>Office Supplies</v>
      </c>
      <c r="N339" t="s">
        <v>558</v>
      </c>
      <c r="O339" t="s">
        <v>680</v>
      </c>
      <c r="P339">
        <v>9</v>
      </c>
      <c r="Q339" t="s">
        <v>681</v>
      </c>
      <c r="R339" t="s">
        <v>682</v>
      </c>
      <c r="S339">
        <v>21077.98</v>
      </c>
      <c r="T339">
        <v>84311.93</v>
      </c>
      <c r="U339">
        <v>14048.81</v>
      </c>
    </row>
    <row r="340" spans="1:21" ht="15" customHeight="1" x14ac:dyDescent="0.25">
      <c r="A340" t="s">
        <v>1748</v>
      </c>
      <c r="B340" s="8">
        <v>44983</v>
      </c>
      <c r="C340" s="8">
        <v>44988</v>
      </c>
      <c r="D340" t="s">
        <v>73</v>
      </c>
      <c r="E340" t="s">
        <v>3087</v>
      </c>
      <c r="F340" t="s">
        <v>3069</v>
      </c>
      <c r="G340" t="s">
        <v>1750</v>
      </c>
      <c r="H340">
        <v>9024731991</v>
      </c>
      <c r="I340" t="s">
        <v>43</v>
      </c>
      <c r="J340" t="s">
        <v>61</v>
      </c>
      <c r="K340" t="s">
        <v>182</v>
      </c>
      <c r="L340" t="s">
        <v>1751</v>
      </c>
      <c r="M340" t="str">
        <f>TRIM(Table2[[#This Row],[Category]])</f>
        <v>FOOD &amp; BEVERAGES</v>
      </c>
      <c r="N340" t="s">
        <v>28</v>
      </c>
      <c r="O340" t="s">
        <v>347</v>
      </c>
      <c r="P340">
        <f>P339</f>
        <v>9</v>
      </c>
      <c r="Q340">
        <v>2776.6</v>
      </c>
      <c r="R340">
        <v>0</v>
      </c>
      <c r="S340">
        <v>0</v>
      </c>
      <c r="T340">
        <v>41649</v>
      </c>
      <c r="U340">
        <v>-4632.6099999999997</v>
      </c>
    </row>
    <row r="341" spans="1:21" ht="15" customHeight="1" x14ac:dyDescent="0.25">
      <c r="A341" t="s">
        <v>1735</v>
      </c>
      <c r="B341" s="8">
        <v>44986</v>
      </c>
      <c r="C341" s="8">
        <v>44991</v>
      </c>
      <c r="D341" t="s">
        <v>73</v>
      </c>
      <c r="E341" t="s">
        <v>3058</v>
      </c>
      <c r="F341" t="s">
        <v>3066</v>
      </c>
      <c r="G341" t="s">
        <v>366</v>
      </c>
      <c r="H341">
        <v>8134586633</v>
      </c>
      <c r="I341" t="s">
        <v>24</v>
      </c>
      <c r="J341" t="s">
        <v>51</v>
      </c>
      <c r="K341" t="s">
        <v>223</v>
      </c>
      <c r="L341" t="s">
        <v>96</v>
      </c>
      <c r="M341" t="str">
        <f>TRIM(Table2[[#This Row],[Category]])</f>
        <v>Technology</v>
      </c>
      <c r="N341" t="s">
        <v>97</v>
      </c>
      <c r="O341" t="s">
        <v>1416</v>
      </c>
      <c r="P341">
        <v>13</v>
      </c>
      <c r="Q341">
        <v>90525.38</v>
      </c>
      <c r="R341">
        <v>10</v>
      </c>
      <c r="S341">
        <v>117682.99</v>
      </c>
      <c r="T341">
        <v>1059146.95</v>
      </c>
      <c r="U341">
        <v>-151258.01999999999</v>
      </c>
    </row>
    <row r="342" spans="1:21" ht="15" customHeight="1" x14ac:dyDescent="0.25">
      <c r="A342" t="s">
        <v>1190</v>
      </c>
      <c r="B342" s="8">
        <v>44992</v>
      </c>
      <c r="C342" s="8">
        <v>44995</v>
      </c>
      <c r="D342" t="s">
        <v>73</v>
      </c>
      <c r="E342" t="s">
        <v>3081</v>
      </c>
      <c r="F342" t="s">
        <v>3045</v>
      </c>
      <c r="G342" t="s">
        <v>1192</v>
      </c>
      <c r="H342">
        <v>9079880742</v>
      </c>
      <c r="I342" t="s">
        <v>43</v>
      </c>
      <c r="J342" t="s">
        <v>25</v>
      </c>
      <c r="K342" t="s">
        <v>26</v>
      </c>
      <c r="L342" t="s">
        <v>85</v>
      </c>
      <c r="M342" t="str">
        <f>TRIM(Table2[[#This Row],[Category]])</f>
        <v>Furniture</v>
      </c>
      <c r="N342" t="s">
        <v>486</v>
      </c>
      <c r="O342" t="s">
        <v>1193</v>
      </c>
      <c r="P342">
        <v>16</v>
      </c>
      <c r="Q342">
        <v>129816.87</v>
      </c>
      <c r="R342">
        <v>0</v>
      </c>
      <c r="S342">
        <v>0</v>
      </c>
      <c r="T342">
        <v>2077069.92</v>
      </c>
      <c r="U342">
        <v>273189.27</v>
      </c>
    </row>
    <row r="343" spans="1:21" ht="15" customHeight="1" x14ac:dyDescent="0.25">
      <c r="A343" t="s">
        <v>2897</v>
      </c>
      <c r="B343" s="8">
        <v>45004</v>
      </c>
      <c r="C343" s="8">
        <v>45007</v>
      </c>
      <c r="D343" t="s">
        <v>73</v>
      </c>
      <c r="E343" t="s">
        <v>3097</v>
      </c>
      <c r="F343" t="s">
        <v>3052</v>
      </c>
      <c r="G343" t="s">
        <v>2899</v>
      </c>
      <c r="H343">
        <v>9056286061</v>
      </c>
      <c r="I343" t="s">
        <v>35</v>
      </c>
      <c r="J343" t="s">
        <v>25</v>
      </c>
      <c r="K343" t="s">
        <v>44</v>
      </c>
      <c r="L343" t="s">
        <v>96</v>
      </c>
      <c r="M343" t="str">
        <f>TRIM(Table2[[#This Row],[Category]])</f>
        <v>Technology</v>
      </c>
      <c r="N343" t="s">
        <v>189</v>
      </c>
      <c r="O343" t="s">
        <v>190</v>
      </c>
      <c r="P343">
        <v>4</v>
      </c>
      <c r="Q343">
        <v>365916.67</v>
      </c>
      <c r="R343">
        <v>0</v>
      </c>
      <c r="S343">
        <v>0</v>
      </c>
      <c r="T343">
        <v>1463666.68</v>
      </c>
      <c r="U343">
        <v>-136494.32999999999</v>
      </c>
    </row>
    <row r="344" spans="1:21" ht="15" customHeight="1" x14ac:dyDescent="0.25">
      <c r="A344" t="s">
        <v>2588</v>
      </c>
      <c r="B344" s="8">
        <v>45006</v>
      </c>
      <c r="C344" s="8">
        <v>45009</v>
      </c>
      <c r="D344" t="s">
        <v>73</v>
      </c>
      <c r="E344" t="s">
        <v>3047</v>
      </c>
      <c r="F344" t="s">
        <v>3045</v>
      </c>
      <c r="G344" t="s">
        <v>2590</v>
      </c>
      <c r="H344">
        <v>8105544781</v>
      </c>
      <c r="I344" t="s">
        <v>24</v>
      </c>
      <c r="J344" t="s">
        <v>61</v>
      </c>
      <c r="K344" t="s">
        <v>62</v>
      </c>
      <c r="L344" t="s">
        <v>63</v>
      </c>
      <c r="M344" t="str">
        <f>TRIM(Table2[[#This Row],[Category]])</f>
        <v>Office Supplies</v>
      </c>
      <c r="N344" t="s">
        <v>54</v>
      </c>
      <c r="O344" t="s">
        <v>1039</v>
      </c>
      <c r="P344">
        <v>6</v>
      </c>
      <c r="Q344">
        <v>12684.4</v>
      </c>
      <c r="R344">
        <v>10</v>
      </c>
      <c r="S344">
        <v>7610.64</v>
      </c>
      <c r="T344">
        <v>68495.759999999995</v>
      </c>
      <c r="U344">
        <v>23827.41</v>
      </c>
    </row>
    <row r="345" spans="1:21" ht="15" customHeight="1" x14ac:dyDescent="0.25">
      <c r="A345" t="s">
        <v>569</v>
      </c>
      <c r="B345" s="8">
        <v>45010</v>
      </c>
      <c r="C345" s="8">
        <v>45013</v>
      </c>
      <c r="D345" t="s">
        <v>73</v>
      </c>
      <c r="E345" t="s">
        <v>3055</v>
      </c>
      <c r="F345" t="s">
        <v>3054</v>
      </c>
      <c r="G345" t="s">
        <v>571</v>
      </c>
      <c r="H345">
        <v>9017268384</v>
      </c>
      <c r="I345" t="s">
        <v>24</v>
      </c>
      <c r="J345" t="s">
        <v>51</v>
      </c>
      <c r="K345" t="s">
        <v>223</v>
      </c>
      <c r="L345" t="s">
        <v>108</v>
      </c>
      <c r="M345" t="str">
        <f>TRIM(Table2[[#This Row],[Category]])</f>
        <v>Clothing</v>
      </c>
      <c r="N345" t="s">
        <v>189</v>
      </c>
      <c r="O345" t="s">
        <v>478</v>
      </c>
      <c r="P345">
        <v>7</v>
      </c>
      <c r="Q345">
        <v>34566.07</v>
      </c>
      <c r="R345">
        <v>5</v>
      </c>
      <c r="S345">
        <v>12098.12</v>
      </c>
      <c r="T345">
        <v>229864.37</v>
      </c>
      <c r="U345">
        <v>59352.160000000003</v>
      </c>
    </row>
    <row r="346" spans="1:21" ht="15" customHeight="1" x14ac:dyDescent="0.25">
      <c r="A346" t="s">
        <v>2719</v>
      </c>
      <c r="B346" s="8">
        <v>45010</v>
      </c>
      <c r="C346" s="8">
        <v>45015</v>
      </c>
      <c r="D346" t="s">
        <v>73</v>
      </c>
      <c r="E346" t="s">
        <v>3070</v>
      </c>
      <c r="F346" t="s">
        <v>3088</v>
      </c>
      <c r="G346" t="s">
        <v>2721</v>
      </c>
      <c r="H346">
        <v>8031608900</v>
      </c>
      <c r="I346" t="s">
        <v>35</v>
      </c>
      <c r="J346" t="s">
        <v>588</v>
      </c>
      <c r="K346" t="s">
        <v>316</v>
      </c>
      <c r="L346" t="s">
        <v>108</v>
      </c>
      <c r="M346" t="str">
        <f>TRIM(Table2[[#This Row],[Category]])</f>
        <v>Clothing</v>
      </c>
      <c r="N346" t="s">
        <v>38</v>
      </c>
      <c r="O346" t="s">
        <v>519</v>
      </c>
      <c r="P346">
        <v>3</v>
      </c>
      <c r="Q346">
        <v>34710.54</v>
      </c>
      <c r="R346">
        <v>0</v>
      </c>
      <c r="S346">
        <v>0</v>
      </c>
      <c r="T346">
        <v>104131.62</v>
      </c>
      <c r="U346">
        <v>-9848.14</v>
      </c>
    </row>
    <row r="347" spans="1:21" ht="15" customHeight="1" x14ac:dyDescent="0.25">
      <c r="A347" t="s">
        <v>858</v>
      </c>
      <c r="B347" s="8">
        <v>45015</v>
      </c>
      <c r="C347" s="8">
        <v>45020</v>
      </c>
      <c r="D347" t="s">
        <v>73</v>
      </c>
      <c r="E347" t="s">
        <v>3067</v>
      </c>
      <c r="F347" t="s">
        <v>3069</v>
      </c>
      <c r="G347" t="s">
        <v>3126</v>
      </c>
      <c r="H347">
        <v>8167870390</v>
      </c>
      <c r="I347" t="s">
        <v>35</v>
      </c>
      <c r="J347" t="s">
        <v>69</v>
      </c>
      <c r="K347" t="s">
        <v>307</v>
      </c>
      <c r="L347" t="s">
        <v>27</v>
      </c>
      <c r="M347" t="str">
        <f>TRIM(Table2[[#This Row],[Category]])</f>
        <v>Food &amp; Beverages</v>
      </c>
      <c r="N347" t="s">
        <v>79</v>
      </c>
      <c r="O347" t="s">
        <v>145</v>
      </c>
      <c r="P347">
        <v>5</v>
      </c>
      <c r="Q347">
        <v>3950.55</v>
      </c>
      <c r="R347">
        <v>0</v>
      </c>
      <c r="S347">
        <v>0</v>
      </c>
      <c r="T347">
        <v>19752.75</v>
      </c>
      <c r="U347">
        <v>4161.6099999999997</v>
      </c>
    </row>
    <row r="348" spans="1:21" ht="15" customHeight="1" x14ac:dyDescent="0.25">
      <c r="A348" t="s">
        <v>1801</v>
      </c>
      <c r="B348" s="8">
        <v>45019</v>
      </c>
      <c r="C348" s="8">
        <v>45023</v>
      </c>
      <c r="D348" t="s">
        <v>73</v>
      </c>
      <c r="E348" t="s">
        <v>3056</v>
      </c>
      <c r="F348" t="s">
        <v>3064</v>
      </c>
      <c r="G348" t="s">
        <v>1803</v>
      </c>
      <c r="H348">
        <v>8062495511</v>
      </c>
      <c r="I348" t="s">
        <v>43</v>
      </c>
      <c r="J348" t="s">
        <v>69</v>
      </c>
      <c r="K348" t="s">
        <v>155</v>
      </c>
      <c r="L348" t="s">
        <v>63</v>
      </c>
      <c r="M348" t="str">
        <f>TRIM(Table2[[#This Row],[Category]])</f>
        <v>Office Supplies</v>
      </c>
      <c r="N348" t="s">
        <v>469</v>
      </c>
      <c r="O348" t="s">
        <v>1099</v>
      </c>
      <c r="P348">
        <v>4</v>
      </c>
      <c r="Q348">
        <v>23461.66</v>
      </c>
      <c r="R348">
        <v>10</v>
      </c>
      <c r="S348">
        <v>9384.66</v>
      </c>
      <c r="T348">
        <v>84461.98</v>
      </c>
      <c r="U348">
        <v>-6212.14</v>
      </c>
    </row>
    <row r="349" spans="1:21" ht="15" customHeight="1" x14ac:dyDescent="0.25">
      <c r="A349" t="s">
        <v>2428</v>
      </c>
      <c r="B349" s="8">
        <v>45025</v>
      </c>
      <c r="C349" s="8">
        <v>45029</v>
      </c>
      <c r="D349" t="s">
        <v>73</v>
      </c>
      <c r="E349" t="s">
        <v>3065</v>
      </c>
      <c r="F349" t="s">
        <v>3034</v>
      </c>
      <c r="G349" t="s">
        <v>2429</v>
      </c>
      <c r="H349">
        <v>7038753576</v>
      </c>
      <c r="I349" t="s">
        <v>35</v>
      </c>
      <c r="J349" t="s">
        <v>51</v>
      </c>
      <c r="K349" t="s">
        <v>227</v>
      </c>
      <c r="L349" t="s">
        <v>27</v>
      </c>
      <c r="M349" t="str">
        <f>TRIM(Table2[[#This Row],[Category]])</f>
        <v>Food &amp; Beverages</v>
      </c>
      <c r="N349" t="s">
        <v>173</v>
      </c>
      <c r="O349" t="s">
        <v>1795</v>
      </c>
      <c r="P349">
        <v>9</v>
      </c>
      <c r="Q349">
        <v>4744.1899999999996</v>
      </c>
      <c r="R349">
        <v>0</v>
      </c>
      <c r="S349">
        <v>0</v>
      </c>
      <c r="T349">
        <v>42697.71</v>
      </c>
      <c r="U349">
        <v>1996.82</v>
      </c>
    </row>
    <row r="350" spans="1:21" ht="15" customHeight="1" x14ac:dyDescent="0.25">
      <c r="A350" t="s">
        <v>1422</v>
      </c>
      <c r="B350" s="8">
        <v>45026</v>
      </c>
      <c r="C350" s="8">
        <v>45030</v>
      </c>
      <c r="D350" t="s">
        <v>73</v>
      </c>
      <c r="E350" t="s">
        <v>3033</v>
      </c>
      <c r="F350" t="s">
        <v>3052</v>
      </c>
      <c r="G350" t="s">
        <v>1423</v>
      </c>
      <c r="H350">
        <v>8068127046</v>
      </c>
      <c r="I350" t="s">
        <v>35</v>
      </c>
      <c r="J350" t="s">
        <v>25</v>
      </c>
      <c r="K350" t="s">
        <v>126</v>
      </c>
      <c r="L350" t="s">
        <v>96</v>
      </c>
      <c r="M350" t="str">
        <f>TRIM(Table2[[#This Row],[Category]])</f>
        <v>Technology</v>
      </c>
      <c r="N350" t="s">
        <v>120</v>
      </c>
      <c r="O350" t="s">
        <v>1307</v>
      </c>
      <c r="P350">
        <v>14</v>
      </c>
      <c r="Q350">
        <v>351991.15</v>
      </c>
      <c r="R350">
        <v>0</v>
      </c>
      <c r="S350">
        <v>0</v>
      </c>
      <c r="T350">
        <v>4927876.0999999996</v>
      </c>
      <c r="U350">
        <v>-158625.4</v>
      </c>
    </row>
    <row r="351" spans="1:21" ht="15" customHeight="1" x14ac:dyDescent="0.25">
      <c r="A351" t="s">
        <v>1880</v>
      </c>
      <c r="B351" s="8">
        <v>45031</v>
      </c>
      <c r="C351" s="8">
        <v>45034</v>
      </c>
      <c r="D351" t="s">
        <v>73</v>
      </c>
      <c r="E351" t="s">
        <v>3033</v>
      </c>
      <c r="F351" t="s">
        <v>3045</v>
      </c>
      <c r="G351" t="s">
        <v>1882</v>
      </c>
      <c r="H351">
        <v>8164224201</v>
      </c>
      <c r="I351" t="s">
        <v>24</v>
      </c>
      <c r="J351" t="s">
        <v>61</v>
      </c>
      <c r="K351" t="s">
        <v>84</v>
      </c>
      <c r="L351" t="s">
        <v>85</v>
      </c>
      <c r="M351" t="str">
        <f>TRIM(Table2[[#This Row],[Category]])</f>
        <v>Furniture</v>
      </c>
      <c r="N351" t="s">
        <v>486</v>
      </c>
      <c r="O351" t="s">
        <v>487</v>
      </c>
      <c r="P351">
        <v>3</v>
      </c>
      <c r="Q351">
        <v>114032.39</v>
      </c>
      <c r="R351">
        <v>0</v>
      </c>
      <c r="S351">
        <v>0</v>
      </c>
      <c r="T351">
        <v>342097.17</v>
      </c>
      <c r="U351">
        <v>26755.96</v>
      </c>
    </row>
    <row r="352" spans="1:21" ht="15" customHeight="1" x14ac:dyDescent="0.25">
      <c r="A352" t="s">
        <v>2922</v>
      </c>
      <c r="B352" s="8">
        <v>45040</v>
      </c>
      <c r="C352" s="8">
        <v>45045</v>
      </c>
      <c r="D352" t="s">
        <v>73</v>
      </c>
      <c r="E352" t="s">
        <v>3073</v>
      </c>
      <c r="F352" t="s">
        <v>3088</v>
      </c>
      <c r="G352" t="s">
        <v>2924</v>
      </c>
      <c r="H352">
        <v>8032719240</v>
      </c>
      <c r="I352" t="s">
        <v>35</v>
      </c>
      <c r="J352" t="s">
        <v>61</v>
      </c>
      <c r="K352" t="s">
        <v>204</v>
      </c>
      <c r="L352" t="s">
        <v>63</v>
      </c>
      <c r="M352" t="str">
        <f>TRIM(Table2[[#This Row],[Category]])</f>
        <v>Office Supplies</v>
      </c>
      <c r="N352" t="s">
        <v>64</v>
      </c>
      <c r="O352" t="s">
        <v>815</v>
      </c>
      <c r="P352">
        <v>2</v>
      </c>
      <c r="Q352">
        <v>15339.21</v>
      </c>
      <c r="R352">
        <v>25</v>
      </c>
      <c r="S352">
        <v>7669.6</v>
      </c>
      <c r="T352">
        <v>23008.82</v>
      </c>
      <c r="U352">
        <v>1632.38</v>
      </c>
    </row>
    <row r="353" spans="1:21" ht="15" customHeight="1" x14ac:dyDescent="0.25">
      <c r="A353" t="s">
        <v>151</v>
      </c>
      <c r="B353" s="8">
        <v>45046</v>
      </c>
      <c r="C353" s="8">
        <v>45049</v>
      </c>
      <c r="D353" t="s">
        <v>73</v>
      </c>
      <c r="E353" t="s">
        <v>3065</v>
      </c>
      <c r="F353" t="s">
        <v>3066</v>
      </c>
      <c r="G353" t="s">
        <v>153</v>
      </c>
      <c r="H353">
        <v>8106573147</v>
      </c>
      <c r="I353" t="s">
        <v>24</v>
      </c>
      <c r="J353" t="s">
        <v>69</v>
      </c>
      <c r="K353" t="s">
        <v>155</v>
      </c>
      <c r="L353" t="s">
        <v>156</v>
      </c>
      <c r="M353" t="str">
        <f>TRIM(Table2[[#This Row],[Category]])</f>
        <v>cLOTHING</v>
      </c>
      <c r="N353" t="s">
        <v>109</v>
      </c>
      <c r="O353" t="s">
        <v>157</v>
      </c>
      <c r="P353">
        <v>4</v>
      </c>
      <c r="Q353">
        <v>8845.51</v>
      </c>
      <c r="R353">
        <v>15</v>
      </c>
      <c r="S353">
        <v>5307.31</v>
      </c>
      <c r="T353">
        <v>30074.73</v>
      </c>
      <c r="U353">
        <v>11226.9</v>
      </c>
    </row>
    <row r="354" spans="1:21" ht="15" customHeight="1" x14ac:dyDescent="0.25">
      <c r="A354" t="s">
        <v>794</v>
      </c>
      <c r="B354" s="8">
        <v>45055</v>
      </c>
      <c r="C354" s="8">
        <v>45059</v>
      </c>
      <c r="D354" t="s">
        <v>73</v>
      </c>
      <c r="E354" t="s">
        <v>3037</v>
      </c>
      <c r="F354" t="s">
        <v>3042</v>
      </c>
      <c r="G354" t="s">
        <v>796</v>
      </c>
      <c r="H354">
        <v>9024681115</v>
      </c>
      <c r="I354" t="s">
        <v>35</v>
      </c>
      <c r="J354" t="s">
        <v>61</v>
      </c>
      <c r="K354" t="s">
        <v>62</v>
      </c>
      <c r="L354" t="s">
        <v>27</v>
      </c>
      <c r="M354" t="str">
        <f>TRIM(Table2[[#This Row],[Category]])</f>
        <v>Food &amp; Beverages</v>
      </c>
      <c r="N354" t="s">
        <v>28</v>
      </c>
      <c r="O354" t="s">
        <v>71</v>
      </c>
      <c r="P354">
        <v>6</v>
      </c>
      <c r="Q354">
        <v>7501.09</v>
      </c>
      <c r="R354">
        <v>0</v>
      </c>
      <c r="S354">
        <v>0</v>
      </c>
      <c r="T354">
        <f>T353</f>
        <v>30074.73</v>
      </c>
      <c r="U354">
        <v>-363.17</v>
      </c>
    </row>
    <row r="355" spans="1:21" ht="15" customHeight="1" x14ac:dyDescent="0.25">
      <c r="A355" t="s">
        <v>2941</v>
      </c>
      <c r="B355" s="8">
        <v>45054</v>
      </c>
      <c r="C355" s="8">
        <v>45059</v>
      </c>
      <c r="D355" t="s">
        <v>73</v>
      </c>
      <c r="E355" t="s">
        <v>3093</v>
      </c>
      <c r="F355" t="s">
        <v>3086</v>
      </c>
      <c r="G355" t="s">
        <v>2943</v>
      </c>
      <c r="H355">
        <v>9071680518</v>
      </c>
      <c r="I355" t="s">
        <v>24</v>
      </c>
      <c r="J355" t="s">
        <v>51</v>
      </c>
      <c r="K355" t="s">
        <v>316</v>
      </c>
      <c r="L355" t="s">
        <v>96</v>
      </c>
      <c r="M355" t="str">
        <f>TRIM(Table2[[#This Row],[Category]])</f>
        <v>Technology</v>
      </c>
      <c r="N355" t="s">
        <v>385</v>
      </c>
      <c r="O355" t="s">
        <v>942</v>
      </c>
      <c r="P355">
        <v>1</v>
      </c>
      <c r="Q355">
        <v>342264.79</v>
      </c>
      <c r="R355">
        <v>0</v>
      </c>
      <c r="S355">
        <v>0</v>
      </c>
      <c r="T355">
        <v>342264.79</v>
      </c>
      <c r="U355">
        <v>85781.759999999995</v>
      </c>
    </row>
    <row r="356" spans="1:21" ht="15" customHeight="1" x14ac:dyDescent="0.25">
      <c r="A356" t="s">
        <v>547</v>
      </c>
      <c r="B356" s="8" t="s">
        <v>548</v>
      </c>
      <c r="C356" s="8">
        <v>45061</v>
      </c>
      <c r="D356" t="s">
        <v>73</v>
      </c>
      <c r="E356" t="s">
        <v>3070</v>
      </c>
      <c r="F356" t="s">
        <v>3043</v>
      </c>
      <c r="G356" t="s">
        <v>550</v>
      </c>
      <c r="H356">
        <v>8032681042</v>
      </c>
      <c r="I356" t="s">
        <v>35</v>
      </c>
      <c r="J356" t="s">
        <v>51</v>
      </c>
      <c r="K356" t="s">
        <v>131</v>
      </c>
      <c r="L356" t="s">
        <v>108</v>
      </c>
      <c r="M356" t="str">
        <f>TRIM(Table2[[#This Row],[Category]])</f>
        <v>Clothing</v>
      </c>
      <c r="N356" t="s">
        <v>38</v>
      </c>
      <c r="O356" t="s">
        <v>213</v>
      </c>
      <c r="P356">
        <v>5</v>
      </c>
      <c r="Q356">
        <v>6323.43</v>
      </c>
      <c r="R356">
        <v>0</v>
      </c>
      <c r="S356">
        <v>0</v>
      </c>
      <c r="T356">
        <v>31617.15</v>
      </c>
      <c r="U356">
        <v>13554.63</v>
      </c>
    </row>
    <row r="357" spans="1:21" ht="15" customHeight="1" x14ac:dyDescent="0.25">
      <c r="A357" t="s">
        <v>540</v>
      </c>
      <c r="B357" s="8">
        <v>45066</v>
      </c>
      <c r="C357" s="8">
        <v>45070</v>
      </c>
      <c r="D357" t="s">
        <v>73</v>
      </c>
      <c r="E357" t="s">
        <v>3060</v>
      </c>
      <c r="F357" t="s">
        <v>3064</v>
      </c>
      <c r="G357" t="s">
        <v>542</v>
      </c>
      <c r="H357">
        <v>8165848684</v>
      </c>
      <c r="I357" t="s">
        <v>43</v>
      </c>
      <c r="J357" t="s">
        <v>51</v>
      </c>
      <c r="K357" t="s">
        <v>227</v>
      </c>
      <c r="L357" t="s">
        <v>85</v>
      </c>
      <c r="M357" t="str">
        <f>TRIM(Table2[[#This Row],[Category]])</f>
        <v>Furniture</v>
      </c>
      <c r="N357" t="s">
        <v>486</v>
      </c>
      <c r="O357" t="s">
        <v>543</v>
      </c>
      <c r="P357">
        <v>18</v>
      </c>
      <c r="Q357">
        <v>90526.19</v>
      </c>
      <c r="R357">
        <v>10</v>
      </c>
      <c r="S357">
        <v>162947.14000000001</v>
      </c>
      <c r="T357">
        <v>1466524.28</v>
      </c>
      <c r="U357">
        <v>33251.42</v>
      </c>
    </row>
    <row r="358" spans="1:21" ht="15" customHeight="1" x14ac:dyDescent="0.25">
      <c r="A358" t="s">
        <v>1755</v>
      </c>
      <c r="B358" s="8">
        <v>45071</v>
      </c>
      <c r="C358" s="8">
        <v>45075</v>
      </c>
      <c r="D358" t="s">
        <v>416</v>
      </c>
      <c r="E358" t="s">
        <v>3076</v>
      </c>
      <c r="F358" t="s">
        <v>3057</v>
      </c>
      <c r="G358" t="s">
        <v>1757</v>
      </c>
      <c r="H358">
        <v>9074378948</v>
      </c>
      <c r="I358" t="s">
        <v>43</v>
      </c>
      <c r="J358" t="s">
        <v>61</v>
      </c>
      <c r="K358" t="s">
        <v>62</v>
      </c>
      <c r="L358" t="s">
        <v>63</v>
      </c>
      <c r="M358" t="str">
        <f>TRIM(Table2[[#This Row],[Category]])</f>
        <v>Office Supplies</v>
      </c>
      <c r="N358" t="s">
        <v>194</v>
      </c>
      <c r="O358" t="s">
        <v>257</v>
      </c>
      <c r="P358">
        <v>12</v>
      </c>
      <c r="Q358">
        <v>2460.39</v>
      </c>
      <c r="R358">
        <v>15</v>
      </c>
      <c r="S358">
        <v>4428.7</v>
      </c>
      <c r="T358">
        <v>25095.98</v>
      </c>
      <c r="U358">
        <v>1923.12</v>
      </c>
    </row>
    <row r="359" spans="1:21" ht="15" customHeight="1" x14ac:dyDescent="0.25">
      <c r="A359" t="s">
        <v>2756</v>
      </c>
      <c r="B359" s="8">
        <v>45071</v>
      </c>
      <c r="C359" s="8">
        <v>45075</v>
      </c>
      <c r="D359" t="s">
        <v>73</v>
      </c>
      <c r="E359" t="s">
        <v>3084</v>
      </c>
      <c r="F359" t="s">
        <v>3038</v>
      </c>
      <c r="G359" t="s">
        <v>2757</v>
      </c>
      <c r="H359">
        <v>7067708381</v>
      </c>
      <c r="I359" t="s">
        <v>35</v>
      </c>
      <c r="J359" t="s">
        <v>1118</v>
      </c>
      <c r="K359" t="s">
        <v>84</v>
      </c>
      <c r="L359" t="s">
        <v>108</v>
      </c>
      <c r="M359" t="str">
        <f>TRIM(Table2[[#This Row],[Category]])</f>
        <v>Clothing</v>
      </c>
      <c r="N359" t="s">
        <v>189</v>
      </c>
      <c r="O359" t="s">
        <v>325</v>
      </c>
      <c r="P359">
        <v>8</v>
      </c>
      <c r="Q359">
        <v>14860.63</v>
      </c>
      <c r="R359">
        <v>0</v>
      </c>
      <c r="S359">
        <v>0</v>
      </c>
      <c r="T359">
        <v>118885.04</v>
      </c>
      <c r="U359">
        <v>26610.62</v>
      </c>
    </row>
    <row r="360" spans="1:21" ht="15" customHeight="1" x14ac:dyDescent="0.25">
      <c r="A360" t="s">
        <v>1312</v>
      </c>
      <c r="B360" s="8">
        <v>45080</v>
      </c>
      <c r="C360" s="8">
        <v>45084</v>
      </c>
      <c r="D360" t="s">
        <v>73</v>
      </c>
      <c r="E360" t="s">
        <v>3039</v>
      </c>
      <c r="F360" t="s">
        <v>3069</v>
      </c>
      <c r="G360" t="s">
        <v>1314</v>
      </c>
      <c r="H360">
        <v>9078607523</v>
      </c>
      <c r="I360" t="s">
        <v>24</v>
      </c>
      <c r="J360" t="s">
        <v>61</v>
      </c>
      <c r="K360" t="s">
        <v>95</v>
      </c>
      <c r="L360" t="s">
        <v>63</v>
      </c>
      <c r="M360" t="str">
        <f>TRIM(Table2[[#This Row],[Category]])</f>
        <v>Office Supplies</v>
      </c>
      <c r="N360" t="s">
        <v>194</v>
      </c>
      <c r="O360" t="s">
        <v>257</v>
      </c>
      <c r="P360">
        <v>11</v>
      </c>
      <c r="Q360">
        <v>17459.43</v>
      </c>
      <c r="R360">
        <v>10</v>
      </c>
      <c r="S360">
        <v>19205.37</v>
      </c>
      <c r="T360">
        <v>172848.36</v>
      </c>
      <c r="U360">
        <v>-9129.92</v>
      </c>
    </row>
    <row r="361" spans="1:21" ht="15" customHeight="1" x14ac:dyDescent="0.25">
      <c r="A361" t="s">
        <v>1493</v>
      </c>
      <c r="B361" s="8">
        <v>45080</v>
      </c>
      <c r="C361" s="8">
        <v>45085</v>
      </c>
      <c r="D361" t="s">
        <v>73</v>
      </c>
      <c r="E361" t="s">
        <v>3098</v>
      </c>
      <c r="F361" t="s">
        <v>3064</v>
      </c>
      <c r="G361" t="s">
        <v>1495</v>
      </c>
      <c r="H361">
        <v>9023047722</v>
      </c>
      <c r="I361" t="s">
        <v>24</v>
      </c>
      <c r="J361" t="s">
        <v>25</v>
      </c>
      <c r="K361" t="s">
        <v>26</v>
      </c>
      <c r="L361" t="s">
        <v>27</v>
      </c>
      <c r="M361" t="str">
        <f>TRIM(Table2[[#This Row],[Category]])</f>
        <v>Food &amp; Beverages</v>
      </c>
      <c r="N361" t="s">
        <v>354</v>
      </c>
      <c r="O361" t="s">
        <v>433</v>
      </c>
      <c r="P361">
        <v>13</v>
      </c>
      <c r="Q361">
        <v>3291.23</v>
      </c>
      <c r="R361">
        <v>10</v>
      </c>
      <c r="S361">
        <v>4278.6000000000004</v>
      </c>
      <c r="T361">
        <v>38507.39</v>
      </c>
      <c r="U361">
        <v>1175.74</v>
      </c>
    </row>
    <row r="362" spans="1:21" ht="15" customHeight="1" x14ac:dyDescent="0.25">
      <c r="A362" t="s">
        <v>165</v>
      </c>
      <c r="B362" s="8">
        <v>45083</v>
      </c>
      <c r="C362" s="8">
        <v>45086</v>
      </c>
      <c r="D362" t="s">
        <v>73</v>
      </c>
      <c r="E362" t="s">
        <v>3068</v>
      </c>
      <c r="F362" t="s">
        <v>3046</v>
      </c>
      <c r="G362" t="s">
        <v>167</v>
      </c>
      <c r="H362">
        <v>7038235969</v>
      </c>
      <c r="I362" t="s">
        <v>24</v>
      </c>
      <c r="J362" t="s">
        <v>25</v>
      </c>
      <c r="K362" t="s">
        <v>168</v>
      </c>
      <c r="L362" t="s">
        <v>96</v>
      </c>
      <c r="M362" t="str">
        <f>TRIM(Table2[[#This Row],[Category]])</f>
        <v>Technology</v>
      </c>
      <c r="N362" t="s">
        <v>97</v>
      </c>
      <c r="O362" t="s">
        <v>169</v>
      </c>
      <c r="P362">
        <v>4</v>
      </c>
      <c r="Q362">
        <v>151553.31</v>
      </c>
      <c r="R362">
        <v>10</v>
      </c>
      <c r="S362">
        <v>60621.32</v>
      </c>
      <c r="T362">
        <f>T361</f>
        <v>38507.39</v>
      </c>
      <c r="U362">
        <v>84170.38</v>
      </c>
    </row>
    <row r="363" spans="1:21" ht="15" customHeight="1" x14ac:dyDescent="0.25">
      <c r="A363" t="s">
        <v>2810</v>
      </c>
      <c r="B363" s="8">
        <v>45090</v>
      </c>
      <c r="C363" s="8">
        <v>45094</v>
      </c>
      <c r="D363" t="s">
        <v>73</v>
      </c>
      <c r="E363" t="s">
        <v>3084</v>
      </c>
      <c r="F363" t="s">
        <v>3036</v>
      </c>
      <c r="G363" t="s">
        <v>2812</v>
      </c>
      <c r="H363">
        <v>8037912713</v>
      </c>
      <c r="I363" t="s">
        <v>43</v>
      </c>
      <c r="J363" t="s">
        <v>25</v>
      </c>
      <c r="K363" t="s">
        <v>26</v>
      </c>
      <c r="L363" t="s">
        <v>96</v>
      </c>
      <c r="M363" t="str">
        <f>TRIM(Table2[[#This Row],[Category]])</f>
        <v>Technology</v>
      </c>
      <c r="N363" t="s">
        <v>254</v>
      </c>
      <c r="O363" t="s">
        <v>455</v>
      </c>
      <c r="P363">
        <v>10</v>
      </c>
      <c r="Q363">
        <v>47673.57</v>
      </c>
      <c r="R363">
        <v>10</v>
      </c>
      <c r="S363">
        <v>47673.57</v>
      </c>
      <c r="T363">
        <v>429062.13</v>
      </c>
      <c r="U363">
        <v>40384.410000000003</v>
      </c>
    </row>
    <row r="364" spans="1:21" ht="15" customHeight="1" x14ac:dyDescent="0.25">
      <c r="A364" t="s">
        <v>1849</v>
      </c>
      <c r="B364" s="8">
        <v>45092</v>
      </c>
      <c r="C364" s="8">
        <v>45095</v>
      </c>
      <c r="D364" t="s">
        <v>1823</v>
      </c>
      <c r="E364" t="s">
        <v>3092</v>
      </c>
      <c r="F364" t="s">
        <v>3078</v>
      </c>
      <c r="G364" t="s">
        <v>1850</v>
      </c>
      <c r="H364">
        <v>9073120109</v>
      </c>
      <c r="I364" t="s">
        <v>24</v>
      </c>
      <c r="J364" t="s">
        <v>69</v>
      </c>
      <c r="K364" t="s">
        <v>70</v>
      </c>
      <c r="L364" t="s">
        <v>85</v>
      </c>
      <c r="M364" t="str">
        <f>TRIM(Table2[[#This Row],[Category]])</f>
        <v>Furniture</v>
      </c>
      <c r="N364" t="s">
        <v>486</v>
      </c>
      <c r="O364" t="s">
        <v>527</v>
      </c>
      <c r="P364">
        <v>2</v>
      </c>
      <c r="Q364">
        <v>134492.65</v>
      </c>
      <c r="R364">
        <v>10</v>
      </c>
      <c r="S364">
        <v>26898.53</v>
      </c>
      <c r="T364">
        <v>242086.77</v>
      </c>
      <c r="U364">
        <v>66453.17</v>
      </c>
    </row>
    <row r="365" spans="1:21" ht="15" customHeight="1" x14ac:dyDescent="0.25">
      <c r="A365" t="s">
        <v>1521</v>
      </c>
      <c r="B365" s="8">
        <v>45095</v>
      </c>
      <c r="C365" s="8">
        <v>45098</v>
      </c>
      <c r="D365" t="s">
        <v>73</v>
      </c>
      <c r="E365" t="s">
        <v>3041</v>
      </c>
      <c r="F365" t="s">
        <v>3090</v>
      </c>
      <c r="G365" t="s">
        <v>1523</v>
      </c>
      <c r="H365">
        <v>8145714408</v>
      </c>
      <c r="I365" t="s">
        <v>43</v>
      </c>
      <c r="J365" t="s">
        <v>51</v>
      </c>
      <c r="K365" t="s">
        <v>227</v>
      </c>
      <c r="L365" t="s">
        <v>63</v>
      </c>
      <c r="M365" t="str">
        <f>TRIM(Table2[[#This Row],[Category]])</f>
        <v>Office Supplies</v>
      </c>
      <c r="N365" t="s">
        <v>64</v>
      </c>
      <c r="O365" t="s">
        <v>65</v>
      </c>
      <c r="P365">
        <v>9</v>
      </c>
      <c r="Q365">
        <v>22618.42</v>
      </c>
      <c r="R365">
        <v>10</v>
      </c>
      <c r="S365">
        <v>20356.580000000002</v>
      </c>
      <c r="T365">
        <v>183209.2</v>
      </c>
      <c r="U365">
        <v>29347.11</v>
      </c>
    </row>
    <row r="366" spans="1:21" ht="15" customHeight="1" x14ac:dyDescent="0.25">
      <c r="A366" t="s">
        <v>2179</v>
      </c>
      <c r="B366" s="8">
        <v>45095</v>
      </c>
      <c r="C366" s="8">
        <v>45099</v>
      </c>
      <c r="D366" t="s">
        <v>73</v>
      </c>
      <c r="E366" t="s">
        <v>3095</v>
      </c>
      <c r="F366" t="s">
        <v>3074</v>
      </c>
      <c r="G366" t="s">
        <v>2181</v>
      </c>
      <c r="H366">
        <v>8067853539</v>
      </c>
      <c r="I366" t="s">
        <v>24</v>
      </c>
      <c r="J366" t="s">
        <v>69</v>
      </c>
      <c r="K366" t="s">
        <v>155</v>
      </c>
      <c r="L366" t="s">
        <v>108</v>
      </c>
      <c r="M366" t="str">
        <f>TRIM(Table2[[#This Row],[Category]])</f>
        <v>Clothing</v>
      </c>
      <c r="N366" t="s">
        <v>189</v>
      </c>
      <c r="O366" t="s">
        <v>190</v>
      </c>
      <c r="P366">
        <v>7</v>
      </c>
      <c r="Q366">
        <v>26768.51</v>
      </c>
      <c r="R366">
        <v>0</v>
      </c>
      <c r="S366">
        <v>0</v>
      </c>
      <c r="T366">
        <v>187379.57</v>
      </c>
      <c r="U366">
        <v>70425.38</v>
      </c>
    </row>
    <row r="367" spans="1:21" ht="15" customHeight="1" x14ac:dyDescent="0.25">
      <c r="A367" t="s">
        <v>1499</v>
      </c>
      <c r="B367" s="8">
        <v>45096</v>
      </c>
      <c r="C367" s="8">
        <v>45101</v>
      </c>
      <c r="D367" t="s">
        <v>73</v>
      </c>
      <c r="E367" t="s">
        <v>3044</v>
      </c>
      <c r="F367" t="s">
        <v>3039</v>
      </c>
      <c r="G367" t="s">
        <v>1501</v>
      </c>
      <c r="H367">
        <v>9056482263</v>
      </c>
      <c r="I367" t="s">
        <v>35</v>
      </c>
      <c r="J367" t="s">
        <v>51</v>
      </c>
      <c r="K367" t="s">
        <v>316</v>
      </c>
      <c r="L367" t="s">
        <v>108</v>
      </c>
      <c r="M367" t="str">
        <f>TRIM(Table2[[#This Row],[Category]])</f>
        <v>Clothing</v>
      </c>
      <c r="N367" t="s">
        <v>114</v>
      </c>
      <c r="O367" t="s">
        <v>291</v>
      </c>
      <c r="P367">
        <v>6</v>
      </c>
      <c r="Q367">
        <v>29579.03</v>
      </c>
      <c r="R367">
        <v>20</v>
      </c>
      <c r="S367">
        <v>35494.839999999997</v>
      </c>
      <c r="T367">
        <v>141979.34</v>
      </c>
      <c r="U367">
        <v>46088.14</v>
      </c>
    </row>
    <row r="368" spans="1:21" ht="15" customHeight="1" x14ac:dyDescent="0.25">
      <c r="A368" t="s">
        <v>2966</v>
      </c>
      <c r="B368" s="8">
        <v>45096</v>
      </c>
      <c r="C368" s="8">
        <v>45101</v>
      </c>
      <c r="D368" t="s">
        <v>73</v>
      </c>
      <c r="E368" t="s">
        <v>3051</v>
      </c>
      <c r="F368" t="s">
        <v>3062</v>
      </c>
      <c r="G368" t="s">
        <v>2967</v>
      </c>
      <c r="H368">
        <v>9019242744</v>
      </c>
      <c r="I368" t="s">
        <v>24</v>
      </c>
      <c r="J368" t="s">
        <v>61</v>
      </c>
      <c r="K368" t="s">
        <v>3127</v>
      </c>
      <c r="L368" t="s">
        <v>27</v>
      </c>
      <c r="M368" t="str">
        <f>TRIM(Table2[[#This Row],[Category]])</f>
        <v>Food &amp; Beverages</v>
      </c>
      <c r="N368" t="s">
        <v>28</v>
      </c>
      <c r="O368" t="s">
        <v>508</v>
      </c>
      <c r="P368">
        <v>8</v>
      </c>
      <c r="Q368">
        <v>6135.66</v>
      </c>
      <c r="R368">
        <v>25</v>
      </c>
      <c r="S368">
        <v>12271.32</v>
      </c>
      <c r="T368">
        <v>36813.96</v>
      </c>
      <c r="U368">
        <v>-153.97</v>
      </c>
    </row>
    <row r="369" spans="1:21" ht="15" customHeight="1" x14ac:dyDescent="0.25">
      <c r="A369" t="s">
        <v>1096</v>
      </c>
      <c r="B369" s="8">
        <v>45100</v>
      </c>
      <c r="C369" s="8">
        <v>45103</v>
      </c>
      <c r="D369" t="s">
        <v>73</v>
      </c>
      <c r="E369" t="s">
        <v>3068</v>
      </c>
      <c r="F369" t="s">
        <v>3040</v>
      </c>
      <c r="G369" t="s">
        <v>1098</v>
      </c>
      <c r="H369">
        <v>8155561139</v>
      </c>
      <c r="I369" t="s">
        <v>43</v>
      </c>
      <c r="J369" t="s">
        <v>61</v>
      </c>
      <c r="K369" t="s">
        <v>204</v>
      </c>
      <c r="L369" t="s">
        <v>63</v>
      </c>
      <c r="M369" t="str">
        <f>TRIM(Table2[[#This Row],[Category]])</f>
        <v>Office Supplies</v>
      </c>
      <c r="N369" t="s">
        <v>469</v>
      </c>
      <c r="O369" t="s">
        <v>1099</v>
      </c>
      <c r="P369">
        <v>14</v>
      </c>
      <c r="Q369">
        <v>20315.810000000001</v>
      </c>
      <c r="R369">
        <v>5</v>
      </c>
      <c r="S369">
        <v>14221.07</v>
      </c>
      <c r="T369">
        <v>270200.27</v>
      </c>
      <c r="U369">
        <v>97836.6</v>
      </c>
    </row>
    <row r="370" spans="1:21" ht="15" customHeight="1" x14ac:dyDescent="0.25">
      <c r="A370" t="s">
        <v>1204</v>
      </c>
      <c r="B370" s="8">
        <v>45098</v>
      </c>
      <c r="C370" s="8">
        <v>45103</v>
      </c>
      <c r="D370" t="s">
        <v>73</v>
      </c>
      <c r="E370" t="s">
        <v>3048</v>
      </c>
      <c r="F370" t="s">
        <v>3090</v>
      </c>
      <c r="G370" t="s">
        <v>1206</v>
      </c>
      <c r="H370">
        <v>9058195804</v>
      </c>
      <c r="I370" t="s">
        <v>43</v>
      </c>
      <c r="J370" t="s">
        <v>61</v>
      </c>
      <c r="K370" t="s">
        <v>95</v>
      </c>
      <c r="L370" t="s">
        <v>27</v>
      </c>
      <c r="M370" t="str">
        <f>TRIM(Table2[[#This Row],[Category]])</f>
        <v>Food &amp; Beverages</v>
      </c>
      <c r="N370" t="s">
        <v>45</v>
      </c>
      <c r="O370" t="s">
        <v>523</v>
      </c>
      <c r="P370">
        <v>12</v>
      </c>
      <c r="Q370">
        <v>985.77</v>
      </c>
      <c r="R370">
        <v>0</v>
      </c>
      <c r="S370">
        <v>0</v>
      </c>
      <c r="T370">
        <v>11829.24</v>
      </c>
      <c r="U370">
        <v>4948.72</v>
      </c>
    </row>
    <row r="371" spans="1:21" ht="15" customHeight="1" x14ac:dyDescent="0.25">
      <c r="A371" t="s">
        <v>1204</v>
      </c>
      <c r="B371" s="8" t="s">
        <v>1509</v>
      </c>
      <c r="C371" s="8">
        <v>45103</v>
      </c>
      <c r="D371" t="s">
        <v>73</v>
      </c>
      <c r="E371" t="s">
        <v>3048</v>
      </c>
      <c r="F371" t="s">
        <v>3090</v>
      </c>
      <c r="G371" t="s">
        <v>1206</v>
      </c>
      <c r="H371">
        <v>9058195804</v>
      </c>
      <c r="I371" t="s">
        <v>43</v>
      </c>
      <c r="J371" t="s">
        <v>61</v>
      </c>
      <c r="K371" t="s">
        <v>95</v>
      </c>
      <c r="L371" t="s">
        <v>27</v>
      </c>
      <c r="M371" t="str">
        <f>TRIM(Table2[[#This Row],[Category]])</f>
        <v>Food &amp; Beverages</v>
      </c>
      <c r="N371" t="s">
        <v>45</v>
      </c>
      <c r="O371" t="s">
        <v>523</v>
      </c>
      <c r="P371">
        <v>12</v>
      </c>
      <c r="Q371">
        <v>985.77</v>
      </c>
      <c r="R371">
        <v>0</v>
      </c>
      <c r="S371">
        <v>0</v>
      </c>
      <c r="T371">
        <v>11829.24</v>
      </c>
      <c r="U371">
        <v>4948.72</v>
      </c>
    </row>
    <row r="372" spans="1:21" ht="15" customHeight="1" x14ac:dyDescent="0.25">
      <c r="A372" t="s">
        <v>2266</v>
      </c>
      <c r="B372" s="8">
        <v>45108</v>
      </c>
      <c r="C372" s="8">
        <v>45111</v>
      </c>
      <c r="D372" t="s">
        <v>73</v>
      </c>
      <c r="E372" t="s">
        <v>3065</v>
      </c>
      <c r="F372" t="s">
        <v>3071</v>
      </c>
      <c r="G372" t="s">
        <v>2267</v>
      </c>
      <c r="H372">
        <v>8164333354</v>
      </c>
      <c r="I372" t="s">
        <v>35</v>
      </c>
      <c r="J372" t="s">
        <v>25</v>
      </c>
      <c r="K372" t="s">
        <v>26</v>
      </c>
      <c r="L372" t="s">
        <v>27</v>
      </c>
      <c r="M372" t="str">
        <f>TRIM(Table2[[#This Row],[Category]])</f>
        <v>Food &amp; Beverages</v>
      </c>
      <c r="N372" t="s">
        <v>28</v>
      </c>
      <c r="O372" t="s">
        <v>508</v>
      </c>
      <c r="P372">
        <v>1</v>
      </c>
      <c r="Q372">
        <v>5191.8100000000004</v>
      </c>
      <c r="R372">
        <v>10</v>
      </c>
      <c r="S372">
        <v>519.17999999999995</v>
      </c>
      <c r="T372">
        <v>4672.63</v>
      </c>
      <c r="U372">
        <v>66.62</v>
      </c>
    </row>
    <row r="373" spans="1:21" ht="15" customHeight="1" x14ac:dyDescent="0.25">
      <c r="A373" t="s">
        <v>495</v>
      </c>
      <c r="B373" s="8">
        <v>45124</v>
      </c>
      <c r="C373" s="8">
        <v>45127</v>
      </c>
      <c r="D373" t="s">
        <v>73</v>
      </c>
      <c r="E373" t="s">
        <v>3093</v>
      </c>
      <c r="F373" t="s">
        <v>3088</v>
      </c>
      <c r="G373" t="s">
        <v>497</v>
      </c>
      <c r="H373">
        <v>8153829240</v>
      </c>
      <c r="I373" t="s">
        <v>43</v>
      </c>
      <c r="J373" t="s">
        <v>51</v>
      </c>
      <c r="K373" t="s">
        <v>52</v>
      </c>
      <c r="L373" t="s">
        <v>27</v>
      </c>
      <c r="M373" t="str">
        <f>TRIM(Table2[[#This Row],[Category]])</f>
        <v>Food &amp; Beverages</v>
      </c>
      <c r="N373" t="s">
        <v>173</v>
      </c>
      <c r="O373" t="s">
        <v>380</v>
      </c>
      <c r="P373">
        <v>20</v>
      </c>
      <c r="Q373">
        <v>1618.24</v>
      </c>
      <c r="R373">
        <v>10</v>
      </c>
      <c r="S373">
        <v>3236.48</v>
      </c>
      <c r="T373">
        <v>29128.32</v>
      </c>
      <c r="U373">
        <v>10355.64</v>
      </c>
    </row>
    <row r="374" spans="1:21" ht="15" customHeight="1" x14ac:dyDescent="0.25">
      <c r="A374" t="s">
        <v>1350</v>
      </c>
      <c r="B374" s="8">
        <v>45128</v>
      </c>
      <c r="C374" s="8">
        <v>45131</v>
      </c>
      <c r="D374" t="s">
        <v>73</v>
      </c>
      <c r="E374" t="s">
        <v>3050</v>
      </c>
      <c r="F374" t="s">
        <v>3038</v>
      </c>
      <c r="G374" t="s">
        <v>1178</v>
      </c>
      <c r="H374">
        <v>9078959326</v>
      </c>
      <c r="I374" t="s">
        <v>24</v>
      </c>
      <c r="J374" t="s">
        <v>61</v>
      </c>
      <c r="K374" t="s">
        <v>204</v>
      </c>
      <c r="L374" t="s">
        <v>108</v>
      </c>
      <c r="M374" t="str">
        <f>TRIM(Table2[[#This Row],[Category]])</f>
        <v>Clothing</v>
      </c>
      <c r="N374" t="s">
        <v>109</v>
      </c>
      <c r="O374" t="s">
        <v>1258</v>
      </c>
      <c r="P374">
        <v>2</v>
      </c>
      <c r="Q374">
        <v>30816.13</v>
      </c>
      <c r="R374">
        <v>0</v>
      </c>
      <c r="S374">
        <v>0</v>
      </c>
      <c r="T374">
        <v>61632.26</v>
      </c>
      <c r="U374">
        <v>14601.7</v>
      </c>
    </row>
    <row r="375" spans="1:21" ht="15" customHeight="1" x14ac:dyDescent="0.25">
      <c r="A375" t="s">
        <v>1907</v>
      </c>
      <c r="B375" s="8">
        <v>45130</v>
      </c>
      <c r="C375" s="8">
        <v>45133</v>
      </c>
      <c r="D375" t="s">
        <v>73</v>
      </c>
      <c r="E375" t="s">
        <v>3091</v>
      </c>
      <c r="F375" t="s">
        <v>3086</v>
      </c>
      <c r="G375" t="s">
        <v>1909</v>
      </c>
      <c r="H375">
        <v>9075177662</v>
      </c>
      <c r="I375" t="s">
        <v>35</v>
      </c>
      <c r="J375" t="s">
        <v>61</v>
      </c>
      <c r="K375" t="s">
        <v>182</v>
      </c>
      <c r="L375" t="s">
        <v>85</v>
      </c>
      <c r="M375" t="str">
        <f>TRIM(Table2[[#This Row],[Category]])</f>
        <v>Furniture</v>
      </c>
      <c r="N375" t="s">
        <v>266</v>
      </c>
      <c r="O375" t="s">
        <v>267</v>
      </c>
      <c r="P375">
        <v>12</v>
      </c>
      <c r="Q375">
        <v>8240.7900000000009</v>
      </c>
      <c r="R375">
        <v>10</v>
      </c>
      <c r="S375">
        <v>9888.9500000000007</v>
      </c>
      <c r="T375">
        <v>89000.53</v>
      </c>
      <c r="U375">
        <v>3981.63</v>
      </c>
    </row>
    <row r="376" spans="1:21" ht="15" customHeight="1" x14ac:dyDescent="0.25">
      <c r="A376" t="s">
        <v>2201</v>
      </c>
      <c r="B376" s="8">
        <v>45132</v>
      </c>
      <c r="C376" s="8">
        <v>45137</v>
      </c>
      <c r="D376" t="s">
        <v>1823</v>
      </c>
      <c r="E376" t="s">
        <v>3056</v>
      </c>
      <c r="F376" t="s">
        <v>3039</v>
      </c>
      <c r="G376" t="s">
        <v>2202</v>
      </c>
      <c r="H376">
        <v>9014731953</v>
      </c>
      <c r="I376" t="s">
        <v>35</v>
      </c>
      <c r="J376" t="s">
        <v>69</v>
      </c>
      <c r="K376" t="s">
        <v>144</v>
      </c>
      <c r="L376" t="s">
        <v>96</v>
      </c>
      <c r="M376" t="str">
        <f>TRIM(Table2[[#This Row],[Category]])</f>
        <v>Technology</v>
      </c>
      <c r="N376" t="s">
        <v>97</v>
      </c>
      <c r="O376" t="s">
        <v>443</v>
      </c>
      <c r="P376">
        <v>9</v>
      </c>
      <c r="Q376">
        <v>235571.18</v>
      </c>
      <c r="R376">
        <v>20</v>
      </c>
      <c r="S376">
        <v>424028.12</v>
      </c>
      <c r="T376">
        <v>1696112.5</v>
      </c>
      <c r="U376">
        <v>387348.62</v>
      </c>
    </row>
    <row r="377" spans="1:21" ht="15" customHeight="1" x14ac:dyDescent="0.25">
      <c r="A377" t="s">
        <v>1235</v>
      </c>
      <c r="B377" s="8">
        <v>45136</v>
      </c>
      <c r="C377" s="8">
        <v>45139</v>
      </c>
      <c r="D377" t="s">
        <v>73</v>
      </c>
      <c r="E377" t="s">
        <v>3095</v>
      </c>
      <c r="F377" t="s">
        <v>3045</v>
      </c>
      <c r="G377" t="s">
        <v>1237</v>
      </c>
      <c r="H377">
        <v>9057535837</v>
      </c>
      <c r="I377" t="s">
        <v>125</v>
      </c>
      <c r="J377" t="s">
        <v>51</v>
      </c>
      <c r="K377" t="s">
        <v>223</v>
      </c>
      <c r="L377" t="s">
        <v>85</v>
      </c>
      <c r="M377" t="str">
        <f>TRIM(Table2[[#This Row],[Category]])</f>
        <v>Furniture</v>
      </c>
      <c r="N377" t="s">
        <v>266</v>
      </c>
      <c r="O377" t="s">
        <v>267</v>
      </c>
      <c r="P377">
        <v>10</v>
      </c>
      <c r="Q377">
        <v>156710.10999999999</v>
      </c>
      <c r="R377">
        <v>10</v>
      </c>
      <c r="S377">
        <v>156710.10999999999</v>
      </c>
      <c r="T377">
        <v>1410390.99</v>
      </c>
      <c r="U377">
        <v>389132.53</v>
      </c>
    </row>
    <row r="378" spans="1:21" ht="15" customHeight="1" x14ac:dyDescent="0.25">
      <c r="A378" t="s">
        <v>2222</v>
      </c>
      <c r="B378" s="8">
        <v>45141</v>
      </c>
      <c r="C378" s="8">
        <v>45145</v>
      </c>
      <c r="D378" t="s">
        <v>73</v>
      </c>
      <c r="E378" t="s">
        <v>3047</v>
      </c>
      <c r="F378" t="s">
        <v>3043</v>
      </c>
      <c r="G378" t="s">
        <v>2223</v>
      </c>
      <c r="H378">
        <v>8035571090</v>
      </c>
      <c r="I378" t="s">
        <v>35</v>
      </c>
      <c r="J378" t="s">
        <v>69</v>
      </c>
      <c r="K378" t="s">
        <v>70</v>
      </c>
      <c r="L378" t="s">
        <v>96</v>
      </c>
      <c r="M378" t="str">
        <f>TRIM(Table2[[#This Row],[Category]])</f>
        <v>Technology</v>
      </c>
      <c r="N378" t="s">
        <v>189</v>
      </c>
      <c r="O378" t="s">
        <v>478</v>
      </c>
      <c r="P378">
        <v>9</v>
      </c>
      <c r="Q378">
        <v>72069.039999999994</v>
      </c>
      <c r="R378">
        <v>0</v>
      </c>
      <c r="S378">
        <v>0</v>
      </c>
      <c r="T378">
        <v>648621.36</v>
      </c>
      <c r="U378">
        <v>-67510.94</v>
      </c>
    </row>
    <row r="379" spans="1:21" ht="15" customHeight="1" x14ac:dyDescent="0.25">
      <c r="A379" t="s">
        <v>1625</v>
      </c>
      <c r="B379" s="8">
        <v>45146</v>
      </c>
      <c r="C379" s="8">
        <v>45149</v>
      </c>
      <c r="D379" t="s">
        <v>73</v>
      </c>
      <c r="E379" t="s">
        <v>3065</v>
      </c>
      <c r="F379" t="s">
        <v>3036</v>
      </c>
      <c r="G379" t="s">
        <v>1627</v>
      </c>
      <c r="H379">
        <v>8106147152</v>
      </c>
      <c r="I379" t="s">
        <v>24</v>
      </c>
      <c r="J379" t="s">
        <v>25</v>
      </c>
      <c r="K379" t="s">
        <v>26</v>
      </c>
      <c r="L379" t="s">
        <v>108</v>
      </c>
      <c r="M379" t="str">
        <f>TRIM(Table2[[#This Row],[Category]])</f>
        <v>Clothing</v>
      </c>
      <c r="N379" t="s">
        <v>109</v>
      </c>
      <c r="O379" t="s">
        <v>110</v>
      </c>
      <c r="P379">
        <f>P378</f>
        <v>9</v>
      </c>
      <c r="Q379">
        <v>28422.44</v>
      </c>
      <c r="R379">
        <v>0</v>
      </c>
      <c r="S379">
        <v>0</v>
      </c>
      <c r="T379">
        <v>312646.84000000003</v>
      </c>
      <c r="U379">
        <v>-41800.03</v>
      </c>
    </row>
    <row r="380" spans="1:21" ht="15" customHeight="1" x14ac:dyDescent="0.25">
      <c r="A380" t="s">
        <v>459</v>
      </c>
      <c r="B380" s="8">
        <v>45147</v>
      </c>
      <c r="C380" s="8">
        <v>45151</v>
      </c>
      <c r="D380" t="s">
        <v>73</v>
      </c>
      <c r="E380" t="s">
        <v>3087</v>
      </c>
      <c r="F380" t="s">
        <v>3086</v>
      </c>
      <c r="G380" t="s">
        <v>461</v>
      </c>
      <c r="H380">
        <v>8163088344</v>
      </c>
      <c r="I380" t="s">
        <v>35</v>
      </c>
      <c r="J380" t="s">
        <v>69</v>
      </c>
      <c r="K380" t="s">
        <v>144</v>
      </c>
      <c r="L380" t="s">
        <v>63</v>
      </c>
      <c r="M380" t="str">
        <f>TRIM(Table2[[#This Row],[Category]])</f>
        <v>Office Supplies</v>
      </c>
      <c r="N380" t="s">
        <v>64</v>
      </c>
      <c r="O380" t="s">
        <v>104</v>
      </c>
      <c r="P380">
        <v>13</v>
      </c>
      <c r="Q380">
        <v>18711.04</v>
      </c>
      <c r="R380">
        <v>10</v>
      </c>
      <c r="S380">
        <v>24324.35</v>
      </c>
      <c r="T380">
        <v>218919.17</v>
      </c>
      <c r="U380">
        <v>95062.18</v>
      </c>
    </row>
    <row r="381" spans="1:21" ht="15" customHeight="1" x14ac:dyDescent="0.25">
      <c r="A381" t="s">
        <v>268</v>
      </c>
      <c r="B381" s="8">
        <v>45152</v>
      </c>
      <c r="C381" s="8">
        <v>45157</v>
      </c>
      <c r="D381" t="s">
        <v>73</v>
      </c>
      <c r="E381" t="s">
        <v>3076</v>
      </c>
      <c r="F381" t="s">
        <v>3078</v>
      </c>
      <c r="G381" t="s">
        <v>270</v>
      </c>
      <c r="H381">
        <v>8064916201</v>
      </c>
      <c r="I381" t="s">
        <v>35</v>
      </c>
      <c r="J381" t="s">
        <v>69</v>
      </c>
      <c r="K381" t="s">
        <v>144</v>
      </c>
      <c r="L381" t="s">
        <v>63</v>
      </c>
      <c r="M381" t="str">
        <f>TRIM(Table2[[#This Row],[Category]])</f>
        <v>Office Supplies</v>
      </c>
      <c r="N381" t="s">
        <v>194</v>
      </c>
      <c r="O381" t="s">
        <v>272</v>
      </c>
      <c r="P381">
        <v>7</v>
      </c>
      <c r="Q381">
        <v>16698.98</v>
      </c>
      <c r="R381">
        <v>15</v>
      </c>
      <c r="S381">
        <v>17533.93</v>
      </c>
      <c r="T381">
        <v>99358.93</v>
      </c>
      <c r="U381">
        <v>-8061.41</v>
      </c>
    </row>
    <row r="382" spans="1:21" ht="15" customHeight="1" x14ac:dyDescent="0.25">
      <c r="A382" t="s">
        <v>2725</v>
      </c>
      <c r="B382" s="8">
        <v>45152</v>
      </c>
      <c r="C382" s="8">
        <v>45157</v>
      </c>
      <c r="D382" t="s">
        <v>73</v>
      </c>
      <c r="E382" t="s">
        <v>3055</v>
      </c>
      <c r="F382" t="s">
        <v>3066</v>
      </c>
      <c r="G382" t="s">
        <v>3126</v>
      </c>
      <c r="H382">
        <v>8131288262</v>
      </c>
      <c r="I382" t="s">
        <v>24</v>
      </c>
      <c r="J382" t="s">
        <v>25</v>
      </c>
      <c r="K382" t="s">
        <v>36</v>
      </c>
      <c r="L382" t="s">
        <v>85</v>
      </c>
      <c r="M382" t="str">
        <f>TRIM(Table2[[#This Row],[Category]])</f>
        <v>Furniture</v>
      </c>
      <c r="N382" t="s">
        <v>266</v>
      </c>
      <c r="O382" t="s">
        <v>267</v>
      </c>
      <c r="P382">
        <v>4</v>
      </c>
      <c r="Q382">
        <v>19589.72</v>
      </c>
      <c r="R382">
        <v>10</v>
      </c>
      <c r="S382">
        <v>7835.89</v>
      </c>
      <c r="T382">
        <v>70522.990000000005</v>
      </c>
      <c r="U382">
        <v>24004.18</v>
      </c>
    </row>
    <row r="383" spans="1:21" ht="15" customHeight="1" x14ac:dyDescent="0.25">
      <c r="A383" t="s">
        <v>544</v>
      </c>
      <c r="B383" s="8">
        <v>45156</v>
      </c>
      <c r="C383" s="8">
        <v>45159</v>
      </c>
      <c r="D383" t="s">
        <v>73</v>
      </c>
      <c r="E383" t="s">
        <v>3076</v>
      </c>
      <c r="F383" t="s">
        <v>3078</v>
      </c>
      <c r="G383" t="s">
        <v>545</v>
      </c>
      <c r="H383">
        <v>7038421839</v>
      </c>
      <c r="I383" t="s">
        <v>43</v>
      </c>
      <c r="J383" t="s">
        <v>69</v>
      </c>
      <c r="K383" t="s">
        <v>70</v>
      </c>
      <c r="L383" t="s">
        <v>63</v>
      </c>
      <c r="M383" t="str">
        <f>TRIM(Table2[[#This Row],[Category]])</f>
        <v>Office Supplies</v>
      </c>
      <c r="N383" t="s">
        <v>469</v>
      </c>
      <c r="O383" t="s">
        <v>546</v>
      </c>
      <c r="P383">
        <v>18</v>
      </c>
      <c r="Q383">
        <v>5742.68</v>
      </c>
      <c r="R383">
        <v>10</v>
      </c>
      <c r="S383">
        <v>10336.82</v>
      </c>
      <c r="T383">
        <v>93031.42</v>
      </c>
      <c r="U383">
        <v>38125.61</v>
      </c>
    </row>
    <row r="384" spans="1:21" ht="15" customHeight="1" x14ac:dyDescent="0.25">
      <c r="A384" t="s">
        <v>2142</v>
      </c>
      <c r="B384" s="8">
        <v>45160</v>
      </c>
      <c r="C384" s="8">
        <v>45163</v>
      </c>
      <c r="D384" t="s">
        <v>73</v>
      </c>
      <c r="E384" t="s">
        <v>3080</v>
      </c>
      <c r="F384" t="s">
        <v>3045</v>
      </c>
      <c r="G384" t="s">
        <v>2143</v>
      </c>
      <c r="H384">
        <v>9073053134</v>
      </c>
      <c r="I384" t="s">
        <v>24</v>
      </c>
      <c r="J384" t="s">
        <v>51</v>
      </c>
      <c r="K384" t="s">
        <v>223</v>
      </c>
      <c r="L384" t="s">
        <v>96</v>
      </c>
      <c r="M384" t="str">
        <f>TRIM(Table2[[#This Row],[Category]])</f>
        <v>Technology</v>
      </c>
      <c r="N384" t="s">
        <v>120</v>
      </c>
      <c r="O384" t="s">
        <v>367</v>
      </c>
      <c r="P384">
        <v>7</v>
      </c>
      <c r="Q384">
        <v>423191.01</v>
      </c>
      <c r="R384">
        <v>20</v>
      </c>
      <c r="S384">
        <v>592467.41</v>
      </c>
      <c r="T384">
        <v>2369869.66</v>
      </c>
      <c r="U384">
        <v>647337.27</v>
      </c>
    </row>
    <row r="385" spans="1:21" ht="15" customHeight="1" x14ac:dyDescent="0.25">
      <c r="A385" t="s">
        <v>2184</v>
      </c>
      <c r="B385" s="8">
        <v>45162</v>
      </c>
      <c r="C385" s="8">
        <v>45165</v>
      </c>
      <c r="D385" t="s">
        <v>73</v>
      </c>
      <c r="E385" t="s">
        <v>3095</v>
      </c>
      <c r="F385" t="s">
        <v>3042</v>
      </c>
      <c r="G385" t="s">
        <v>2185</v>
      </c>
      <c r="H385">
        <v>9052808110</v>
      </c>
      <c r="I385" t="s">
        <v>43</v>
      </c>
      <c r="J385" t="s">
        <v>51</v>
      </c>
      <c r="K385" t="s">
        <v>131</v>
      </c>
      <c r="L385" t="s">
        <v>96</v>
      </c>
      <c r="M385" t="str">
        <f>TRIM(Table2[[#This Row],[Category]])</f>
        <v>Technology</v>
      </c>
      <c r="N385" t="s">
        <v>120</v>
      </c>
      <c r="O385" t="s">
        <v>367</v>
      </c>
      <c r="P385">
        <v>14</v>
      </c>
      <c r="Q385">
        <v>428214.79</v>
      </c>
      <c r="R385">
        <v>20</v>
      </c>
      <c r="S385">
        <v>1199001.4099999999</v>
      </c>
      <c r="T385">
        <v>4796005.6500000004</v>
      </c>
      <c r="U385">
        <v>1412032.73</v>
      </c>
    </row>
    <row r="386" spans="1:21" ht="15" customHeight="1" x14ac:dyDescent="0.25">
      <c r="A386" t="s">
        <v>2307</v>
      </c>
      <c r="B386" s="8">
        <v>45162</v>
      </c>
      <c r="C386" s="8">
        <v>45166</v>
      </c>
      <c r="D386" t="s">
        <v>73</v>
      </c>
      <c r="E386" t="s">
        <v>3051</v>
      </c>
      <c r="F386" t="s">
        <v>3046</v>
      </c>
      <c r="G386" t="s">
        <v>2309</v>
      </c>
      <c r="H386">
        <v>7035994297</v>
      </c>
      <c r="I386" t="s">
        <v>43</v>
      </c>
      <c r="J386" t="s">
        <v>25</v>
      </c>
      <c r="K386" t="s">
        <v>36</v>
      </c>
      <c r="L386" t="s">
        <v>96</v>
      </c>
      <c r="M386" t="str">
        <f>TRIM(Table2[[#This Row],[Category]])</f>
        <v>Technology</v>
      </c>
      <c r="N386" t="s">
        <v>254</v>
      </c>
      <c r="O386" t="s">
        <v>756</v>
      </c>
      <c r="P386">
        <v>2</v>
      </c>
      <c r="Q386">
        <v>170401.35</v>
      </c>
      <c r="R386">
        <v>25</v>
      </c>
      <c r="S386">
        <v>85200.68</v>
      </c>
      <c r="T386">
        <v>255602.02</v>
      </c>
      <c r="U386">
        <v>74944.600000000006</v>
      </c>
    </row>
    <row r="387" spans="1:21" ht="15" customHeight="1" x14ac:dyDescent="0.25">
      <c r="A387" t="s">
        <v>2892</v>
      </c>
      <c r="B387" s="8">
        <v>45163</v>
      </c>
      <c r="C387" s="8">
        <v>45166</v>
      </c>
      <c r="D387" t="s">
        <v>73</v>
      </c>
      <c r="E387" t="s">
        <v>3047</v>
      </c>
      <c r="F387" t="s">
        <v>3069</v>
      </c>
      <c r="G387" t="s">
        <v>2894</v>
      </c>
      <c r="H387">
        <v>8147329559</v>
      </c>
      <c r="I387" t="s">
        <v>43</v>
      </c>
      <c r="J387" t="s">
        <v>61</v>
      </c>
      <c r="K387" t="s">
        <v>182</v>
      </c>
      <c r="L387" t="s">
        <v>63</v>
      </c>
      <c r="M387" t="str">
        <f>TRIM(Table2[[#This Row],[Category]])</f>
        <v>Office Supplies</v>
      </c>
      <c r="N387" t="s">
        <v>64</v>
      </c>
      <c r="O387" t="s">
        <v>65</v>
      </c>
      <c r="P387">
        <v>17</v>
      </c>
      <c r="Q387">
        <v>21645.56</v>
      </c>
      <c r="R387">
        <v>25</v>
      </c>
      <c r="S387">
        <v>91993.63</v>
      </c>
      <c r="T387">
        <v>275980.89</v>
      </c>
      <c r="U387">
        <v>42260.9</v>
      </c>
    </row>
    <row r="388" spans="1:21" ht="15" customHeight="1" x14ac:dyDescent="0.25">
      <c r="A388" t="s">
        <v>2273</v>
      </c>
      <c r="B388" s="8">
        <v>45166</v>
      </c>
      <c r="C388" s="8">
        <v>45170</v>
      </c>
      <c r="D388" t="s">
        <v>73</v>
      </c>
      <c r="E388" t="s">
        <v>3053</v>
      </c>
      <c r="F388" t="s">
        <v>3036</v>
      </c>
      <c r="G388" t="s">
        <v>2275</v>
      </c>
      <c r="H388">
        <v>8146958480</v>
      </c>
      <c r="I388" t="s">
        <v>35</v>
      </c>
      <c r="J388" t="s">
        <v>61</v>
      </c>
      <c r="K388" t="s">
        <v>182</v>
      </c>
      <c r="L388" t="s">
        <v>27</v>
      </c>
      <c r="M388" t="str">
        <f>TRIM(Table2[[#This Row],[Category]])</f>
        <v>Food &amp; Beverages</v>
      </c>
      <c r="N388" t="s">
        <v>45</v>
      </c>
      <c r="O388" t="s">
        <v>838</v>
      </c>
      <c r="P388">
        <v>17</v>
      </c>
      <c r="Q388">
        <v>6247.25</v>
      </c>
      <c r="R388">
        <v>20</v>
      </c>
      <c r="S388">
        <v>21240.65</v>
      </c>
      <c r="T388">
        <v>84962.6</v>
      </c>
      <c r="U388">
        <v>29541.5</v>
      </c>
    </row>
    <row r="389" spans="1:21" ht="15" customHeight="1" x14ac:dyDescent="0.25">
      <c r="A389" t="s">
        <v>980</v>
      </c>
      <c r="B389" s="8">
        <v>45172</v>
      </c>
      <c r="C389" s="8">
        <v>45177</v>
      </c>
      <c r="D389" t="s">
        <v>73</v>
      </c>
      <c r="E389" t="s">
        <v>3073</v>
      </c>
      <c r="F389" t="s">
        <v>3046</v>
      </c>
      <c r="G389" t="s">
        <v>3126</v>
      </c>
      <c r="H389">
        <v>8061700837</v>
      </c>
      <c r="I389" t="s">
        <v>43</v>
      </c>
      <c r="J389" t="s">
        <v>69</v>
      </c>
      <c r="K389" t="s">
        <v>155</v>
      </c>
      <c r="L389" t="s">
        <v>96</v>
      </c>
      <c r="M389" t="str">
        <f>TRIM(Table2[[#This Row],[Category]])</f>
        <v>Technology</v>
      </c>
      <c r="N389" t="s">
        <v>254</v>
      </c>
      <c r="O389" t="s">
        <v>452</v>
      </c>
      <c r="P389">
        <v>18</v>
      </c>
      <c r="Q389">
        <v>186425.54</v>
      </c>
      <c r="R389">
        <v>0</v>
      </c>
      <c r="S389">
        <v>0</v>
      </c>
      <c r="T389">
        <v>3355659.72</v>
      </c>
      <c r="U389">
        <v>110114.94</v>
      </c>
    </row>
    <row r="390" spans="1:21" ht="15" customHeight="1" x14ac:dyDescent="0.25">
      <c r="A390" t="s">
        <v>597</v>
      </c>
      <c r="B390" s="8">
        <v>45176</v>
      </c>
      <c r="C390" s="8">
        <v>45180</v>
      </c>
      <c r="D390" t="s">
        <v>73</v>
      </c>
      <c r="E390" t="s">
        <v>3065</v>
      </c>
      <c r="F390" t="s">
        <v>3096</v>
      </c>
      <c r="G390" t="s">
        <v>599</v>
      </c>
      <c r="H390">
        <v>8134780654</v>
      </c>
      <c r="I390" t="s">
        <v>43</v>
      </c>
      <c r="J390" t="s">
        <v>51</v>
      </c>
      <c r="K390" t="s">
        <v>316</v>
      </c>
      <c r="L390" t="s">
        <v>63</v>
      </c>
      <c r="M390" t="str">
        <f>TRIM(Table2[[#This Row],[Category]])</f>
        <v>Office Supplies</v>
      </c>
      <c r="N390" t="s">
        <v>194</v>
      </c>
      <c r="O390" t="s">
        <v>336</v>
      </c>
      <c r="P390">
        <v>2</v>
      </c>
      <c r="Q390">
        <v>20241.52</v>
      </c>
      <c r="R390">
        <v>25</v>
      </c>
      <c r="S390">
        <v>10120.76</v>
      </c>
      <c r="T390">
        <v>30362.28</v>
      </c>
      <c r="U390">
        <v>2963.56</v>
      </c>
    </row>
    <row r="391" spans="1:21" ht="15" customHeight="1" x14ac:dyDescent="0.25">
      <c r="A391" t="s">
        <v>2673</v>
      </c>
      <c r="B391" s="8">
        <v>45177</v>
      </c>
      <c r="C391" s="8">
        <v>45180</v>
      </c>
      <c r="D391" t="s">
        <v>73</v>
      </c>
      <c r="E391" t="s">
        <v>3058</v>
      </c>
      <c r="F391" t="s">
        <v>3046</v>
      </c>
      <c r="G391" t="s">
        <v>2674</v>
      </c>
      <c r="H391">
        <v>8039559668</v>
      </c>
      <c r="I391" t="s">
        <v>35</v>
      </c>
      <c r="J391" t="s">
        <v>25</v>
      </c>
      <c r="K391" t="s">
        <v>126</v>
      </c>
      <c r="L391" t="s">
        <v>96</v>
      </c>
      <c r="M391" t="str">
        <f>TRIM(Table2[[#This Row],[Category]])</f>
        <v>Technology</v>
      </c>
      <c r="N391" t="s">
        <v>120</v>
      </c>
      <c r="O391" t="s">
        <v>121</v>
      </c>
      <c r="P391">
        <v>19</v>
      </c>
      <c r="Q391">
        <v>304671.37</v>
      </c>
      <c r="R391">
        <v>25</v>
      </c>
      <c r="S391">
        <v>1447189.01</v>
      </c>
      <c r="T391">
        <v>4341567.0199999996</v>
      </c>
      <c r="U391">
        <v>-628161.81999999995</v>
      </c>
    </row>
    <row r="392" spans="1:21" ht="15" customHeight="1" x14ac:dyDescent="0.25">
      <c r="A392" t="s">
        <v>1502</v>
      </c>
      <c r="B392" s="8">
        <v>45187</v>
      </c>
      <c r="C392" s="8">
        <v>45191</v>
      </c>
      <c r="D392" t="s">
        <v>73</v>
      </c>
      <c r="E392" t="s">
        <v>3094</v>
      </c>
      <c r="F392" t="s">
        <v>3050</v>
      </c>
      <c r="G392" t="s">
        <v>1504</v>
      </c>
      <c r="H392">
        <v>8105187652</v>
      </c>
      <c r="I392" t="s">
        <v>43</v>
      </c>
      <c r="J392" t="s">
        <v>1505</v>
      </c>
      <c r="K392" t="s">
        <v>95</v>
      </c>
      <c r="L392" t="s">
        <v>27</v>
      </c>
      <c r="M392" t="str">
        <f>TRIM(Table2[[#This Row],[Category]])</f>
        <v>Food &amp; Beverages</v>
      </c>
      <c r="N392" t="s">
        <v>354</v>
      </c>
      <c r="O392" t="s">
        <v>789</v>
      </c>
      <c r="P392">
        <v>11</v>
      </c>
      <c r="Q392">
        <v>5580.3</v>
      </c>
      <c r="R392">
        <v>20</v>
      </c>
      <c r="S392">
        <v>12276.66</v>
      </c>
      <c r="T392">
        <v>49106.64</v>
      </c>
      <c r="U392">
        <v>6728.56</v>
      </c>
    </row>
    <row r="393" spans="1:21" ht="15" customHeight="1" x14ac:dyDescent="0.25">
      <c r="A393" t="s">
        <v>2146</v>
      </c>
      <c r="B393" s="8">
        <v>45186</v>
      </c>
      <c r="C393" s="8">
        <v>45191</v>
      </c>
      <c r="D393" t="s">
        <v>73</v>
      </c>
      <c r="E393" t="s">
        <v>3060</v>
      </c>
      <c r="F393" t="s">
        <v>3052</v>
      </c>
      <c r="G393" t="s">
        <v>2148</v>
      </c>
      <c r="H393">
        <v>7033381714</v>
      </c>
      <c r="I393" t="s">
        <v>24</v>
      </c>
      <c r="J393" t="s">
        <v>61</v>
      </c>
      <c r="K393" t="s">
        <v>62</v>
      </c>
      <c r="L393" t="s">
        <v>96</v>
      </c>
      <c r="M393" t="str">
        <f>TRIM(Table2[[#This Row],[Category]])</f>
        <v>Technology</v>
      </c>
      <c r="N393" t="s">
        <v>385</v>
      </c>
      <c r="O393" t="s">
        <v>942</v>
      </c>
      <c r="P393">
        <v>15</v>
      </c>
      <c r="Q393">
        <v>297710.02</v>
      </c>
      <c r="R393">
        <v>0</v>
      </c>
      <c r="S393">
        <v>0</v>
      </c>
      <c r="T393">
        <v>4465650.3</v>
      </c>
      <c r="U393">
        <v>-612804.26</v>
      </c>
    </row>
    <row r="394" spans="1:21" ht="15" customHeight="1" x14ac:dyDescent="0.25">
      <c r="A394" t="s">
        <v>434</v>
      </c>
      <c r="B394" s="8">
        <v>45195</v>
      </c>
      <c r="C394" s="8">
        <v>45199</v>
      </c>
      <c r="D394" t="s">
        <v>416</v>
      </c>
      <c r="E394" t="s">
        <v>3050</v>
      </c>
      <c r="F394" t="s">
        <v>3039</v>
      </c>
      <c r="G394" t="s">
        <v>436</v>
      </c>
      <c r="H394">
        <v>8145727345</v>
      </c>
      <c r="I394" t="s">
        <v>35</v>
      </c>
      <c r="J394" t="s">
        <v>51</v>
      </c>
      <c r="K394" t="s">
        <v>316</v>
      </c>
      <c r="L394" t="s">
        <v>108</v>
      </c>
      <c r="M394" t="str">
        <f>TRIM(Table2[[#This Row],[Category]])</f>
        <v>Clothing</v>
      </c>
      <c r="N394" t="s">
        <v>189</v>
      </c>
      <c r="O394" t="s">
        <v>205</v>
      </c>
      <c r="P394">
        <v>6</v>
      </c>
      <c r="Q394">
        <v>20002.419999999998</v>
      </c>
      <c r="R394">
        <v>5</v>
      </c>
      <c r="S394">
        <v>6000.73</v>
      </c>
      <c r="T394">
        <v>114013.79</v>
      </c>
      <c r="U394">
        <v>37710.69</v>
      </c>
    </row>
    <row r="395" spans="1:21" ht="15" customHeight="1" x14ac:dyDescent="0.25">
      <c r="A395" t="s">
        <v>1957</v>
      </c>
      <c r="B395" s="8">
        <v>45195</v>
      </c>
      <c r="C395" s="8">
        <v>45200</v>
      </c>
      <c r="D395" t="s">
        <v>73</v>
      </c>
      <c r="E395" t="s">
        <v>3081</v>
      </c>
      <c r="F395" t="s">
        <v>3083</v>
      </c>
      <c r="G395" t="s">
        <v>1959</v>
      </c>
      <c r="H395">
        <v>8146263326</v>
      </c>
      <c r="I395" t="s">
        <v>35</v>
      </c>
      <c r="J395" t="s">
        <v>69</v>
      </c>
      <c r="K395" t="s">
        <v>307</v>
      </c>
      <c r="L395" t="s">
        <v>85</v>
      </c>
      <c r="M395" t="str">
        <f>TRIM(Table2[[#This Row],[Category]])</f>
        <v>Furniture</v>
      </c>
      <c r="N395" t="s">
        <v>243</v>
      </c>
      <c r="O395" t="s">
        <v>613</v>
      </c>
      <c r="P395">
        <v>19</v>
      </c>
      <c r="Q395">
        <v>19723.84</v>
      </c>
      <c r="R395">
        <v>10</v>
      </c>
      <c r="S395">
        <v>37475.300000000003</v>
      </c>
      <c r="T395">
        <v>337277.66</v>
      </c>
      <c r="U395">
        <v>20918.330000000002</v>
      </c>
    </row>
    <row r="396" spans="1:21" ht="15" customHeight="1" x14ac:dyDescent="0.25">
      <c r="A396" t="s">
        <v>2688</v>
      </c>
      <c r="B396" s="8">
        <v>45203</v>
      </c>
      <c r="C396" s="8">
        <v>45207</v>
      </c>
      <c r="D396" t="s">
        <v>73</v>
      </c>
      <c r="E396" t="s">
        <v>3059</v>
      </c>
      <c r="F396" t="s">
        <v>3057</v>
      </c>
      <c r="G396" t="s">
        <v>2690</v>
      </c>
      <c r="H396">
        <v>7036139660</v>
      </c>
      <c r="I396" t="s">
        <v>24</v>
      </c>
      <c r="J396" t="s">
        <v>51</v>
      </c>
      <c r="K396" t="s">
        <v>223</v>
      </c>
      <c r="L396" t="s">
        <v>85</v>
      </c>
      <c r="M396" t="str">
        <f>TRIM(Table2[[#This Row],[Category]])</f>
        <v>Furniture</v>
      </c>
      <c r="N396" t="s">
        <v>243</v>
      </c>
      <c r="O396" t="s">
        <v>244</v>
      </c>
      <c r="P396">
        <v>9</v>
      </c>
      <c r="Q396">
        <v>124289.22</v>
      </c>
      <c r="R396">
        <v>10</v>
      </c>
      <c r="S396">
        <v>111860.3</v>
      </c>
      <c r="T396">
        <v>1006742.68</v>
      </c>
      <c r="U396">
        <v>210063.21</v>
      </c>
    </row>
    <row r="397" spans="1:21" ht="15" customHeight="1" x14ac:dyDescent="0.25">
      <c r="A397" t="s">
        <v>2508</v>
      </c>
      <c r="B397" s="8">
        <v>45204</v>
      </c>
      <c r="C397" s="8">
        <v>45209</v>
      </c>
      <c r="D397" t="s">
        <v>73</v>
      </c>
      <c r="E397" t="s">
        <v>3087</v>
      </c>
      <c r="F397" t="s">
        <v>3077</v>
      </c>
      <c r="G397" t="s">
        <v>2510</v>
      </c>
      <c r="H397">
        <v>8036082589</v>
      </c>
      <c r="I397" t="s">
        <v>24</v>
      </c>
      <c r="J397" t="s">
        <v>51</v>
      </c>
      <c r="K397" t="s">
        <v>227</v>
      </c>
      <c r="L397" t="s">
        <v>108</v>
      </c>
      <c r="M397" t="str">
        <f>TRIM(Table2[[#This Row],[Category]])</f>
        <v>Clothing</v>
      </c>
      <c r="N397" t="s">
        <v>109</v>
      </c>
      <c r="O397" t="s">
        <v>157</v>
      </c>
      <c r="P397">
        <v>2</v>
      </c>
      <c r="Q397">
        <v>43460.05</v>
      </c>
      <c r="R397">
        <v>15</v>
      </c>
      <c r="S397">
        <v>13038.01</v>
      </c>
      <c r="T397">
        <v>73882.09</v>
      </c>
      <c r="U397">
        <v>21656.62</v>
      </c>
    </row>
    <row r="398" spans="1:21" ht="15" customHeight="1" x14ac:dyDescent="0.25">
      <c r="A398" t="s">
        <v>1051</v>
      </c>
      <c r="B398" s="8">
        <v>45208</v>
      </c>
      <c r="C398" s="8">
        <v>45212</v>
      </c>
      <c r="D398" t="s">
        <v>73</v>
      </c>
      <c r="E398" t="s">
        <v>3097</v>
      </c>
      <c r="F398" t="s">
        <v>3075</v>
      </c>
      <c r="G398" t="s">
        <v>1053</v>
      </c>
      <c r="H398">
        <v>9015418274</v>
      </c>
      <c r="I398" t="s">
        <v>24</v>
      </c>
      <c r="J398" t="s">
        <v>69</v>
      </c>
      <c r="K398" t="s">
        <v>119</v>
      </c>
      <c r="L398" t="s">
        <v>85</v>
      </c>
      <c r="M398" t="str">
        <f>TRIM(Table2[[#This Row],[Category]])</f>
        <v>Furniture</v>
      </c>
      <c r="N398" t="s">
        <v>243</v>
      </c>
      <c r="O398" t="s">
        <v>1054</v>
      </c>
      <c r="P398">
        <v>11</v>
      </c>
      <c r="Q398">
        <v>76616.070000000007</v>
      </c>
      <c r="R398">
        <v>0</v>
      </c>
      <c r="S398">
        <v>0</v>
      </c>
      <c r="T398">
        <v>842776.77</v>
      </c>
      <c r="U398">
        <v>154001.35999999999</v>
      </c>
    </row>
    <row r="399" spans="1:21" ht="15" customHeight="1" x14ac:dyDescent="0.25">
      <c r="A399" t="s">
        <v>1973</v>
      </c>
      <c r="B399" s="8">
        <v>45217</v>
      </c>
      <c r="C399" s="8">
        <v>45222</v>
      </c>
      <c r="D399" t="s">
        <v>73</v>
      </c>
      <c r="E399" t="s">
        <v>3063</v>
      </c>
      <c r="F399" t="s">
        <v>3088</v>
      </c>
      <c r="G399" t="s">
        <v>1975</v>
      </c>
      <c r="H399">
        <v>8037064842</v>
      </c>
      <c r="I399" t="s">
        <v>24</v>
      </c>
      <c r="J399" t="s">
        <v>588</v>
      </c>
      <c r="K399" t="s">
        <v>119</v>
      </c>
      <c r="L399" t="s">
        <v>108</v>
      </c>
      <c r="M399" t="str">
        <f>TRIM(Table2[[#This Row],[Category]])</f>
        <v>Clothing</v>
      </c>
      <c r="N399" t="s">
        <v>183</v>
      </c>
      <c r="O399" t="s">
        <v>372</v>
      </c>
      <c r="P399">
        <v>1</v>
      </c>
      <c r="Q399">
        <v>4325.33</v>
      </c>
      <c r="R399">
        <v>15</v>
      </c>
      <c r="S399">
        <v>648.79999999999995</v>
      </c>
      <c r="T399">
        <v>3676.53</v>
      </c>
      <c r="U399">
        <v>43.78</v>
      </c>
    </row>
    <row r="400" spans="1:21" ht="15" customHeight="1" x14ac:dyDescent="0.25">
      <c r="A400" t="s">
        <v>415</v>
      </c>
      <c r="B400" s="8">
        <v>45220</v>
      </c>
      <c r="C400" s="8">
        <v>45225</v>
      </c>
      <c r="D400" t="s">
        <v>416</v>
      </c>
      <c r="E400" t="s">
        <v>3055</v>
      </c>
      <c r="F400" t="s">
        <v>3075</v>
      </c>
      <c r="G400" t="s">
        <v>418</v>
      </c>
      <c r="H400">
        <v>8038558523</v>
      </c>
      <c r="I400" t="s">
        <v>24</v>
      </c>
      <c r="J400" t="s">
        <v>25</v>
      </c>
      <c r="K400" t="s">
        <v>3127</v>
      </c>
      <c r="L400" t="s">
        <v>96</v>
      </c>
      <c r="M400" t="str">
        <f>TRIM(Table2[[#This Row],[Category]])</f>
        <v>Technology</v>
      </c>
      <c r="N400" t="s">
        <v>97</v>
      </c>
      <c r="O400" t="s">
        <v>98</v>
      </c>
      <c r="P400">
        <v>6</v>
      </c>
      <c r="Q400">
        <v>234478.82</v>
      </c>
      <c r="R400">
        <v>0</v>
      </c>
      <c r="S400">
        <v>0</v>
      </c>
      <c r="T400">
        <v>1406872.92</v>
      </c>
      <c r="U400">
        <v>-1904.58</v>
      </c>
    </row>
    <row r="401" spans="1:21" ht="15" customHeight="1" x14ac:dyDescent="0.25">
      <c r="A401" t="s">
        <v>1417</v>
      </c>
      <c r="B401" s="8">
        <v>45222</v>
      </c>
      <c r="C401" s="8">
        <v>45226</v>
      </c>
      <c r="D401" t="s">
        <v>73</v>
      </c>
      <c r="E401" t="s">
        <v>3093</v>
      </c>
      <c r="F401" t="s">
        <v>3036</v>
      </c>
      <c r="G401" t="s">
        <v>609</v>
      </c>
      <c r="H401">
        <v>8069966085</v>
      </c>
      <c r="I401" t="s">
        <v>24</v>
      </c>
      <c r="J401" t="s">
        <v>61</v>
      </c>
      <c r="K401" t="s">
        <v>95</v>
      </c>
      <c r="L401" t="s">
        <v>27</v>
      </c>
      <c r="M401" t="str">
        <f>TRIM(Table2[[#This Row],[Category]])</f>
        <v>Food &amp; Beverages</v>
      </c>
      <c r="N401" t="s">
        <v>45</v>
      </c>
      <c r="O401" t="s">
        <v>523</v>
      </c>
      <c r="P401">
        <v>17</v>
      </c>
      <c r="Q401">
        <v>399.31</v>
      </c>
      <c r="R401">
        <v>10</v>
      </c>
      <c r="S401">
        <v>678.83</v>
      </c>
      <c r="T401">
        <v>6109.44</v>
      </c>
      <c r="U401">
        <v>450.93</v>
      </c>
    </row>
    <row r="402" spans="1:21" ht="15" customHeight="1" x14ac:dyDescent="0.25">
      <c r="A402" t="s">
        <v>956</v>
      </c>
      <c r="B402" s="8">
        <v>45222</v>
      </c>
      <c r="C402" s="8">
        <v>45227</v>
      </c>
      <c r="D402" t="s">
        <v>73</v>
      </c>
      <c r="E402" t="s">
        <v>3087</v>
      </c>
      <c r="F402" t="s">
        <v>3096</v>
      </c>
      <c r="G402" t="s">
        <v>958</v>
      </c>
      <c r="H402">
        <v>8147007679</v>
      </c>
      <c r="I402" t="s">
        <v>959</v>
      </c>
      <c r="J402" t="s">
        <v>69</v>
      </c>
      <c r="K402" t="s">
        <v>119</v>
      </c>
      <c r="L402" t="s">
        <v>96</v>
      </c>
      <c r="M402" t="str">
        <f>TRIM(Table2[[#This Row],[Category]])</f>
        <v>Technology</v>
      </c>
      <c r="N402" t="s">
        <v>97</v>
      </c>
      <c r="O402" t="s">
        <v>169</v>
      </c>
      <c r="P402">
        <v>6</v>
      </c>
      <c r="Q402">
        <v>110683.48</v>
      </c>
      <c r="R402">
        <v>25</v>
      </c>
      <c r="S402">
        <v>166025.22</v>
      </c>
      <c r="T402">
        <v>498075.66</v>
      </c>
      <c r="U402">
        <v>-54337.13</v>
      </c>
    </row>
    <row r="403" spans="1:21" ht="15" customHeight="1" x14ac:dyDescent="0.25">
      <c r="A403" t="s">
        <v>2379</v>
      </c>
      <c r="B403" s="8">
        <v>45225</v>
      </c>
      <c r="C403" s="8">
        <v>45228</v>
      </c>
      <c r="D403" t="s">
        <v>73</v>
      </c>
      <c r="E403" t="s">
        <v>3050</v>
      </c>
      <c r="F403" t="s">
        <v>3096</v>
      </c>
      <c r="G403" t="s">
        <v>2381</v>
      </c>
      <c r="H403">
        <v>9023881944</v>
      </c>
      <c r="I403" t="s">
        <v>35</v>
      </c>
      <c r="J403" t="s">
        <v>51</v>
      </c>
      <c r="K403" t="s">
        <v>227</v>
      </c>
      <c r="L403" t="s">
        <v>85</v>
      </c>
      <c r="M403" t="str">
        <f>TRIM(Table2[[#This Row],[Category]])</f>
        <v>Furniture</v>
      </c>
      <c r="N403" t="s">
        <v>266</v>
      </c>
      <c r="O403" t="s">
        <v>803</v>
      </c>
      <c r="P403">
        <v>17</v>
      </c>
      <c r="Q403">
        <v>64017.18</v>
      </c>
      <c r="R403">
        <v>20</v>
      </c>
      <c r="S403">
        <v>217658.41</v>
      </c>
      <c r="T403">
        <v>870633.65</v>
      </c>
      <c r="U403">
        <v>210775.51</v>
      </c>
    </row>
    <row r="404" spans="1:21" ht="15" customHeight="1" x14ac:dyDescent="0.25">
      <c r="A404" t="s">
        <v>1983</v>
      </c>
      <c r="B404" s="8">
        <v>45225</v>
      </c>
      <c r="C404" s="8">
        <v>45230</v>
      </c>
      <c r="D404" t="s">
        <v>73</v>
      </c>
      <c r="E404" t="s">
        <v>3041</v>
      </c>
      <c r="F404" t="s">
        <v>3046</v>
      </c>
      <c r="G404" t="s">
        <v>1984</v>
      </c>
      <c r="H404">
        <v>8143474414</v>
      </c>
      <c r="I404" t="s">
        <v>24</v>
      </c>
      <c r="J404" t="s">
        <v>61</v>
      </c>
      <c r="K404" t="s">
        <v>95</v>
      </c>
      <c r="L404" t="s">
        <v>108</v>
      </c>
      <c r="M404" t="str">
        <f>TRIM(Table2[[#This Row],[Category]])</f>
        <v>Clothing</v>
      </c>
      <c r="N404" t="s">
        <v>38</v>
      </c>
      <c r="O404" t="s">
        <v>519</v>
      </c>
      <c r="P404">
        <v>14</v>
      </c>
      <c r="Q404">
        <v>36056.720000000001</v>
      </c>
      <c r="R404">
        <v>10</v>
      </c>
      <c r="S404">
        <v>50479.41</v>
      </c>
      <c r="T404">
        <v>454314.67</v>
      </c>
      <c r="U404">
        <v>73787.53</v>
      </c>
    </row>
    <row r="405" spans="1:21" ht="15" customHeight="1" x14ac:dyDescent="0.25">
      <c r="A405" t="s">
        <v>2779</v>
      </c>
      <c r="B405" s="8">
        <v>45231</v>
      </c>
      <c r="C405" s="8">
        <v>45236</v>
      </c>
      <c r="D405" t="s">
        <v>73</v>
      </c>
      <c r="E405" t="s">
        <v>3068</v>
      </c>
      <c r="F405" t="s">
        <v>3069</v>
      </c>
      <c r="G405" t="s">
        <v>2781</v>
      </c>
      <c r="H405">
        <v>9024086368</v>
      </c>
      <c r="I405" t="s">
        <v>43</v>
      </c>
      <c r="J405" t="s">
        <v>69</v>
      </c>
      <c r="K405" t="s">
        <v>144</v>
      </c>
      <c r="L405" t="s">
        <v>96</v>
      </c>
      <c r="M405" t="str">
        <f>TRIM(Table2[[#This Row],[Category]])</f>
        <v>Technology</v>
      </c>
      <c r="N405" t="s">
        <v>385</v>
      </c>
      <c r="O405" t="s">
        <v>386</v>
      </c>
      <c r="P405">
        <v>16</v>
      </c>
      <c r="Q405">
        <v>195873.45</v>
      </c>
      <c r="R405">
        <v>10</v>
      </c>
      <c r="S405">
        <v>313397.52</v>
      </c>
      <c r="T405">
        <v>2820577.68</v>
      </c>
      <c r="U405">
        <v>-172335.42</v>
      </c>
    </row>
    <row r="406" spans="1:21" ht="15" customHeight="1" x14ac:dyDescent="0.25">
      <c r="A406" t="s">
        <v>1892</v>
      </c>
      <c r="B406" s="8">
        <v>45240</v>
      </c>
      <c r="C406" s="8">
        <v>45244</v>
      </c>
      <c r="D406" t="s">
        <v>73</v>
      </c>
      <c r="E406" t="s">
        <v>3073</v>
      </c>
      <c r="F406" t="s">
        <v>3034</v>
      </c>
      <c r="G406" t="s">
        <v>1894</v>
      </c>
      <c r="H406">
        <v>8135629621</v>
      </c>
      <c r="I406" t="s">
        <v>24</v>
      </c>
      <c r="J406" t="s">
        <v>25</v>
      </c>
      <c r="K406" t="s">
        <v>26</v>
      </c>
      <c r="L406" t="s">
        <v>841</v>
      </c>
      <c r="M406" t="str">
        <f>TRIM(Table2[[#This Row],[Category]])</f>
        <v>fURNITURE</v>
      </c>
      <c r="N406" t="s">
        <v>266</v>
      </c>
      <c r="O406" t="s">
        <v>952</v>
      </c>
      <c r="P406">
        <v>4</v>
      </c>
      <c r="Q406">
        <v>23003.759999999998</v>
      </c>
      <c r="R406">
        <v>0</v>
      </c>
      <c r="S406">
        <v>0</v>
      </c>
      <c r="T406">
        <v>92015.039999999994</v>
      </c>
      <c r="U406">
        <v>20955.060000000001</v>
      </c>
    </row>
    <row r="407" spans="1:21" ht="15" customHeight="1" x14ac:dyDescent="0.25">
      <c r="A407" t="s">
        <v>423</v>
      </c>
      <c r="B407" s="8">
        <v>45244</v>
      </c>
      <c r="C407" s="8">
        <v>45247</v>
      </c>
      <c r="D407" t="s">
        <v>73</v>
      </c>
      <c r="E407" t="s">
        <v>3035</v>
      </c>
      <c r="F407" t="s">
        <v>3069</v>
      </c>
      <c r="G407" t="s">
        <v>425</v>
      </c>
      <c r="H407" t="s">
        <v>94</v>
      </c>
      <c r="I407" t="s">
        <v>24</v>
      </c>
      <c r="J407" t="s">
        <v>588</v>
      </c>
      <c r="K407" t="s">
        <v>223</v>
      </c>
      <c r="L407" t="s">
        <v>108</v>
      </c>
      <c r="M407" t="str">
        <f>TRIM(Table2[[#This Row],[Category]])</f>
        <v>Clothing</v>
      </c>
      <c r="N407" t="s">
        <v>109</v>
      </c>
      <c r="O407" t="s">
        <v>426</v>
      </c>
      <c r="P407">
        <v>-5</v>
      </c>
      <c r="Q407">
        <v>32479.86</v>
      </c>
      <c r="R407">
        <v>10</v>
      </c>
      <c r="S407">
        <v>9743.9599999999991</v>
      </c>
      <c r="T407">
        <v>87695.62</v>
      </c>
      <c r="U407">
        <v>16254.67</v>
      </c>
    </row>
    <row r="408" spans="1:21" ht="15" customHeight="1" x14ac:dyDescent="0.25">
      <c r="A408" t="s">
        <v>1340</v>
      </c>
      <c r="B408" s="8">
        <v>45249</v>
      </c>
      <c r="C408" s="8">
        <v>45252</v>
      </c>
      <c r="D408" t="s">
        <v>73</v>
      </c>
      <c r="E408" t="s">
        <v>3056</v>
      </c>
      <c r="F408" t="s">
        <v>3036</v>
      </c>
      <c r="G408" t="s">
        <v>1342</v>
      </c>
      <c r="H408">
        <v>9027965133</v>
      </c>
      <c r="I408" t="s">
        <v>24</v>
      </c>
      <c r="J408" t="s">
        <v>61</v>
      </c>
      <c r="K408" t="s">
        <v>95</v>
      </c>
      <c r="L408" t="s">
        <v>85</v>
      </c>
      <c r="M408" t="str">
        <f>TRIM(Table2[[#This Row],[Category]])</f>
        <v>Furniture</v>
      </c>
      <c r="N408" t="s">
        <v>243</v>
      </c>
      <c r="O408" t="s">
        <v>244</v>
      </c>
      <c r="P408">
        <v>8</v>
      </c>
      <c r="Q408">
        <v>36381.050000000003</v>
      </c>
      <c r="R408">
        <v>0</v>
      </c>
      <c r="S408">
        <v>0</v>
      </c>
      <c r="T408">
        <v>291048.40000000002</v>
      </c>
      <c r="U408">
        <v>-20366.830000000002</v>
      </c>
    </row>
    <row r="409" spans="1:21" ht="15" customHeight="1" x14ac:dyDescent="0.25">
      <c r="A409" t="s">
        <v>912</v>
      </c>
      <c r="B409" s="8">
        <v>45254</v>
      </c>
      <c r="C409" s="8">
        <v>45259</v>
      </c>
      <c r="D409" t="s">
        <v>73</v>
      </c>
      <c r="E409" t="s">
        <v>3070</v>
      </c>
      <c r="F409" t="s">
        <v>3078</v>
      </c>
      <c r="G409" t="s">
        <v>914</v>
      </c>
      <c r="H409">
        <v>7065170429</v>
      </c>
      <c r="I409" t="s">
        <v>24</v>
      </c>
      <c r="J409" t="s">
        <v>51</v>
      </c>
      <c r="K409" t="s">
        <v>52</v>
      </c>
      <c r="L409" t="s">
        <v>108</v>
      </c>
      <c r="M409" t="str">
        <f>TRIM(Table2[[#This Row],[Category]])</f>
        <v>Clothing</v>
      </c>
      <c r="N409" t="s">
        <v>38</v>
      </c>
      <c r="O409" t="s">
        <v>213</v>
      </c>
      <c r="P409">
        <v>18</v>
      </c>
      <c r="Q409">
        <v>8392.14</v>
      </c>
      <c r="R409">
        <v>0</v>
      </c>
      <c r="S409">
        <v>0</v>
      </c>
      <c r="T409">
        <v>151058.51999999999</v>
      </c>
      <c r="U409">
        <v>-21603.34</v>
      </c>
    </row>
    <row r="410" spans="1:21" ht="15" customHeight="1" x14ac:dyDescent="0.25">
      <c r="A410" t="s">
        <v>2402</v>
      </c>
      <c r="B410" s="8">
        <v>45257</v>
      </c>
      <c r="C410" s="8">
        <v>45261</v>
      </c>
      <c r="D410" t="s">
        <v>73</v>
      </c>
      <c r="E410" t="s">
        <v>3070</v>
      </c>
      <c r="F410" t="s">
        <v>3096</v>
      </c>
      <c r="G410" t="s">
        <v>2403</v>
      </c>
      <c r="H410">
        <v>8037735482</v>
      </c>
      <c r="I410" t="s">
        <v>35</v>
      </c>
      <c r="J410" t="s">
        <v>61</v>
      </c>
      <c r="K410" t="s">
        <v>182</v>
      </c>
      <c r="L410" t="s">
        <v>27</v>
      </c>
      <c r="M410" t="str">
        <f>TRIM(Table2[[#This Row],[Category]])</f>
        <v>Food &amp; Beverages</v>
      </c>
      <c r="N410" t="s">
        <v>45</v>
      </c>
      <c r="O410" t="s">
        <v>308</v>
      </c>
      <c r="P410">
        <v>13</v>
      </c>
      <c r="Q410">
        <v>5102.41</v>
      </c>
      <c r="R410" t="s">
        <v>376</v>
      </c>
      <c r="S410">
        <v>0</v>
      </c>
      <c r="T410">
        <f>T409</f>
        <v>151058.51999999999</v>
      </c>
      <c r="U410">
        <v>-9609.9</v>
      </c>
    </row>
    <row r="411" spans="1:21" ht="15" customHeight="1" x14ac:dyDescent="0.25">
      <c r="A411" t="s">
        <v>2374</v>
      </c>
      <c r="B411" s="8">
        <v>45260</v>
      </c>
      <c r="C411" s="8">
        <v>45264</v>
      </c>
      <c r="D411" t="s">
        <v>73</v>
      </c>
      <c r="E411" t="s">
        <v>3060</v>
      </c>
      <c r="F411" t="s">
        <v>3075</v>
      </c>
      <c r="G411" t="s">
        <v>2376</v>
      </c>
      <c r="H411">
        <v>9078382709</v>
      </c>
      <c r="I411" t="s">
        <v>43</v>
      </c>
      <c r="J411" t="s">
        <v>51</v>
      </c>
      <c r="K411" t="s">
        <v>223</v>
      </c>
      <c r="L411" t="s">
        <v>96</v>
      </c>
      <c r="M411" t="str">
        <f>TRIM(Table2[[#This Row],[Category]])</f>
        <v>Technology</v>
      </c>
      <c r="N411" t="s">
        <v>385</v>
      </c>
      <c r="O411" t="s">
        <v>942</v>
      </c>
      <c r="P411">
        <v>17</v>
      </c>
      <c r="Q411">
        <v>17835.02</v>
      </c>
      <c r="R411">
        <v>20</v>
      </c>
      <c r="S411">
        <v>60639.07</v>
      </c>
      <c r="T411">
        <v>242556.27</v>
      </c>
      <c r="U411">
        <v>35770.44</v>
      </c>
    </row>
    <row r="412" spans="1:21" ht="15" customHeight="1" x14ac:dyDescent="0.25">
      <c r="A412" t="s">
        <v>2289</v>
      </c>
      <c r="B412" s="8">
        <v>45267</v>
      </c>
      <c r="C412" s="8">
        <v>45270</v>
      </c>
      <c r="D412" t="s">
        <v>73</v>
      </c>
      <c r="E412" t="s">
        <v>3055</v>
      </c>
      <c r="F412" t="s">
        <v>3077</v>
      </c>
      <c r="G412" t="s">
        <v>2291</v>
      </c>
      <c r="H412">
        <v>9014565022</v>
      </c>
      <c r="I412" t="s">
        <v>43</v>
      </c>
      <c r="J412" t="s">
        <v>51</v>
      </c>
      <c r="K412" t="s">
        <v>52</v>
      </c>
      <c r="L412" t="s">
        <v>108</v>
      </c>
      <c r="M412" t="str">
        <f>TRIM(Table2[[#This Row],[Category]])</f>
        <v>Clothing</v>
      </c>
      <c r="N412" t="s">
        <v>183</v>
      </c>
      <c r="O412" t="s">
        <v>869</v>
      </c>
      <c r="P412">
        <v>4</v>
      </c>
      <c r="Q412">
        <v>32367.64</v>
      </c>
      <c r="R412">
        <v>15</v>
      </c>
      <c r="S412">
        <v>19420.580000000002</v>
      </c>
      <c r="T412">
        <v>110049.98</v>
      </c>
      <c r="U412">
        <v>-8022.49</v>
      </c>
    </row>
    <row r="413" spans="1:21" ht="15" customHeight="1" x14ac:dyDescent="0.25">
      <c r="A413" t="s">
        <v>1872</v>
      </c>
      <c r="B413" s="8">
        <v>45266</v>
      </c>
      <c r="C413" s="8">
        <v>45271</v>
      </c>
      <c r="D413" t="s">
        <v>73</v>
      </c>
      <c r="E413" t="s">
        <v>3049</v>
      </c>
      <c r="F413" t="s">
        <v>3096</v>
      </c>
      <c r="G413" t="s">
        <v>1874</v>
      </c>
      <c r="H413">
        <v>8036740173</v>
      </c>
      <c r="I413" t="s">
        <v>35</v>
      </c>
      <c r="J413" t="s">
        <v>25</v>
      </c>
      <c r="K413" t="s">
        <v>26</v>
      </c>
      <c r="L413" t="s">
        <v>108</v>
      </c>
      <c r="M413" t="str">
        <f>TRIM(Table2[[#This Row],[Category]])</f>
        <v>Clothing</v>
      </c>
      <c r="N413" t="s">
        <v>189</v>
      </c>
      <c r="O413" t="s">
        <v>287</v>
      </c>
      <c r="P413">
        <v>10</v>
      </c>
      <c r="Q413" t="s">
        <v>1875</v>
      </c>
      <c r="R413">
        <v>10</v>
      </c>
      <c r="S413">
        <v>20676.13</v>
      </c>
      <c r="T413">
        <v>186085.17</v>
      </c>
      <c r="U413">
        <v>26341.759999999998</v>
      </c>
    </row>
    <row r="414" spans="1:21" ht="15" customHeight="1" x14ac:dyDescent="0.25">
      <c r="A414" t="s">
        <v>2360</v>
      </c>
      <c r="B414" s="8">
        <v>45266</v>
      </c>
      <c r="C414" s="8">
        <v>45271</v>
      </c>
      <c r="D414" t="s">
        <v>416</v>
      </c>
      <c r="E414" t="str">
        <f>E415</f>
        <v>Fatima</v>
      </c>
      <c r="F414" t="str">
        <f>F413</f>
        <v>Buhari</v>
      </c>
      <c r="G414" t="s">
        <v>2361</v>
      </c>
      <c r="H414">
        <v>8157280761</v>
      </c>
      <c r="I414" t="s">
        <v>24</v>
      </c>
      <c r="J414" t="s">
        <v>69</v>
      </c>
      <c r="K414" t="s">
        <v>70</v>
      </c>
      <c r="L414" t="s">
        <v>108</v>
      </c>
      <c r="M414" t="str">
        <f>TRIM(Table2[[#This Row],[Category]])</f>
        <v>Clothing</v>
      </c>
      <c r="N414" t="s">
        <v>183</v>
      </c>
      <c r="O414" t="s">
        <v>372</v>
      </c>
      <c r="P414">
        <v>16</v>
      </c>
      <c r="Q414">
        <v>39443.64</v>
      </c>
      <c r="R414">
        <v>0</v>
      </c>
      <c r="S414">
        <v>0</v>
      </c>
      <c r="T414">
        <v>631098.24</v>
      </c>
      <c r="U414">
        <v>88605.6</v>
      </c>
    </row>
    <row r="415" spans="1:21" ht="15" customHeight="1" x14ac:dyDescent="0.25">
      <c r="A415" t="s">
        <v>581</v>
      </c>
      <c r="B415" s="8">
        <v>45274</v>
      </c>
      <c r="C415" s="8">
        <v>45277</v>
      </c>
      <c r="D415" t="s">
        <v>73</v>
      </c>
      <c r="E415" t="s">
        <v>3065</v>
      </c>
      <c r="F415" t="s">
        <v>3077</v>
      </c>
      <c r="G415" t="s">
        <v>583</v>
      </c>
      <c r="H415">
        <v>8153136529</v>
      </c>
      <c r="I415" t="s">
        <v>35</v>
      </c>
      <c r="J415" t="s">
        <v>69</v>
      </c>
      <c r="K415" t="s">
        <v>70</v>
      </c>
      <c r="L415" t="s">
        <v>85</v>
      </c>
      <c r="M415" t="str">
        <f>TRIM(Table2[[#This Row],[Category]])</f>
        <v>Furniture</v>
      </c>
      <c r="N415" t="s">
        <v>86</v>
      </c>
      <c r="O415" t="s">
        <v>584</v>
      </c>
      <c r="P415">
        <v>15</v>
      </c>
      <c r="Q415">
        <v>176300.4</v>
      </c>
      <c r="R415">
        <v>25</v>
      </c>
      <c r="S415">
        <v>661126.5</v>
      </c>
      <c r="T415">
        <v>1983379.5</v>
      </c>
      <c r="U415">
        <v>207217.18</v>
      </c>
    </row>
    <row r="416" spans="1:21" ht="15" customHeight="1" x14ac:dyDescent="0.25">
      <c r="A416" t="s">
        <v>1120</v>
      </c>
      <c r="B416" s="8">
        <v>45274</v>
      </c>
      <c r="C416" s="8">
        <v>45278</v>
      </c>
      <c r="D416" t="s">
        <v>73</v>
      </c>
      <c r="E416" t="s">
        <v>3039</v>
      </c>
      <c r="F416" t="s">
        <v>3036</v>
      </c>
      <c r="G416" t="s">
        <v>1122</v>
      </c>
      <c r="H416">
        <v>8069911007</v>
      </c>
      <c r="I416" t="s">
        <v>24</v>
      </c>
      <c r="J416" t="s">
        <v>69</v>
      </c>
      <c r="K416" t="s">
        <v>119</v>
      </c>
      <c r="L416" t="s">
        <v>85</v>
      </c>
      <c r="M416" t="str">
        <f>TRIM(Table2[[#This Row],[Category]])</f>
        <v>Furniture</v>
      </c>
      <c r="N416" t="s">
        <v>486</v>
      </c>
      <c r="O416" t="s">
        <v>543</v>
      </c>
      <c r="P416">
        <v>18</v>
      </c>
      <c r="Q416">
        <v>148939.99</v>
      </c>
      <c r="R416">
        <v>10</v>
      </c>
      <c r="S416">
        <v>268091.98</v>
      </c>
      <c r="T416">
        <v>2412827.84</v>
      </c>
      <c r="U416">
        <v>295444.46999999997</v>
      </c>
    </row>
    <row r="417" spans="1:21" ht="15" customHeight="1" x14ac:dyDescent="0.25">
      <c r="A417" t="s">
        <v>134</v>
      </c>
      <c r="B417" s="8">
        <v>45276</v>
      </c>
      <c r="C417" s="8">
        <v>45279</v>
      </c>
      <c r="D417" t="s">
        <v>73</v>
      </c>
      <c r="E417" t="s">
        <v>3059</v>
      </c>
      <c r="F417" t="s">
        <v>3039</v>
      </c>
      <c r="G417" t="s">
        <v>136</v>
      </c>
      <c r="H417">
        <v>8108351517</v>
      </c>
      <c r="I417" t="s">
        <v>43</v>
      </c>
      <c r="J417" t="s">
        <v>61</v>
      </c>
      <c r="K417" t="s">
        <v>84</v>
      </c>
      <c r="L417" t="s">
        <v>27</v>
      </c>
      <c r="M417" t="str">
        <f>TRIM(Table2[[#This Row],[Category]])</f>
        <v>Food &amp; Beverages</v>
      </c>
      <c r="N417" t="s">
        <v>45</v>
      </c>
      <c r="O417" t="s">
        <v>46</v>
      </c>
      <c r="P417">
        <v>17</v>
      </c>
      <c r="Q417">
        <v>7875.67</v>
      </c>
      <c r="R417">
        <v>0</v>
      </c>
      <c r="S417">
        <v>0</v>
      </c>
      <c r="T417">
        <v>133886.39000000001</v>
      </c>
      <c r="U417">
        <v>33567.72</v>
      </c>
    </row>
    <row r="418" spans="1:21" ht="15" customHeight="1" x14ac:dyDescent="0.25">
      <c r="A418" t="s">
        <v>1598</v>
      </c>
      <c r="B418" s="8">
        <v>45279</v>
      </c>
      <c r="C418" s="8">
        <v>45283</v>
      </c>
      <c r="D418" t="s">
        <v>73</v>
      </c>
      <c r="E418" t="s">
        <v>3076</v>
      </c>
      <c r="F418" t="s">
        <v>3069</v>
      </c>
      <c r="G418" t="s">
        <v>1600</v>
      </c>
      <c r="H418">
        <v>9017336179</v>
      </c>
      <c r="I418" t="s">
        <v>24</v>
      </c>
      <c r="J418" t="s">
        <v>61</v>
      </c>
      <c r="K418" t="s">
        <v>84</v>
      </c>
      <c r="L418" t="s">
        <v>27</v>
      </c>
      <c r="M418" t="str">
        <f>TRIM(Table2[[#This Row],[Category]])</f>
        <v>Food &amp; Beverages</v>
      </c>
      <c r="N418" t="s">
        <v>354</v>
      </c>
      <c r="O418" t="s">
        <v>355</v>
      </c>
      <c r="P418">
        <v>19</v>
      </c>
      <c r="Q418">
        <v>2824.42</v>
      </c>
      <c r="R418">
        <v>5</v>
      </c>
      <c r="S418">
        <v>2683.2</v>
      </c>
      <c r="T418">
        <v>50980.78</v>
      </c>
      <c r="U418">
        <v>17522.38</v>
      </c>
    </row>
    <row r="419" spans="1:21" ht="15" customHeight="1" x14ac:dyDescent="0.25">
      <c r="A419" t="s">
        <v>1415</v>
      </c>
      <c r="B419" s="8">
        <v>45293</v>
      </c>
      <c r="C419" s="8">
        <v>45296</v>
      </c>
      <c r="D419" t="s">
        <v>73</v>
      </c>
      <c r="E419" t="str">
        <f>E420</f>
        <v>Chibundo</v>
      </c>
      <c r="F419" t="str">
        <f>F418</f>
        <v>Sowore</v>
      </c>
      <c r="G419" t="s">
        <v>370</v>
      </c>
      <c r="H419">
        <v>7066972425</v>
      </c>
      <c r="I419" t="s">
        <v>43</v>
      </c>
      <c r="J419" t="s">
        <v>61</v>
      </c>
      <c r="K419" t="s">
        <v>182</v>
      </c>
      <c r="L419" t="s">
        <v>96</v>
      </c>
      <c r="M419" t="str">
        <f>TRIM(Table2[[#This Row],[Category]])</f>
        <v>Technology</v>
      </c>
      <c r="N419" t="s">
        <v>97</v>
      </c>
      <c r="O419" t="s">
        <v>1416</v>
      </c>
      <c r="P419">
        <v>3</v>
      </c>
      <c r="Q419">
        <v>245381.36</v>
      </c>
      <c r="R419">
        <v>25</v>
      </c>
      <c r="S419">
        <v>184036.02</v>
      </c>
      <c r="T419">
        <v>552108.06000000006</v>
      </c>
      <c r="U419">
        <v>-18612.169999999998</v>
      </c>
    </row>
    <row r="420" spans="1:21" ht="15" customHeight="1" x14ac:dyDescent="0.25">
      <c r="A420" t="s">
        <v>896</v>
      </c>
      <c r="B420" s="8" t="s">
        <v>897</v>
      </c>
      <c r="C420" s="8">
        <v>45300</v>
      </c>
      <c r="D420" t="s">
        <v>73</v>
      </c>
      <c r="E420" t="s">
        <v>3051</v>
      </c>
      <c r="F420" t="s">
        <v>3064</v>
      </c>
      <c r="G420" t="s">
        <v>898</v>
      </c>
      <c r="H420">
        <v>8039327450</v>
      </c>
      <c r="I420" t="s">
        <v>24</v>
      </c>
      <c r="J420" t="s">
        <v>588</v>
      </c>
      <c r="K420" t="s">
        <v>182</v>
      </c>
      <c r="L420" t="s">
        <v>85</v>
      </c>
      <c r="M420" t="str">
        <f>TRIM(Table2[[#This Row],[Category]])</f>
        <v>Furniture</v>
      </c>
      <c r="N420" t="s">
        <v>486</v>
      </c>
      <c r="O420" t="s">
        <v>543</v>
      </c>
      <c r="P420">
        <v>1</v>
      </c>
      <c r="Q420">
        <v>48334.91</v>
      </c>
      <c r="R420">
        <v>0</v>
      </c>
      <c r="S420">
        <v>0</v>
      </c>
      <c r="T420">
        <v>48334.91</v>
      </c>
      <c r="U420">
        <v>19050.14</v>
      </c>
    </row>
    <row r="421" spans="1:21" ht="15" customHeight="1" x14ac:dyDescent="0.25">
      <c r="A421" t="s">
        <v>483</v>
      </c>
      <c r="B421" s="8">
        <v>45302</v>
      </c>
      <c r="C421" s="8">
        <v>45307</v>
      </c>
      <c r="D421" t="s">
        <v>73</v>
      </c>
      <c r="E421" t="s">
        <v>3067</v>
      </c>
      <c r="F421" t="s">
        <v>3038</v>
      </c>
      <c r="G421" t="s">
        <v>485</v>
      </c>
      <c r="H421">
        <v>9023329967</v>
      </c>
      <c r="I421" t="s">
        <v>24</v>
      </c>
      <c r="J421" t="s">
        <v>51</v>
      </c>
      <c r="K421" t="s">
        <v>131</v>
      </c>
      <c r="L421" t="s">
        <v>85</v>
      </c>
      <c r="M421" t="str">
        <f>TRIM(Table2[[#This Row],[Category]])</f>
        <v>Furniture</v>
      </c>
      <c r="N421" t="s">
        <v>486</v>
      </c>
      <c r="O421" t="s">
        <v>487</v>
      </c>
      <c r="P421">
        <v>19</v>
      </c>
      <c r="Q421">
        <v>70074.2</v>
      </c>
      <c r="R421">
        <v>10</v>
      </c>
      <c r="S421">
        <v>133140.98000000001</v>
      </c>
      <c r="T421">
        <v>1198268.82</v>
      </c>
      <c r="U421">
        <v>156306.38</v>
      </c>
    </row>
    <row r="422" spans="1:21" ht="15" customHeight="1" x14ac:dyDescent="0.25">
      <c r="A422" t="s">
        <v>999</v>
      </c>
      <c r="B422" s="8">
        <v>45333</v>
      </c>
      <c r="C422" s="8">
        <v>45338</v>
      </c>
      <c r="D422" t="s">
        <v>73</v>
      </c>
      <c r="E422" t="s">
        <v>1000</v>
      </c>
      <c r="F422" t="str">
        <f>F421</f>
        <v>Bello</v>
      </c>
      <c r="G422" t="s">
        <v>1001</v>
      </c>
      <c r="H422">
        <v>8155220919</v>
      </c>
      <c r="I422" t="s">
        <v>24</v>
      </c>
      <c r="J422" t="s">
        <v>51</v>
      </c>
      <c r="K422" t="s">
        <v>223</v>
      </c>
      <c r="L422" t="s">
        <v>108</v>
      </c>
      <c r="M422" t="str">
        <f>TRIM(Table2[[#This Row],[Category]])</f>
        <v>Clothing</v>
      </c>
      <c r="N422" t="s">
        <v>109</v>
      </c>
      <c r="O422" t="s">
        <v>426</v>
      </c>
      <c r="P422">
        <v>12</v>
      </c>
      <c r="Q422">
        <v>19451.21</v>
      </c>
      <c r="R422">
        <v>20</v>
      </c>
      <c r="S422">
        <v>46682.9</v>
      </c>
      <c r="T422">
        <v>186731.62</v>
      </c>
      <c r="U422">
        <v>60798.78</v>
      </c>
    </row>
    <row r="423" spans="1:21" ht="15" customHeight="1" x14ac:dyDescent="0.25">
      <c r="A423" t="s">
        <v>2332</v>
      </c>
      <c r="B423" s="8">
        <v>45337</v>
      </c>
      <c r="C423" s="8">
        <v>45342</v>
      </c>
      <c r="D423" t="s">
        <v>73</v>
      </c>
      <c r="E423" t="s">
        <v>3056</v>
      </c>
      <c r="F423" t="s">
        <v>3038</v>
      </c>
      <c r="G423" t="s">
        <v>2334</v>
      </c>
      <c r="H423">
        <v>8134545112</v>
      </c>
      <c r="I423" t="s">
        <v>43</v>
      </c>
      <c r="J423" t="s">
        <v>69</v>
      </c>
      <c r="K423" t="s">
        <v>119</v>
      </c>
      <c r="L423" t="s">
        <v>96</v>
      </c>
      <c r="M423" t="str">
        <f>TRIM(Table2[[#This Row],[Category]])</f>
        <v>Technology</v>
      </c>
      <c r="N423" t="s">
        <v>254</v>
      </c>
      <c r="O423" t="s">
        <v>455</v>
      </c>
      <c r="P423">
        <v>6</v>
      </c>
      <c r="Q423">
        <v>92700.76</v>
      </c>
      <c r="R423">
        <v>15</v>
      </c>
      <c r="S423">
        <v>83430.679999999993</v>
      </c>
      <c r="T423">
        <v>472773.88</v>
      </c>
      <c r="U423">
        <v>85119.26</v>
      </c>
    </row>
    <row r="424" spans="1:21" ht="15" customHeight="1" x14ac:dyDescent="0.25">
      <c r="A424" t="s">
        <v>646</v>
      </c>
      <c r="B424" s="8">
        <v>45341</v>
      </c>
      <c r="C424" s="8">
        <v>45344</v>
      </c>
      <c r="D424" t="s">
        <v>73</v>
      </c>
      <c r="E424" t="s">
        <v>3033</v>
      </c>
      <c r="F424" t="s">
        <v>3036</v>
      </c>
      <c r="G424" t="s">
        <v>648</v>
      </c>
      <c r="H424" t="s">
        <v>649</v>
      </c>
      <c r="I424" t="s">
        <v>24</v>
      </c>
      <c r="J424" t="s">
        <v>61</v>
      </c>
      <c r="K424" t="s">
        <v>84</v>
      </c>
      <c r="L424" t="s">
        <v>85</v>
      </c>
      <c r="M424" t="str">
        <f>TRIM(Table2[[#This Row],[Category]])</f>
        <v>Furniture</v>
      </c>
      <c r="N424" t="s">
        <v>86</v>
      </c>
      <c r="O424" t="s">
        <v>87</v>
      </c>
      <c r="P424">
        <v>14</v>
      </c>
      <c r="Q424">
        <v>82764.320000000007</v>
      </c>
      <c r="R424">
        <v>10</v>
      </c>
      <c r="S424">
        <v>115870.05</v>
      </c>
      <c r="T424">
        <v>1042830.43</v>
      </c>
      <c r="U424">
        <v>146558.13</v>
      </c>
    </row>
    <row r="425" spans="1:21" ht="15" customHeight="1" x14ac:dyDescent="0.25">
      <c r="A425" t="s">
        <v>1066</v>
      </c>
      <c r="B425" s="8" t="s">
        <v>1067</v>
      </c>
      <c r="C425" s="8">
        <v>45344</v>
      </c>
      <c r="D425" t="s">
        <v>73</v>
      </c>
      <c r="E425" t="s">
        <v>3072</v>
      </c>
      <c r="F425" t="s">
        <v>3074</v>
      </c>
      <c r="G425" t="s">
        <v>1069</v>
      </c>
      <c r="H425">
        <v>9055357055</v>
      </c>
      <c r="I425" t="s">
        <v>24</v>
      </c>
      <c r="J425" t="s">
        <v>25</v>
      </c>
      <c r="K425" t="s">
        <v>26</v>
      </c>
      <c r="L425" t="s">
        <v>85</v>
      </c>
      <c r="M425" t="str">
        <f>TRIM(Table2[[#This Row],[Category]])</f>
        <v>Furniture</v>
      </c>
      <c r="N425" t="s">
        <v>266</v>
      </c>
      <c r="O425" t="s">
        <v>593</v>
      </c>
      <c r="P425">
        <v>16</v>
      </c>
      <c r="Q425">
        <v>48787.93</v>
      </c>
      <c r="R425">
        <v>10</v>
      </c>
      <c r="S425">
        <v>78060.69</v>
      </c>
      <c r="T425">
        <v>702546.19</v>
      </c>
      <c r="U425">
        <v>48865.24</v>
      </c>
    </row>
    <row r="426" spans="1:21" ht="15" customHeight="1" x14ac:dyDescent="0.25">
      <c r="A426" t="s">
        <v>395</v>
      </c>
      <c r="B426" s="8">
        <v>45340</v>
      </c>
      <c r="C426" s="8">
        <v>45345</v>
      </c>
      <c r="D426" t="s">
        <v>73</v>
      </c>
      <c r="E426" t="s">
        <v>3067</v>
      </c>
      <c r="F426" t="s">
        <v>3075</v>
      </c>
      <c r="G426" t="s">
        <v>397</v>
      </c>
      <c r="H426">
        <v>8067661748</v>
      </c>
      <c r="I426" t="s">
        <v>35</v>
      </c>
      <c r="J426" t="s">
        <v>69</v>
      </c>
      <c r="K426" t="s">
        <v>70</v>
      </c>
      <c r="L426" t="s">
        <v>96</v>
      </c>
      <c r="M426" t="str">
        <f>TRIM(Table2[[#This Row],[Category]])</f>
        <v>Technology</v>
      </c>
      <c r="N426" t="s">
        <v>189</v>
      </c>
      <c r="O426" t="s">
        <v>287</v>
      </c>
      <c r="P426">
        <v>3</v>
      </c>
      <c r="Q426">
        <v>214993.1</v>
      </c>
      <c r="R426">
        <v>10</v>
      </c>
      <c r="S426">
        <v>64497.93</v>
      </c>
      <c r="T426">
        <v>580481.37</v>
      </c>
      <c r="U426">
        <v>113458.27</v>
      </c>
    </row>
    <row r="427" spans="1:21" ht="15" customHeight="1" x14ac:dyDescent="0.25">
      <c r="A427" t="s">
        <v>2552</v>
      </c>
      <c r="B427" s="8">
        <v>45349</v>
      </c>
      <c r="C427" s="8">
        <v>45345</v>
      </c>
      <c r="D427" t="s">
        <v>73</v>
      </c>
      <c r="E427" t="s">
        <v>3068</v>
      </c>
      <c r="F427" t="s">
        <v>3062</v>
      </c>
      <c r="G427" t="s">
        <v>2554</v>
      </c>
      <c r="H427">
        <v>8034463711</v>
      </c>
      <c r="I427" t="s">
        <v>24</v>
      </c>
      <c r="J427" t="s">
        <v>61</v>
      </c>
      <c r="K427" t="s">
        <v>182</v>
      </c>
      <c r="L427" t="s">
        <v>108</v>
      </c>
      <c r="M427" t="str">
        <f>TRIM(Table2[[#This Row],[Category]])</f>
        <v>Clothing</v>
      </c>
      <c r="N427" t="s">
        <v>189</v>
      </c>
      <c r="O427" t="s">
        <v>190</v>
      </c>
      <c r="P427">
        <v>19</v>
      </c>
      <c r="Q427">
        <v>13752.76</v>
      </c>
      <c r="R427">
        <v>0</v>
      </c>
      <c r="S427">
        <v>0</v>
      </c>
      <c r="T427">
        <v>261302.44</v>
      </c>
      <c r="U427">
        <v>61338.89</v>
      </c>
    </row>
    <row r="428" spans="1:21" ht="15" customHeight="1" x14ac:dyDescent="0.25">
      <c r="A428" t="s">
        <v>297</v>
      </c>
      <c r="B428" s="8">
        <v>45347</v>
      </c>
      <c r="C428" s="8">
        <v>45350</v>
      </c>
      <c r="D428" t="s">
        <v>73</v>
      </c>
      <c r="E428" t="s">
        <v>3080</v>
      </c>
      <c r="F428" t="s">
        <v>3075</v>
      </c>
      <c r="G428" t="s">
        <v>299</v>
      </c>
      <c r="H428">
        <v>8032171218</v>
      </c>
      <c r="I428" t="s">
        <v>24</v>
      </c>
      <c r="J428" t="s">
        <v>61</v>
      </c>
      <c r="K428" t="s">
        <v>204</v>
      </c>
      <c r="L428" t="s">
        <v>63</v>
      </c>
      <c r="M428" t="str">
        <f>TRIM(Table2[[#This Row],[Category]])</f>
        <v>Office Supplies</v>
      </c>
      <c r="N428" t="s">
        <v>194</v>
      </c>
      <c r="O428" t="s">
        <v>257</v>
      </c>
      <c r="P428">
        <v>17</v>
      </c>
      <c r="Q428">
        <v>8826.94</v>
      </c>
      <c r="R428">
        <v>10</v>
      </c>
      <c r="S428">
        <v>15005.8</v>
      </c>
      <c r="T428">
        <v>135052.18</v>
      </c>
      <c r="U428">
        <v>46232.37</v>
      </c>
    </row>
    <row r="429" spans="1:21" ht="15" customHeight="1" x14ac:dyDescent="0.25">
      <c r="A429" t="s">
        <v>600</v>
      </c>
      <c r="B429" s="8">
        <v>45357</v>
      </c>
      <c r="C429" s="8">
        <v>45360</v>
      </c>
      <c r="D429" t="s">
        <v>73</v>
      </c>
      <c r="E429" t="s">
        <v>3061</v>
      </c>
      <c r="F429" t="s">
        <v>3052</v>
      </c>
      <c r="G429" t="s">
        <v>602</v>
      </c>
      <c r="H429">
        <v>9072326581</v>
      </c>
      <c r="I429" t="s">
        <v>24</v>
      </c>
      <c r="J429" t="s">
        <v>69</v>
      </c>
      <c r="K429" t="s">
        <v>155</v>
      </c>
      <c r="L429" t="s">
        <v>108</v>
      </c>
      <c r="M429" t="str">
        <f>TRIM(Table2[[#This Row],[Category]])</f>
        <v>Clothing</v>
      </c>
      <c r="N429" t="s">
        <v>38</v>
      </c>
      <c r="O429" t="s">
        <v>519</v>
      </c>
      <c r="P429">
        <v>7</v>
      </c>
      <c r="Q429">
        <v>25032.33</v>
      </c>
      <c r="R429">
        <v>0</v>
      </c>
      <c r="S429">
        <v>0</v>
      </c>
      <c r="T429">
        <v>175226.31</v>
      </c>
      <c r="U429">
        <v>1940.97</v>
      </c>
    </row>
    <row r="430" spans="1:21" ht="15" customHeight="1" x14ac:dyDescent="0.25">
      <c r="A430" t="s">
        <v>2326</v>
      </c>
      <c r="B430" s="8">
        <v>45360</v>
      </c>
      <c r="C430" s="8">
        <v>45364</v>
      </c>
      <c r="D430" t="s">
        <v>73</v>
      </c>
      <c r="E430" t="s">
        <v>3058</v>
      </c>
      <c r="F430" t="s">
        <v>3090</v>
      </c>
      <c r="G430" t="s">
        <v>2328</v>
      </c>
      <c r="H430">
        <v>9079162761</v>
      </c>
      <c r="I430" t="s">
        <v>24</v>
      </c>
      <c r="J430" t="s">
        <v>69</v>
      </c>
      <c r="K430" t="s">
        <v>119</v>
      </c>
      <c r="L430" t="s">
        <v>27</v>
      </c>
      <c r="M430" t="str">
        <f>TRIM(Table2[[#This Row],[Category]])</f>
        <v>Food &amp; Beverages</v>
      </c>
      <c r="N430" t="s">
        <v>45</v>
      </c>
      <c r="O430" t="s">
        <v>308</v>
      </c>
      <c r="P430">
        <v>17</v>
      </c>
      <c r="Q430">
        <v>1898.14</v>
      </c>
      <c r="R430">
        <v>10</v>
      </c>
      <c r="S430">
        <v>3226.84</v>
      </c>
      <c r="T430">
        <v>29041.54</v>
      </c>
      <c r="U430">
        <v>941.52</v>
      </c>
    </row>
    <row r="431" spans="1:21" ht="15" customHeight="1" x14ac:dyDescent="0.25">
      <c r="A431" t="s">
        <v>2905</v>
      </c>
      <c r="B431" s="8">
        <v>45364</v>
      </c>
      <c r="C431" s="8">
        <v>45368</v>
      </c>
      <c r="D431" t="s">
        <v>73</v>
      </c>
      <c r="E431" t="s">
        <v>3085</v>
      </c>
      <c r="F431" t="s">
        <v>3079</v>
      </c>
      <c r="G431" t="s">
        <v>2907</v>
      </c>
      <c r="H431">
        <v>8101972156</v>
      </c>
      <c r="I431" t="s">
        <v>35</v>
      </c>
      <c r="J431" t="s">
        <v>25</v>
      </c>
      <c r="K431" t="s">
        <v>168</v>
      </c>
      <c r="L431" t="s">
        <v>96</v>
      </c>
      <c r="M431" t="str">
        <f>TRIM(Table2[[#This Row],[Category]])</f>
        <v>Technology</v>
      </c>
      <c r="N431" t="s">
        <v>97</v>
      </c>
      <c r="O431" t="s">
        <v>169</v>
      </c>
      <c r="P431">
        <v>4</v>
      </c>
      <c r="Q431">
        <v>45847.02</v>
      </c>
      <c r="R431">
        <v>25</v>
      </c>
      <c r="S431">
        <v>45847.02</v>
      </c>
      <c r="T431">
        <v>137541.06</v>
      </c>
      <c r="U431">
        <v>32125.89</v>
      </c>
    </row>
    <row r="432" spans="1:21" ht="15" customHeight="1" x14ac:dyDescent="0.25">
      <c r="A432" t="s">
        <v>2619</v>
      </c>
      <c r="B432" s="8">
        <v>45375</v>
      </c>
      <c r="C432" s="8">
        <v>45378</v>
      </c>
      <c r="D432" t="s">
        <v>73</v>
      </c>
      <c r="E432" t="s">
        <v>3084</v>
      </c>
      <c r="F432" t="s">
        <v>3077</v>
      </c>
      <c r="G432" t="s">
        <v>2621</v>
      </c>
      <c r="H432">
        <v>9075721396</v>
      </c>
      <c r="I432" t="s">
        <v>43</v>
      </c>
      <c r="J432" t="s">
        <v>25</v>
      </c>
      <c r="K432" t="s">
        <v>36</v>
      </c>
      <c r="L432" t="s">
        <v>63</v>
      </c>
      <c r="M432" t="str">
        <f>TRIM(Table2[[#This Row],[Category]])</f>
        <v>Office Supplies</v>
      </c>
      <c r="N432" t="s">
        <v>312</v>
      </c>
      <c r="O432" t="s">
        <v>761</v>
      </c>
      <c r="P432">
        <v>6</v>
      </c>
      <c r="Q432">
        <v>13016.55</v>
      </c>
      <c r="R432">
        <v>5</v>
      </c>
      <c r="S432">
        <v>3904.96</v>
      </c>
      <c r="T432">
        <v>74194.34</v>
      </c>
      <c r="U432">
        <v>22444</v>
      </c>
    </row>
    <row r="433" spans="1:21" ht="15" customHeight="1" x14ac:dyDescent="0.25">
      <c r="A433" t="s">
        <v>1967</v>
      </c>
      <c r="B433" s="8">
        <v>45379</v>
      </c>
      <c r="C433" s="8">
        <v>45382</v>
      </c>
      <c r="D433" t="s">
        <v>73</v>
      </c>
      <c r="E433" t="s">
        <v>3067</v>
      </c>
      <c r="F433" t="s">
        <v>3045</v>
      </c>
      <c r="G433" t="s">
        <v>1969</v>
      </c>
      <c r="H433">
        <v>9072568722</v>
      </c>
      <c r="I433" t="s">
        <v>43</v>
      </c>
      <c r="J433" t="s">
        <v>25</v>
      </c>
      <c r="K433" t="s">
        <v>44</v>
      </c>
      <c r="L433" t="s">
        <v>63</v>
      </c>
      <c r="M433" t="str">
        <f>TRIM(Table2[[#This Row],[Category]])</f>
        <v>Office Supplies</v>
      </c>
      <c r="N433" t="s">
        <v>64</v>
      </c>
      <c r="O433" t="s">
        <v>104</v>
      </c>
      <c r="P433">
        <v>15</v>
      </c>
      <c r="Q433">
        <v>16240.87</v>
      </c>
      <c r="R433">
        <v>0</v>
      </c>
      <c r="S433">
        <v>0</v>
      </c>
      <c r="T433">
        <v>243613.05</v>
      </c>
      <c r="U433">
        <v>-23997.46</v>
      </c>
    </row>
    <row r="434" spans="1:21" ht="15" customHeight="1" x14ac:dyDescent="0.25">
      <c r="A434" t="s">
        <v>2049</v>
      </c>
      <c r="B434" s="8">
        <v>45381</v>
      </c>
      <c r="C434" s="8">
        <v>45384</v>
      </c>
      <c r="D434" t="s">
        <v>73</v>
      </c>
      <c r="E434" t="s">
        <v>3044</v>
      </c>
      <c r="F434" t="s">
        <v>3036</v>
      </c>
      <c r="G434" t="s">
        <v>2051</v>
      </c>
      <c r="H434">
        <v>8106153067</v>
      </c>
      <c r="I434" t="s">
        <v>24</v>
      </c>
      <c r="J434" t="s">
        <v>69</v>
      </c>
      <c r="K434" t="s">
        <v>70</v>
      </c>
      <c r="L434" t="s">
        <v>2052</v>
      </c>
      <c r="M434" t="str">
        <f>TRIM(Table2[[#This Row],[Category]])</f>
        <v>fOOD &amp; bEVERAGES</v>
      </c>
      <c r="N434" t="s">
        <v>79</v>
      </c>
      <c r="O434" t="s">
        <v>490</v>
      </c>
      <c r="P434">
        <v>4</v>
      </c>
      <c r="Q434">
        <v>3849.35</v>
      </c>
      <c r="R434">
        <v>0</v>
      </c>
      <c r="S434">
        <v>0</v>
      </c>
      <c r="T434">
        <v>15397.4</v>
      </c>
      <c r="U434">
        <v>-87.19</v>
      </c>
    </row>
    <row r="435" spans="1:21" ht="15" customHeight="1" x14ac:dyDescent="0.25">
      <c r="A435" t="s">
        <v>1970</v>
      </c>
      <c r="B435" s="8">
        <v>45384</v>
      </c>
      <c r="C435" s="8">
        <v>45388</v>
      </c>
      <c r="D435" t="s">
        <v>73</v>
      </c>
      <c r="E435" t="s">
        <v>3044</v>
      </c>
      <c r="F435" t="s">
        <v>3074</v>
      </c>
      <c r="G435" t="s">
        <v>1972</v>
      </c>
      <c r="H435">
        <v>9059158676</v>
      </c>
      <c r="I435" t="s">
        <v>43</v>
      </c>
      <c r="J435" t="s">
        <v>25</v>
      </c>
      <c r="K435" t="s">
        <v>168</v>
      </c>
      <c r="L435" t="s">
        <v>85</v>
      </c>
      <c r="M435" t="str">
        <f>TRIM(Table2[[#This Row],[Category]])</f>
        <v>Furniture</v>
      </c>
      <c r="N435" t="s">
        <v>486</v>
      </c>
      <c r="O435" t="s">
        <v>487</v>
      </c>
      <c r="P435">
        <v>2</v>
      </c>
      <c r="Q435">
        <v>55880.51</v>
      </c>
      <c r="R435">
        <v>25</v>
      </c>
      <c r="S435">
        <v>27940.26</v>
      </c>
      <c r="T435">
        <v>83820.759999999995</v>
      </c>
      <c r="U435">
        <v>-4740.51</v>
      </c>
    </row>
    <row r="436" spans="1:21" ht="15" customHeight="1" x14ac:dyDescent="0.25">
      <c r="A436" t="s">
        <v>887</v>
      </c>
      <c r="B436" s="8">
        <v>45388</v>
      </c>
      <c r="C436" s="8">
        <v>45391</v>
      </c>
      <c r="D436" t="s">
        <v>73</v>
      </c>
      <c r="E436" t="s">
        <v>3067</v>
      </c>
      <c r="F436" t="s">
        <v>3043</v>
      </c>
      <c r="G436" t="s">
        <v>888</v>
      </c>
      <c r="H436">
        <v>8131367643</v>
      </c>
      <c r="I436" t="s">
        <v>35</v>
      </c>
      <c r="J436" t="s">
        <v>69</v>
      </c>
      <c r="K436" t="s">
        <v>144</v>
      </c>
      <c r="L436" t="s">
        <v>27</v>
      </c>
      <c r="M436" t="str">
        <f>TRIM(Table2[[#This Row],[Category]])</f>
        <v>Food &amp; Beverages</v>
      </c>
      <c r="N436" t="s">
        <v>173</v>
      </c>
      <c r="O436" t="s">
        <v>380</v>
      </c>
      <c r="P436">
        <v>2</v>
      </c>
      <c r="Q436">
        <v>1248.3499999999999</v>
      </c>
      <c r="R436">
        <v>15</v>
      </c>
      <c r="S436">
        <v>374.5</v>
      </c>
      <c r="T436">
        <v>2122.1999999999998</v>
      </c>
      <c r="U436">
        <v>797.79</v>
      </c>
    </row>
    <row r="437" spans="1:21" ht="15" customHeight="1" x14ac:dyDescent="0.25">
      <c r="A437" t="s">
        <v>111</v>
      </c>
      <c r="B437" s="8">
        <v>45394</v>
      </c>
      <c r="C437" s="8">
        <v>45398</v>
      </c>
      <c r="D437" t="s">
        <v>73</v>
      </c>
      <c r="E437" t="s">
        <v>3055</v>
      </c>
      <c r="F437" t="s">
        <v>3052</v>
      </c>
      <c r="G437" t="s">
        <v>113</v>
      </c>
      <c r="H437">
        <v>8033762152</v>
      </c>
      <c r="I437" t="s">
        <v>35</v>
      </c>
      <c r="J437" t="s">
        <v>25</v>
      </c>
      <c r="K437" t="s">
        <v>26</v>
      </c>
      <c r="L437" t="s">
        <v>108</v>
      </c>
      <c r="M437" t="str">
        <f>TRIM(Table2[[#This Row],[Category]])</f>
        <v>Clothing</v>
      </c>
      <c r="N437" t="s">
        <v>114</v>
      </c>
      <c r="O437" t="s">
        <v>115</v>
      </c>
      <c r="P437">
        <v>15</v>
      </c>
      <c r="Q437">
        <v>13403.73</v>
      </c>
      <c r="R437">
        <v>10</v>
      </c>
      <c r="S437">
        <v>20105.59</v>
      </c>
      <c r="T437">
        <v>180950.36</v>
      </c>
      <c r="U437">
        <v>18783.46</v>
      </c>
    </row>
    <row r="438" spans="1:21" ht="15" customHeight="1" x14ac:dyDescent="0.25">
      <c r="A438" t="s">
        <v>2938</v>
      </c>
      <c r="B438" s="8">
        <v>45393</v>
      </c>
      <c r="C438" s="8">
        <v>45398</v>
      </c>
      <c r="D438" t="s">
        <v>73</v>
      </c>
      <c r="E438" t="s">
        <v>3097</v>
      </c>
      <c r="F438" t="s">
        <v>3077</v>
      </c>
      <c r="G438" t="s">
        <v>2939</v>
      </c>
      <c r="H438">
        <v>7065463386</v>
      </c>
      <c r="I438" t="s">
        <v>35</v>
      </c>
      <c r="J438" t="s">
        <v>69</v>
      </c>
      <c r="K438" t="s">
        <v>144</v>
      </c>
      <c r="L438" t="s">
        <v>96</v>
      </c>
      <c r="M438" t="str">
        <f>TRIM(Table2[[#This Row],[Category]])</f>
        <v>Technology</v>
      </c>
      <c r="N438" t="s">
        <v>254</v>
      </c>
      <c r="O438" t="s">
        <v>530</v>
      </c>
      <c r="P438">
        <v>12</v>
      </c>
      <c r="Q438">
        <v>264217.28000000003</v>
      </c>
      <c r="R438">
        <v>15</v>
      </c>
      <c r="S438">
        <v>475591.1</v>
      </c>
      <c r="T438">
        <v>2695016.26</v>
      </c>
      <c r="U438">
        <v>615034.24</v>
      </c>
    </row>
    <row r="439" spans="1:21" ht="15" customHeight="1" x14ac:dyDescent="0.25">
      <c r="A439" t="s">
        <v>1513</v>
      </c>
      <c r="B439" s="8">
        <v>45398</v>
      </c>
      <c r="C439" s="8">
        <v>45401</v>
      </c>
      <c r="D439" t="s">
        <v>73</v>
      </c>
      <c r="E439" t="s">
        <v>3047</v>
      </c>
      <c r="F439" t="s">
        <v>3064</v>
      </c>
      <c r="G439" t="s">
        <v>1515</v>
      </c>
      <c r="H439">
        <v>0</v>
      </c>
      <c r="I439" t="s">
        <v>43</v>
      </c>
      <c r="J439" t="s">
        <v>51</v>
      </c>
      <c r="K439" t="s">
        <v>131</v>
      </c>
      <c r="L439" t="s">
        <v>85</v>
      </c>
      <c r="M439" t="str">
        <f>TRIM(Table2[[#This Row],[Category]])</f>
        <v>Furniture</v>
      </c>
      <c r="N439" t="s">
        <v>243</v>
      </c>
      <c r="O439" t="s">
        <v>244</v>
      </c>
      <c r="P439">
        <v>15</v>
      </c>
      <c r="Q439">
        <v>125693.94</v>
      </c>
      <c r="R439">
        <v>0</v>
      </c>
      <c r="S439">
        <v>0</v>
      </c>
      <c r="T439">
        <v>1885409.1</v>
      </c>
      <c r="U439">
        <v>-271136.64000000001</v>
      </c>
    </row>
    <row r="440" spans="1:21" ht="15" customHeight="1" x14ac:dyDescent="0.25">
      <c r="A440" t="s">
        <v>309</v>
      </c>
      <c r="B440" s="8">
        <v>45401</v>
      </c>
      <c r="C440" s="8">
        <v>45406</v>
      </c>
      <c r="D440" t="s">
        <v>73</v>
      </c>
      <c r="E440" t="s">
        <v>3084</v>
      </c>
      <c r="F440" t="s">
        <v>3050</v>
      </c>
      <c r="G440" t="s">
        <v>311</v>
      </c>
      <c r="H440">
        <v>9025446344</v>
      </c>
      <c r="I440" t="s">
        <v>24</v>
      </c>
      <c r="J440" t="s">
        <v>69</v>
      </c>
      <c r="K440" t="s">
        <v>307</v>
      </c>
      <c r="L440" t="s">
        <v>63</v>
      </c>
      <c r="M440" t="str">
        <f>TRIM(Table2[[#This Row],[Category]])</f>
        <v>Office Supplies</v>
      </c>
      <c r="N440" t="s">
        <v>312</v>
      </c>
      <c r="O440" t="s">
        <v>313</v>
      </c>
      <c r="P440">
        <v>11</v>
      </c>
      <c r="Q440">
        <v>16421</v>
      </c>
      <c r="R440">
        <v>25</v>
      </c>
      <c r="S440">
        <v>45157.75</v>
      </c>
      <c r="T440">
        <v>135473.25</v>
      </c>
      <c r="U440">
        <v>10567.68</v>
      </c>
    </row>
    <row r="441" spans="1:21" ht="15" customHeight="1" x14ac:dyDescent="0.25">
      <c r="A441" t="s">
        <v>1170</v>
      </c>
      <c r="B441" s="8">
        <v>45416</v>
      </c>
      <c r="C441" s="8">
        <v>45413</v>
      </c>
      <c r="D441" t="s">
        <v>73</v>
      </c>
      <c r="E441" t="s">
        <v>3094</v>
      </c>
      <c r="F441" t="s">
        <v>3054</v>
      </c>
      <c r="G441" t="s">
        <v>1172</v>
      </c>
      <c r="H441">
        <v>8166524481</v>
      </c>
      <c r="I441" t="s">
        <v>24</v>
      </c>
      <c r="J441" t="s">
        <v>69</v>
      </c>
      <c r="K441" t="s">
        <v>155</v>
      </c>
      <c r="L441" t="s">
        <v>37</v>
      </c>
      <c r="M441" t="str">
        <f>TRIM(Table2[[#This Row],[Category]])</f>
        <v>clothing</v>
      </c>
      <c r="N441" t="s">
        <v>189</v>
      </c>
      <c r="O441" t="s">
        <v>190</v>
      </c>
      <c r="P441">
        <v>5</v>
      </c>
      <c r="Q441">
        <v>10890.56</v>
      </c>
      <c r="R441">
        <v>25</v>
      </c>
      <c r="S441">
        <v>13613.2</v>
      </c>
      <c r="T441">
        <v>40839.599999999999</v>
      </c>
      <c r="U441">
        <v>10635.82</v>
      </c>
    </row>
    <row r="442" spans="1:21" ht="15" customHeight="1" x14ac:dyDescent="0.25">
      <c r="A442" t="s">
        <v>1529</v>
      </c>
      <c r="B442" s="8">
        <v>45414</v>
      </c>
      <c r="C442" s="8">
        <v>45417</v>
      </c>
      <c r="D442" t="s">
        <v>73</v>
      </c>
      <c r="E442" t="s">
        <v>3059</v>
      </c>
      <c r="F442" t="s">
        <v>3096</v>
      </c>
      <c r="G442" t="s">
        <v>1531</v>
      </c>
      <c r="H442">
        <v>9072582179</v>
      </c>
      <c r="I442" t="s">
        <v>35</v>
      </c>
      <c r="J442" t="s">
        <v>61</v>
      </c>
      <c r="K442" t="s">
        <v>3127</v>
      </c>
      <c r="L442" t="s">
        <v>63</v>
      </c>
      <c r="M442" t="str">
        <f>TRIM(Table2[[#This Row],[Category]])</f>
        <v>Office Supplies</v>
      </c>
      <c r="N442" t="s">
        <v>249</v>
      </c>
      <c r="O442" t="s">
        <v>1141</v>
      </c>
      <c r="P442">
        <v>4</v>
      </c>
      <c r="Q442">
        <v>17192.150000000001</v>
      </c>
      <c r="R442">
        <v>15</v>
      </c>
      <c r="S442">
        <v>10315.290000000001</v>
      </c>
      <c r="T442">
        <v>58453.31</v>
      </c>
      <c r="U442">
        <v>4333.4399999999996</v>
      </c>
    </row>
    <row r="443" spans="1:21" ht="15" customHeight="1" x14ac:dyDescent="0.25">
      <c r="A443" t="s">
        <v>753</v>
      </c>
      <c r="B443" s="8">
        <v>45414</v>
      </c>
      <c r="C443" s="8">
        <v>45419</v>
      </c>
      <c r="D443" t="s">
        <v>73</v>
      </c>
      <c r="E443" t="s">
        <v>3041</v>
      </c>
      <c r="F443" t="s">
        <v>3036</v>
      </c>
      <c r="G443" t="s">
        <v>755</v>
      </c>
      <c r="H443">
        <v>9057254683</v>
      </c>
      <c r="I443" t="s">
        <v>43</v>
      </c>
      <c r="J443" t="s">
        <v>69</v>
      </c>
      <c r="K443" t="s">
        <v>119</v>
      </c>
      <c r="L443" t="s">
        <v>96</v>
      </c>
      <c r="M443" t="str">
        <f>TRIM(Table2[[#This Row],[Category]])</f>
        <v>Technology</v>
      </c>
      <c r="N443" t="s">
        <v>254</v>
      </c>
      <c r="O443" t="s">
        <v>756</v>
      </c>
      <c r="P443">
        <v>17</v>
      </c>
      <c r="Q443">
        <v>93014.79</v>
      </c>
      <c r="R443">
        <v>0</v>
      </c>
      <c r="S443">
        <v>0</v>
      </c>
      <c r="T443">
        <v>1581251.43</v>
      </c>
      <c r="U443">
        <v>667995.93999999994</v>
      </c>
    </row>
    <row r="444" spans="1:21" ht="15" customHeight="1" x14ac:dyDescent="0.25">
      <c r="A444" t="s">
        <v>2750</v>
      </c>
      <c r="B444" s="8" t="s">
        <v>2751</v>
      </c>
      <c r="C444" s="8">
        <v>45420</v>
      </c>
      <c r="D444" t="s">
        <v>73</v>
      </c>
      <c r="E444" t="s">
        <v>3068</v>
      </c>
      <c r="F444" t="s">
        <v>3077</v>
      </c>
      <c r="G444" t="s">
        <v>2752</v>
      </c>
      <c r="H444">
        <v>8131009512</v>
      </c>
      <c r="I444" t="s">
        <v>24</v>
      </c>
      <c r="J444" t="s">
        <v>61</v>
      </c>
      <c r="K444" t="s">
        <v>204</v>
      </c>
      <c r="L444" t="s">
        <v>96</v>
      </c>
      <c r="M444" t="str">
        <f>TRIM(Table2[[#This Row],[Category]])</f>
        <v>Technology</v>
      </c>
      <c r="N444" t="s">
        <v>385</v>
      </c>
      <c r="O444" t="s">
        <v>743</v>
      </c>
      <c r="P444">
        <v>16</v>
      </c>
      <c r="Q444">
        <v>130495.84</v>
      </c>
      <c r="R444">
        <v>0</v>
      </c>
      <c r="S444">
        <v>0</v>
      </c>
      <c r="T444">
        <v>2087933.44</v>
      </c>
      <c r="U444">
        <v>-38717.24</v>
      </c>
    </row>
    <row r="445" spans="1:21" ht="15" customHeight="1" x14ac:dyDescent="0.25">
      <c r="A445" t="s">
        <v>72</v>
      </c>
      <c r="B445" s="8">
        <v>45426</v>
      </c>
      <c r="C445" s="8">
        <v>45431</v>
      </c>
      <c r="D445" t="s">
        <v>73</v>
      </c>
      <c r="E445" t="s">
        <v>3044</v>
      </c>
      <c r="F445" t="s">
        <v>3045</v>
      </c>
      <c r="G445" t="s">
        <v>75</v>
      </c>
      <c r="H445">
        <v>9058852574</v>
      </c>
      <c r="I445" t="s">
        <v>35</v>
      </c>
      <c r="J445" t="s">
        <v>25</v>
      </c>
      <c r="K445" t="s">
        <v>26</v>
      </c>
      <c r="L445" t="s">
        <v>27</v>
      </c>
      <c r="M445" t="str">
        <f>TRIM(Table2[[#This Row],[Category]])</f>
        <v>Food &amp; Beverages</v>
      </c>
      <c r="N445" t="s">
        <v>45</v>
      </c>
      <c r="O445" t="s">
        <v>46</v>
      </c>
      <c r="P445">
        <v>1</v>
      </c>
      <c r="Q445">
        <v>6928</v>
      </c>
      <c r="R445">
        <v>0</v>
      </c>
      <c r="S445">
        <v>0</v>
      </c>
      <c r="T445">
        <v>6928</v>
      </c>
      <c r="U445">
        <v>1794.53</v>
      </c>
    </row>
    <row r="446" spans="1:21" ht="15" customHeight="1" x14ac:dyDescent="0.25">
      <c r="A446" t="s">
        <v>659</v>
      </c>
      <c r="B446" s="8">
        <v>45428</v>
      </c>
      <c r="C446" s="8">
        <v>45432</v>
      </c>
      <c r="D446" t="s">
        <v>73</v>
      </c>
      <c r="E446" t="s">
        <v>3044</v>
      </c>
      <c r="F446" t="s">
        <v>3071</v>
      </c>
      <c r="G446" t="s">
        <v>661</v>
      </c>
      <c r="H446">
        <v>9057724393</v>
      </c>
      <c r="I446" t="s">
        <v>43</v>
      </c>
      <c r="J446" t="s">
        <v>51</v>
      </c>
      <c r="K446" t="s">
        <v>131</v>
      </c>
      <c r="L446" t="s">
        <v>27</v>
      </c>
      <c r="M446" t="str">
        <f>TRIM(Table2[[#This Row],[Category]])</f>
        <v>Food &amp; Beverages</v>
      </c>
      <c r="N446" t="s">
        <v>173</v>
      </c>
      <c r="O446" t="s">
        <v>662</v>
      </c>
      <c r="P446">
        <v>12</v>
      </c>
      <c r="Q446">
        <v>4486.07</v>
      </c>
      <c r="R446">
        <v>25</v>
      </c>
      <c r="S446">
        <v>13458.21</v>
      </c>
      <c r="T446">
        <v>40374.629999999997</v>
      </c>
      <c r="U446">
        <v>8328.9599999999991</v>
      </c>
    </row>
    <row r="447" spans="1:21" ht="15" customHeight="1" x14ac:dyDescent="0.25">
      <c r="A447" t="s">
        <v>1601</v>
      </c>
      <c r="B447" s="8">
        <v>45433</v>
      </c>
      <c r="C447" s="8">
        <v>45437</v>
      </c>
      <c r="D447" t="s">
        <v>73</v>
      </c>
      <c r="E447" t="s">
        <v>3081</v>
      </c>
      <c r="F447" t="s">
        <v>3050</v>
      </c>
      <c r="G447" t="s">
        <v>1603</v>
      </c>
      <c r="H447">
        <v>7063182100</v>
      </c>
      <c r="I447" t="s">
        <v>35</v>
      </c>
      <c r="J447" t="s">
        <v>51</v>
      </c>
      <c r="K447" t="s">
        <v>316</v>
      </c>
      <c r="L447" t="s">
        <v>108</v>
      </c>
      <c r="M447" t="str">
        <f>TRIM(Table2[[#This Row],[Category]])</f>
        <v>Clothing</v>
      </c>
      <c r="N447" t="s">
        <v>109</v>
      </c>
      <c r="O447" t="s">
        <v>690</v>
      </c>
      <c r="P447">
        <v>17</v>
      </c>
      <c r="Q447">
        <v>5357.13</v>
      </c>
      <c r="R447">
        <v>15</v>
      </c>
      <c r="S447">
        <v>13660.68</v>
      </c>
      <c r="T447">
        <v>77410.53</v>
      </c>
      <c r="U447">
        <v>15709.98</v>
      </c>
    </row>
    <row r="448" spans="1:21" ht="15" customHeight="1" x14ac:dyDescent="0.25">
      <c r="A448" t="s">
        <v>146</v>
      </c>
      <c r="B448" s="8">
        <v>45442</v>
      </c>
      <c r="C448" s="8">
        <v>45445</v>
      </c>
      <c r="D448" t="s">
        <v>73</v>
      </c>
      <c r="E448" t="s">
        <v>3063</v>
      </c>
      <c r="F448" t="s">
        <v>3064</v>
      </c>
      <c r="G448" t="s">
        <v>148</v>
      </c>
      <c r="H448">
        <v>9021669324</v>
      </c>
      <c r="I448" t="s">
        <v>24</v>
      </c>
      <c r="J448" t="s">
        <v>51</v>
      </c>
      <c r="K448" t="s">
        <v>149</v>
      </c>
      <c r="L448" t="s">
        <v>63</v>
      </c>
      <c r="M448" t="str">
        <f>TRIM(Table2[[#This Row],[Category]])</f>
        <v>Office Supplies</v>
      </c>
      <c r="N448" t="s">
        <v>54</v>
      </c>
      <c r="O448" t="s">
        <v>150</v>
      </c>
      <c r="P448">
        <v>-1</v>
      </c>
      <c r="Q448">
        <v>16839.87</v>
      </c>
      <c r="R448">
        <v>25</v>
      </c>
      <c r="S448">
        <v>50519.61</v>
      </c>
      <c r="T448">
        <v>151558.82999999999</v>
      </c>
      <c r="U448">
        <v>57665.23</v>
      </c>
    </row>
    <row r="449" spans="1:21" ht="15" customHeight="1" x14ac:dyDescent="0.25">
      <c r="A449" t="s">
        <v>1173</v>
      </c>
      <c r="B449" s="8">
        <v>45442</v>
      </c>
      <c r="C449" s="8">
        <v>45445</v>
      </c>
      <c r="D449" t="s">
        <v>73</v>
      </c>
      <c r="E449" t="s">
        <v>3094</v>
      </c>
      <c r="F449" t="s">
        <v>3062</v>
      </c>
      <c r="G449" t="s">
        <v>1175</v>
      </c>
      <c r="H449">
        <v>8069941610</v>
      </c>
      <c r="I449" t="s">
        <v>43</v>
      </c>
      <c r="J449" t="s">
        <v>61</v>
      </c>
      <c r="K449" t="s">
        <v>62</v>
      </c>
      <c r="L449" t="s">
        <v>96</v>
      </c>
      <c r="M449" t="str">
        <f>TRIM(Table2[[#This Row],[Category]])</f>
        <v>Technology</v>
      </c>
      <c r="N449" t="s">
        <v>385</v>
      </c>
      <c r="O449" t="s">
        <v>386</v>
      </c>
      <c r="P449">
        <v>5</v>
      </c>
      <c r="Q449">
        <v>380192.29</v>
      </c>
      <c r="R449">
        <v>0</v>
      </c>
      <c r="S449">
        <v>0</v>
      </c>
      <c r="T449">
        <v>1900961.45</v>
      </c>
      <c r="U449">
        <v>587893.25</v>
      </c>
    </row>
    <row r="450" spans="1:21" ht="15" customHeight="1" x14ac:dyDescent="0.25">
      <c r="A450" t="s">
        <v>2136</v>
      </c>
      <c r="B450" s="8">
        <v>45442</v>
      </c>
      <c r="C450" s="8">
        <v>45447</v>
      </c>
      <c r="D450" t="s">
        <v>73</v>
      </c>
      <c r="E450" t="s">
        <v>3068</v>
      </c>
      <c r="F450" t="s">
        <v>3077</v>
      </c>
      <c r="G450" t="s">
        <v>2138</v>
      </c>
      <c r="H450">
        <v>8068347629</v>
      </c>
      <c r="I450" t="s">
        <v>24</v>
      </c>
      <c r="J450" t="s">
        <v>69</v>
      </c>
      <c r="K450" t="s">
        <v>70</v>
      </c>
      <c r="L450" t="s">
        <v>96</v>
      </c>
      <c r="M450" t="str">
        <f>TRIM(Table2[[#This Row],[Category]])</f>
        <v>Technology</v>
      </c>
      <c r="N450" t="s">
        <v>254</v>
      </c>
      <c r="O450" t="s">
        <v>455</v>
      </c>
      <c r="P450">
        <v>11</v>
      </c>
      <c r="Q450">
        <v>168028.26</v>
      </c>
      <c r="R450">
        <v>15</v>
      </c>
      <c r="S450">
        <v>277246.63</v>
      </c>
      <c r="T450">
        <v>1571064.23</v>
      </c>
      <c r="U450">
        <v>629747.19999999995</v>
      </c>
    </row>
    <row r="451" spans="1:21" ht="15" customHeight="1" x14ac:dyDescent="0.25">
      <c r="A451" t="s">
        <v>822</v>
      </c>
      <c r="B451" s="8">
        <v>45451</v>
      </c>
      <c r="C451" s="8">
        <v>45454</v>
      </c>
      <c r="D451" t="s">
        <v>73</v>
      </c>
      <c r="E451" t="s">
        <v>3087</v>
      </c>
      <c r="F451" t="s">
        <v>3038</v>
      </c>
      <c r="G451" t="s">
        <v>824</v>
      </c>
      <c r="H451" t="s">
        <v>23</v>
      </c>
      <c r="I451" t="s">
        <v>43</v>
      </c>
      <c r="J451" t="s">
        <v>69</v>
      </c>
      <c r="K451" t="s">
        <v>307</v>
      </c>
      <c r="L451" t="s">
        <v>108</v>
      </c>
      <c r="M451" t="str">
        <f>TRIM(Table2[[#This Row],[Category]])</f>
        <v>Clothing</v>
      </c>
      <c r="N451" t="s">
        <v>189</v>
      </c>
      <c r="O451" t="s">
        <v>205</v>
      </c>
      <c r="P451">
        <v>10</v>
      </c>
      <c r="Q451">
        <v>13406.39</v>
      </c>
      <c r="R451">
        <v>10</v>
      </c>
      <c r="S451">
        <v>13406.39</v>
      </c>
      <c r="T451">
        <v>120657.51</v>
      </c>
      <c r="U451">
        <v>-901.44</v>
      </c>
    </row>
    <row r="452" spans="1:21" ht="15" customHeight="1" x14ac:dyDescent="0.25">
      <c r="A452" t="s">
        <v>2449</v>
      </c>
      <c r="B452" s="8">
        <v>45459</v>
      </c>
      <c r="C452" s="8">
        <v>45463</v>
      </c>
      <c r="D452" t="s">
        <v>73</v>
      </c>
      <c r="E452" t="s">
        <v>3056</v>
      </c>
      <c r="F452" t="s">
        <v>3077</v>
      </c>
      <c r="G452" t="s">
        <v>261</v>
      </c>
      <c r="H452">
        <v>8102181161</v>
      </c>
      <c r="I452" t="s">
        <v>43</v>
      </c>
      <c r="J452" t="s">
        <v>25</v>
      </c>
      <c r="K452" t="s">
        <v>36</v>
      </c>
      <c r="L452" t="s">
        <v>63</v>
      </c>
      <c r="M452" t="str">
        <f>TRIM(Table2[[#This Row],[Category]])</f>
        <v>Office Supplies</v>
      </c>
      <c r="N452" t="s">
        <v>558</v>
      </c>
      <c r="O452" t="s">
        <v>1460</v>
      </c>
      <c r="P452">
        <v>9</v>
      </c>
      <c r="Q452">
        <v>9846.7900000000009</v>
      </c>
      <c r="R452" t="s">
        <v>376</v>
      </c>
      <c r="S452">
        <v>0</v>
      </c>
      <c r="T452">
        <v>88621.11</v>
      </c>
      <c r="U452">
        <v>20040.689999999999</v>
      </c>
    </row>
    <row r="453" spans="1:21" ht="15" customHeight="1" x14ac:dyDescent="0.25">
      <c r="A453" t="s">
        <v>1496</v>
      </c>
      <c r="B453" s="8">
        <v>45460</v>
      </c>
      <c r="C453" s="8">
        <v>45465</v>
      </c>
      <c r="D453" t="s">
        <v>73</v>
      </c>
      <c r="E453" t="s">
        <v>3041</v>
      </c>
      <c r="F453" t="s">
        <v>3079</v>
      </c>
      <c r="G453" t="s">
        <v>1498</v>
      </c>
      <c r="H453">
        <v>9021568440</v>
      </c>
      <c r="I453" t="s">
        <v>35</v>
      </c>
      <c r="J453" t="s">
        <v>61</v>
      </c>
      <c r="K453" t="s">
        <v>182</v>
      </c>
      <c r="L453" t="s">
        <v>63</v>
      </c>
      <c r="M453" t="str">
        <f>TRIM(Table2[[#This Row],[Category]])</f>
        <v>Office Supplies</v>
      </c>
      <c r="N453" t="s">
        <v>194</v>
      </c>
      <c r="O453" t="s">
        <v>700</v>
      </c>
      <c r="P453">
        <v>16</v>
      </c>
      <c r="Q453">
        <v>20668.349999999999</v>
      </c>
      <c r="R453">
        <v>20</v>
      </c>
      <c r="S453">
        <v>66138.720000000001</v>
      </c>
      <c r="T453">
        <v>264554.88</v>
      </c>
      <c r="U453">
        <v>77293.72</v>
      </c>
    </row>
    <row r="454" spans="1:21" ht="15" customHeight="1" x14ac:dyDescent="0.25">
      <c r="A454" t="s">
        <v>2408</v>
      </c>
      <c r="B454" s="8">
        <v>45462</v>
      </c>
      <c r="C454" s="8">
        <v>45465</v>
      </c>
      <c r="D454" t="s">
        <v>73</v>
      </c>
      <c r="E454" t="s">
        <v>3098</v>
      </c>
      <c r="F454" t="s">
        <v>3046</v>
      </c>
      <c r="G454" t="s">
        <v>2410</v>
      </c>
      <c r="H454">
        <v>8034499464</v>
      </c>
      <c r="I454" t="s">
        <v>35</v>
      </c>
      <c r="J454" t="s">
        <v>61</v>
      </c>
      <c r="K454" t="s">
        <v>182</v>
      </c>
      <c r="L454" t="s">
        <v>108</v>
      </c>
      <c r="M454" t="str">
        <f>TRIM(Table2[[#This Row],[Category]])</f>
        <v>Clothing</v>
      </c>
      <c r="N454" t="s">
        <v>114</v>
      </c>
      <c r="O454" t="s">
        <v>115</v>
      </c>
      <c r="P454">
        <v>7</v>
      </c>
      <c r="Q454">
        <v>20857.509999999998</v>
      </c>
      <c r="R454">
        <v>5</v>
      </c>
      <c r="S454">
        <v>7300.13</v>
      </c>
      <c r="T454">
        <v>138702.44</v>
      </c>
      <c r="U454">
        <v>43357.03</v>
      </c>
    </row>
    <row r="455" spans="1:21" ht="15" customHeight="1" x14ac:dyDescent="0.25">
      <c r="A455" t="s">
        <v>1913</v>
      </c>
      <c r="B455" s="8">
        <v>45467</v>
      </c>
      <c r="C455" s="8">
        <v>45470</v>
      </c>
      <c r="D455" t="s">
        <v>73</v>
      </c>
      <c r="E455" t="s">
        <v>3041</v>
      </c>
      <c r="F455" t="s">
        <v>3036</v>
      </c>
      <c r="G455" t="s">
        <v>1914</v>
      </c>
      <c r="H455">
        <v>9057634775</v>
      </c>
      <c r="I455" t="s">
        <v>24</v>
      </c>
      <c r="J455" t="s">
        <v>69</v>
      </c>
      <c r="K455" t="s">
        <v>144</v>
      </c>
      <c r="L455" t="s">
        <v>85</v>
      </c>
      <c r="M455" t="str">
        <f>TRIM(Table2[[#This Row],[Category]])</f>
        <v>Furniture</v>
      </c>
      <c r="N455" t="s">
        <v>486</v>
      </c>
      <c r="O455" t="s">
        <v>1193</v>
      </c>
      <c r="P455">
        <v>14</v>
      </c>
      <c r="Q455" t="s">
        <v>1915</v>
      </c>
      <c r="R455">
        <v>10</v>
      </c>
      <c r="S455">
        <v>186938.71</v>
      </c>
      <c r="T455">
        <v>1682448.39</v>
      </c>
      <c r="U455">
        <v>-102628.49</v>
      </c>
    </row>
    <row r="456" spans="1:21" ht="15" customHeight="1" x14ac:dyDescent="0.25">
      <c r="A456" t="s">
        <v>1398</v>
      </c>
      <c r="B456" s="8">
        <v>45467</v>
      </c>
      <c r="C456" s="8">
        <v>45471</v>
      </c>
      <c r="D456" t="s">
        <v>73</v>
      </c>
      <c r="E456" t="s">
        <v>3056</v>
      </c>
      <c r="F456" t="s">
        <v>3034</v>
      </c>
      <c r="G456" t="s">
        <v>1399</v>
      </c>
      <c r="H456">
        <v>8033339134</v>
      </c>
      <c r="I456" t="s">
        <v>43</v>
      </c>
      <c r="J456" t="s">
        <v>51</v>
      </c>
      <c r="K456" t="s">
        <v>3127</v>
      </c>
      <c r="L456" t="s">
        <v>27</v>
      </c>
      <c r="M456" t="str">
        <f>TRIM(Table2[[#This Row],[Category]])</f>
        <v>Food &amp; Beverages</v>
      </c>
      <c r="N456" t="s">
        <v>79</v>
      </c>
      <c r="O456" t="s">
        <v>80</v>
      </c>
      <c r="P456">
        <v>20</v>
      </c>
      <c r="Q456">
        <v>490.93</v>
      </c>
      <c r="R456">
        <v>5</v>
      </c>
      <c r="S456">
        <v>490.93</v>
      </c>
      <c r="T456">
        <v>9327.67</v>
      </c>
      <c r="U456">
        <v>1096.78</v>
      </c>
    </row>
    <row r="457" spans="1:21" ht="15" customHeight="1" x14ac:dyDescent="0.25">
      <c r="A457" t="s">
        <v>2834</v>
      </c>
      <c r="B457" s="8">
        <v>45482</v>
      </c>
      <c r="C457" s="8">
        <v>45485</v>
      </c>
      <c r="D457" t="s">
        <v>73</v>
      </c>
      <c r="E457" t="s">
        <v>3091</v>
      </c>
      <c r="F457" t="s">
        <v>3042</v>
      </c>
      <c r="G457" t="s">
        <v>908</v>
      </c>
      <c r="H457">
        <v>7065523800</v>
      </c>
      <c r="I457" t="s">
        <v>24</v>
      </c>
      <c r="J457" t="s">
        <v>51</v>
      </c>
      <c r="K457" t="s">
        <v>223</v>
      </c>
      <c r="L457" t="s">
        <v>85</v>
      </c>
      <c r="M457" t="str">
        <f>TRIM(Table2[[#This Row],[Category]])</f>
        <v>Furniture</v>
      </c>
      <c r="N457" t="s">
        <v>486</v>
      </c>
      <c r="O457" t="s">
        <v>1193</v>
      </c>
      <c r="P457">
        <v>5</v>
      </c>
      <c r="Q457">
        <v>83358.240000000005</v>
      </c>
      <c r="R457">
        <v>0</v>
      </c>
      <c r="S457">
        <v>0</v>
      </c>
      <c r="T457">
        <v>416791.2</v>
      </c>
      <c r="U457">
        <v>132791.63</v>
      </c>
    </row>
    <row r="458" spans="1:21" ht="15" customHeight="1" x14ac:dyDescent="0.25">
      <c r="A458" t="s">
        <v>2863</v>
      </c>
      <c r="B458" s="8">
        <v>45481</v>
      </c>
      <c r="C458" s="8">
        <v>45485</v>
      </c>
      <c r="D458" t="s">
        <v>73</v>
      </c>
      <c r="E458" t="s">
        <v>3065</v>
      </c>
      <c r="F458" t="s">
        <v>3088</v>
      </c>
      <c r="G458" t="s">
        <v>2865</v>
      </c>
      <c r="H458">
        <v>8166297073</v>
      </c>
      <c r="I458" t="s">
        <v>35</v>
      </c>
      <c r="J458" t="s">
        <v>51</v>
      </c>
      <c r="K458" t="s">
        <v>316</v>
      </c>
      <c r="L458" t="s">
        <v>63</v>
      </c>
      <c r="M458" t="str">
        <f>TRIM(Table2[[#This Row],[Category]])</f>
        <v>Office Supplies</v>
      </c>
      <c r="N458" t="s">
        <v>312</v>
      </c>
      <c r="O458" t="s">
        <v>736</v>
      </c>
      <c r="P458">
        <v>1</v>
      </c>
      <c r="Q458">
        <v>23192.22</v>
      </c>
      <c r="R458">
        <v>5</v>
      </c>
      <c r="S458">
        <v>1159.6099999999999</v>
      </c>
      <c r="T458">
        <v>22032.61</v>
      </c>
      <c r="U458">
        <v>2059.8200000000002</v>
      </c>
    </row>
    <row r="459" spans="1:21" ht="15" customHeight="1" x14ac:dyDescent="0.25">
      <c r="A459" t="s">
        <v>921</v>
      </c>
      <c r="B459" s="8">
        <v>45496</v>
      </c>
      <c r="C459" s="8">
        <v>45500</v>
      </c>
      <c r="D459" t="s">
        <v>73</v>
      </c>
      <c r="E459" t="s">
        <v>3073</v>
      </c>
      <c r="F459" t="s">
        <v>3042</v>
      </c>
      <c r="G459" t="s">
        <v>923</v>
      </c>
      <c r="H459">
        <v>8034739945</v>
      </c>
      <c r="I459" t="s">
        <v>24</v>
      </c>
      <c r="J459" t="s">
        <v>51</v>
      </c>
      <c r="K459" t="s">
        <v>227</v>
      </c>
      <c r="L459" t="s">
        <v>108</v>
      </c>
      <c r="M459" t="str">
        <f>TRIM(Table2[[#This Row],[Category]])</f>
        <v>Clothing</v>
      </c>
      <c r="N459" t="s">
        <v>38</v>
      </c>
      <c r="O459" t="s">
        <v>296</v>
      </c>
      <c r="P459">
        <v>20</v>
      </c>
      <c r="Q459">
        <v>34998.910000000003</v>
      </c>
      <c r="R459">
        <v>20</v>
      </c>
      <c r="S459">
        <v>139995.64000000001</v>
      </c>
      <c r="T459">
        <v>559982.56000000006</v>
      </c>
      <c r="U459">
        <v>156792.23000000001</v>
      </c>
    </row>
    <row r="460" spans="1:21" ht="15" customHeight="1" x14ac:dyDescent="0.25">
      <c r="A460" t="s">
        <v>1916</v>
      </c>
      <c r="B460" s="8">
        <v>45502</v>
      </c>
      <c r="C460" s="8">
        <v>45505</v>
      </c>
      <c r="D460" t="s">
        <v>73</v>
      </c>
      <c r="E460" t="s">
        <v>3065</v>
      </c>
      <c r="F460" t="s">
        <v>3052</v>
      </c>
      <c r="G460" t="s">
        <v>1918</v>
      </c>
      <c r="H460">
        <v>9014026721</v>
      </c>
      <c r="I460" t="s">
        <v>43</v>
      </c>
      <c r="J460" t="s">
        <v>69</v>
      </c>
      <c r="K460" t="s">
        <v>3127</v>
      </c>
      <c r="L460" t="s">
        <v>63</v>
      </c>
      <c r="M460" t="str">
        <f>TRIM(Table2[[#This Row],[Category]])</f>
        <v>Office Supplies</v>
      </c>
      <c r="N460" t="s">
        <v>249</v>
      </c>
      <c r="O460" t="s">
        <v>1141</v>
      </c>
      <c r="P460">
        <v>6</v>
      </c>
      <c r="Q460">
        <v>4491.51</v>
      </c>
      <c r="R460">
        <v>15</v>
      </c>
      <c r="S460">
        <v>4042.36</v>
      </c>
      <c r="T460">
        <v>22906.7</v>
      </c>
      <c r="U460">
        <v>6011.18</v>
      </c>
    </row>
    <row r="461" spans="1:21" ht="15" customHeight="1" x14ac:dyDescent="0.25">
      <c r="A461" t="s">
        <v>1406</v>
      </c>
      <c r="B461" s="8">
        <v>45508</v>
      </c>
      <c r="C461" s="8">
        <v>45513</v>
      </c>
      <c r="D461" t="s">
        <v>73</v>
      </c>
      <c r="E461" t="str">
        <f>E462</f>
        <v>Adebayo</v>
      </c>
      <c r="F461" t="str">
        <f>F460</f>
        <v>Nwosu</v>
      </c>
      <c r="G461" t="s">
        <v>1407</v>
      </c>
      <c r="H461">
        <v>8134120669</v>
      </c>
      <c r="I461" t="s">
        <v>43</v>
      </c>
      <c r="J461" t="s">
        <v>69</v>
      </c>
      <c r="K461" t="s">
        <v>144</v>
      </c>
      <c r="L461" t="s">
        <v>108</v>
      </c>
      <c r="M461" t="str">
        <f>TRIM(Table2[[#This Row],[Category]])</f>
        <v>Clothing</v>
      </c>
      <c r="N461" t="s">
        <v>38</v>
      </c>
      <c r="O461" t="s">
        <v>296</v>
      </c>
      <c r="P461">
        <v>10</v>
      </c>
      <c r="Q461">
        <v>23095.18</v>
      </c>
      <c r="R461">
        <v>10</v>
      </c>
      <c r="S461">
        <v>23095.18</v>
      </c>
      <c r="T461">
        <v>207856.62</v>
      </c>
      <c r="U461">
        <v>30442.74</v>
      </c>
    </row>
    <row r="462" spans="1:21" ht="15" customHeight="1" x14ac:dyDescent="0.25">
      <c r="A462" t="s">
        <v>2108</v>
      </c>
      <c r="B462" s="8">
        <v>45520</v>
      </c>
      <c r="C462" s="8">
        <v>45525</v>
      </c>
      <c r="D462" t="s">
        <v>73</v>
      </c>
      <c r="E462" t="s">
        <v>3039</v>
      </c>
      <c r="F462" t="s">
        <v>3036</v>
      </c>
      <c r="G462" t="s">
        <v>2109</v>
      </c>
      <c r="H462">
        <v>8107002009</v>
      </c>
      <c r="I462" t="s">
        <v>43</v>
      </c>
      <c r="J462" t="s">
        <v>69</v>
      </c>
      <c r="K462" t="s">
        <v>307</v>
      </c>
      <c r="L462" t="s">
        <v>27</v>
      </c>
      <c r="M462" t="str">
        <f>TRIM(Table2[[#This Row],[Category]])</f>
        <v>Food &amp; Beverages</v>
      </c>
      <c r="N462" t="s">
        <v>173</v>
      </c>
      <c r="O462" t="s">
        <v>380</v>
      </c>
      <c r="P462">
        <v>17</v>
      </c>
      <c r="Q462">
        <v>2986.02</v>
      </c>
      <c r="R462">
        <v>15</v>
      </c>
      <c r="S462">
        <v>7614.35</v>
      </c>
      <c r="T462">
        <v>43147.99</v>
      </c>
      <c r="U462">
        <v>6809.92</v>
      </c>
    </row>
    <row r="463" spans="1:21" ht="15" customHeight="1" x14ac:dyDescent="0.25">
      <c r="A463" t="s">
        <v>341</v>
      </c>
      <c r="B463" s="8">
        <v>45527</v>
      </c>
      <c r="C463" s="8">
        <v>45530</v>
      </c>
      <c r="D463" t="s">
        <v>73</v>
      </c>
      <c r="E463" t="s">
        <v>3085</v>
      </c>
      <c r="F463" t="s">
        <v>3077</v>
      </c>
      <c r="G463" t="s">
        <v>343</v>
      </c>
      <c r="H463">
        <v>9054713925</v>
      </c>
      <c r="I463" t="s">
        <v>24</v>
      </c>
      <c r="J463" t="s">
        <v>51</v>
      </c>
      <c r="K463" t="s">
        <v>52</v>
      </c>
      <c r="L463" t="s">
        <v>96</v>
      </c>
      <c r="M463" t="str">
        <f>TRIM(Table2[[#This Row],[Category]])</f>
        <v>Technology</v>
      </c>
      <c r="N463" t="s">
        <v>189</v>
      </c>
      <c r="O463" t="s">
        <v>325</v>
      </c>
      <c r="P463">
        <v>4</v>
      </c>
      <c r="Q463">
        <v>297419.15999999997</v>
      </c>
      <c r="R463">
        <v>0</v>
      </c>
      <c r="S463">
        <v>0</v>
      </c>
      <c r="T463">
        <v>1189676.6399999999</v>
      </c>
      <c r="U463">
        <v>-146082.67000000001</v>
      </c>
    </row>
    <row r="464" spans="1:21" ht="15" customHeight="1" x14ac:dyDescent="0.25">
      <c r="A464" t="s">
        <v>1073</v>
      </c>
      <c r="B464" s="8">
        <v>45530</v>
      </c>
      <c r="C464" s="8">
        <v>45533</v>
      </c>
      <c r="D464" t="s">
        <v>73</v>
      </c>
      <c r="E464" t="s">
        <v>3065</v>
      </c>
      <c r="F464" t="s">
        <v>3066</v>
      </c>
      <c r="G464" t="s">
        <v>1074</v>
      </c>
      <c r="H464">
        <v>8109673937</v>
      </c>
      <c r="I464" t="s">
        <v>35</v>
      </c>
      <c r="J464" t="s">
        <v>69</v>
      </c>
      <c r="K464" t="s">
        <v>119</v>
      </c>
      <c r="L464" t="s">
        <v>27</v>
      </c>
      <c r="M464" t="str">
        <f>TRIM(Table2[[#This Row],[Category]])</f>
        <v>Food &amp; Beverages</v>
      </c>
      <c r="N464" t="s">
        <v>45</v>
      </c>
      <c r="O464" t="s">
        <v>875</v>
      </c>
      <c r="P464">
        <v>18</v>
      </c>
      <c r="Q464">
        <v>2610.2600000000002</v>
      </c>
      <c r="R464">
        <v>0</v>
      </c>
      <c r="S464">
        <v>0</v>
      </c>
      <c r="T464">
        <v>46984.68</v>
      </c>
      <c r="U464">
        <v>4183.57</v>
      </c>
    </row>
    <row r="465" spans="1:21" ht="15" customHeight="1" x14ac:dyDescent="0.25">
      <c r="A465" t="s">
        <v>2277</v>
      </c>
      <c r="B465" s="8">
        <v>45535</v>
      </c>
      <c r="C465" s="8">
        <v>45538</v>
      </c>
      <c r="D465" t="s">
        <v>73</v>
      </c>
      <c r="E465" t="s">
        <v>3039</v>
      </c>
      <c r="F465" t="s">
        <v>3057</v>
      </c>
      <c r="G465" t="s">
        <v>2278</v>
      </c>
      <c r="H465">
        <v>7037340280</v>
      </c>
      <c r="I465" t="s">
        <v>35</v>
      </c>
      <c r="J465" t="s">
        <v>1009</v>
      </c>
      <c r="K465" t="s">
        <v>52</v>
      </c>
      <c r="L465" t="s">
        <v>27</v>
      </c>
      <c r="M465" t="str">
        <f>TRIM(Table2[[#This Row],[Category]])</f>
        <v>Food &amp; Beverages</v>
      </c>
      <c r="N465" t="s">
        <v>79</v>
      </c>
      <c r="O465" t="s">
        <v>80</v>
      </c>
      <c r="P465">
        <v>12</v>
      </c>
      <c r="Q465">
        <v>5699.92</v>
      </c>
      <c r="R465">
        <v>0</v>
      </c>
      <c r="S465">
        <v>0</v>
      </c>
      <c r="T465">
        <v>68399.039999999994</v>
      </c>
      <c r="U465">
        <v>-3744.83</v>
      </c>
    </row>
    <row r="466" spans="1:21" ht="15" customHeight="1" x14ac:dyDescent="0.25">
      <c r="A466" t="s">
        <v>88</v>
      </c>
      <c r="B466" s="8">
        <v>45535</v>
      </c>
      <c r="C466" s="8">
        <v>45540</v>
      </c>
      <c r="D466" t="s">
        <v>73</v>
      </c>
      <c r="E466" t="s">
        <v>3048</v>
      </c>
      <c r="F466" t="s">
        <v>3036</v>
      </c>
      <c r="G466" t="s">
        <v>90</v>
      </c>
      <c r="H466">
        <v>8134374754</v>
      </c>
      <c r="I466" t="s">
        <v>35</v>
      </c>
      <c r="J466" t="s">
        <v>25</v>
      </c>
      <c r="K466" t="s">
        <v>36</v>
      </c>
      <c r="L466" t="s">
        <v>63</v>
      </c>
      <c r="M466" t="str">
        <f>TRIM(Table2[[#This Row],[Category]])</f>
        <v>Office Supplies</v>
      </c>
      <c r="N466" t="s">
        <v>64</v>
      </c>
      <c r="O466" t="s">
        <v>65</v>
      </c>
      <c r="P466">
        <v>17</v>
      </c>
      <c r="Q466">
        <v>11233.45</v>
      </c>
      <c r="R466">
        <v>20</v>
      </c>
      <c r="S466">
        <v>38193.730000000003</v>
      </c>
      <c r="T466">
        <v>152774.92000000001</v>
      </c>
      <c r="U466">
        <v>-11824.39</v>
      </c>
    </row>
    <row r="467" spans="1:21" ht="15" customHeight="1" x14ac:dyDescent="0.25">
      <c r="A467" t="s">
        <v>603</v>
      </c>
      <c r="B467" s="8">
        <v>45543</v>
      </c>
      <c r="C467" s="8">
        <v>45546</v>
      </c>
      <c r="D467" t="s">
        <v>73</v>
      </c>
      <c r="E467" t="s">
        <v>3095</v>
      </c>
      <c r="F467" t="s">
        <v>3064</v>
      </c>
      <c r="G467" t="s">
        <v>605</v>
      </c>
      <c r="H467">
        <v>8134188068</v>
      </c>
      <c r="I467" t="s">
        <v>35</v>
      </c>
      <c r="J467" t="s">
        <v>25</v>
      </c>
      <c r="K467" t="s">
        <v>606</v>
      </c>
      <c r="L467" t="s">
        <v>96</v>
      </c>
      <c r="M467" t="str">
        <f>TRIM(Table2[[#This Row],[Category]])</f>
        <v>Technology</v>
      </c>
      <c r="N467" t="s">
        <v>189</v>
      </c>
      <c r="O467" t="s">
        <v>190</v>
      </c>
      <c r="P467">
        <v>7</v>
      </c>
      <c r="Q467">
        <v>317597.43</v>
      </c>
      <c r="R467">
        <v>15</v>
      </c>
      <c r="S467">
        <v>333477.3</v>
      </c>
      <c r="T467">
        <v>1889704.71</v>
      </c>
      <c r="U467">
        <v>754135.56</v>
      </c>
    </row>
    <row r="468" spans="1:21" ht="15" customHeight="1" x14ac:dyDescent="0.25">
      <c r="A468" t="s">
        <v>1855</v>
      </c>
      <c r="B468" s="8">
        <v>45544</v>
      </c>
      <c r="C468" s="8">
        <v>45548</v>
      </c>
      <c r="D468" t="s">
        <v>73</v>
      </c>
      <c r="E468" t="str">
        <f>E469</f>
        <v>Kehinde</v>
      </c>
      <c r="F468" t="str">
        <f>F467</f>
        <v>Eze</v>
      </c>
      <c r="G468" t="s">
        <v>1856</v>
      </c>
      <c r="H468">
        <v>7061233207</v>
      </c>
      <c r="I468" t="s">
        <v>24</v>
      </c>
      <c r="J468" t="s">
        <v>25</v>
      </c>
      <c r="K468" t="s">
        <v>168</v>
      </c>
      <c r="L468" t="s">
        <v>27</v>
      </c>
      <c r="M468" t="str">
        <f>TRIM(Table2[[#This Row],[Category]])</f>
        <v>Food &amp; Beverages</v>
      </c>
      <c r="N468" t="s">
        <v>354</v>
      </c>
      <c r="O468" t="s">
        <v>355</v>
      </c>
      <c r="P468">
        <v>18</v>
      </c>
      <c r="Q468">
        <v>5799.03</v>
      </c>
      <c r="R468">
        <v>10</v>
      </c>
      <c r="S468">
        <v>10438.25</v>
      </c>
      <c r="T468">
        <v>93944.29</v>
      </c>
      <c r="U468">
        <v>-325.45</v>
      </c>
    </row>
    <row r="469" spans="1:21" ht="15" customHeight="1" x14ac:dyDescent="0.25">
      <c r="A469" t="s">
        <v>1153</v>
      </c>
      <c r="B469" s="8">
        <v>45561</v>
      </c>
      <c r="C469" s="8">
        <v>45565</v>
      </c>
      <c r="D469" t="s">
        <v>73</v>
      </c>
      <c r="E469" t="s">
        <v>3094</v>
      </c>
      <c r="F469" t="s">
        <v>3052</v>
      </c>
      <c r="G469" t="s">
        <v>1154</v>
      </c>
      <c r="H469">
        <v>8132201986</v>
      </c>
      <c r="I469" t="s">
        <v>43</v>
      </c>
      <c r="J469" t="s">
        <v>61</v>
      </c>
      <c r="K469" t="s">
        <v>62</v>
      </c>
      <c r="L469" t="s">
        <v>63</v>
      </c>
      <c r="M469" t="str">
        <f>TRIM(Table2[[#This Row],[Category]])</f>
        <v>Office Supplies</v>
      </c>
      <c r="N469" t="s">
        <v>194</v>
      </c>
      <c r="O469" t="s">
        <v>257</v>
      </c>
      <c r="P469">
        <v>19</v>
      </c>
      <c r="Q469">
        <v>8423.59</v>
      </c>
      <c r="R469">
        <v>0</v>
      </c>
      <c r="S469">
        <v>0</v>
      </c>
      <c r="T469">
        <v>160048.21</v>
      </c>
      <c r="U469">
        <v>-13201.11</v>
      </c>
    </row>
    <row r="470" spans="1:21" ht="15" customHeight="1" x14ac:dyDescent="0.25">
      <c r="A470" t="s">
        <v>2821</v>
      </c>
      <c r="B470" s="8">
        <v>45570</v>
      </c>
      <c r="C470" s="8">
        <v>45575</v>
      </c>
      <c r="D470" t="s">
        <v>73</v>
      </c>
      <c r="E470" t="s">
        <v>3059</v>
      </c>
      <c r="F470" t="s">
        <v>3090</v>
      </c>
      <c r="G470" t="s">
        <v>2822</v>
      </c>
      <c r="H470">
        <v>8137516960</v>
      </c>
      <c r="I470" t="s">
        <v>43</v>
      </c>
      <c r="J470" t="s">
        <v>25</v>
      </c>
      <c r="K470" t="s">
        <v>36</v>
      </c>
      <c r="L470" t="s">
        <v>85</v>
      </c>
      <c r="M470" t="str">
        <f>TRIM(Table2[[#This Row],[Category]])</f>
        <v>Furniture</v>
      </c>
      <c r="N470" t="s">
        <v>266</v>
      </c>
      <c r="O470" t="s">
        <v>593</v>
      </c>
      <c r="P470">
        <v>13</v>
      </c>
      <c r="Q470">
        <v>67214.070000000007</v>
      </c>
      <c r="R470">
        <v>15</v>
      </c>
      <c r="S470">
        <v>131067.44</v>
      </c>
      <c r="T470">
        <v>742715.47</v>
      </c>
      <c r="U470">
        <v>294447.87</v>
      </c>
    </row>
    <row r="471" spans="1:21" ht="15" customHeight="1" x14ac:dyDescent="0.25">
      <c r="A471" t="s">
        <v>650</v>
      </c>
      <c r="B471" s="8">
        <v>45577</v>
      </c>
      <c r="C471" s="8">
        <v>45582</v>
      </c>
      <c r="D471" t="s">
        <v>73</v>
      </c>
      <c r="E471" t="s">
        <v>3085</v>
      </c>
      <c r="F471" t="s">
        <v>3052</v>
      </c>
      <c r="G471" t="s">
        <v>652</v>
      </c>
      <c r="H471">
        <v>8063273137</v>
      </c>
      <c r="I471" t="s">
        <v>43</v>
      </c>
      <c r="J471" t="s">
        <v>25</v>
      </c>
      <c r="K471" t="s">
        <v>44</v>
      </c>
      <c r="L471" t="s">
        <v>63</v>
      </c>
      <c r="M471" t="str">
        <f>TRIM(Table2[[#This Row],[Category]])</f>
        <v>Office Supplies</v>
      </c>
      <c r="N471" t="s">
        <v>249</v>
      </c>
      <c r="O471" t="s">
        <v>329</v>
      </c>
      <c r="P471">
        <v>20</v>
      </c>
      <c r="Q471">
        <v>8639.32</v>
      </c>
      <c r="R471">
        <v>15</v>
      </c>
      <c r="S471">
        <v>25917.96</v>
      </c>
      <c r="T471">
        <v>146868.44</v>
      </c>
      <c r="U471">
        <v>48825.81</v>
      </c>
    </row>
    <row r="472" spans="1:21" ht="15" customHeight="1" x14ac:dyDescent="0.25">
      <c r="A472" t="s">
        <v>1476</v>
      </c>
      <c r="B472" s="8">
        <v>45584</v>
      </c>
      <c r="C472" s="8">
        <v>45587</v>
      </c>
      <c r="D472" t="s">
        <v>73</v>
      </c>
      <c r="E472" t="str">
        <f>E473</f>
        <v>Adaeze</v>
      </c>
      <c r="F472" t="str">
        <f>F471</f>
        <v>Nwosu</v>
      </c>
      <c r="G472" t="s">
        <v>1477</v>
      </c>
      <c r="H472">
        <v>9052004647</v>
      </c>
      <c r="I472" t="s">
        <v>24</v>
      </c>
      <c r="J472" t="s">
        <v>61</v>
      </c>
      <c r="K472" t="s">
        <v>95</v>
      </c>
      <c r="L472" t="s">
        <v>27</v>
      </c>
      <c r="M472" t="str">
        <f>TRIM(Table2[[#This Row],[Category]])</f>
        <v>Food &amp; Beverages</v>
      </c>
      <c r="N472" t="s">
        <v>354</v>
      </c>
      <c r="O472" t="s">
        <v>494</v>
      </c>
      <c r="P472">
        <v>8</v>
      </c>
      <c r="Q472">
        <v>3861.15</v>
      </c>
      <c r="R472">
        <v>0</v>
      </c>
      <c r="S472">
        <v>0</v>
      </c>
      <c r="T472">
        <v>30889.200000000001</v>
      </c>
      <c r="U472">
        <v>9200.66</v>
      </c>
    </row>
    <row r="473" spans="1:21" ht="15" customHeight="1" x14ac:dyDescent="0.25">
      <c r="A473" t="s">
        <v>2459</v>
      </c>
      <c r="B473" s="8">
        <v>45585</v>
      </c>
      <c r="C473" s="8">
        <v>45588</v>
      </c>
      <c r="D473" t="s">
        <v>73</v>
      </c>
      <c r="E473" t="s">
        <v>3095</v>
      </c>
      <c r="F473" t="s">
        <v>3039</v>
      </c>
      <c r="G473" t="s">
        <v>2460</v>
      </c>
      <c r="H473" t="s">
        <v>512</v>
      </c>
      <c r="I473" t="s">
        <v>43</v>
      </c>
      <c r="J473" t="s">
        <v>51</v>
      </c>
      <c r="K473" t="s">
        <v>316</v>
      </c>
      <c r="L473" t="s">
        <v>96</v>
      </c>
      <c r="M473" t="str">
        <f>TRIM(Table2[[#This Row],[Category]])</f>
        <v>Technology</v>
      </c>
      <c r="N473" t="s">
        <v>120</v>
      </c>
      <c r="O473" t="s">
        <v>133</v>
      </c>
      <c r="P473">
        <v>16</v>
      </c>
      <c r="Q473">
        <v>151122.09</v>
      </c>
      <c r="R473">
        <v>0</v>
      </c>
      <c r="S473">
        <v>0</v>
      </c>
      <c r="T473">
        <v>2417953.44</v>
      </c>
      <c r="U473">
        <v>734909.59</v>
      </c>
    </row>
    <row r="474" spans="1:21" ht="15" customHeight="1" x14ac:dyDescent="0.25">
      <c r="A474" t="s">
        <v>2341</v>
      </c>
      <c r="B474" s="8">
        <v>45592</v>
      </c>
      <c r="C474" s="8">
        <v>45595</v>
      </c>
      <c r="D474" t="s">
        <v>73</v>
      </c>
      <c r="E474" t="s">
        <v>3080</v>
      </c>
      <c r="F474" t="s">
        <v>3057</v>
      </c>
      <c r="G474" t="s">
        <v>2342</v>
      </c>
      <c r="H474">
        <v>8036452935</v>
      </c>
      <c r="I474" t="s">
        <v>35</v>
      </c>
      <c r="J474" t="s">
        <v>25</v>
      </c>
      <c r="K474" t="s">
        <v>36</v>
      </c>
      <c r="L474" t="s">
        <v>27</v>
      </c>
      <c r="M474" t="str">
        <f>TRIM(Table2[[#This Row],[Category]])</f>
        <v>Food &amp; Beverages</v>
      </c>
      <c r="N474" t="s">
        <v>354</v>
      </c>
      <c r="O474" t="s">
        <v>625</v>
      </c>
      <c r="P474">
        <v>16</v>
      </c>
      <c r="Q474">
        <v>4683.66</v>
      </c>
      <c r="R474">
        <v>0</v>
      </c>
      <c r="S474">
        <v>0</v>
      </c>
      <c r="T474">
        <v>74938.559999999998</v>
      </c>
      <c r="U474">
        <v>31557.200000000001</v>
      </c>
    </row>
    <row r="475" spans="1:21" ht="15" customHeight="1" x14ac:dyDescent="0.25">
      <c r="A475" t="s">
        <v>2300</v>
      </c>
      <c r="B475" s="8">
        <v>45600</v>
      </c>
      <c r="C475" s="8">
        <v>45604</v>
      </c>
      <c r="D475" t="s">
        <v>73</v>
      </c>
      <c r="E475" t="s">
        <v>3039</v>
      </c>
      <c r="F475" t="s">
        <v>3046</v>
      </c>
      <c r="G475" t="s">
        <v>2301</v>
      </c>
      <c r="H475">
        <v>9077739464</v>
      </c>
      <c r="I475" t="s">
        <v>43</v>
      </c>
      <c r="J475" t="s">
        <v>25</v>
      </c>
      <c r="K475" t="s">
        <v>126</v>
      </c>
      <c r="L475" t="s">
        <v>108</v>
      </c>
      <c r="M475" t="str">
        <f>TRIM(Table2[[#This Row],[Category]])</f>
        <v>Clothing</v>
      </c>
      <c r="N475" t="s">
        <v>114</v>
      </c>
      <c r="O475" t="s">
        <v>482</v>
      </c>
      <c r="P475">
        <v>4</v>
      </c>
      <c r="Q475">
        <v>20274.189999999999</v>
      </c>
      <c r="R475">
        <v>20</v>
      </c>
      <c r="S475">
        <v>16219.35</v>
      </c>
      <c r="T475">
        <v>64877.41</v>
      </c>
      <c r="U475">
        <v>9811.86</v>
      </c>
    </row>
    <row r="476" spans="1:21" ht="15" customHeight="1" x14ac:dyDescent="0.25">
      <c r="A476" t="s">
        <v>1015</v>
      </c>
      <c r="B476" s="8">
        <v>45608</v>
      </c>
      <c r="C476" s="8">
        <v>45612</v>
      </c>
      <c r="D476" t="s">
        <v>73</v>
      </c>
      <c r="E476" t="s">
        <v>3048</v>
      </c>
      <c r="F476" t="s">
        <v>3034</v>
      </c>
      <c r="G476" t="s">
        <v>1017</v>
      </c>
      <c r="H476">
        <v>8142154992</v>
      </c>
      <c r="I476" t="s">
        <v>35</v>
      </c>
      <c r="J476" t="s">
        <v>69</v>
      </c>
      <c r="K476" t="s">
        <v>155</v>
      </c>
      <c r="L476" t="s">
        <v>85</v>
      </c>
      <c r="M476" t="str">
        <f>TRIM(Table2[[#This Row],[Category]])</f>
        <v>Furniture</v>
      </c>
      <c r="N476" t="s">
        <v>486</v>
      </c>
      <c r="O476" t="s">
        <v>1018</v>
      </c>
      <c r="P476">
        <v>1</v>
      </c>
      <c r="Q476">
        <v>30740.67</v>
      </c>
      <c r="R476">
        <v>5</v>
      </c>
      <c r="S476">
        <v>1537.03</v>
      </c>
      <c r="T476">
        <v>29203.64</v>
      </c>
      <c r="U476">
        <v>4778.5</v>
      </c>
    </row>
    <row r="477" spans="1:21" ht="15" customHeight="1" x14ac:dyDescent="0.25">
      <c r="A477" t="s">
        <v>1876</v>
      </c>
      <c r="B477" s="8">
        <v>45609</v>
      </c>
      <c r="C477" s="8">
        <v>45612</v>
      </c>
      <c r="D477" t="s">
        <v>73</v>
      </c>
      <c r="E477" t="s">
        <v>3059</v>
      </c>
      <c r="F477" t="s">
        <v>3036</v>
      </c>
      <c r="G477" t="s">
        <v>1878</v>
      </c>
      <c r="H477" t="s">
        <v>1508</v>
      </c>
      <c r="I477" t="s">
        <v>24</v>
      </c>
      <c r="J477" t="s">
        <v>1879</v>
      </c>
      <c r="K477" t="s">
        <v>119</v>
      </c>
      <c r="L477" t="s">
        <v>85</v>
      </c>
      <c r="M477" t="str">
        <f>TRIM(Table2[[#This Row],[Category]])</f>
        <v>Furniture</v>
      </c>
      <c r="N477" t="s">
        <v>486</v>
      </c>
      <c r="O477" t="s">
        <v>1193</v>
      </c>
      <c r="P477">
        <v>4</v>
      </c>
      <c r="Q477">
        <v>89509.57</v>
      </c>
      <c r="R477">
        <v>25</v>
      </c>
      <c r="S477">
        <v>89509.57</v>
      </c>
      <c r="T477">
        <v>268528.71000000002</v>
      </c>
      <c r="U477">
        <v>58179.5</v>
      </c>
    </row>
    <row r="478" spans="1:21" ht="15" customHeight="1" x14ac:dyDescent="0.25">
      <c r="A478" t="s">
        <v>575</v>
      </c>
      <c r="B478" s="8">
        <v>45613</v>
      </c>
      <c r="C478" s="8">
        <v>45617</v>
      </c>
      <c r="D478" t="s">
        <v>73</v>
      </c>
      <c r="E478" t="s">
        <v>3039</v>
      </c>
      <c r="F478" t="s">
        <v>3057</v>
      </c>
      <c r="G478" t="s">
        <v>577</v>
      </c>
      <c r="H478">
        <v>8158757420</v>
      </c>
      <c r="I478" t="s">
        <v>43</v>
      </c>
      <c r="J478" t="s">
        <v>69</v>
      </c>
      <c r="K478" t="s">
        <v>307</v>
      </c>
      <c r="L478" t="s">
        <v>63</v>
      </c>
      <c r="M478" t="str">
        <f>TRIM(Table2[[#This Row],[Category]])</f>
        <v>Office Supplies</v>
      </c>
      <c r="N478" t="s">
        <v>469</v>
      </c>
      <c r="O478" t="s">
        <v>470</v>
      </c>
      <c r="P478">
        <v>1</v>
      </c>
      <c r="Q478">
        <v>10200.74</v>
      </c>
      <c r="R478">
        <v>5</v>
      </c>
      <c r="S478">
        <v>510.04</v>
      </c>
      <c r="T478">
        <v>9690.7000000000007</v>
      </c>
      <c r="U478">
        <v>1908.94</v>
      </c>
    </row>
    <row r="479" spans="1:21" ht="15" customHeight="1" x14ac:dyDescent="0.25">
      <c r="A479" t="s">
        <v>535</v>
      </c>
      <c r="B479" s="8" t="s">
        <v>536</v>
      </c>
      <c r="C479" s="8">
        <v>45627</v>
      </c>
      <c r="D479" t="s">
        <v>416</v>
      </c>
      <c r="E479" t="s">
        <v>3060</v>
      </c>
      <c r="F479" t="s">
        <v>3074</v>
      </c>
      <c r="G479" t="s">
        <v>538</v>
      </c>
      <c r="H479">
        <v>8157322070</v>
      </c>
      <c r="I479" t="s">
        <v>24</v>
      </c>
      <c r="J479" t="s">
        <v>69</v>
      </c>
      <c r="K479" t="s">
        <v>307</v>
      </c>
      <c r="L479" t="s">
        <v>63</v>
      </c>
      <c r="M479" t="str">
        <f>TRIM(Table2[[#This Row],[Category]])</f>
        <v>Office Supplies</v>
      </c>
      <c r="N479" t="s">
        <v>54</v>
      </c>
      <c r="O479" t="s">
        <v>409</v>
      </c>
      <c r="P479">
        <v>11</v>
      </c>
      <c r="Q479">
        <v>22847.040000000001</v>
      </c>
      <c r="R479">
        <v>25</v>
      </c>
      <c r="S479">
        <v>62829.36</v>
      </c>
      <c r="T479" t="s">
        <v>539</v>
      </c>
      <c r="U479">
        <v>11794.11</v>
      </c>
    </row>
    <row r="480" spans="1:21" ht="15" customHeight="1" x14ac:dyDescent="0.25">
      <c r="A480" t="s">
        <v>2935</v>
      </c>
      <c r="B480" s="8">
        <v>45627</v>
      </c>
      <c r="C480" s="8">
        <v>45630</v>
      </c>
      <c r="D480" t="s">
        <v>73</v>
      </c>
      <c r="E480" t="s">
        <v>3060</v>
      </c>
      <c r="F480" t="s">
        <v>3096</v>
      </c>
      <c r="G480" t="s">
        <v>2937</v>
      </c>
      <c r="H480">
        <v>8035776497</v>
      </c>
      <c r="I480" t="s">
        <v>43</v>
      </c>
      <c r="J480" t="s">
        <v>51</v>
      </c>
      <c r="K480" t="s">
        <v>227</v>
      </c>
      <c r="L480" t="s">
        <v>96</v>
      </c>
      <c r="M480" t="str">
        <f>TRIM(Table2[[#This Row],[Category]])</f>
        <v>Technology</v>
      </c>
      <c r="N480" t="s">
        <v>97</v>
      </c>
      <c r="O480" t="s">
        <v>230</v>
      </c>
      <c r="P480">
        <v>4</v>
      </c>
      <c r="Q480">
        <v>400967.98</v>
      </c>
      <c r="R480">
        <v>0</v>
      </c>
      <c r="S480">
        <v>0</v>
      </c>
      <c r="T480">
        <v>1603871.92</v>
      </c>
      <c r="U480">
        <v>627673.84</v>
      </c>
    </row>
    <row r="481" spans="1:21" ht="15" customHeight="1" x14ac:dyDescent="0.25">
      <c r="A481" t="s">
        <v>594</v>
      </c>
      <c r="B481" s="8">
        <v>45629</v>
      </c>
      <c r="C481" s="8">
        <v>45632</v>
      </c>
      <c r="D481" t="s">
        <v>73</v>
      </c>
      <c r="E481" t="s">
        <v>3051</v>
      </c>
      <c r="F481" t="s">
        <v>3064</v>
      </c>
      <c r="G481" t="s">
        <v>596</v>
      </c>
      <c r="H481">
        <v>8033938247</v>
      </c>
      <c r="I481" t="s">
        <v>43</v>
      </c>
      <c r="J481" t="s">
        <v>51</v>
      </c>
      <c r="K481" t="s">
        <v>131</v>
      </c>
      <c r="L481" t="s">
        <v>108</v>
      </c>
      <c r="M481" t="str">
        <f>TRIM(Table2[[#This Row],[Category]])</f>
        <v>Clothing</v>
      </c>
      <c r="N481" t="s">
        <v>189</v>
      </c>
      <c r="O481" t="s">
        <v>478</v>
      </c>
      <c r="P481">
        <v>12</v>
      </c>
      <c r="Q481">
        <v>4016.02</v>
      </c>
      <c r="R481">
        <v>15</v>
      </c>
      <c r="S481">
        <v>7228.84</v>
      </c>
      <c r="T481">
        <v>40963.4</v>
      </c>
      <c r="U481">
        <v>13169.03</v>
      </c>
    </row>
    <row r="482" spans="1:21" ht="15" customHeight="1" x14ac:dyDescent="0.25">
      <c r="A482" t="s">
        <v>1590</v>
      </c>
      <c r="B482" s="8">
        <v>45627</v>
      </c>
      <c r="C482" s="8">
        <v>45632</v>
      </c>
      <c r="D482" t="s">
        <v>73</v>
      </c>
      <c r="E482" t="s">
        <v>3076</v>
      </c>
      <c r="F482" t="s">
        <v>3052</v>
      </c>
      <c r="G482" t="s">
        <v>948</v>
      </c>
      <c r="H482">
        <v>8156238726</v>
      </c>
      <c r="I482" t="s">
        <v>24</v>
      </c>
      <c r="J482" t="s">
        <v>51</v>
      </c>
      <c r="K482" t="s">
        <v>316</v>
      </c>
      <c r="L482" t="s">
        <v>27</v>
      </c>
      <c r="M482" t="str">
        <f>TRIM(Table2[[#This Row],[Category]])</f>
        <v>Food &amp; Beverages</v>
      </c>
      <c r="N482" t="s">
        <v>45</v>
      </c>
      <c r="O482" t="s">
        <v>523</v>
      </c>
      <c r="P482">
        <v>18</v>
      </c>
      <c r="Q482">
        <v>480.35</v>
      </c>
      <c r="R482">
        <v>10</v>
      </c>
      <c r="S482">
        <v>864.63</v>
      </c>
      <c r="T482">
        <v>7781.67</v>
      </c>
      <c r="U482">
        <v>-40.43</v>
      </c>
    </row>
    <row r="483" spans="1:21" ht="15" customHeight="1" x14ac:dyDescent="0.25">
      <c r="A483" t="s">
        <v>1857</v>
      </c>
      <c r="B483" s="8">
        <v>45634</v>
      </c>
      <c r="C483" s="8">
        <v>45637</v>
      </c>
      <c r="D483" t="s">
        <v>73</v>
      </c>
      <c r="E483" t="s">
        <v>3065</v>
      </c>
      <c r="F483" t="s">
        <v>3050</v>
      </c>
      <c r="G483" t="s">
        <v>1859</v>
      </c>
      <c r="H483">
        <v>8033236718</v>
      </c>
      <c r="I483" t="s">
        <v>43</v>
      </c>
      <c r="J483" t="s">
        <v>25</v>
      </c>
      <c r="K483" t="s">
        <v>36</v>
      </c>
      <c r="L483" t="s">
        <v>27</v>
      </c>
      <c r="M483" t="str">
        <f>TRIM(Table2[[#This Row],[Category]])</f>
        <v>Food &amp; Beverages</v>
      </c>
      <c r="N483" t="s">
        <v>45</v>
      </c>
      <c r="O483" t="s">
        <v>308</v>
      </c>
      <c r="P483">
        <v>13</v>
      </c>
      <c r="Q483">
        <v>3554.96</v>
      </c>
      <c r="R483">
        <v>0</v>
      </c>
      <c r="S483">
        <v>0</v>
      </c>
      <c r="T483">
        <v>46214.48</v>
      </c>
      <c r="U483">
        <v>3418.5</v>
      </c>
    </row>
    <row r="484" spans="1:21" ht="15" customHeight="1" x14ac:dyDescent="0.25">
      <c r="A484" t="s">
        <v>1400</v>
      </c>
      <c r="B484" s="8">
        <v>45640</v>
      </c>
      <c r="C484" s="8">
        <v>45643</v>
      </c>
      <c r="D484" t="s">
        <v>73</v>
      </c>
      <c r="E484" t="s">
        <v>3091</v>
      </c>
      <c r="F484" t="s">
        <v>3052</v>
      </c>
      <c r="G484" t="s">
        <v>587</v>
      </c>
      <c r="H484">
        <v>8068473546</v>
      </c>
      <c r="I484" t="s">
        <v>35</v>
      </c>
      <c r="J484" t="s">
        <v>25</v>
      </c>
      <c r="K484" t="s">
        <v>44</v>
      </c>
      <c r="L484" t="s">
        <v>96</v>
      </c>
      <c r="M484" t="str">
        <f>TRIM(Table2[[#This Row],[Category]])</f>
        <v>Technology</v>
      </c>
      <c r="N484" t="s">
        <v>254</v>
      </c>
      <c r="O484" t="s">
        <v>530</v>
      </c>
      <c r="P484">
        <v>11</v>
      </c>
      <c r="Q484">
        <v>99585.77</v>
      </c>
      <c r="R484">
        <v>25</v>
      </c>
      <c r="S484">
        <v>273860.87</v>
      </c>
      <c r="T484">
        <v>821582.6</v>
      </c>
      <c r="U484">
        <v>341812.29</v>
      </c>
    </row>
    <row r="485" spans="1:21" ht="15" customHeight="1" x14ac:dyDescent="0.25">
      <c r="A485" t="s">
        <v>419</v>
      </c>
      <c r="B485" s="8">
        <v>45307</v>
      </c>
      <c r="C485" s="8">
        <f t="shared" ref="C485:C488" si="2">C484</f>
        <v>45643</v>
      </c>
      <c r="D485" t="s">
        <v>73</v>
      </c>
      <c r="E485" t="s">
        <v>3076</v>
      </c>
      <c r="F485" t="s">
        <v>3045</v>
      </c>
      <c r="G485" t="s">
        <v>421</v>
      </c>
      <c r="H485" t="s">
        <v>422</v>
      </c>
      <c r="I485" t="s">
        <v>24</v>
      </c>
      <c r="J485" t="s">
        <v>69</v>
      </c>
      <c r="K485" t="s">
        <v>70</v>
      </c>
      <c r="L485" t="s">
        <v>27</v>
      </c>
      <c r="M485" t="str">
        <f>TRIM(Table2[[#This Row],[Category]])</f>
        <v>Food &amp; Beverages</v>
      </c>
      <c r="N485" t="s">
        <v>79</v>
      </c>
      <c r="O485" t="s">
        <v>80</v>
      </c>
      <c r="P485">
        <v>4</v>
      </c>
      <c r="Q485">
        <v>807.52</v>
      </c>
      <c r="R485">
        <v>25</v>
      </c>
      <c r="S485">
        <v>807.52</v>
      </c>
      <c r="T485">
        <v>2422.56</v>
      </c>
      <c r="U485">
        <v>622.66</v>
      </c>
    </row>
    <row r="486" spans="1:21" ht="15" customHeight="1" x14ac:dyDescent="0.25">
      <c r="A486" t="s">
        <v>933</v>
      </c>
      <c r="B486" s="8">
        <v>45583</v>
      </c>
      <c r="C486" s="8">
        <f t="shared" si="2"/>
        <v>45643</v>
      </c>
      <c r="D486" t="s">
        <v>73</v>
      </c>
      <c r="E486" t="s">
        <v>3070</v>
      </c>
      <c r="F486" t="s">
        <v>3034</v>
      </c>
      <c r="G486" t="s">
        <v>934</v>
      </c>
      <c r="H486">
        <v>8158261353</v>
      </c>
      <c r="I486" t="s">
        <v>24</v>
      </c>
      <c r="J486" t="s">
        <v>69</v>
      </c>
      <c r="K486" t="s">
        <v>70</v>
      </c>
      <c r="L486" t="s">
        <v>27</v>
      </c>
      <c r="M486" t="str">
        <f>TRIM(Table2[[#This Row],[Category]])</f>
        <v>Food &amp; Beverages</v>
      </c>
      <c r="N486" t="s">
        <v>28</v>
      </c>
      <c r="O486" t="s">
        <v>347</v>
      </c>
      <c r="P486">
        <v>6</v>
      </c>
      <c r="Q486">
        <v>6314.33</v>
      </c>
      <c r="R486">
        <v>0</v>
      </c>
      <c r="S486">
        <v>0</v>
      </c>
      <c r="T486">
        <v>37885.980000000003</v>
      </c>
      <c r="U486">
        <v>10922.41</v>
      </c>
    </row>
    <row r="487" spans="1:21" ht="15" customHeight="1" x14ac:dyDescent="0.25">
      <c r="A487" t="s">
        <v>2534</v>
      </c>
      <c r="B487" s="8">
        <v>45249</v>
      </c>
      <c r="C487" s="8">
        <f t="shared" si="2"/>
        <v>45643</v>
      </c>
      <c r="D487" t="s">
        <v>73</v>
      </c>
      <c r="E487" t="s">
        <v>3053</v>
      </c>
      <c r="F487" t="s">
        <v>3046</v>
      </c>
      <c r="G487" t="s">
        <v>2536</v>
      </c>
      <c r="H487">
        <v>8065123439</v>
      </c>
      <c r="I487" t="s">
        <v>24</v>
      </c>
      <c r="J487" t="s">
        <v>61</v>
      </c>
      <c r="K487" t="s">
        <v>62</v>
      </c>
      <c r="L487" t="s">
        <v>27</v>
      </c>
      <c r="M487" t="str">
        <f>TRIM(Table2[[#This Row],[Category]])</f>
        <v>Food &amp; Beverages</v>
      </c>
      <c r="N487" t="s">
        <v>173</v>
      </c>
      <c r="O487" t="s">
        <v>174</v>
      </c>
      <c r="P487">
        <v>5</v>
      </c>
      <c r="Q487">
        <v>4587.7700000000004</v>
      </c>
      <c r="R487">
        <v>25</v>
      </c>
      <c r="S487">
        <v>5734.71</v>
      </c>
      <c r="T487">
        <v>17204.14</v>
      </c>
      <c r="U487">
        <v>7372.08</v>
      </c>
    </row>
    <row r="488" spans="1:21" ht="15" customHeight="1" x14ac:dyDescent="0.25">
      <c r="A488" t="s">
        <v>2933</v>
      </c>
      <c r="B488" s="8">
        <v>45377</v>
      </c>
      <c r="C488" s="8">
        <f t="shared" si="2"/>
        <v>45643</v>
      </c>
      <c r="D488" t="s">
        <v>73</v>
      </c>
      <c r="E488" t="s">
        <v>3056</v>
      </c>
      <c r="F488" t="s">
        <v>3071</v>
      </c>
      <c r="G488" t="s">
        <v>2934</v>
      </c>
      <c r="H488">
        <v>8038415350</v>
      </c>
      <c r="I488" t="s">
        <v>43</v>
      </c>
      <c r="J488" t="s">
        <v>25</v>
      </c>
      <c r="K488" t="s">
        <v>36</v>
      </c>
      <c r="L488" t="s">
        <v>85</v>
      </c>
      <c r="M488" t="str">
        <f>TRIM(Table2[[#This Row],[Category]])</f>
        <v>Furniture</v>
      </c>
      <c r="N488" t="s">
        <v>218</v>
      </c>
      <c r="O488" t="s">
        <v>1058</v>
      </c>
      <c r="P488">
        <v>8</v>
      </c>
      <c r="Q488">
        <v>104605.46</v>
      </c>
      <c r="R488">
        <v>25</v>
      </c>
      <c r="S488">
        <v>209210.92</v>
      </c>
      <c r="T488">
        <v>627632.76</v>
      </c>
      <c r="U488">
        <v>134337.67000000001</v>
      </c>
    </row>
    <row r="489" spans="1:21" ht="15" customHeight="1" x14ac:dyDescent="0.25">
      <c r="A489" t="s">
        <v>1372</v>
      </c>
      <c r="B489" s="8">
        <v>44564</v>
      </c>
      <c r="C489" s="8">
        <v>44564</v>
      </c>
      <c r="D489" t="s">
        <v>32</v>
      </c>
      <c r="E489" t="s">
        <v>3098</v>
      </c>
      <c r="F489" t="s">
        <v>3078</v>
      </c>
      <c r="G489" t="s">
        <v>1374</v>
      </c>
      <c r="H489">
        <v>8151548852</v>
      </c>
      <c r="I489" t="s">
        <v>43</v>
      </c>
      <c r="J489" t="s">
        <v>69</v>
      </c>
      <c r="K489" t="s">
        <v>119</v>
      </c>
      <c r="L489" t="s">
        <v>63</v>
      </c>
      <c r="M489" t="str">
        <f>TRIM(Table2[[#This Row],[Category]])</f>
        <v>Office Supplies</v>
      </c>
      <c r="N489" t="s">
        <v>64</v>
      </c>
      <c r="O489" t="s">
        <v>65</v>
      </c>
      <c r="P489">
        <v>20</v>
      </c>
      <c r="Q489">
        <v>17602.349999999999</v>
      </c>
      <c r="R489">
        <v>25</v>
      </c>
      <c r="S489">
        <v>88011.75</v>
      </c>
      <c r="T489">
        <v>264035.25</v>
      </c>
      <c r="U489">
        <v>51523.21</v>
      </c>
    </row>
    <row r="490" spans="1:21" ht="15" customHeight="1" x14ac:dyDescent="0.25">
      <c r="A490" t="s">
        <v>2068</v>
      </c>
      <c r="B490" s="8">
        <v>44564</v>
      </c>
      <c r="C490" s="8">
        <v>44565</v>
      </c>
      <c r="D490" t="s">
        <v>32</v>
      </c>
      <c r="E490" t="s">
        <v>3059</v>
      </c>
      <c r="F490" t="s">
        <v>3083</v>
      </c>
      <c r="G490" t="s">
        <v>2070</v>
      </c>
      <c r="H490">
        <v>8031291769</v>
      </c>
      <c r="I490" t="s">
        <v>43</v>
      </c>
      <c r="J490" t="s">
        <v>25</v>
      </c>
      <c r="K490" t="s">
        <v>36</v>
      </c>
      <c r="L490" t="s">
        <v>27</v>
      </c>
      <c r="M490" t="str">
        <f>TRIM(Table2[[#This Row],[Category]])</f>
        <v>Food &amp; Beverages</v>
      </c>
      <c r="N490" t="s">
        <v>45</v>
      </c>
      <c r="O490" t="s">
        <v>523</v>
      </c>
      <c r="P490">
        <v>6</v>
      </c>
      <c r="Q490">
        <v>4344.57</v>
      </c>
      <c r="R490">
        <v>0</v>
      </c>
      <c r="S490">
        <v>0</v>
      </c>
      <c r="T490">
        <v>26067.42</v>
      </c>
      <c r="U490">
        <v>8215.25</v>
      </c>
    </row>
    <row r="491" spans="1:21" ht="15" customHeight="1" x14ac:dyDescent="0.25">
      <c r="A491" t="s">
        <v>2639</v>
      </c>
      <c r="B491" s="8">
        <v>44565</v>
      </c>
      <c r="C491" s="8">
        <v>44565</v>
      </c>
      <c r="D491" t="s">
        <v>32</v>
      </c>
      <c r="E491" t="s">
        <v>3094</v>
      </c>
      <c r="F491" t="s">
        <v>3042</v>
      </c>
      <c r="G491" t="s">
        <v>2640</v>
      </c>
      <c r="H491">
        <v>8159196133</v>
      </c>
      <c r="I491" t="s">
        <v>35</v>
      </c>
      <c r="J491" t="s">
        <v>51</v>
      </c>
      <c r="K491" t="s">
        <v>131</v>
      </c>
      <c r="L491" t="s">
        <v>85</v>
      </c>
      <c r="M491" t="str">
        <f>TRIM(Table2[[#This Row],[Category]])</f>
        <v>Furniture</v>
      </c>
      <c r="N491" t="s">
        <v>86</v>
      </c>
      <c r="O491" t="s">
        <v>178</v>
      </c>
      <c r="P491">
        <v>20</v>
      </c>
      <c r="Q491">
        <v>70613.98</v>
      </c>
      <c r="R491">
        <v>10</v>
      </c>
      <c r="S491">
        <v>141227.96</v>
      </c>
      <c r="T491">
        <v>1271051.6399999999</v>
      </c>
      <c r="U491">
        <v>157298.35</v>
      </c>
    </row>
    <row r="492" spans="1:21" ht="15" customHeight="1" x14ac:dyDescent="0.25">
      <c r="A492" t="s">
        <v>1578</v>
      </c>
      <c r="B492" s="8">
        <v>44575</v>
      </c>
      <c r="C492" s="8">
        <v>44575</v>
      </c>
      <c r="D492" t="s">
        <v>32</v>
      </c>
      <c r="E492" t="s">
        <v>3055</v>
      </c>
      <c r="F492" t="s">
        <v>3074</v>
      </c>
      <c r="G492" t="s">
        <v>1580</v>
      </c>
      <c r="H492">
        <v>8153873296</v>
      </c>
      <c r="I492" t="s">
        <v>43</v>
      </c>
      <c r="J492" t="s">
        <v>25</v>
      </c>
      <c r="K492" t="s">
        <v>126</v>
      </c>
      <c r="L492" t="s">
        <v>96</v>
      </c>
      <c r="M492" t="str">
        <f>TRIM(Table2[[#This Row],[Category]])</f>
        <v>Technology</v>
      </c>
      <c r="N492" t="s">
        <v>97</v>
      </c>
      <c r="O492" t="s">
        <v>1416</v>
      </c>
      <c r="P492">
        <v>14</v>
      </c>
      <c r="Q492">
        <v>326111.89</v>
      </c>
      <c r="R492">
        <v>10</v>
      </c>
      <c r="S492">
        <v>456556.65</v>
      </c>
      <c r="T492">
        <v>4109009.81</v>
      </c>
      <c r="U492">
        <v>935474.6</v>
      </c>
    </row>
    <row r="493" spans="1:21" ht="15" customHeight="1" x14ac:dyDescent="0.25">
      <c r="A493" t="s">
        <v>1103</v>
      </c>
      <c r="B493" s="8">
        <v>44578</v>
      </c>
      <c r="C493" s="8">
        <v>44578</v>
      </c>
      <c r="D493" t="s">
        <v>32</v>
      </c>
      <c r="E493" t="s">
        <v>3081</v>
      </c>
      <c r="F493" t="s">
        <v>3054</v>
      </c>
      <c r="G493" t="s">
        <v>1105</v>
      </c>
      <c r="H493">
        <v>8144643811</v>
      </c>
      <c r="I493" t="s">
        <v>35</v>
      </c>
      <c r="J493" t="s">
        <v>51</v>
      </c>
      <c r="K493" t="s">
        <v>223</v>
      </c>
      <c r="L493" t="s">
        <v>1062</v>
      </c>
      <c r="M493" t="str">
        <f>TRIM(Table2[[#This Row],[Category]])</f>
        <v>Office Supplies</v>
      </c>
      <c r="N493" t="s">
        <v>64</v>
      </c>
      <c r="O493" t="s">
        <v>65</v>
      </c>
      <c r="P493">
        <v>16</v>
      </c>
      <c r="Q493">
        <v>19750.27</v>
      </c>
      <c r="R493">
        <v>10</v>
      </c>
      <c r="S493">
        <v>31600.43</v>
      </c>
      <c r="T493">
        <v>284403.89</v>
      </c>
      <c r="U493">
        <v>36463.620000000003</v>
      </c>
    </row>
    <row r="494" spans="1:21" ht="15" customHeight="1" x14ac:dyDescent="0.25">
      <c r="A494" t="s">
        <v>2158</v>
      </c>
      <c r="B494" s="8">
        <v>44580</v>
      </c>
      <c r="C494" s="8">
        <v>44581</v>
      </c>
      <c r="D494" t="s">
        <v>32</v>
      </c>
      <c r="E494" t="s">
        <v>3063</v>
      </c>
      <c r="F494" t="s">
        <v>3039</v>
      </c>
      <c r="G494" t="s">
        <v>2160</v>
      </c>
      <c r="H494">
        <v>9074654790</v>
      </c>
      <c r="I494" t="s">
        <v>35</v>
      </c>
      <c r="J494" t="s">
        <v>69</v>
      </c>
      <c r="K494" t="s">
        <v>70</v>
      </c>
      <c r="L494" t="s">
        <v>108</v>
      </c>
      <c r="M494" t="str">
        <f>TRIM(Table2[[#This Row],[Category]])</f>
        <v>Clothing</v>
      </c>
      <c r="N494" t="s">
        <v>114</v>
      </c>
      <c r="O494" t="s">
        <v>891</v>
      </c>
      <c r="P494">
        <v>9</v>
      </c>
      <c r="Q494">
        <v>42369.87</v>
      </c>
      <c r="R494">
        <v>25</v>
      </c>
      <c r="S494">
        <v>95332.21</v>
      </c>
      <c r="T494">
        <v>285996.62</v>
      </c>
      <c r="U494">
        <v>10986.82</v>
      </c>
    </row>
    <row r="495" spans="1:21" ht="15" customHeight="1" x14ac:dyDescent="0.25">
      <c r="A495" t="s">
        <v>2247</v>
      </c>
      <c r="B495" s="8">
        <v>44582</v>
      </c>
      <c r="C495" s="8">
        <v>44583</v>
      </c>
      <c r="D495" t="s">
        <v>32</v>
      </c>
      <c r="E495" t="str">
        <f>E496</f>
        <v>Ronke</v>
      </c>
      <c r="F495" t="str">
        <f>F494</f>
        <v>Adebayo</v>
      </c>
      <c r="G495" t="s">
        <v>2248</v>
      </c>
      <c r="H495">
        <v>8142124878</v>
      </c>
      <c r="I495" t="s">
        <v>24</v>
      </c>
      <c r="J495" t="s">
        <v>61</v>
      </c>
      <c r="K495" t="s">
        <v>62</v>
      </c>
      <c r="L495" t="s">
        <v>96</v>
      </c>
      <c r="M495" t="str">
        <f>TRIM(Table2[[#This Row],[Category]])</f>
        <v>Technology</v>
      </c>
      <c r="N495" t="s">
        <v>97</v>
      </c>
      <c r="O495" t="s">
        <v>443</v>
      </c>
      <c r="P495">
        <v>4</v>
      </c>
      <c r="Q495">
        <v>101681.42</v>
      </c>
      <c r="R495">
        <v>25</v>
      </c>
      <c r="S495">
        <v>101681.42</v>
      </c>
      <c r="T495">
        <v>305044.26</v>
      </c>
      <c r="U495">
        <v>38178.160000000003</v>
      </c>
    </row>
    <row r="496" spans="1:21" ht="15" customHeight="1" x14ac:dyDescent="0.25">
      <c r="A496" t="s">
        <v>618</v>
      </c>
      <c r="B496" s="8">
        <v>44586</v>
      </c>
      <c r="C496" s="8">
        <v>44586</v>
      </c>
      <c r="D496" t="s">
        <v>619</v>
      </c>
      <c r="E496" t="s">
        <v>3070</v>
      </c>
      <c r="F496" t="s">
        <v>3034</v>
      </c>
      <c r="G496" t="s">
        <v>621</v>
      </c>
      <c r="H496">
        <v>8155809835</v>
      </c>
      <c r="I496" t="s">
        <v>24</v>
      </c>
      <c r="J496" t="s">
        <v>25</v>
      </c>
      <c r="K496" t="s">
        <v>26</v>
      </c>
      <c r="L496" t="s">
        <v>96</v>
      </c>
      <c r="M496" t="str">
        <f>TRIM(Table2[[#This Row],[Category]])</f>
        <v>Technology</v>
      </c>
      <c r="N496" t="s">
        <v>254</v>
      </c>
      <c r="O496" t="s">
        <v>530</v>
      </c>
      <c r="P496">
        <v>6</v>
      </c>
      <c r="Q496">
        <v>365682.95</v>
      </c>
      <c r="R496">
        <v>0</v>
      </c>
      <c r="S496">
        <v>0</v>
      </c>
      <c r="T496">
        <v>2194097.7000000002</v>
      </c>
      <c r="U496">
        <v>879458.66</v>
      </c>
    </row>
    <row r="497" spans="1:21" ht="15" customHeight="1" x14ac:dyDescent="0.25">
      <c r="A497" t="s">
        <v>2593</v>
      </c>
      <c r="B497" s="8">
        <v>44588</v>
      </c>
      <c r="C497" s="8">
        <v>44589</v>
      </c>
      <c r="D497" t="s">
        <v>32</v>
      </c>
      <c r="E497" t="s">
        <v>3048</v>
      </c>
      <c r="F497" t="s">
        <v>3074</v>
      </c>
      <c r="G497" t="s">
        <v>2594</v>
      </c>
      <c r="H497">
        <v>9078197382</v>
      </c>
      <c r="I497" t="s">
        <v>43</v>
      </c>
      <c r="J497" t="s">
        <v>69</v>
      </c>
      <c r="K497" t="s">
        <v>119</v>
      </c>
      <c r="L497" t="s">
        <v>27</v>
      </c>
      <c r="M497" t="str">
        <f>TRIM(Table2[[#This Row],[Category]])</f>
        <v>Food &amp; Beverages</v>
      </c>
      <c r="N497" t="s">
        <v>79</v>
      </c>
      <c r="O497" t="s">
        <v>234</v>
      </c>
      <c r="P497">
        <v>10</v>
      </c>
      <c r="Q497">
        <v>1296.5999999999999</v>
      </c>
      <c r="R497">
        <v>10</v>
      </c>
      <c r="S497">
        <v>1296.5999999999999</v>
      </c>
      <c r="T497">
        <v>11669.4</v>
      </c>
      <c r="U497">
        <v>3324.08</v>
      </c>
    </row>
    <row r="498" spans="1:21" ht="15" customHeight="1" x14ac:dyDescent="0.25">
      <c r="A498" t="s">
        <v>1331</v>
      </c>
      <c r="B498" s="8">
        <v>44595</v>
      </c>
      <c r="C498" s="8">
        <v>44595</v>
      </c>
      <c r="D498" t="s">
        <v>32</v>
      </c>
      <c r="E498" t="s">
        <v>3095</v>
      </c>
      <c r="F498" t="s">
        <v>3090</v>
      </c>
      <c r="G498" t="s">
        <v>1333</v>
      </c>
      <c r="H498">
        <v>9021718308</v>
      </c>
      <c r="I498" t="s">
        <v>24</v>
      </c>
      <c r="J498" t="s">
        <v>51</v>
      </c>
      <c r="K498" t="s">
        <v>316</v>
      </c>
      <c r="L498" t="s">
        <v>108</v>
      </c>
      <c r="M498" t="str">
        <f>TRIM(Table2[[#This Row],[Category]])</f>
        <v>Clothing</v>
      </c>
      <c r="N498" t="s">
        <v>114</v>
      </c>
      <c r="O498" t="s">
        <v>848</v>
      </c>
      <c r="P498">
        <v>17</v>
      </c>
      <c r="Q498">
        <v>36705.46</v>
      </c>
      <c r="R498">
        <v>20</v>
      </c>
      <c r="S498">
        <v>124798.56</v>
      </c>
      <c r="T498">
        <v>499194.26</v>
      </c>
      <c r="U498">
        <v>206693.32</v>
      </c>
    </row>
    <row r="499" spans="1:21" ht="15" customHeight="1" x14ac:dyDescent="0.25">
      <c r="A499" t="s">
        <v>2790</v>
      </c>
      <c r="B499" s="8">
        <v>44595</v>
      </c>
      <c r="C499" s="8">
        <v>44596</v>
      </c>
      <c r="D499" t="s">
        <v>32</v>
      </c>
      <c r="E499" t="s">
        <v>3080</v>
      </c>
      <c r="F499" t="s">
        <v>3069</v>
      </c>
      <c r="G499" t="s">
        <v>2791</v>
      </c>
      <c r="H499">
        <v>8144580502</v>
      </c>
      <c r="I499" t="s">
        <v>24</v>
      </c>
      <c r="J499" t="s">
        <v>51</v>
      </c>
      <c r="K499" t="s">
        <v>227</v>
      </c>
      <c r="L499" t="s">
        <v>27</v>
      </c>
      <c r="M499" t="str">
        <f>TRIM(Table2[[#This Row],[Category]])</f>
        <v>Food &amp; Beverages</v>
      </c>
      <c r="N499" t="s">
        <v>173</v>
      </c>
      <c r="O499" t="s">
        <v>174</v>
      </c>
      <c r="P499">
        <v>8</v>
      </c>
      <c r="Q499">
        <v>6303.5</v>
      </c>
      <c r="R499">
        <v>15</v>
      </c>
      <c r="S499">
        <v>7564.2</v>
      </c>
      <c r="T499">
        <v>42863.8</v>
      </c>
      <c r="U499">
        <v>7992.08</v>
      </c>
    </row>
    <row r="500" spans="1:21" ht="15" customHeight="1" x14ac:dyDescent="0.25">
      <c r="A500" t="s">
        <v>528</v>
      </c>
      <c r="B500" s="8">
        <v>44596</v>
      </c>
      <c r="C500" s="8">
        <v>44597</v>
      </c>
      <c r="D500" t="s">
        <v>32</v>
      </c>
      <c r="E500" t="s">
        <v>3095</v>
      </c>
      <c r="F500" t="s">
        <v>3069</v>
      </c>
      <c r="G500" t="s">
        <v>3126</v>
      </c>
      <c r="H500">
        <v>7066161977</v>
      </c>
      <c r="I500" t="s">
        <v>43</v>
      </c>
      <c r="J500" t="s">
        <v>69</v>
      </c>
      <c r="K500" t="s">
        <v>155</v>
      </c>
      <c r="L500" t="s">
        <v>96</v>
      </c>
      <c r="M500" t="str">
        <f>TRIM(Table2[[#This Row],[Category]])</f>
        <v>Technology</v>
      </c>
      <c r="N500" t="s">
        <v>254</v>
      </c>
      <c r="O500" t="s">
        <v>530</v>
      </c>
      <c r="P500">
        <v>19</v>
      </c>
      <c r="Q500">
        <v>130505.74</v>
      </c>
      <c r="R500">
        <v>5</v>
      </c>
      <c r="S500">
        <v>123980.45</v>
      </c>
      <c r="T500">
        <v>2355628.61</v>
      </c>
      <c r="U500">
        <v>666266.15</v>
      </c>
    </row>
    <row r="501" spans="1:21" ht="15" customHeight="1" x14ac:dyDescent="0.25">
      <c r="A501" t="s">
        <v>1710</v>
      </c>
      <c r="B501" s="8">
        <v>44616</v>
      </c>
      <c r="C501" s="8">
        <v>44616</v>
      </c>
      <c r="D501" t="s">
        <v>32</v>
      </c>
      <c r="E501" t="s">
        <v>3050</v>
      </c>
      <c r="F501" t="s">
        <v>3050</v>
      </c>
      <c r="G501" t="s">
        <v>1712</v>
      </c>
      <c r="H501">
        <v>8164454299</v>
      </c>
      <c r="I501" t="s">
        <v>24</v>
      </c>
      <c r="J501" t="s">
        <v>61</v>
      </c>
      <c r="K501" t="s">
        <v>95</v>
      </c>
      <c r="L501" t="s">
        <v>85</v>
      </c>
      <c r="M501" t="str">
        <f>TRIM(Table2[[#This Row],[Category]])</f>
        <v>Furniture</v>
      </c>
      <c r="N501" t="s">
        <v>243</v>
      </c>
      <c r="O501" t="s">
        <v>244</v>
      </c>
      <c r="P501">
        <v>2</v>
      </c>
      <c r="Q501">
        <v>20036.46</v>
      </c>
      <c r="R501">
        <v>10</v>
      </c>
      <c r="S501">
        <v>4007.29</v>
      </c>
      <c r="T501">
        <v>36065.629999999997</v>
      </c>
      <c r="U501">
        <v>5810.86</v>
      </c>
    </row>
    <row r="502" spans="1:21" ht="15" customHeight="1" x14ac:dyDescent="0.25">
      <c r="A502" t="s">
        <v>2329</v>
      </c>
      <c r="B502" s="8">
        <v>44622</v>
      </c>
      <c r="C502" s="8">
        <v>44622</v>
      </c>
      <c r="D502" t="s">
        <v>32</v>
      </c>
      <c r="E502" t="s">
        <v>3085</v>
      </c>
      <c r="F502" t="s">
        <v>3057</v>
      </c>
      <c r="G502" t="s">
        <v>2331</v>
      </c>
      <c r="H502">
        <v>9056899311</v>
      </c>
      <c r="I502" t="s">
        <v>24</v>
      </c>
      <c r="J502" t="s">
        <v>51</v>
      </c>
      <c r="K502" t="s">
        <v>316</v>
      </c>
      <c r="L502" t="s">
        <v>27</v>
      </c>
      <c r="M502" t="str">
        <f>TRIM(Table2[[#This Row],[Category]])</f>
        <v>Food &amp; Beverages</v>
      </c>
      <c r="N502" t="s">
        <v>28</v>
      </c>
      <c r="O502" t="s">
        <v>262</v>
      </c>
      <c r="P502">
        <v>1</v>
      </c>
      <c r="Q502">
        <v>7967.86</v>
      </c>
      <c r="R502">
        <v>10</v>
      </c>
      <c r="S502">
        <v>796.79</v>
      </c>
      <c r="T502">
        <v>7171.07</v>
      </c>
      <c r="U502">
        <v>1318.5</v>
      </c>
    </row>
    <row r="503" spans="1:21" ht="15" customHeight="1" x14ac:dyDescent="0.25">
      <c r="A503" t="s">
        <v>2684</v>
      </c>
      <c r="B503" s="8">
        <v>44625</v>
      </c>
      <c r="C503" s="8">
        <v>44626</v>
      </c>
      <c r="D503" t="s">
        <v>32</v>
      </c>
      <c r="E503" t="s">
        <v>3044</v>
      </c>
      <c r="F503" t="s">
        <v>3077</v>
      </c>
      <c r="G503" t="s">
        <v>2685</v>
      </c>
      <c r="H503">
        <v>9013442155</v>
      </c>
      <c r="I503" t="s">
        <v>35</v>
      </c>
      <c r="J503" t="s">
        <v>51</v>
      </c>
      <c r="K503" t="s">
        <v>316</v>
      </c>
      <c r="L503" t="s">
        <v>96</v>
      </c>
      <c r="M503" t="str">
        <f>TRIM(Table2[[#This Row],[Category]])</f>
        <v>Technology</v>
      </c>
      <c r="N503" t="s">
        <v>97</v>
      </c>
      <c r="O503" t="s">
        <v>1416</v>
      </c>
      <c r="P503">
        <v>15</v>
      </c>
      <c r="Q503">
        <v>186071.29</v>
      </c>
      <c r="R503">
        <v>10</v>
      </c>
      <c r="S503">
        <v>279106.93</v>
      </c>
      <c r="T503">
        <v>2511962.42</v>
      </c>
      <c r="U503">
        <v>80629.3</v>
      </c>
    </row>
    <row r="504" spans="1:21" ht="15" customHeight="1" x14ac:dyDescent="0.25">
      <c r="A504" t="s">
        <v>1607</v>
      </c>
      <c r="B504" s="8">
        <v>44628</v>
      </c>
      <c r="C504" s="8">
        <v>44628</v>
      </c>
      <c r="D504" t="s">
        <v>32</v>
      </c>
      <c r="E504" t="s">
        <v>3060</v>
      </c>
      <c r="F504" t="s">
        <v>3039</v>
      </c>
      <c r="G504" t="s">
        <v>1609</v>
      </c>
      <c r="H504">
        <v>9057855503</v>
      </c>
      <c r="I504" t="s">
        <v>43</v>
      </c>
      <c r="J504" t="s">
        <v>25</v>
      </c>
      <c r="K504" t="s">
        <v>126</v>
      </c>
      <c r="L504" t="s">
        <v>96</v>
      </c>
      <c r="M504" t="str">
        <f>TRIM(Table2[[#This Row],[Category]])</f>
        <v>Technology</v>
      </c>
      <c r="N504" t="s">
        <v>120</v>
      </c>
      <c r="O504" t="s">
        <v>367</v>
      </c>
      <c r="P504">
        <v>2</v>
      </c>
      <c r="Q504">
        <v>263717.67</v>
      </c>
      <c r="R504">
        <v>25</v>
      </c>
      <c r="S504">
        <v>131858.82999999999</v>
      </c>
      <c r="T504">
        <v>395576.51</v>
      </c>
      <c r="U504">
        <v>-22950.28</v>
      </c>
    </row>
    <row r="505" spans="1:21" ht="15" customHeight="1" x14ac:dyDescent="0.25">
      <c r="A505" t="s">
        <v>1997</v>
      </c>
      <c r="B505" s="8">
        <v>44628</v>
      </c>
      <c r="C505" s="8">
        <v>44628</v>
      </c>
      <c r="D505" t="s">
        <v>32</v>
      </c>
      <c r="E505" t="s">
        <v>3047</v>
      </c>
      <c r="F505" t="s">
        <v>3054</v>
      </c>
      <c r="G505" t="s">
        <v>1999</v>
      </c>
      <c r="H505">
        <v>8039706758</v>
      </c>
      <c r="I505" t="s">
        <v>35</v>
      </c>
      <c r="J505" t="s">
        <v>69</v>
      </c>
      <c r="K505" t="s">
        <v>119</v>
      </c>
      <c r="L505" t="s">
        <v>27</v>
      </c>
      <c r="M505" t="str">
        <f>TRIM(Table2[[#This Row],[Category]])</f>
        <v>Food &amp; Beverages</v>
      </c>
      <c r="N505" t="s">
        <v>45</v>
      </c>
      <c r="O505" t="s">
        <v>838</v>
      </c>
      <c r="P505">
        <v>19</v>
      </c>
      <c r="Q505">
        <v>1612.16</v>
      </c>
      <c r="R505">
        <v>15</v>
      </c>
      <c r="S505">
        <v>4594.66</v>
      </c>
      <c r="T505">
        <v>26036.38</v>
      </c>
      <c r="U505">
        <v>-127.61</v>
      </c>
    </row>
    <row r="506" spans="1:21" ht="15" customHeight="1" x14ac:dyDescent="0.25">
      <c r="A506" t="s">
        <v>471</v>
      </c>
      <c r="B506" s="8">
        <v>44633</v>
      </c>
      <c r="C506" s="8">
        <v>44633</v>
      </c>
      <c r="D506" t="s">
        <v>32</v>
      </c>
      <c r="E506" t="s">
        <v>3044</v>
      </c>
      <c r="F506" t="s">
        <v>3043</v>
      </c>
      <c r="G506" t="s">
        <v>473</v>
      </c>
      <c r="H506">
        <v>7037423230</v>
      </c>
      <c r="I506" t="s">
        <v>35</v>
      </c>
      <c r="J506" t="s">
        <v>61</v>
      </c>
      <c r="K506" t="s">
        <v>95</v>
      </c>
      <c r="L506" t="s">
        <v>27</v>
      </c>
      <c r="M506" t="str">
        <f>TRIM(Table2[[#This Row],[Category]])</f>
        <v>Food &amp; Beverages</v>
      </c>
      <c r="N506" t="s">
        <v>79</v>
      </c>
      <c r="O506" t="s">
        <v>234</v>
      </c>
      <c r="P506">
        <v>15</v>
      </c>
      <c r="Q506">
        <v>1481.47</v>
      </c>
      <c r="R506">
        <v>10</v>
      </c>
      <c r="S506">
        <v>2222.1999999999998</v>
      </c>
      <c r="T506" t="s">
        <v>474</v>
      </c>
      <c r="U506">
        <v>1464.15</v>
      </c>
    </row>
    <row r="507" spans="1:21" ht="15" customHeight="1" x14ac:dyDescent="0.25">
      <c r="A507" t="s">
        <v>2658</v>
      </c>
      <c r="B507" s="8">
        <v>44632</v>
      </c>
      <c r="C507" s="8">
        <v>44633</v>
      </c>
      <c r="D507" t="s">
        <v>32</v>
      </c>
      <c r="E507" t="s">
        <v>3093</v>
      </c>
      <c r="F507" t="s">
        <v>3077</v>
      </c>
      <c r="G507" t="s">
        <v>2660</v>
      </c>
      <c r="H507">
        <v>8137888843</v>
      </c>
      <c r="I507" t="s">
        <v>24</v>
      </c>
      <c r="J507" t="s">
        <v>51</v>
      </c>
      <c r="K507" t="s">
        <v>131</v>
      </c>
      <c r="L507" t="s">
        <v>96</v>
      </c>
      <c r="M507" t="str">
        <f>TRIM(Table2[[#This Row],[Category]])</f>
        <v>Technology</v>
      </c>
      <c r="N507" t="s">
        <v>120</v>
      </c>
      <c r="O507" t="s">
        <v>359</v>
      </c>
      <c r="P507">
        <v>1</v>
      </c>
      <c r="Q507">
        <v>273141.64</v>
      </c>
      <c r="R507">
        <v>25</v>
      </c>
      <c r="S507">
        <v>68285.41</v>
      </c>
      <c r="T507">
        <v>204856.23</v>
      </c>
      <c r="U507">
        <v>23898.11</v>
      </c>
    </row>
    <row r="508" spans="1:21" ht="15" customHeight="1" x14ac:dyDescent="0.25">
      <c r="A508" t="s">
        <v>2298</v>
      </c>
      <c r="B508" s="8">
        <v>44633</v>
      </c>
      <c r="C508" s="8">
        <v>44634</v>
      </c>
      <c r="D508" t="s">
        <v>32</v>
      </c>
      <c r="E508" t="s">
        <v>3051</v>
      </c>
      <c r="F508" t="s">
        <v>3062</v>
      </c>
      <c r="G508" t="s">
        <v>2248</v>
      </c>
      <c r="H508">
        <v>7069679668</v>
      </c>
      <c r="I508" t="s">
        <v>24</v>
      </c>
      <c r="J508" t="s">
        <v>51</v>
      </c>
      <c r="K508" t="s">
        <v>316</v>
      </c>
      <c r="L508" t="s">
        <v>96</v>
      </c>
      <c r="M508" t="str">
        <f>TRIM(Table2[[#This Row],[Category]])</f>
        <v>Technology</v>
      </c>
      <c r="N508" t="s">
        <v>189</v>
      </c>
      <c r="O508" t="s">
        <v>287</v>
      </c>
      <c r="P508">
        <v>4</v>
      </c>
      <c r="Q508">
        <v>165634.79</v>
      </c>
      <c r="R508">
        <v>15</v>
      </c>
      <c r="S508">
        <v>99380.87</v>
      </c>
      <c r="T508">
        <v>563158.29</v>
      </c>
      <c r="U508">
        <v>187041.85</v>
      </c>
    </row>
    <row r="509" spans="1:21" ht="15" customHeight="1" x14ac:dyDescent="0.25">
      <c r="A509" t="s">
        <v>284</v>
      </c>
      <c r="B509" s="8">
        <v>44637</v>
      </c>
      <c r="C509" s="8">
        <v>44638</v>
      </c>
      <c r="D509" t="s">
        <v>32</v>
      </c>
      <c r="E509" t="s">
        <v>3081</v>
      </c>
      <c r="F509" t="s">
        <v>3074</v>
      </c>
      <c r="G509" t="s">
        <v>286</v>
      </c>
      <c r="H509">
        <v>7032944841</v>
      </c>
      <c r="I509" t="s">
        <v>24</v>
      </c>
      <c r="J509" t="s">
        <v>69</v>
      </c>
      <c r="K509" t="s">
        <v>144</v>
      </c>
      <c r="L509" t="s">
        <v>108</v>
      </c>
      <c r="M509" t="str">
        <f>TRIM(Table2[[#This Row],[Category]])</f>
        <v>Clothing</v>
      </c>
      <c r="N509" t="s">
        <v>189</v>
      </c>
      <c r="O509" t="s">
        <v>287</v>
      </c>
      <c r="P509">
        <v>18</v>
      </c>
      <c r="Q509">
        <v>30279.4</v>
      </c>
      <c r="R509">
        <v>20</v>
      </c>
      <c r="S509">
        <v>109005.84</v>
      </c>
      <c r="T509">
        <v>436023.36</v>
      </c>
      <c r="U509">
        <v>42707.85</v>
      </c>
    </row>
    <row r="510" spans="1:21" ht="15" customHeight="1" x14ac:dyDescent="0.25">
      <c r="A510" t="s">
        <v>2889</v>
      </c>
      <c r="B510" s="8">
        <v>44645</v>
      </c>
      <c r="C510" s="8">
        <v>44646</v>
      </c>
      <c r="D510" t="s">
        <v>32</v>
      </c>
      <c r="E510" t="s">
        <v>3076</v>
      </c>
      <c r="F510" t="s">
        <v>3040</v>
      </c>
      <c r="G510" t="s">
        <v>2891</v>
      </c>
      <c r="H510">
        <v>8106950477</v>
      </c>
      <c r="I510" t="s">
        <v>35</v>
      </c>
      <c r="J510" t="s">
        <v>1009</v>
      </c>
      <c r="K510" t="s">
        <v>223</v>
      </c>
      <c r="L510" t="s">
        <v>63</v>
      </c>
      <c r="M510" t="str">
        <f>TRIM(Table2[[#This Row],[Category]])</f>
        <v>Office Supplies</v>
      </c>
      <c r="N510" t="s">
        <v>194</v>
      </c>
      <c r="O510" t="s">
        <v>716</v>
      </c>
      <c r="P510">
        <v>2</v>
      </c>
      <c r="Q510">
        <v>21723.7</v>
      </c>
      <c r="R510">
        <v>0</v>
      </c>
      <c r="S510">
        <v>0</v>
      </c>
      <c r="T510">
        <v>43447.4</v>
      </c>
      <c r="U510">
        <v>3995.75</v>
      </c>
    </row>
    <row r="511" spans="1:21" ht="15" customHeight="1" x14ac:dyDescent="0.25">
      <c r="A511" t="s">
        <v>1719</v>
      </c>
      <c r="B511" s="8">
        <v>44651</v>
      </c>
      <c r="C511" s="8">
        <v>44651</v>
      </c>
      <c r="D511" t="s">
        <v>32</v>
      </c>
      <c r="E511" t="s">
        <v>3048</v>
      </c>
      <c r="F511" t="s">
        <v>3036</v>
      </c>
      <c r="G511" t="s">
        <v>1720</v>
      </c>
      <c r="H511">
        <v>9072119776</v>
      </c>
      <c r="I511" t="s">
        <v>35</v>
      </c>
      <c r="J511" t="s">
        <v>61</v>
      </c>
      <c r="K511" t="s">
        <v>3127</v>
      </c>
      <c r="L511" t="s">
        <v>85</v>
      </c>
      <c r="M511" t="str">
        <f>TRIM(Table2[[#This Row],[Category]])</f>
        <v>Furniture</v>
      </c>
      <c r="N511" t="s">
        <v>486</v>
      </c>
      <c r="O511" t="s">
        <v>1018</v>
      </c>
      <c r="P511">
        <v>18</v>
      </c>
      <c r="Q511">
        <v>178691.03</v>
      </c>
      <c r="R511">
        <v>0</v>
      </c>
      <c r="S511">
        <v>0</v>
      </c>
      <c r="T511" t="s">
        <v>1721</v>
      </c>
      <c r="U511">
        <v>1438358.6</v>
      </c>
    </row>
    <row r="512" spans="1:21" ht="15" customHeight="1" x14ac:dyDescent="0.25">
      <c r="A512" t="s">
        <v>2398</v>
      </c>
      <c r="B512" s="8">
        <v>44660</v>
      </c>
      <c r="C512" s="8">
        <v>44660</v>
      </c>
      <c r="D512" t="s">
        <v>32</v>
      </c>
      <c r="E512" t="s">
        <v>3092</v>
      </c>
      <c r="F512" t="s">
        <v>3039</v>
      </c>
      <c r="G512" t="s">
        <v>2400</v>
      </c>
      <c r="H512">
        <v>9058335114</v>
      </c>
      <c r="I512" t="s">
        <v>43</v>
      </c>
      <c r="J512" t="s">
        <v>69</v>
      </c>
      <c r="K512" t="s">
        <v>70</v>
      </c>
      <c r="L512" t="s">
        <v>96</v>
      </c>
      <c r="M512" t="str">
        <f>TRIM(Table2[[#This Row],[Category]])</f>
        <v>Technology</v>
      </c>
      <c r="N512" t="s">
        <v>254</v>
      </c>
      <c r="O512" t="s">
        <v>455</v>
      </c>
      <c r="P512">
        <v>16</v>
      </c>
      <c r="Q512">
        <v>358709.81</v>
      </c>
      <c r="R512">
        <v>10</v>
      </c>
      <c r="S512">
        <v>573935.69999999995</v>
      </c>
      <c r="T512">
        <v>5165421.26</v>
      </c>
      <c r="U512">
        <v>1006685.24</v>
      </c>
    </row>
    <row r="513" spans="1:21" ht="15" customHeight="1" x14ac:dyDescent="0.25">
      <c r="A513" t="s">
        <v>2661</v>
      </c>
      <c r="B513" s="8">
        <v>44661</v>
      </c>
      <c r="C513" s="8">
        <v>44662</v>
      </c>
      <c r="D513" t="s">
        <v>32</v>
      </c>
      <c r="E513" t="s">
        <v>3035</v>
      </c>
      <c r="F513" t="s">
        <v>3038</v>
      </c>
      <c r="G513" t="s">
        <v>2663</v>
      </c>
      <c r="H513">
        <v>8108578703</v>
      </c>
      <c r="I513" t="s">
        <v>43</v>
      </c>
      <c r="J513" t="s">
        <v>61</v>
      </c>
      <c r="K513" t="s">
        <v>204</v>
      </c>
      <c r="L513" t="s">
        <v>63</v>
      </c>
      <c r="M513" t="str">
        <f>TRIM(Table2[[#This Row],[Category]])</f>
        <v>Office Supplies</v>
      </c>
      <c r="N513" t="s">
        <v>194</v>
      </c>
      <c r="O513" t="s">
        <v>336</v>
      </c>
      <c r="P513">
        <v>20</v>
      </c>
      <c r="Q513">
        <v>1475.5</v>
      </c>
      <c r="R513">
        <v>10</v>
      </c>
      <c r="S513">
        <v>2951</v>
      </c>
      <c r="T513">
        <v>26559</v>
      </c>
      <c r="U513">
        <v>2816.29</v>
      </c>
    </row>
    <row r="514" spans="1:21" ht="15" customHeight="1" x14ac:dyDescent="0.25">
      <c r="A514" t="s">
        <v>1252</v>
      </c>
      <c r="B514" s="8">
        <v>44665</v>
      </c>
      <c r="C514" s="8">
        <v>44665</v>
      </c>
      <c r="D514" t="s">
        <v>32</v>
      </c>
      <c r="E514" t="s">
        <v>3098</v>
      </c>
      <c r="F514" t="s">
        <v>3090</v>
      </c>
      <c r="G514" t="s">
        <v>1254</v>
      </c>
      <c r="H514">
        <v>7067575272</v>
      </c>
      <c r="I514" t="s">
        <v>125</v>
      </c>
      <c r="J514" t="s">
        <v>25</v>
      </c>
      <c r="K514" t="s">
        <v>3127</v>
      </c>
      <c r="L514" t="s">
        <v>85</v>
      </c>
      <c r="M514" t="str">
        <f>TRIM(Table2[[#This Row],[Category]])</f>
        <v>Furniture</v>
      </c>
      <c r="N514" t="s">
        <v>266</v>
      </c>
      <c r="O514" t="s">
        <v>1255</v>
      </c>
      <c r="P514">
        <v>15</v>
      </c>
      <c r="Q514">
        <v>116268.96</v>
      </c>
      <c r="R514">
        <v>10</v>
      </c>
      <c r="S514">
        <v>174403.44</v>
      </c>
      <c r="T514">
        <v>1569630.96</v>
      </c>
      <c r="U514">
        <v>58805.27</v>
      </c>
    </row>
    <row r="515" spans="1:21" ht="15" customHeight="1" x14ac:dyDescent="0.25">
      <c r="A515" t="s">
        <v>2000</v>
      </c>
      <c r="B515" s="8">
        <v>44667</v>
      </c>
      <c r="C515" s="8">
        <v>44668</v>
      </c>
      <c r="D515" t="s">
        <v>32</v>
      </c>
      <c r="E515" t="s">
        <v>3033</v>
      </c>
      <c r="F515" t="s">
        <v>3040</v>
      </c>
      <c r="G515" t="s">
        <v>2001</v>
      </c>
      <c r="H515">
        <v>9013914492</v>
      </c>
      <c r="I515" t="s">
        <v>24</v>
      </c>
      <c r="J515" t="s">
        <v>69</v>
      </c>
      <c r="K515" t="s">
        <v>119</v>
      </c>
      <c r="L515" t="s">
        <v>108</v>
      </c>
      <c r="M515" t="str">
        <f>TRIM(Table2[[#This Row],[Category]])</f>
        <v>Clothing</v>
      </c>
      <c r="N515" t="s">
        <v>38</v>
      </c>
      <c r="O515" t="s">
        <v>296</v>
      </c>
      <c r="P515">
        <v>8</v>
      </c>
      <c r="Q515">
        <v>8813.08</v>
      </c>
      <c r="R515">
        <v>0</v>
      </c>
      <c r="S515">
        <v>0</v>
      </c>
      <c r="T515">
        <v>70504.639999999999</v>
      </c>
      <c r="U515">
        <v>19460.330000000002</v>
      </c>
    </row>
    <row r="516" spans="1:21" ht="15" customHeight="1" x14ac:dyDescent="0.25">
      <c r="A516" t="s">
        <v>1664</v>
      </c>
      <c r="B516" s="8">
        <v>44674</v>
      </c>
      <c r="C516" s="8">
        <v>44675</v>
      </c>
      <c r="D516" t="s">
        <v>32</v>
      </c>
      <c r="E516" t="s">
        <v>3085</v>
      </c>
      <c r="F516" t="s">
        <v>3040</v>
      </c>
      <c r="G516" t="s">
        <v>1665</v>
      </c>
      <c r="H516">
        <v>8062708383</v>
      </c>
      <c r="I516" t="s">
        <v>35</v>
      </c>
      <c r="J516" t="s">
        <v>25</v>
      </c>
      <c r="K516" t="s">
        <v>126</v>
      </c>
      <c r="L516" t="s">
        <v>96</v>
      </c>
      <c r="M516" t="str">
        <f>TRIM(Table2[[#This Row],[Category]])</f>
        <v>Technology</v>
      </c>
      <c r="N516" t="s">
        <v>254</v>
      </c>
      <c r="O516" t="s">
        <v>756</v>
      </c>
      <c r="P516">
        <v>13</v>
      </c>
      <c r="Q516">
        <v>143288.79999999999</v>
      </c>
      <c r="R516">
        <v>15</v>
      </c>
      <c r="S516">
        <v>279413.15999999997</v>
      </c>
      <c r="T516">
        <v>1583341.24</v>
      </c>
      <c r="U516">
        <f>U515</f>
        <v>19460.330000000002</v>
      </c>
    </row>
    <row r="517" spans="1:21" ht="15" customHeight="1" x14ac:dyDescent="0.25">
      <c r="A517" t="s">
        <v>626</v>
      </c>
      <c r="B517" s="8">
        <v>44676</v>
      </c>
      <c r="C517" s="8">
        <v>44676</v>
      </c>
      <c r="D517" t="s">
        <v>32</v>
      </c>
      <c r="E517" t="s">
        <v>3048</v>
      </c>
      <c r="F517" t="s">
        <v>3050</v>
      </c>
      <c r="G517" t="s">
        <v>627</v>
      </c>
      <c r="H517">
        <v>8038279795</v>
      </c>
      <c r="I517" t="s">
        <v>24</v>
      </c>
      <c r="J517" t="s">
        <v>69</v>
      </c>
      <c r="K517" t="s">
        <v>70</v>
      </c>
      <c r="L517" t="s">
        <v>96</v>
      </c>
      <c r="M517" t="str">
        <f>TRIM(Table2[[#This Row],[Category]])</f>
        <v>Technology</v>
      </c>
      <c r="N517" t="s">
        <v>312</v>
      </c>
      <c r="O517" t="s">
        <v>628</v>
      </c>
      <c r="P517">
        <v>2</v>
      </c>
      <c r="Q517">
        <v>22422.38</v>
      </c>
      <c r="R517">
        <v>5</v>
      </c>
      <c r="S517">
        <v>2242.2399999999998</v>
      </c>
      <c r="T517">
        <v>42602.52</v>
      </c>
      <c r="U517">
        <v>-986.24</v>
      </c>
    </row>
    <row r="518" spans="1:21" ht="15" customHeight="1" x14ac:dyDescent="0.25">
      <c r="A518" t="s">
        <v>1862</v>
      </c>
      <c r="B518" s="8">
        <v>44679</v>
      </c>
      <c r="C518" s="8">
        <v>44680</v>
      </c>
      <c r="D518" t="s">
        <v>32</v>
      </c>
      <c r="E518" t="s">
        <v>3049</v>
      </c>
      <c r="F518" t="s">
        <v>3088</v>
      </c>
      <c r="G518" t="s">
        <v>1864</v>
      </c>
      <c r="H518">
        <v>7036005493</v>
      </c>
      <c r="I518" t="s">
        <v>24</v>
      </c>
      <c r="J518" t="s">
        <v>25</v>
      </c>
      <c r="K518" t="s">
        <v>168</v>
      </c>
      <c r="L518" t="s">
        <v>63</v>
      </c>
      <c r="M518" t="str">
        <f>TRIM(Table2[[#This Row],[Category]])</f>
        <v>Office Supplies</v>
      </c>
      <c r="N518" t="s">
        <v>249</v>
      </c>
      <c r="O518" t="s">
        <v>465</v>
      </c>
      <c r="P518">
        <v>6</v>
      </c>
      <c r="Q518">
        <v>9068.18</v>
      </c>
      <c r="R518">
        <v>15</v>
      </c>
      <c r="S518">
        <v>8161.36</v>
      </c>
      <c r="T518">
        <v>46247.72</v>
      </c>
      <c r="U518">
        <v>2900.63</v>
      </c>
    </row>
    <row r="519" spans="1:21" ht="15" customHeight="1" x14ac:dyDescent="0.25">
      <c r="A519" t="s">
        <v>786</v>
      </c>
      <c r="B519" s="8">
        <v>44686</v>
      </c>
      <c r="C519" s="8">
        <v>44686</v>
      </c>
      <c r="D519" t="s">
        <v>32</v>
      </c>
      <c r="E519" t="s">
        <v>3091</v>
      </c>
      <c r="F519" t="s">
        <v>3045</v>
      </c>
      <c r="G519" t="s">
        <v>788</v>
      </c>
      <c r="H519">
        <v>7064346346</v>
      </c>
      <c r="I519" t="s">
        <v>24</v>
      </c>
      <c r="J519" t="s">
        <v>588</v>
      </c>
      <c r="K519" t="s">
        <v>70</v>
      </c>
      <c r="L519" t="s">
        <v>27</v>
      </c>
      <c r="M519" t="str">
        <f>TRIM(Table2[[#This Row],[Category]])</f>
        <v>Food &amp; Beverages</v>
      </c>
      <c r="N519" t="s">
        <v>354</v>
      </c>
      <c r="O519" t="s">
        <v>789</v>
      </c>
      <c r="P519">
        <v>13</v>
      </c>
      <c r="Q519">
        <v>6420.32</v>
      </c>
      <c r="R519">
        <v>10</v>
      </c>
      <c r="S519">
        <v>8346.42</v>
      </c>
      <c r="T519" t="s">
        <v>790</v>
      </c>
      <c r="U519">
        <v>10352.030000000001</v>
      </c>
    </row>
    <row r="520" spans="1:21" ht="15" customHeight="1" x14ac:dyDescent="0.25">
      <c r="A520" t="s">
        <v>1592</v>
      </c>
      <c r="B520" s="8">
        <v>44691</v>
      </c>
      <c r="C520" s="8">
        <v>44689</v>
      </c>
      <c r="D520" t="s">
        <v>32</v>
      </c>
      <c r="E520" t="s">
        <v>3053</v>
      </c>
      <c r="F520" t="s">
        <v>3039</v>
      </c>
      <c r="G520" t="s">
        <v>1594</v>
      </c>
      <c r="H520">
        <v>8134514088</v>
      </c>
      <c r="I520" t="s">
        <v>24</v>
      </c>
      <c r="J520" t="s">
        <v>61</v>
      </c>
      <c r="K520" t="s">
        <v>182</v>
      </c>
      <c r="L520" t="s">
        <v>63</v>
      </c>
      <c r="M520" t="str">
        <f>TRIM(Table2[[#This Row],[Category]])</f>
        <v>Office Supplies</v>
      </c>
      <c r="N520" t="s">
        <v>469</v>
      </c>
      <c r="O520" t="s">
        <v>1595</v>
      </c>
      <c r="P520">
        <v>11</v>
      </c>
      <c r="Q520">
        <v>22798.58</v>
      </c>
      <c r="R520">
        <v>20</v>
      </c>
      <c r="S520">
        <v>50156.88</v>
      </c>
      <c r="T520">
        <v>200627.5</v>
      </c>
      <c r="U520">
        <v>64618.84</v>
      </c>
    </row>
    <row r="521" spans="1:21" ht="15" customHeight="1" x14ac:dyDescent="0.25">
      <c r="A521" t="s">
        <v>2944</v>
      </c>
      <c r="B521" s="8">
        <v>44690</v>
      </c>
      <c r="C521" s="8">
        <v>44690</v>
      </c>
      <c r="D521" t="s">
        <v>32</v>
      </c>
      <c r="E521" t="s">
        <v>3056</v>
      </c>
      <c r="F521" t="s">
        <v>3042</v>
      </c>
      <c r="G521" t="s">
        <v>2946</v>
      </c>
      <c r="H521">
        <v>8154389982</v>
      </c>
      <c r="I521" t="s">
        <v>43</v>
      </c>
      <c r="J521" t="s">
        <v>69</v>
      </c>
      <c r="K521" t="s">
        <v>155</v>
      </c>
      <c r="L521" t="s">
        <v>96</v>
      </c>
      <c r="M521" t="str">
        <f>TRIM(Table2[[#This Row],[Category]])</f>
        <v>Technology</v>
      </c>
      <c r="N521" t="s">
        <v>120</v>
      </c>
      <c r="O521" t="s">
        <v>359</v>
      </c>
      <c r="P521">
        <v>11</v>
      </c>
      <c r="Q521">
        <v>369226.48</v>
      </c>
      <c r="R521">
        <v>0</v>
      </c>
      <c r="S521">
        <v>0</v>
      </c>
      <c r="T521" t="s">
        <v>2947</v>
      </c>
      <c r="U521">
        <v>-492457.07</v>
      </c>
    </row>
    <row r="522" spans="1:21" ht="15" customHeight="1" x14ac:dyDescent="0.25">
      <c r="A522" t="s">
        <v>1592</v>
      </c>
      <c r="B522" s="8">
        <v>44691</v>
      </c>
      <c r="C522" s="8">
        <v>44691</v>
      </c>
      <c r="D522" t="s">
        <v>32</v>
      </c>
      <c r="E522" t="s">
        <v>3053</v>
      </c>
      <c r="F522" t="s">
        <v>3039</v>
      </c>
      <c r="G522" t="s">
        <v>1594</v>
      </c>
      <c r="H522">
        <v>8134514088</v>
      </c>
      <c r="I522" t="s">
        <v>24</v>
      </c>
      <c r="J522" t="s">
        <v>61</v>
      </c>
      <c r="K522" t="s">
        <v>182</v>
      </c>
      <c r="L522" t="s">
        <v>63</v>
      </c>
      <c r="M522" t="str">
        <f>TRIM(Table2[[#This Row],[Category]])</f>
        <v>Office Supplies</v>
      </c>
      <c r="N522" t="s">
        <v>469</v>
      </c>
      <c r="O522" t="s">
        <v>1595</v>
      </c>
      <c r="P522">
        <v>11</v>
      </c>
      <c r="Q522">
        <v>22798.58</v>
      </c>
      <c r="R522">
        <v>20</v>
      </c>
      <c r="S522">
        <v>50156.88</v>
      </c>
      <c r="T522">
        <v>200627.5</v>
      </c>
      <c r="U522">
        <v>64618.84</v>
      </c>
    </row>
    <row r="523" spans="1:21" ht="15" customHeight="1" x14ac:dyDescent="0.25">
      <c r="A523" t="s">
        <v>1848</v>
      </c>
      <c r="B523" s="8">
        <v>44697</v>
      </c>
      <c r="C523" s="8">
        <v>44698</v>
      </c>
      <c r="D523" t="s">
        <v>32</v>
      </c>
      <c r="E523" t="s">
        <v>3081</v>
      </c>
      <c r="F523" t="s">
        <v>3039</v>
      </c>
      <c r="G523" t="s">
        <v>1326</v>
      </c>
      <c r="H523">
        <v>9025584424</v>
      </c>
      <c r="I523" t="s">
        <v>35</v>
      </c>
      <c r="J523" t="s">
        <v>25</v>
      </c>
      <c r="K523" t="s">
        <v>36</v>
      </c>
      <c r="L523" t="s">
        <v>85</v>
      </c>
      <c r="M523" t="str">
        <f>TRIM(Table2[[#This Row],[Category]])</f>
        <v>Furniture</v>
      </c>
      <c r="N523" t="s">
        <v>218</v>
      </c>
      <c r="O523" t="s">
        <v>1058</v>
      </c>
      <c r="P523">
        <v>13</v>
      </c>
      <c r="Q523">
        <v>9696.49</v>
      </c>
      <c r="R523">
        <v>5</v>
      </c>
      <c r="S523">
        <v>6302.72</v>
      </c>
      <c r="T523">
        <v>119751.65</v>
      </c>
      <c r="U523">
        <v>9242.36</v>
      </c>
    </row>
    <row r="524" spans="1:21" ht="15" customHeight="1" x14ac:dyDescent="0.25">
      <c r="A524" t="s">
        <v>387</v>
      </c>
      <c r="B524" s="8">
        <v>44704</v>
      </c>
      <c r="C524" s="8">
        <v>44704</v>
      </c>
      <c r="D524" t="s">
        <v>32</v>
      </c>
      <c r="E524" t="s">
        <v>3047</v>
      </c>
      <c r="F524" t="s">
        <v>3050</v>
      </c>
      <c r="G524" t="s">
        <v>388</v>
      </c>
      <c r="H524">
        <v>7068043620</v>
      </c>
      <c r="I524" t="s">
        <v>24</v>
      </c>
      <c r="J524" t="s">
        <v>61</v>
      </c>
      <c r="K524" t="s">
        <v>62</v>
      </c>
      <c r="L524" t="s">
        <v>108</v>
      </c>
      <c r="M524" t="str">
        <f>TRIM(Table2[[#This Row],[Category]])</f>
        <v>Clothing</v>
      </c>
      <c r="N524" t="s">
        <v>38</v>
      </c>
      <c r="O524" t="s">
        <v>303</v>
      </c>
      <c r="P524">
        <v>11</v>
      </c>
      <c r="Q524">
        <v>17912.28</v>
      </c>
      <c r="R524" t="s">
        <v>376</v>
      </c>
      <c r="S524">
        <v>0</v>
      </c>
      <c r="T524">
        <v>197035.08</v>
      </c>
      <c r="U524">
        <v>74874.38</v>
      </c>
    </row>
    <row r="525" spans="1:21" ht="15" customHeight="1" x14ac:dyDescent="0.25">
      <c r="A525" t="s">
        <v>1079</v>
      </c>
      <c r="B525" s="8">
        <v>44708</v>
      </c>
      <c r="C525" s="8">
        <v>44708</v>
      </c>
      <c r="D525" t="s">
        <v>32</v>
      </c>
      <c r="E525" t="s">
        <v>3048</v>
      </c>
      <c r="F525" t="s">
        <v>3074</v>
      </c>
      <c r="G525" t="s">
        <v>1081</v>
      </c>
      <c r="H525">
        <v>7036316334</v>
      </c>
      <c r="I525" t="s">
        <v>24</v>
      </c>
      <c r="J525" t="s">
        <v>51</v>
      </c>
      <c r="K525" t="s">
        <v>316</v>
      </c>
      <c r="L525" t="s">
        <v>63</v>
      </c>
      <c r="M525" t="str">
        <f>TRIM(Table2[[#This Row],[Category]])</f>
        <v>Office Supplies</v>
      </c>
      <c r="N525" t="s">
        <v>469</v>
      </c>
      <c r="O525" t="s">
        <v>1082</v>
      </c>
      <c r="P525">
        <v>13</v>
      </c>
      <c r="Q525">
        <v>15331.93</v>
      </c>
      <c r="R525">
        <v>10</v>
      </c>
      <c r="S525">
        <v>19931.509999999998</v>
      </c>
      <c r="T525">
        <v>179383.58</v>
      </c>
      <c r="U525">
        <v>68634.86</v>
      </c>
    </row>
    <row r="526" spans="1:21" ht="15" customHeight="1" x14ac:dyDescent="0.25">
      <c r="A526" t="s">
        <v>970</v>
      </c>
      <c r="B526" s="8" t="s">
        <v>971</v>
      </c>
      <c r="C526" s="8">
        <v>44709</v>
      </c>
      <c r="D526" t="s">
        <v>32</v>
      </c>
      <c r="E526" t="s">
        <v>3047</v>
      </c>
      <c r="F526" t="s">
        <v>3071</v>
      </c>
      <c r="G526" t="s">
        <v>973</v>
      </c>
      <c r="H526">
        <v>8032468357</v>
      </c>
      <c r="I526" t="s">
        <v>24</v>
      </c>
      <c r="J526" t="s">
        <v>61</v>
      </c>
      <c r="K526" t="s">
        <v>84</v>
      </c>
      <c r="L526" t="s">
        <v>96</v>
      </c>
      <c r="M526" t="str">
        <f>TRIM(Table2[[#This Row],[Category]])</f>
        <v>Technology</v>
      </c>
      <c r="N526" t="s">
        <v>120</v>
      </c>
      <c r="O526" t="s">
        <v>359</v>
      </c>
      <c r="P526">
        <v>18</v>
      </c>
      <c r="Q526">
        <v>360483.43</v>
      </c>
      <c r="R526">
        <v>0</v>
      </c>
      <c r="S526">
        <v>0</v>
      </c>
      <c r="T526">
        <v>6488701.7400000002</v>
      </c>
      <c r="U526">
        <v>1265150.04</v>
      </c>
    </row>
    <row r="527" spans="1:21" ht="15" customHeight="1" x14ac:dyDescent="0.25">
      <c r="A527" t="s">
        <v>2132</v>
      </c>
      <c r="B527" s="8">
        <v>44711</v>
      </c>
      <c r="C527" s="8">
        <v>44711</v>
      </c>
      <c r="D527" t="s">
        <v>32</v>
      </c>
      <c r="E527" t="s">
        <v>3097</v>
      </c>
      <c r="F527" t="s">
        <v>3050</v>
      </c>
      <c r="G527" t="s">
        <v>2134</v>
      </c>
      <c r="H527">
        <v>9052352134</v>
      </c>
      <c r="I527" t="s">
        <v>35</v>
      </c>
      <c r="J527" t="s">
        <v>51</v>
      </c>
      <c r="K527" t="s">
        <v>52</v>
      </c>
      <c r="L527" t="s">
        <v>27</v>
      </c>
      <c r="M527" t="str">
        <f>TRIM(Table2[[#This Row],[Category]])</f>
        <v>Food &amp; Beverages</v>
      </c>
      <c r="N527" t="s">
        <v>28</v>
      </c>
      <c r="O527" t="s">
        <v>508</v>
      </c>
      <c r="P527">
        <v>2</v>
      </c>
      <c r="Q527">
        <v>2382.91</v>
      </c>
      <c r="R527">
        <v>0</v>
      </c>
      <c r="S527">
        <v>0</v>
      </c>
      <c r="T527">
        <v>4765.82</v>
      </c>
      <c r="U527">
        <v>-613.07000000000005</v>
      </c>
    </row>
    <row r="528" spans="1:21" ht="15" customHeight="1" x14ac:dyDescent="0.25">
      <c r="A528" t="s">
        <v>2295</v>
      </c>
      <c r="B528" s="8">
        <v>44720</v>
      </c>
      <c r="C528" s="8">
        <v>44720</v>
      </c>
      <c r="D528" t="s">
        <v>32</v>
      </c>
      <c r="E528" t="s">
        <v>3033</v>
      </c>
      <c r="F528" t="s">
        <v>3083</v>
      </c>
      <c r="G528" t="s">
        <v>2297</v>
      </c>
      <c r="H528">
        <v>8034543890</v>
      </c>
      <c r="I528" t="s">
        <v>24</v>
      </c>
      <c r="J528" t="s">
        <v>25</v>
      </c>
      <c r="K528" t="s">
        <v>36</v>
      </c>
      <c r="L528" t="s">
        <v>63</v>
      </c>
      <c r="M528" t="str">
        <f>TRIM(Table2[[#This Row],[Category]])</f>
        <v>Office Supplies</v>
      </c>
      <c r="N528" t="s">
        <v>64</v>
      </c>
      <c r="O528" t="s">
        <v>815</v>
      </c>
      <c r="P528">
        <v>6</v>
      </c>
      <c r="Q528">
        <v>8819.8700000000008</v>
      </c>
      <c r="R528">
        <v>15</v>
      </c>
      <c r="S528">
        <v>7937.88</v>
      </c>
      <c r="T528">
        <v>44981.34</v>
      </c>
      <c r="U528">
        <v>-2678.7</v>
      </c>
    </row>
    <row r="529" spans="1:21" ht="15" customHeight="1" x14ac:dyDescent="0.25">
      <c r="A529" t="s">
        <v>723</v>
      </c>
      <c r="B529" s="8">
        <v>44721</v>
      </c>
      <c r="C529" s="8">
        <v>44721</v>
      </c>
      <c r="D529" t="s">
        <v>32</v>
      </c>
      <c r="E529" t="s">
        <v>3035</v>
      </c>
      <c r="F529" t="s">
        <v>3043</v>
      </c>
      <c r="G529" t="s">
        <v>725</v>
      </c>
      <c r="H529">
        <v>8031135267</v>
      </c>
      <c r="I529" t="s">
        <v>35</v>
      </c>
      <c r="J529" t="s">
        <v>25</v>
      </c>
      <c r="K529" t="s">
        <v>26</v>
      </c>
      <c r="L529" t="s">
        <v>63</v>
      </c>
      <c r="M529" t="str">
        <f>TRIM(Table2[[#This Row],[Category]])</f>
        <v>Office Supplies</v>
      </c>
      <c r="N529" t="s">
        <v>194</v>
      </c>
      <c r="O529" t="s">
        <v>700</v>
      </c>
      <c r="P529">
        <v>14</v>
      </c>
      <c r="Q529">
        <v>24709.8</v>
      </c>
      <c r="R529">
        <v>0</v>
      </c>
      <c r="S529">
        <v>0</v>
      </c>
      <c r="T529">
        <v>345937.2</v>
      </c>
      <c r="U529">
        <v>47261.99</v>
      </c>
    </row>
    <row r="530" spans="1:21" ht="15" customHeight="1" x14ac:dyDescent="0.25">
      <c r="A530" t="s">
        <v>1343</v>
      </c>
      <c r="B530" s="8">
        <v>44727</v>
      </c>
      <c r="C530" s="8">
        <v>44727</v>
      </c>
      <c r="D530" t="s">
        <v>32</v>
      </c>
      <c r="E530" t="s">
        <v>3049</v>
      </c>
      <c r="F530" t="s">
        <v>3062</v>
      </c>
      <c r="G530" t="s">
        <v>1345</v>
      </c>
      <c r="H530">
        <v>9015760225</v>
      </c>
      <c r="I530" t="s">
        <v>35</v>
      </c>
      <c r="J530" t="s">
        <v>69</v>
      </c>
      <c r="K530" t="s">
        <v>119</v>
      </c>
      <c r="L530" t="s">
        <v>108</v>
      </c>
      <c r="M530" t="str">
        <f>TRIM(Table2[[#This Row],[Category]])</f>
        <v>Clothing</v>
      </c>
      <c r="N530" t="s">
        <v>183</v>
      </c>
      <c r="O530" t="s">
        <v>372</v>
      </c>
      <c r="P530">
        <v>9</v>
      </c>
      <c r="Q530">
        <v>10864.89</v>
      </c>
      <c r="R530">
        <v>25</v>
      </c>
      <c r="S530">
        <v>24446</v>
      </c>
      <c r="T530" t="s">
        <v>1346</v>
      </c>
      <c r="U530">
        <v>8819</v>
      </c>
    </row>
    <row r="531" spans="1:21" ht="15" customHeight="1" x14ac:dyDescent="0.25">
      <c r="A531" t="s">
        <v>2268</v>
      </c>
      <c r="B531" s="8">
        <v>44738</v>
      </c>
      <c r="C531" s="8">
        <v>44739</v>
      </c>
      <c r="D531" t="s">
        <v>32</v>
      </c>
      <c r="E531" t="s">
        <v>3081</v>
      </c>
      <c r="F531" t="s">
        <v>3038</v>
      </c>
      <c r="G531" t="s">
        <v>2270</v>
      </c>
      <c r="H531">
        <v>8102449847</v>
      </c>
      <c r="I531" t="s">
        <v>43</v>
      </c>
      <c r="J531" t="s">
        <v>51</v>
      </c>
      <c r="K531" t="s">
        <v>52</v>
      </c>
      <c r="L531" t="s">
        <v>85</v>
      </c>
      <c r="M531" t="str">
        <f>TRIM(Table2[[#This Row],[Category]])</f>
        <v>Furniture</v>
      </c>
      <c r="N531" t="s">
        <v>243</v>
      </c>
      <c r="O531" t="s">
        <v>244</v>
      </c>
      <c r="P531">
        <v>1</v>
      </c>
      <c r="Q531">
        <v>115779.49</v>
      </c>
      <c r="R531">
        <v>0</v>
      </c>
      <c r="S531">
        <v>0</v>
      </c>
      <c r="T531">
        <v>115779.49</v>
      </c>
      <c r="U531">
        <v>37424.79</v>
      </c>
    </row>
    <row r="532" spans="1:21" ht="15" customHeight="1" x14ac:dyDescent="0.25">
      <c r="A532" t="s">
        <v>918</v>
      </c>
      <c r="B532" s="8">
        <v>44742</v>
      </c>
      <c r="C532" s="8">
        <v>44743</v>
      </c>
      <c r="D532" t="s">
        <v>32</v>
      </c>
      <c r="E532" t="s">
        <v>3053</v>
      </c>
      <c r="F532" t="s">
        <v>3074</v>
      </c>
      <c r="G532" t="s">
        <v>920</v>
      </c>
      <c r="H532" t="s">
        <v>649</v>
      </c>
      <c r="I532" t="s">
        <v>43</v>
      </c>
      <c r="J532" t="s">
        <v>25</v>
      </c>
      <c r="K532" t="s">
        <v>168</v>
      </c>
      <c r="L532" t="s">
        <v>96</v>
      </c>
      <c r="M532" t="str">
        <f>TRIM(Table2[[#This Row],[Category]])</f>
        <v>Technology</v>
      </c>
      <c r="N532" t="s">
        <v>189</v>
      </c>
      <c r="O532" t="s">
        <v>478</v>
      </c>
      <c r="P532">
        <v>18</v>
      </c>
      <c r="Q532">
        <v>30586.89</v>
      </c>
      <c r="R532">
        <v>0</v>
      </c>
      <c r="S532">
        <v>0</v>
      </c>
      <c r="T532">
        <v>550564.02</v>
      </c>
      <c r="U532">
        <v>190244.78</v>
      </c>
    </row>
    <row r="533" spans="1:21" ht="15" customHeight="1" x14ac:dyDescent="0.25">
      <c r="A533" t="s">
        <v>1774</v>
      </c>
      <c r="B533" s="8">
        <v>44744</v>
      </c>
      <c r="C533" s="8">
        <v>44744</v>
      </c>
      <c r="D533" t="s">
        <v>32</v>
      </c>
      <c r="E533" t="s">
        <v>3094</v>
      </c>
      <c r="F533" t="s">
        <v>3096</v>
      </c>
      <c r="G533" t="s">
        <v>1776</v>
      </c>
      <c r="H533">
        <v>8033394334</v>
      </c>
      <c r="I533" t="s">
        <v>43</v>
      </c>
      <c r="J533" t="s">
        <v>69</v>
      </c>
      <c r="K533" t="s">
        <v>155</v>
      </c>
      <c r="L533" t="s">
        <v>63</v>
      </c>
      <c r="M533" t="str">
        <f>TRIM(Table2[[#This Row],[Category]])</f>
        <v>Office Supplies</v>
      </c>
      <c r="N533" t="s">
        <v>469</v>
      </c>
      <c r="O533" t="s">
        <v>1595</v>
      </c>
      <c r="P533">
        <v>13</v>
      </c>
      <c r="Q533">
        <v>23285.41</v>
      </c>
      <c r="R533">
        <v>10</v>
      </c>
      <c r="S533">
        <v>30271.03</v>
      </c>
      <c r="T533">
        <v>272439.3</v>
      </c>
      <c r="U533">
        <v>-39816.410000000003</v>
      </c>
    </row>
    <row r="534" spans="1:21" ht="15" customHeight="1" x14ac:dyDescent="0.25">
      <c r="A534" t="s">
        <v>960</v>
      </c>
      <c r="B534" s="8">
        <v>44750</v>
      </c>
      <c r="C534" s="8">
        <v>44751</v>
      </c>
      <c r="D534" t="s">
        <v>32</v>
      </c>
      <c r="E534" t="s">
        <v>3067</v>
      </c>
      <c r="F534" t="s">
        <v>3052</v>
      </c>
      <c r="G534" t="s">
        <v>962</v>
      </c>
      <c r="H534">
        <v>7037053183</v>
      </c>
      <c r="I534" t="s">
        <v>24</v>
      </c>
      <c r="J534" t="s">
        <v>61</v>
      </c>
      <c r="K534" t="s">
        <v>204</v>
      </c>
      <c r="L534" t="s">
        <v>63</v>
      </c>
      <c r="M534" t="str">
        <f>TRIM(Table2[[#This Row],[Category]])</f>
        <v>Office Supplies</v>
      </c>
      <c r="N534" t="s">
        <v>54</v>
      </c>
      <c r="O534" t="s">
        <v>963</v>
      </c>
      <c r="P534">
        <v>18</v>
      </c>
      <c r="Q534">
        <v>13497.22</v>
      </c>
      <c r="R534">
        <v>0</v>
      </c>
      <c r="S534">
        <v>0</v>
      </c>
      <c r="T534">
        <v>242949.96</v>
      </c>
      <c r="U534">
        <v>-19719.48</v>
      </c>
    </row>
    <row r="535" spans="1:21" ht="15" customHeight="1" x14ac:dyDescent="0.25">
      <c r="A535" t="s">
        <v>293</v>
      </c>
      <c r="B535" s="8">
        <v>44752</v>
      </c>
      <c r="C535" s="8">
        <v>44752</v>
      </c>
      <c r="D535" t="s">
        <v>32</v>
      </c>
      <c r="E535" t="s">
        <v>3056</v>
      </c>
      <c r="F535" t="s">
        <v>3071</v>
      </c>
      <c r="G535" t="s">
        <v>295</v>
      </c>
      <c r="H535">
        <v>9073583206</v>
      </c>
      <c r="I535" t="s">
        <v>35</v>
      </c>
      <c r="J535" t="s">
        <v>51</v>
      </c>
      <c r="K535" t="s">
        <v>227</v>
      </c>
      <c r="L535" t="s">
        <v>108</v>
      </c>
      <c r="M535" t="str">
        <f>TRIM(Table2[[#This Row],[Category]])</f>
        <v>Clothing</v>
      </c>
      <c r="N535" t="s">
        <v>38</v>
      </c>
      <c r="O535" t="s">
        <v>296</v>
      </c>
      <c r="P535">
        <v>14</v>
      </c>
      <c r="Q535">
        <v>32332.7</v>
      </c>
      <c r="R535">
        <v>20</v>
      </c>
      <c r="S535">
        <v>90531.56</v>
      </c>
      <c r="T535">
        <v>362126.24</v>
      </c>
      <c r="U535">
        <v>158664.45000000001</v>
      </c>
    </row>
    <row r="536" spans="1:21" ht="15" customHeight="1" x14ac:dyDescent="0.25">
      <c r="A536" t="s">
        <v>1546</v>
      </c>
      <c r="B536" s="8">
        <v>44755</v>
      </c>
      <c r="C536" s="8">
        <v>44756</v>
      </c>
      <c r="D536" t="s">
        <v>32</v>
      </c>
      <c r="E536" t="s">
        <v>3094</v>
      </c>
      <c r="F536" t="s">
        <v>3042</v>
      </c>
      <c r="G536" t="s">
        <v>1548</v>
      </c>
      <c r="H536">
        <v>7035275844</v>
      </c>
      <c r="I536" t="s">
        <v>43</v>
      </c>
      <c r="J536" t="s">
        <v>25</v>
      </c>
      <c r="K536" t="s">
        <v>36</v>
      </c>
      <c r="L536" t="s">
        <v>27</v>
      </c>
      <c r="M536" t="str">
        <f>TRIM(Table2[[#This Row],[Category]])</f>
        <v>Food &amp; Beverages</v>
      </c>
      <c r="N536" t="s">
        <v>79</v>
      </c>
      <c r="O536" t="s">
        <v>234</v>
      </c>
      <c r="P536">
        <v>15</v>
      </c>
      <c r="Q536">
        <v>425.27</v>
      </c>
      <c r="R536">
        <v>0</v>
      </c>
      <c r="S536">
        <v>0</v>
      </c>
      <c r="T536" t="s">
        <v>1549</v>
      </c>
      <c r="U536">
        <v>2052.1799999999998</v>
      </c>
    </row>
    <row r="537" spans="1:21" ht="15" customHeight="1" x14ac:dyDescent="0.25">
      <c r="A537" t="s">
        <v>1144</v>
      </c>
      <c r="B537" s="8">
        <v>44757</v>
      </c>
      <c r="C537" s="8">
        <v>44758</v>
      </c>
      <c r="D537" t="s">
        <v>32</v>
      </c>
      <c r="E537" t="str">
        <f>E538</f>
        <v>Ibrahim</v>
      </c>
      <c r="F537" t="s">
        <v>3063</v>
      </c>
      <c r="G537" t="s">
        <v>1146</v>
      </c>
      <c r="H537">
        <v>8061938227</v>
      </c>
      <c r="I537" t="s">
        <v>35</v>
      </c>
      <c r="J537" t="s">
        <v>51</v>
      </c>
      <c r="K537" t="s">
        <v>316</v>
      </c>
      <c r="L537" t="s">
        <v>63</v>
      </c>
      <c r="M537" t="str">
        <f>TRIM(Table2[[#This Row],[Category]])</f>
        <v>Office Supplies</v>
      </c>
      <c r="N537" t="s">
        <v>558</v>
      </c>
      <c r="O537" t="s">
        <v>559</v>
      </c>
      <c r="P537">
        <v>4</v>
      </c>
      <c r="Q537">
        <v>10704.78</v>
      </c>
      <c r="R537">
        <v>5</v>
      </c>
      <c r="S537">
        <v>2140.96</v>
      </c>
      <c r="T537">
        <v>40678.160000000003</v>
      </c>
      <c r="U537">
        <v>12146.79</v>
      </c>
    </row>
    <row r="538" spans="1:21" ht="15" customHeight="1" x14ac:dyDescent="0.25">
      <c r="A538" t="s">
        <v>1985</v>
      </c>
      <c r="B538" s="8">
        <v>44761</v>
      </c>
      <c r="C538" s="8">
        <v>44761</v>
      </c>
      <c r="D538" t="s">
        <v>32</v>
      </c>
      <c r="E538" t="s">
        <v>3082</v>
      </c>
      <c r="F538" t="s">
        <v>3034</v>
      </c>
      <c r="G538" t="s">
        <v>1987</v>
      </c>
      <c r="H538">
        <v>7063786712</v>
      </c>
      <c r="I538" t="s">
        <v>35</v>
      </c>
      <c r="J538" t="s">
        <v>25</v>
      </c>
      <c r="K538" t="s">
        <v>168</v>
      </c>
      <c r="L538" t="s">
        <v>27</v>
      </c>
      <c r="M538" t="str">
        <f>TRIM(Table2[[#This Row],[Category]])</f>
        <v>Food &amp; Beverages</v>
      </c>
      <c r="N538" t="s">
        <v>28</v>
      </c>
      <c r="O538" t="s">
        <v>508</v>
      </c>
      <c r="P538">
        <v>0</v>
      </c>
      <c r="Q538">
        <v>2980.26</v>
      </c>
      <c r="R538">
        <v>0</v>
      </c>
      <c r="S538">
        <v>0</v>
      </c>
      <c r="T538">
        <v>20861.82</v>
      </c>
      <c r="U538">
        <v>1505.26</v>
      </c>
    </row>
    <row r="539" spans="1:21" ht="15" customHeight="1" x14ac:dyDescent="0.25">
      <c r="A539" t="s">
        <v>1985</v>
      </c>
      <c r="B539" s="8">
        <v>44761</v>
      </c>
      <c r="C539" s="8">
        <v>44761</v>
      </c>
      <c r="D539" t="s">
        <v>32</v>
      </c>
      <c r="E539" t="s">
        <v>3082</v>
      </c>
      <c r="F539" t="s">
        <v>3034</v>
      </c>
      <c r="G539" t="s">
        <v>1987</v>
      </c>
      <c r="H539">
        <v>7063786712</v>
      </c>
      <c r="I539" t="s">
        <v>35</v>
      </c>
      <c r="J539" t="s">
        <v>1663</v>
      </c>
      <c r="K539" t="s">
        <v>168</v>
      </c>
      <c r="L539" t="s">
        <v>27</v>
      </c>
      <c r="M539" t="str">
        <f>TRIM(Table2[[#This Row],[Category]])</f>
        <v>Food &amp; Beverages</v>
      </c>
      <c r="N539" t="s">
        <v>28</v>
      </c>
      <c r="O539" t="s">
        <v>508</v>
      </c>
      <c r="P539">
        <v>7</v>
      </c>
      <c r="Q539">
        <v>2980.26</v>
      </c>
      <c r="R539">
        <v>0</v>
      </c>
      <c r="S539">
        <v>0</v>
      </c>
      <c r="T539">
        <v>20861.82</v>
      </c>
      <c r="U539">
        <v>1505.26</v>
      </c>
    </row>
    <row r="540" spans="1:21" ht="15" customHeight="1" x14ac:dyDescent="0.25">
      <c r="A540" t="s">
        <v>1794</v>
      </c>
      <c r="B540" s="8">
        <v>44767</v>
      </c>
      <c r="C540" s="8">
        <v>44768</v>
      </c>
      <c r="D540" t="s">
        <v>32</v>
      </c>
      <c r="E540" t="s">
        <v>3076</v>
      </c>
      <c r="F540" t="s">
        <v>3088</v>
      </c>
      <c r="G540" t="s">
        <v>1095</v>
      </c>
      <c r="H540">
        <v>9013401850</v>
      </c>
      <c r="I540" t="s">
        <v>43</v>
      </c>
      <c r="J540" t="s">
        <v>25</v>
      </c>
      <c r="K540" t="s">
        <v>44</v>
      </c>
      <c r="L540" t="s">
        <v>27</v>
      </c>
      <c r="M540" t="str">
        <f>TRIM(Table2[[#This Row],[Category]])</f>
        <v>Food &amp; Beverages</v>
      </c>
      <c r="N540" t="s">
        <v>173</v>
      </c>
      <c r="O540" t="s">
        <v>1795</v>
      </c>
      <c r="P540">
        <v>16</v>
      </c>
      <c r="Q540">
        <v>544.44000000000005</v>
      </c>
      <c r="R540">
        <v>0</v>
      </c>
      <c r="S540">
        <v>0</v>
      </c>
      <c r="T540">
        <f>T539</f>
        <v>20861.82</v>
      </c>
      <c r="U540">
        <v>268.38</v>
      </c>
    </row>
    <row r="541" spans="1:21" ht="15" customHeight="1" x14ac:dyDescent="0.25">
      <c r="A541" t="s">
        <v>2203</v>
      </c>
      <c r="B541" s="8">
        <v>44767</v>
      </c>
      <c r="C541" s="8">
        <v>44768</v>
      </c>
      <c r="D541" t="s">
        <v>32</v>
      </c>
      <c r="E541" t="s">
        <v>3050</v>
      </c>
      <c r="F541" t="s">
        <v>3042</v>
      </c>
      <c r="G541" t="s">
        <v>853</v>
      </c>
      <c r="H541">
        <v>9071133724</v>
      </c>
      <c r="I541" t="s">
        <v>35</v>
      </c>
      <c r="J541" t="s">
        <v>25</v>
      </c>
      <c r="K541" t="s">
        <v>44</v>
      </c>
      <c r="L541" t="s">
        <v>85</v>
      </c>
      <c r="M541" t="str">
        <f>TRIM(Table2[[#This Row],[Category]])</f>
        <v>Furniture</v>
      </c>
      <c r="N541" t="s">
        <v>218</v>
      </c>
      <c r="O541" t="s">
        <v>842</v>
      </c>
      <c r="P541">
        <v>8</v>
      </c>
      <c r="Q541">
        <v>72707.960000000006</v>
      </c>
      <c r="R541">
        <v>5</v>
      </c>
      <c r="S541">
        <v>29083.18</v>
      </c>
      <c r="T541">
        <v>552580.5</v>
      </c>
      <c r="U541">
        <v>5068.0600000000004</v>
      </c>
    </row>
    <row r="542" spans="1:21" ht="15" customHeight="1" x14ac:dyDescent="0.25">
      <c r="A542" t="s">
        <v>643</v>
      </c>
      <c r="B542" s="8">
        <v>44773</v>
      </c>
      <c r="C542" s="8">
        <v>44773</v>
      </c>
      <c r="D542" t="s">
        <v>32</v>
      </c>
      <c r="E542" t="s">
        <v>3081</v>
      </c>
      <c r="F542" t="s">
        <v>3039</v>
      </c>
      <c r="G542" t="s">
        <v>645</v>
      </c>
      <c r="H542">
        <v>9056443037</v>
      </c>
      <c r="I542" t="s">
        <v>24</v>
      </c>
      <c r="J542" t="s">
        <v>69</v>
      </c>
      <c r="K542" t="s">
        <v>70</v>
      </c>
      <c r="L542" t="s">
        <v>108</v>
      </c>
      <c r="M542" t="str">
        <f>TRIM(Table2[[#This Row],[Category]])</f>
        <v>Clothing</v>
      </c>
      <c r="N542" t="s">
        <v>114</v>
      </c>
      <c r="O542" t="s">
        <v>482</v>
      </c>
      <c r="P542">
        <f>P541</f>
        <v>8</v>
      </c>
      <c r="Q542">
        <v>19793.830000000002</v>
      </c>
      <c r="R542">
        <v>25</v>
      </c>
      <c r="S542">
        <v>14845.37</v>
      </c>
      <c r="T542">
        <v>44536.12</v>
      </c>
      <c r="U542">
        <v>17508.240000000002</v>
      </c>
    </row>
    <row r="543" spans="1:21" ht="15" customHeight="1" x14ac:dyDescent="0.25">
      <c r="A543" t="s">
        <v>2264</v>
      </c>
      <c r="B543" s="8">
        <v>44774</v>
      </c>
      <c r="C543" s="8">
        <v>44774</v>
      </c>
      <c r="D543" t="s">
        <v>32</v>
      </c>
      <c r="E543" t="s">
        <v>3073</v>
      </c>
      <c r="F543" t="s">
        <v>3046</v>
      </c>
      <c r="G543" t="s">
        <v>3126</v>
      </c>
      <c r="H543">
        <v>9013968018</v>
      </c>
      <c r="I543" t="s">
        <v>35</v>
      </c>
      <c r="J543" t="s">
        <v>69</v>
      </c>
      <c r="K543" t="s">
        <v>70</v>
      </c>
      <c r="L543" t="s">
        <v>85</v>
      </c>
      <c r="M543" t="str">
        <f>TRIM(Table2[[#This Row],[Category]])</f>
        <v>Furniture</v>
      </c>
      <c r="N543" t="s">
        <v>86</v>
      </c>
      <c r="O543" t="s">
        <v>199</v>
      </c>
      <c r="P543">
        <v>4</v>
      </c>
      <c r="Q543">
        <v>151459.07999999999</v>
      </c>
      <c r="R543">
        <v>0</v>
      </c>
      <c r="S543">
        <v>0</v>
      </c>
      <c r="T543">
        <v>605836.31999999995</v>
      </c>
      <c r="U543">
        <v>70293.25</v>
      </c>
    </row>
    <row r="544" spans="1:21" ht="15" customHeight="1" x14ac:dyDescent="0.25">
      <c r="A544" t="s">
        <v>2505</v>
      </c>
      <c r="B544" s="8">
        <v>44775</v>
      </c>
      <c r="C544" s="8">
        <v>44776</v>
      </c>
      <c r="D544" t="s">
        <v>32</v>
      </c>
      <c r="E544" t="s">
        <v>3060</v>
      </c>
      <c r="F544" t="s">
        <v>3083</v>
      </c>
      <c r="G544" t="s">
        <v>2507</v>
      </c>
      <c r="H544">
        <v>8169348587</v>
      </c>
      <c r="I544" t="s">
        <v>35</v>
      </c>
      <c r="J544" t="s">
        <v>25</v>
      </c>
      <c r="K544" t="s">
        <v>168</v>
      </c>
      <c r="L544" t="s">
        <v>63</v>
      </c>
      <c r="M544" t="str">
        <f>TRIM(Table2[[#This Row],[Category]])</f>
        <v>Office Supplies</v>
      </c>
      <c r="N544" t="s">
        <v>194</v>
      </c>
      <c r="O544" t="s">
        <v>700</v>
      </c>
      <c r="P544">
        <v>2</v>
      </c>
      <c r="Q544">
        <v>13424.98</v>
      </c>
      <c r="R544">
        <v>5</v>
      </c>
      <c r="S544">
        <v>1342.5</v>
      </c>
      <c r="T544">
        <v>25507.46</v>
      </c>
      <c r="U544">
        <v>10663.85</v>
      </c>
    </row>
    <row r="545" spans="1:21" ht="15" customHeight="1" x14ac:dyDescent="0.25">
      <c r="A545" t="s">
        <v>1262</v>
      </c>
      <c r="B545" s="8">
        <v>44781</v>
      </c>
      <c r="C545" s="8">
        <v>44782</v>
      </c>
      <c r="D545" t="s">
        <v>32</v>
      </c>
      <c r="E545" t="s">
        <v>3060</v>
      </c>
      <c r="F545" t="s">
        <v>3040</v>
      </c>
      <c r="G545" t="s">
        <v>1264</v>
      </c>
      <c r="H545">
        <v>9026068701</v>
      </c>
      <c r="I545" t="s">
        <v>35</v>
      </c>
      <c r="J545" t="s">
        <v>61</v>
      </c>
      <c r="K545" t="s">
        <v>84</v>
      </c>
      <c r="L545" t="s">
        <v>27</v>
      </c>
      <c r="M545" t="str">
        <f>TRIM(Table2[[#This Row],[Category]])</f>
        <v>Food &amp; Beverages</v>
      </c>
      <c r="N545" t="s">
        <v>28</v>
      </c>
      <c r="O545" t="s">
        <v>262</v>
      </c>
      <c r="P545">
        <v>-2</v>
      </c>
      <c r="Q545">
        <v>4847.13</v>
      </c>
      <c r="R545">
        <v>5</v>
      </c>
      <c r="S545">
        <v>1938.85</v>
      </c>
      <c r="T545">
        <v>36838.19</v>
      </c>
      <c r="U545">
        <v>6585.54</v>
      </c>
    </row>
    <row r="546" spans="1:21" ht="15" customHeight="1" x14ac:dyDescent="0.25">
      <c r="A546" t="s">
        <v>683</v>
      </c>
      <c r="B546" s="8">
        <v>44795</v>
      </c>
      <c r="C546" s="8">
        <v>44796</v>
      </c>
      <c r="D546" t="s">
        <v>32</v>
      </c>
      <c r="E546" t="s">
        <v>3097</v>
      </c>
      <c r="F546" t="s">
        <v>3086</v>
      </c>
      <c r="G546" t="s">
        <v>685</v>
      </c>
      <c r="H546">
        <v>9053894531</v>
      </c>
      <c r="I546" t="s">
        <v>43</v>
      </c>
      <c r="J546" t="s">
        <v>51</v>
      </c>
      <c r="K546" t="s">
        <v>227</v>
      </c>
      <c r="L546" t="s">
        <v>63</v>
      </c>
      <c r="M546" t="str">
        <f>TRIM(Table2[[#This Row],[Category]])</f>
        <v>Office Supplies</v>
      </c>
      <c r="N546" t="s">
        <v>312</v>
      </c>
      <c r="O546" t="s">
        <v>686</v>
      </c>
      <c r="P546">
        <v>5</v>
      </c>
      <c r="Q546">
        <v>2576.42</v>
      </c>
      <c r="R546">
        <v>10</v>
      </c>
      <c r="S546">
        <v>1288.21</v>
      </c>
      <c r="T546">
        <v>11593.89</v>
      </c>
      <c r="U546">
        <v>-919.2</v>
      </c>
    </row>
    <row r="547" spans="1:21" ht="15" customHeight="1" x14ac:dyDescent="0.25">
      <c r="A547" t="s">
        <v>2559</v>
      </c>
      <c r="B547" s="8">
        <v>44804</v>
      </c>
      <c r="C547" s="8">
        <v>44805</v>
      </c>
      <c r="D547" t="s">
        <v>32</v>
      </c>
      <c r="E547" t="s">
        <v>3048</v>
      </c>
      <c r="F547" t="s">
        <v>3077</v>
      </c>
      <c r="G547" t="s">
        <v>2561</v>
      </c>
      <c r="H547">
        <v>9015718333</v>
      </c>
      <c r="I547" t="s">
        <v>35</v>
      </c>
      <c r="J547" t="s">
        <v>61</v>
      </c>
      <c r="K547" t="s">
        <v>62</v>
      </c>
      <c r="L547" t="s">
        <v>85</v>
      </c>
      <c r="M547" t="str">
        <f>TRIM(Table2[[#This Row],[Category]])</f>
        <v>Furniture</v>
      </c>
      <c r="N547" t="s">
        <v>86</v>
      </c>
      <c r="O547" t="s">
        <v>87</v>
      </c>
      <c r="P547">
        <v>4</v>
      </c>
      <c r="Q547">
        <v>164379.79</v>
      </c>
      <c r="R547">
        <v>0</v>
      </c>
      <c r="S547">
        <v>0</v>
      </c>
      <c r="T547">
        <v>657519.16</v>
      </c>
      <c r="U547">
        <v>-45132.61</v>
      </c>
    </row>
    <row r="548" spans="1:21" ht="15" customHeight="1" x14ac:dyDescent="0.25">
      <c r="A548" t="s">
        <v>2485</v>
      </c>
      <c r="B548" s="8">
        <v>44806</v>
      </c>
      <c r="C548" s="8">
        <v>44807</v>
      </c>
      <c r="D548" t="s">
        <v>32</v>
      </c>
      <c r="E548" t="s">
        <v>3081</v>
      </c>
      <c r="F548" t="s">
        <v>3038</v>
      </c>
      <c r="G548" t="s">
        <v>2487</v>
      </c>
      <c r="H548">
        <v>9057500351</v>
      </c>
      <c r="I548" t="s">
        <v>959</v>
      </c>
      <c r="J548" t="s">
        <v>61</v>
      </c>
      <c r="K548" t="s">
        <v>62</v>
      </c>
      <c r="L548" t="s">
        <v>108</v>
      </c>
      <c r="M548" t="str">
        <f>TRIM(Table2[[#This Row],[Category]])</f>
        <v>Clothing</v>
      </c>
      <c r="N548" t="s">
        <v>183</v>
      </c>
      <c r="O548" t="s">
        <v>869</v>
      </c>
      <c r="P548">
        <v>11</v>
      </c>
      <c r="Q548">
        <v>7955.91</v>
      </c>
      <c r="R548">
        <v>0</v>
      </c>
      <c r="S548">
        <v>0</v>
      </c>
      <c r="T548">
        <v>87515.01</v>
      </c>
      <c r="U548">
        <v>-8093.56</v>
      </c>
    </row>
    <row r="549" spans="1:21" ht="15" customHeight="1" x14ac:dyDescent="0.25">
      <c r="A549" t="s">
        <v>1641</v>
      </c>
      <c r="B549" s="8">
        <v>44813</v>
      </c>
      <c r="C549" s="8">
        <v>44813</v>
      </c>
      <c r="D549" t="s">
        <v>32</v>
      </c>
      <c r="E549" t="s">
        <v>3060</v>
      </c>
      <c r="F549" t="s">
        <v>3036</v>
      </c>
      <c r="G549" t="s">
        <v>1643</v>
      </c>
      <c r="H549">
        <v>8139469478</v>
      </c>
      <c r="I549" t="s">
        <v>35</v>
      </c>
      <c r="J549" t="s">
        <v>25</v>
      </c>
      <c r="K549" t="s">
        <v>44</v>
      </c>
      <c r="L549" t="s">
        <v>63</v>
      </c>
      <c r="M549" t="str">
        <f>TRIM(Table2[[#This Row],[Category]])</f>
        <v>Office Supplies</v>
      </c>
      <c r="N549" t="s">
        <v>469</v>
      </c>
      <c r="O549" t="s">
        <v>1082</v>
      </c>
      <c r="P549">
        <v>15</v>
      </c>
      <c r="Q549">
        <v>16061.66</v>
      </c>
      <c r="R549">
        <v>10</v>
      </c>
      <c r="S549">
        <v>24092.49</v>
      </c>
      <c r="T549">
        <v>216832.41</v>
      </c>
      <c r="U549">
        <v>-529.73</v>
      </c>
    </row>
    <row r="550" spans="1:21" ht="15" customHeight="1" x14ac:dyDescent="0.25">
      <c r="A550" t="s">
        <v>1798</v>
      </c>
      <c r="B550" s="8">
        <v>44814</v>
      </c>
      <c r="C550" s="8">
        <v>44814</v>
      </c>
      <c r="D550" t="s">
        <v>32</v>
      </c>
      <c r="E550" t="s">
        <v>3037</v>
      </c>
      <c r="F550" t="s">
        <v>3040</v>
      </c>
      <c r="G550" t="s">
        <v>1800</v>
      </c>
      <c r="H550">
        <v>8066583476</v>
      </c>
      <c r="I550" t="s">
        <v>24</v>
      </c>
      <c r="J550" t="s">
        <v>61</v>
      </c>
      <c r="K550" t="s">
        <v>182</v>
      </c>
      <c r="L550" t="s">
        <v>85</v>
      </c>
      <c r="M550" t="str">
        <f>TRIM(Table2[[#This Row],[Category]])</f>
        <v>Furniture</v>
      </c>
      <c r="N550" t="s">
        <v>266</v>
      </c>
      <c r="O550" t="s">
        <v>1255</v>
      </c>
      <c r="P550">
        <v>11</v>
      </c>
      <c r="Q550">
        <v>19122.73</v>
      </c>
      <c r="R550">
        <v>15</v>
      </c>
      <c r="S550">
        <v>31552.5</v>
      </c>
      <c r="T550">
        <v>178797.53</v>
      </c>
      <c r="U550">
        <v>70821.75</v>
      </c>
    </row>
    <row r="551" spans="1:21" ht="15" customHeight="1" x14ac:dyDescent="0.25">
      <c r="A551" t="s">
        <v>1647</v>
      </c>
      <c r="B551" s="8">
        <v>44814</v>
      </c>
      <c r="C551" s="8">
        <v>44815</v>
      </c>
      <c r="D551" t="s">
        <v>32</v>
      </c>
      <c r="E551" t="s">
        <v>3098</v>
      </c>
      <c r="F551" t="s">
        <v>3042</v>
      </c>
      <c r="G551" t="s">
        <v>1648</v>
      </c>
      <c r="H551">
        <v>7063972698</v>
      </c>
      <c r="I551" t="s">
        <v>35</v>
      </c>
      <c r="J551" t="s">
        <v>25</v>
      </c>
      <c r="K551" t="s">
        <v>36</v>
      </c>
      <c r="L551" t="s">
        <v>96</v>
      </c>
      <c r="M551" t="str">
        <f>TRIM(Table2[[#This Row],[Category]])</f>
        <v>Technology</v>
      </c>
      <c r="N551" t="s">
        <v>120</v>
      </c>
      <c r="O551" t="s">
        <v>133</v>
      </c>
      <c r="P551">
        <v>7</v>
      </c>
      <c r="Q551">
        <v>176159.08</v>
      </c>
      <c r="R551">
        <v>20</v>
      </c>
      <c r="S551">
        <v>246622.71</v>
      </c>
      <c r="T551">
        <v>986490.85</v>
      </c>
      <c r="U551">
        <v>-142431.54</v>
      </c>
    </row>
    <row r="552" spans="1:21" ht="15" customHeight="1" x14ac:dyDescent="0.25">
      <c r="A552" t="s">
        <v>2774</v>
      </c>
      <c r="B552" s="8">
        <v>44820</v>
      </c>
      <c r="C552" s="8">
        <v>44820</v>
      </c>
      <c r="D552" t="s">
        <v>32</v>
      </c>
      <c r="E552" t="s">
        <v>3044</v>
      </c>
      <c r="F552" t="s">
        <v>3064</v>
      </c>
      <c r="G552" t="s">
        <v>2776</v>
      </c>
      <c r="H552">
        <v>9016367876</v>
      </c>
      <c r="I552" t="s">
        <v>35</v>
      </c>
      <c r="J552" t="s">
        <v>25</v>
      </c>
      <c r="K552" t="s">
        <v>126</v>
      </c>
      <c r="L552" t="s">
        <v>27</v>
      </c>
      <c r="M552" t="str">
        <f>TRIM(Table2[[#This Row],[Category]])</f>
        <v>Food &amp; Beverages</v>
      </c>
      <c r="N552" t="s">
        <v>354</v>
      </c>
      <c r="O552" t="s">
        <v>433</v>
      </c>
      <c r="P552">
        <v>4</v>
      </c>
      <c r="Q552">
        <v>3652.08</v>
      </c>
      <c r="R552">
        <v>25</v>
      </c>
      <c r="S552">
        <v>3652.08</v>
      </c>
      <c r="T552">
        <v>10956.24</v>
      </c>
      <c r="U552">
        <v>3151.32</v>
      </c>
    </row>
    <row r="553" spans="1:21" ht="15" customHeight="1" x14ac:dyDescent="0.25">
      <c r="A553" t="s">
        <v>2519</v>
      </c>
      <c r="B553" s="8" t="s">
        <v>2520</v>
      </c>
      <c r="C553" s="8">
        <v>44825</v>
      </c>
      <c r="D553" t="s">
        <v>32</v>
      </c>
      <c r="E553" t="s">
        <v>3044</v>
      </c>
      <c r="F553" t="s">
        <v>3040</v>
      </c>
      <c r="G553" t="s">
        <v>2522</v>
      </c>
      <c r="H553">
        <v>8063666299</v>
      </c>
      <c r="I553" t="s">
        <v>24</v>
      </c>
      <c r="J553" t="s">
        <v>69</v>
      </c>
      <c r="K553" t="s">
        <v>307</v>
      </c>
      <c r="L553" t="s">
        <v>108</v>
      </c>
      <c r="M553" t="str">
        <f>TRIM(Table2[[#This Row],[Category]])</f>
        <v>Clothing</v>
      </c>
      <c r="N553" t="s">
        <v>114</v>
      </c>
      <c r="O553" t="s">
        <v>848</v>
      </c>
      <c r="P553">
        <v>6</v>
      </c>
      <c r="Q553">
        <v>25088.41</v>
      </c>
      <c r="R553">
        <v>10</v>
      </c>
      <c r="S553">
        <v>15053.05</v>
      </c>
      <c r="T553">
        <v>135477.41</v>
      </c>
      <c r="U553">
        <v>57332.73</v>
      </c>
    </row>
    <row r="554" spans="1:21" ht="15" customHeight="1" x14ac:dyDescent="0.25">
      <c r="A554" t="s">
        <v>1256</v>
      </c>
      <c r="B554" s="8">
        <v>44831</v>
      </c>
      <c r="C554" s="8">
        <v>44831</v>
      </c>
      <c r="D554" t="s">
        <v>32</v>
      </c>
      <c r="E554" t="s">
        <v>3039</v>
      </c>
      <c r="F554" t="s">
        <v>3038</v>
      </c>
      <c r="G554" t="s">
        <v>1257</v>
      </c>
      <c r="H554">
        <v>8168808058</v>
      </c>
      <c r="I554" t="s">
        <v>35</v>
      </c>
      <c r="J554" t="s">
        <v>61</v>
      </c>
      <c r="K554" t="s">
        <v>84</v>
      </c>
      <c r="L554" t="s">
        <v>108</v>
      </c>
      <c r="M554" t="str">
        <f>TRIM(Table2[[#This Row],[Category]])</f>
        <v>Clothing</v>
      </c>
      <c r="N554" t="s">
        <v>109</v>
      </c>
      <c r="O554" t="s">
        <v>1258</v>
      </c>
      <c r="P554">
        <v>20</v>
      </c>
      <c r="Q554">
        <v>8180.03</v>
      </c>
      <c r="R554">
        <v>10</v>
      </c>
      <c r="S554">
        <v>16360.06</v>
      </c>
      <c r="T554">
        <v>147240.54</v>
      </c>
      <c r="U554">
        <v>58560.06</v>
      </c>
    </row>
    <row r="555" spans="1:21" ht="15" customHeight="1" x14ac:dyDescent="0.25">
      <c r="A555" t="s">
        <v>1739</v>
      </c>
      <c r="B555" s="8">
        <v>44834</v>
      </c>
      <c r="C555" s="8">
        <v>44835</v>
      </c>
      <c r="D555" t="s">
        <v>32</v>
      </c>
      <c r="E555" t="s">
        <v>3065</v>
      </c>
      <c r="F555" t="s">
        <v>3040</v>
      </c>
      <c r="G555" t="s">
        <v>1741</v>
      </c>
      <c r="H555">
        <v>8039088805</v>
      </c>
      <c r="I555" t="s">
        <v>43</v>
      </c>
      <c r="J555" t="s">
        <v>25</v>
      </c>
      <c r="K555" t="s">
        <v>36</v>
      </c>
      <c r="L555" t="s">
        <v>96</v>
      </c>
      <c r="M555" t="str">
        <f>TRIM(Table2[[#This Row],[Category]])</f>
        <v>Technology</v>
      </c>
      <c r="N555" t="s">
        <v>97</v>
      </c>
      <c r="O555" t="s">
        <v>98</v>
      </c>
      <c r="P555">
        <v>19</v>
      </c>
      <c r="Q555">
        <v>279712</v>
      </c>
      <c r="R555">
        <v>20</v>
      </c>
      <c r="S555">
        <v>1062905.6000000001</v>
      </c>
      <c r="T555">
        <v>4251622.4000000004</v>
      </c>
      <c r="U555">
        <v>337675.92</v>
      </c>
    </row>
    <row r="556" spans="1:21" ht="15" customHeight="1" x14ac:dyDescent="0.25">
      <c r="A556" t="s">
        <v>653</v>
      </c>
      <c r="B556" s="8">
        <v>44840</v>
      </c>
      <c r="C556" s="8">
        <v>44841</v>
      </c>
      <c r="D556" t="s">
        <v>32</v>
      </c>
      <c r="E556" t="s">
        <v>3041</v>
      </c>
      <c r="F556" t="s">
        <v>3088</v>
      </c>
      <c r="G556" t="s">
        <v>655</v>
      </c>
      <c r="H556">
        <v>8146271120</v>
      </c>
      <c r="I556" t="s">
        <v>43</v>
      </c>
      <c r="J556" t="s">
        <v>51</v>
      </c>
      <c r="K556" t="s">
        <v>316</v>
      </c>
      <c r="L556" t="s">
        <v>85</v>
      </c>
      <c r="M556" t="str">
        <f>TRIM(Table2[[#This Row],[Category]])</f>
        <v>Furniture</v>
      </c>
      <c r="N556" t="s">
        <v>486</v>
      </c>
      <c r="O556" t="s">
        <v>543</v>
      </c>
      <c r="P556">
        <v>16</v>
      </c>
      <c r="Q556">
        <v>58129.08</v>
      </c>
      <c r="R556">
        <v>5</v>
      </c>
      <c r="S556">
        <v>46503.26</v>
      </c>
      <c r="T556">
        <v>883562.02</v>
      </c>
      <c r="U556">
        <v>40230.120000000003</v>
      </c>
    </row>
    <row r="557" spans="1:21" ht="15" customHeight="1" x14ac:dyDescent="0.25">
      <c r="A557" t="s">
        <v>444</v>
      </c>
      <c r="B557" s="8">
        <v>44846</v>
      </c>
      <c r="C557" s="8">
        <v>44847</v>
      </c>
      <c r="D557" t="s">
        <v>32</v>
      </c>
      <c r="E557" t="s">
        <v>3053</v>
      </c>
      <c r="F557" t="s">
        <v>3088</v>
      </c>
      <c r="G557" t="s">
        <v>446</v>
      </c>
      <c r="H557">
        <v>8061318832</v>
      </c>
      <c r="I557" t="s">
        <v>43</v>
      </c>
      <c r="J557" t="s">
        <v>61</v>
      </c>
      <c r="K557" t="s">
        <v>95</v>
      </c>
      <c r="L557" t="s">
        <v>63</v>
      </c>
      <c r="M557" t="str">
        <f>TRIM(Table2[[#This Row],[Category]])</f>
        <v>Office Supplies</v>
      </c>
      <c r="N557" t="s">
        <v>54</v>
      </c>
      <c r="O557" t="s">
        <v>150</v>
      </c>
      <c r="P557">
        <v>20</v>
      </c>
      <c r="Q557">
        <v>13945.7</v>
      </c>
      <c r="R557">
        <v>25</v>
      </c>
      <c r="S557">
        <v>69728.5</v>
      </c>
      <c r="T557">
        <v>209185.5</v>
      </c>
      <c r="U557">
        <v>21745.43</v>
      </c>
    </row>
    <row r="558" spans="1:21" ht="15" customHeight="1" x14ac:dyDescent="0.25">
      <c r="A558" t="s">
        <v>632</v>
      </c>
      <c r="B558" s="8">
        <v>44848</v>
      </c>
      <c r="C558" s="8">
        <v>44848</v>
      </c>
      <c r="D558" t="s">
        <v>32</v>
      </c>
      <c r="E558" t="s">
        <v>3092</v>
      </c>
      <c r="F558" t="s">
        <v>3034</v>
      </c>
      <c r="G558" t="s">
        <v>634</v>
      </c>
      <c r="H558">
        <v>8032638895</v>
      </c>
      <c r="I558" t="s">
        <v>43</v>
      </c>
      <c r="J558" t="s">
        <v>69</v>
      </c>
      <c r="K558" t="s">
        <v>155</v>
      </c>
      <c r="L558" t="s">
        <v>108</v>
      </c>
      <c r="M558" t="str">
        <f>TRIM(Table2[[#This Row],[Category]])</f>
        <v>Clothing</v>
      </c>
      <c r="N558" t="s">
        <v>109</v>
      </c>
      <c r="O558" t="s">
        <v>110</v>
      </c>
      <c r="P558">
        <v>20</v>
      </c>
      <c r="Q558" t="s">
        <v>636</v>
      </c>
      <c r="R558">
        <v>15</v>
      </c>
      <c r="S558">
        <v>49936.47</v>
      </c>
      <c r="T558">
        <v>282973.33</v>
      </c>
      <c r="U558">
        <v>122061.2</v>
      </c>
    </row>
    <row r="559" spans="1:21" ht="15" customHeight="1" x14ac:dyDescent="0.25">
      <c r="A559" t="s">
        <v>66</v>
      </c>
      <c r="B559" s="8">
        <v>44854</v>
      </c>
      <c r="C559" s="8">
        <v>44855</v>
      </c>
      <c r="D559" t="s">
        <v>32</v>
      </c>
      <c r="E559" t="s">
        <v>3033</v>
      </c>
      <c r="F559" t="s">
        <v>3043</v>
      </c>
      <c r="G559" t="s">
        <v>68</v>
      </c>
      <c r="H559">
        <v>9018187926</v>
      </c>
      <c r="I559" t="s">
        <v>24</v>
      </c>
      <c r="J559" t="s">
        <v>69</v>
      </c>
      <c r="K559" t="s">
        <v>70</v>
      </c>
      <c r="L559" t="s">
        <v>27</v>
      </c>
      <c r="M559" t="str">
        <f>TRIM(Table2[[#This Row],[Category]])</f>
        <v>Food &amp; Beverages</v>
      </c>
      <c r="N559" t="s">
        <v>28</v>
      </c>
      <c r="O559" t="s">
        <v>71</v>
      </c>
      <c r="P559">
        <v>5</v>
      </c>
      <c r="Q559">
        <v>1988.77</v>
      </c>
      <c r="R559">
        <v>25</v>
      </c>
      <c r="S559">
        <v>2485.96</v>
      </c>
      <c r="T559">
        <v>7457.89</v>
      </c>
      <c r="U559">
        <f>U558</f>
        <v>122061.2</v>
      </c>
    </row>
    <row r="560" spans="1:21" ht="15" customHeight="1" x14ac:dyDescent="0.25">
      <c r="A560" t="s">
        <v>531</v>
      </c>
      <c r="B560" s="8">
        <v>44864</v>
      </c>
      <c r="C560" s="8">
        <v>44864</v>
      </c>
      <c r="D560" t="s">
        <v>32</v>
      </c>
      <c r="E560" t="s">
        <v>3063</v>
      </c>
      <c r="F560" t="s">
        <v>3057</v>
      </c>
      <c r="G560" t="s">
        <v>533</v>
      </c>
      <c r="H560">
        <v>8131317716</v>
      </c>
      <c r="I560" t="s">
        <v>24</v>
      </c>
      <c r="J560" t="s">
        <v>69</v>
      </c>
      <c r="K560" t="s">
        <v>119</v>
      </c>
      <c r="L560" t="s">
        <v>534</v>
      </c>
      <c r="M560" t="str">
        <f>TRIM(Table2[[#This Row],[Category]])</f>
        <v>CLOTHING</v>
      </c>
      <c r="N560" t="s">
        <v>38</v>
      </c>
      <c r="O560" t="s">
        <v>213</v>
      </c>
      <c r="P560">
        <v>7</v>
      </c>
      <c r="Q560">
        <v>8511.5400000000009</v>
      </c>
      <c r="R560">
        <v>15</v>
      </c>
      <c r="S560">
        <v>8937.1200000000008</v>
      </c>
      <c r="T560">
        <v>50643.66</v>
      </c>
      <c r="U560">
        <v>7651.84</v>
      </c>
    </row>
    <row r="561" spans="1:21" ht="15" customHeight="1" x14ac:dyDescent="0.25">
      <c r="A561" t="s">
        <v>1556</v>
      </c>
      <c r="B561" s="8">
        <v>44865</v>
      </c>
      <c r="C561" s="8">
        <v>44866</v>
      </c>
      <c r="D561" t="s">
        <v>32</v>
      </c>
      <c r="E561" t="s">
        <v>3068</v>
      </c>
      <c r="F561" t="s">
        <v>3046</v>
      </c>
      <c r="G561" t="s">
        <v>1557</v>
      </c>
      <c r="H561">
        <v>8103557220</v>
      </c>
      <c r="I561" t="s">
        <v>43</v>
      </c>
      <c r="J561" t="s">
        <v>61</v>
      </c>
      <c r="K561" t="s">
        <v>95</v>
      </c>
      <c r="L561" t="s">
        <v>108</v>
      </c>
      <c r="M561" t="str">
        <f>TRIM(Table2[[#This Row],[Category]])</f>
        <v>Clothing</v>
      </c>
      <c r="N561" t="s">
        <v>183</v>
      </c>
      <c r="O561" t="s">
        <v>869</v>
      </c>
      <c r="P561">
        <v>15</v>
      </c>
      <c r="Q561">
        <v>2843.99</v>
      </c>
      <c r="R561">
        <v>5</v>
      </c>
      <c r="S561">
        <v>2132.9899999999998</v>
      </c>
      <c r="T561">
        <v>40526.86</v>
      </c>
      <c r="U561">
        <v>-1183.26</v>
      </c>
    </row>
    <row r="562" spans="1:21" ht="15" customHeight="1" x14ac:dyDescent="0.25">
      <c r="A562" t="s">
        <v>300</v>
      </c>
      <c r="B562" s="8">
        <v>44866</v>
      </c>
      <c r="C562" s="8">
        <v>44867</v>
      </c>
      <c r="D562" t="s">
        <v>32</v>
      </c>
      <c r="E562" t="s">
        <v>3037</v>
      </c>
      <c r="F562" t="s">
        <v>3083</v>
      </c>
      <c r="G562" t="s">
        <v>302</v>
      </c>
      <c r="H562">
        <v>7037328534</v>
      </c>
      <c r="I562" t="s">
        <v>24</v>
      </c>
      <c r="J562" t="s">
        <v>51</v>
      </c>
      <c r="K562" t="s">
        <v>223</v>
      </c>
      <c r="L562" t="s">
        <v>108</v>
      </c>
      <c r="M562" t="str">
        <f>TRIM(Table2[[#This Row],[Category]])</f>
        <v>Clothing</v>
      </c>
      <c r="N562" t="s">
        <v>38</v>
      </c>
      <c r="O562" t="s">
        <v>303</v>
      </c>
      <c r="P562">
        <v>8</v>
      </c>
      <c r="Q562">
        <v>44173.31</v>
      </c>
      <c r="R562">
        <v>15</v>
      </c>
      <c r="S562">
        <v>53007.97</v>
      </c>
      <c r="T562">
        <v>300378.51</v>
      </c>
      <c r="U562">
        <v>-2962.49</v>
      </c>
    </row>
    <row r="563" spans="1:21" ht="15" customHeight="1" x14ac:dyDescent="0.25">
      <c r="A563" t="s">
        <v>1524</v>
      </c>
      <c r="B563" s="8">
        <v>44871</v>
      </c>
      <c r="C563" s="8">
        <v>44872</v>
      </c>
      <c r="D563" t="s">
        <v>32</v>
      </c>
      <c r="E563" t="s">
        <v>3087</v>
      </c>
      <c r="F563" t="s">
        <v>3052</v>
      </c>
      <c r="G563" t="s">
        <v>1526</v>
      </c>
      <c r="H563">
        <v>8034856420</v>
      </c>
      <c r="I563" t="s">
        <v>43</v>
      </c>
      <c r="J563" t="s">
        <v>69</v>
      </c>
      <c r="K563" t="s">
        <v>119</v>
      </c>
      <c r="L563" t="s">
        <v>85</v>
      </c>
      <c r="M563" t="str">
        <f>TRIM(Table2[[#This Row],[Category]])</f>
        <v>Furniture</v>
      </c>
      <c r="N563" t="s">
        <v>86</v>
      </c>
      <c r="O563" t="s">
        <v>199</v>
      </c>
      <c r="P563">
        <v>15</v>
      </c>
      <c r="Q563">
        <v>52758.52</v>
      </c>
      <c r="R563">
        <v>15</v>
      </c>
      <c r="S563">
        <v>118706.67</v>
      </c>
      <c r="T563">
        <v>672671.13</v>
      </c>
      <c r="U563">
        <f>U562</f>
        <v>-2962.49</v>
      </c>
    </row>
    <row r="564" spans="1:21" ht="15" customHeight="1" x14ac:dyDescent="0.25">
      <c r="A564" t="s">
        <v>2586</v>
      </c>
      <c r="B564" s="8">
        <v>44874</v>
      </c>
      <c r="C564" s="8">
        <v>44874</v>
      </c>
      <c r="D564" t="s">
        <v>32</v>
      </c>
      <c r="E564" t="s">
        <v>3098</v>
      </c>
      <c r="F564" t="s">
        <v>3066</v>
      </c>
      <c r="G564" t="s">
        <v>2587</v>
      </c>
      <c r="H564">
        <v>8033339281</v>
      </c>
      <c r="I564" t="s">
        <v>43</v>
      </c>
      <c r="J564" t="s">
        <v>69</v>
      </c>
      <c r="K564" t="s">
        <v>70</v>
      </c>
      <c r="L564" t="s">
        <v>63</v>
      </c>
      <c r="M564" t="str">
        <f>TRIM(Table2[[#This Row],[Category]])</f>
        <v>Office Supplies</v>
      </c>
      <c r="N564" t="s">
        <v>64</v>
      </c>
      <c r="O564" t="s">
        <v>501</v>
      </c>
      <c r="P564">
        <v>1</v>
      </c>
      <c r="Q564">
        <v>10285.75</v>
      </c>
      <c r="R564">
        <v>15</v>
      </c>
      <c r="S564">
        <v>1542.86</v>
      </c>
      <c r="T564">
        <v>8742.89</v>
      </c>
      <c r="U564">
        <v>2839.91</v>
      </c>
    </row>
    <row r="565" spans="1:21" ht="15" customHeight="1" x14ac:dyDescent="0.25">
      <c r="A565" t="s">
        <v>825</v>
      </c>
      <c r="B565" s="8">
        <v>44876</v>
      </c>
      <c r="C565" s="8">
        <v>44876</v>
      </c>
      <c r="D565" t="s">
        <v>32</v>
      </c>
      <c r="E565" t="s">
        <v>3073</v>
      </c>
      <c r="F565" t="s">
        <v>3046</v>
      </c>
      <c r="G565" t="s">
        <v>827</v>
      </c>
      <c r="H565">
        <v>8065941719</v>
      </c>
      <c r="I565" t="s">
        <v>24</v>
      </c>
      <c r="J565" t="s">
        <v>25</v>
      </c>
      <c r="K565" t="s">
        <v>168</v>
      </c>
      <c r="L565" t="s">
        <v>27</v>
      </c>
      <c r="M565" t="str">
        <f>TRIM(Table2[[#This Row],[Category]])</f>
        <v>Food &amp; Beverages</v>
      </c>
      <c r="N565" t="s">
        <v>28</v>
      </c>
      <c r="O565" t="s">
        <v>508</v>
      </c>
      <c r="P565">
        <v>7</v>
      </c>
      <c r="Q565">
        <v>1046.8</v>
      </c>
      <c r="R565">
        <v>0</v>
      </c>
      <c r="S565">
        <v>0</v>
      </c>
      <c r="T565" t="s">
        <v>828</v>
      </c>
      <c r="U565">
        <v>1706.7</v>
      </c>
    </row>
    <row r="566" spans="1:21" ht="15" customHeight="1" x14ac:dyDescent="0.25">
      <c r="A566" t="s">
        <v>641</v>
      </c>
      <c r="B566" s="8">
        <v>44877</v>
      </c>
      <c r="C566" s="8">
        <v>44878</v>
      </c>
      <c r="D566" t="s">
        <v>32</v>
      </c>
      <c r="E566" t="s">
        <v>3041</v>
      </c>
      <c r="F566" t="s">
        <v>3039</v>
      </c>
      <c r="G566" t="s">
        <v>3126</v>
      </c>
      <c r="H566">
        <v>8061087161</v>
      </c>
      <c r="I566" t="s">
        <v>35</v>
      </c>
      <c r="J566" t="s">
        <v>25</v>
      </c>
      <c r="K566" t="s">
        <v>44</v>
      </c>
      <c r="L566" t="s">
        <v>63</v>
      </c>
      <c r="M566" t="str">
        <f>TRIM(Table2[[#This Row],[Category]])</f>
        <v>Office Supplies</v>
      </c>
      <c r="N566" t="s">
        <v>64</v>
      </c>
      <c r="O566" t="s">
        <v>65</v>
      </c>
      <c r="P566">
        <v>4</v>
      </c>
      <c r="Q566">
        <v>19152.990000000002</v>
      </c>
      <c r="R566">
        <v>0</v>
      </c>
      <c r="S566">
        <v>0</v>
      </c>
      <c r="T566">
        <v>76611.960000000006</v>
      </c>
      <c r="U566">
        <v>-7478.99</v>
      </c>
    </row>
    <row r="567" spans="1:21" ht="15" customHeight="1" x14ac:dyDescent="0.25">
      <c r="A567" t="s">
        <v>1113</v>
      </c>
      <c r="B567" s="8">
        <v>44879</v>
      </c>
      <c r="C567" s="8">
        <v>44880</v>
      </c>
      <c r="D567" t="s">
        <v>32</v>
      </c>
      <c r="E567" t="s">
        <v>3081</v>
      </c>
      <c r="F567" t="s">
        <v>3043</v>
      </c>
      <c r="G567" t="s">
        <v>1115</v>
      </c>
      <c r="H567">
        <v>8142533463</v>
      </c>
      <c r="I567" t="s">
        <v>35</v>
      </c>
      <c r="J567" t="s">
        <v>61</v>
      </c>
      <c r="K567" t="s">
        <v>95</v>
      </c>
      <c r="L567" t="s">
        <v>27</v>
      </c>
      <c r="M567" t="str">
        <f>TRIM(Table2[[#This Row],[Category]])</f>
        <v>Food &amp; Beverages</v>
      </c>
      <c r="N567" t="s">
        <v>45</v>
      </c>
      <c r="O567" t="s">
        <v>308</v>
      </c>
      <c r="P567">
        <v>5</v>
      </c>
      <c r="Q567">
        <v>760.27</v>
      </c>
      <c r="R567">
        <v>25</v>
      </c>
      <c r="S567">
        <v>950.34</v>
      </c>
      <c r="T567">
        <v>2851.01</v>
      </c>
      <c r="U567">
        <v>926.24</v>
      </c>
    </row>
    <row r="568" spans="1:21" ht="15" customHeight="1" x14ac:dyDescent="0.25">
      <c r="A568" t="s">
        <v>2276</v>
      </c>
      <c r="B568" s="8">
        <v>44880</v>
      </c>
      <c r="C568" s="8">
        <v>44880</v>
      </c>
      <c r="D568" t="s">
        <v>32</v>
      </c>
      <c r="E568" t="s">
        <v>3068</v>
      </c>
      <c r="F568" t="s">
        <v>3039</v>
      </c>
      <c r="G568" t="s">
        <v>1463</v>
      </c>
      <c r="H568">
        <v>8136740847</v>
      </c>
      <c r="I568" t="s">
        <v>24</v>
      </c>
      <c r="J568" t="s">
        <v>61</v>
      </c>
      <c r="K568" t="s">
        <v>95</v>
      </c>
      <c r="L568" t="s">
        <v>27</v>
      </c>
      <c r="M568" t="str">
        <f>TRIM(Table2[[#This Row],[Category]])</f>
        <v>Food &amp; Beverages</v>
      </c>
      <c r="N568" t="s">
        <v>173</v>
      </c>
      <c r="O568" t="s">
        <v>174</v>
      </c>
      <c r="P568">
        <v>7</v>
      </c>
      <c r="Q568">
        <v>998.83</v>
      </c>
      <c r="R568">
        <v>10</v>
      </c>
      <c r="S568">
        <v>699.18</v>
      </c>
      <c r="T568">
        <v>6292.63</v>
      </c>
      <c r="U568">
        <f>U567</f>
        <v>926.24</v>
      </c>
    </row>
    <row r="569" spans="1:21" ht="15" customHeight="1" x14ac:dyDescent="0.25">
      <c r="A569" t="s">
        <v>1758</v>
      </c>
      <c r="B569" s="8">
        <v>44881</v>
      </c>
      <c r="C569" s="8">
        <v>44882</v>
      </c>
      <c r="D569" t="s">
        <v>32</v>
      </c>
      <c r="E569" t="s">
        <v>3047</v>
      </c>
      <c r="F569" t="s">
        <v>3096</v>
      </c>
      <c r="G569" t="s">
        <v>1760</v>
      </c>
      <c r="H569">
        <v>7062396415</v>
      </c>
      <c r="I569" t="s">
        <v>43</v>
      </c>
      <c r="J569" t="s">
        <v>69</v>
      </c>
      <c r="K569" t="s">
        <v>70</v>
      </c>
      <c r="L569" t="s">
        <v>63</v>
      </c>
      <c r="M569" t="str">
        <f>TRIM(Table2[[#This Row],[Category]])</f>
        <v>Office Supplies</v>
      </c>
      <c r="N569" t="s">
        <v>312</v>
      </c>
      <c r="O569" t="s">
        <v>686</v>
      </c>
      <c r="P569">
        <v>6</v>
      </c>
      <c r="Q569">
        <v>4243.57</v>
      </c>
      <c r="R569">
        <v>10</v>
      </c>
      <c r="S569">
        <v>2546.14</v>
      </c>
      <c r="T569">
        <v>22915.279999999999</v>
      </c>
      <c r="U569">
        <v>1793.58</v>
      </c>
    </row>
    <row r="570" spans="1:21" ht="15" customHeight="1" x14ac:dyDescent="0.25">
      <c r="A570" t="s">
        <v>2249</v>
      </c>
      <c r="B570" s="8">
        <v>44882</v>
      </c>
      <c r="C570" s="8">
        <v>44882</v>
      </c>
      <c r="D570" t="s">
        <v>32</v>
      </c>
      <c r="E570" t="s">
        <v>3097</v>
      </c>
      <c r="F570" t="s">
        <v>3040</v>
      </c>
      <c r="G570" t="s">
        <v>2251</v>
      </c>
      <c r="H570">
        <v>7031237053</v>
      </c>
      <c r="I570" t="s">
        <v>24</v>
      </c>
      <c r="J570" t="s">
        <v>25</v>
      </c>
      <c r="K570" t="s">
        <v>26</v>
      </c>
      <c r="L570" t="s">
        <v>85</v>
      </c>
      <c r="M570" t="str">
        <f>TRIM(Table2[[#This Row],[Category]])</f>
        <v>Furniture</v>
      </c>
      <c r="N570" t="s">
        <v>243</v>
      </c>
      <c r="O570" t="s">
        <v>404</v>
      </c>
      <c r="P570">
        <v>0</v>
      </c>
      <c r="Q570">
        <v>149169.76</v>
      </c>
      <c r="R570">
        <v>10</v>
      </c>
      <c r="S570">
        <v>208837.66</v>
      </c>
      <c r="T570">
        <v>1879538.98</v>
      </c>
      <c r="U570">
        <v>132253.54</v>
      </c>
    </row>
    <row r="571" spans="1:21" ht="15" customHeight="1" x14ac:dyDescent="0.25">
      <c r="A571" t="s">
        <v>1713</v>
      </c>
      <c r="B571" s="8" t="s">
        <v>1714</v>
      </c>
      <c r="C571" s="8">
        <v>44883</v>
      </c>
      <c r="D571" t="s">
        <v>32</v>
      </c>
      <c r="E571" t="s">
        <v>3033</v>
      </c>
      <c r="F571" t="s">
        <v>3077</v>
      </c>
      <c r="G571" t="s">
        <v>1715</v>
      </c>
      <c r="H571">
        <v>8142153651</v>
      </c>
      <c r="I571" t="s">
        <v>43</v>
      </c>
      <c r="J571" t="s">
        <v>61</v>
      </c>
      <c r="K571" t="s">
        <v>182</v>
      </c>
      <c r="L571" t="s">
        <v>108</v>
      </c>
      <c r="M571" t="str">
        <f>TRIM(Table2[[#This Row],[Category]])</f>
        <v>Clothing</v>
      </c>
      <c r="N571" t="s">
        <v>109</v>
      </c>
      <c r="O571" t="s">
        <v>1258</v>
      </c>
      <c r="P571">
        <v>10</v>
      </c>
      <c r="Q571">
        <v>39429.31</v>
      </c>
      <c r="R571">
        <v>15</v>
      </c>
      <c r="S571">
        <v>59143.96</v>
      </c>
      <c r="T571">
        <v>335149.14</v>
      </c>
      <c r="U571">
        <v>114197.93</v>
      </c>
    </row>
    <row r="572" spans="1:21" ht="15" customHeight="1" x14ac:dyDescent="0.25">
      <c r="A572" t="s">
        <v>2604</v>
      </c>
      <c r="B572" s="8">
        <v>44883</v>
      </c>
      <c r="C572" s="8">
        <v>44884</v>
      </c>
      <c r="D572" t="s">
        <v>32</v>
      </c>
      <c r="E572" t="s">
        <v>3041</v>
      </c>
      <c r="F572" t="s">
        <v>3038</v>
      </c>
      <c r="G572" t="s">
        <v>2606</v>
      </c>
      <c r="H572">
        <v>8145629663</v>
      </c>
      <c r="I572" t="s">
        <v>24</v>
      </c>
      <c r="J572" t="s">
        <v>61</v>
      </c>
      <c r="K572" t="s">
        <v>204</v>
      </c>
      <c r="L572" t="s">
        <v>85</v>
      </c>
      <c r="M572" t="str">
        <f>TRIM(Table2[[#This Row],[Category]])</f>
        <v>Furniture</v>
      </c>
      <c r="N572" t="s">
        <v>266</v>
      </c>
      <c r="O572" t="s">
        <v>952</v>
      </c>
      <c r="P572">
        <v>19</v>
      </c>
      <c r="Q572">
        <v>56979.199999999997</v>
      </c>
      <c r="R572">
        <v>0</v>
      </c>
      <c r="S572">
        <v>0</v>
      </c>
      <c r="T572">
        <v>1082604.8</v>
      </c>
      <c r="U572">
        <v>47290.59</v>
      </c>
    </row>
    <row r="573" spans="1:21" ht="15" customHeight="1" x14ac:dyDescent="0.25">
      <c r="A573" t="s">
        <v>2417</v>
      </c>
      <c r="B573" s="8">
        <v>44884</v>
      </c>
      <c r="C573" s="8">
        <v>44885</v>
      </c>
      <c r="D573" t="s">
        <v>32</v>
      </c>
      <c r="E573" t="s">
        <v>3065</v>
      </c>
      <c r="F573" t="s">
        <v>3062</v>
      </c>
      <c r="G573" t="s">
        <v>2418</v>
      </c>
      <c r="H573">
        <v>9014046988</v>
      </c>
      <c r="I573" t="s">
        <v>43</v>
      </c>
      <c r="J573" t="s">
        <v>61</v>
      </c>
      <c r="K573" t="s">
        <v>182</v>
      </c>
      <c r="L573" t="s">
        <v>63</v>
      </c>
      <c r="M573" t="str">
        <f>TRIM(Table2[[#This Row],[Category]])</f>
        <v>Office Supplies</v>
      </c>
      <c r="N573" t="s">
        <v>249</v>
      </c>
      <c r="O573" t="s">
        <v>2013</v>
      </c>
      <c r="P573">
        <v>7</v>
      </c>
      <c r="Q573">
        <v>1234.51</v>
      </c>
      <c r="R573">
        <v>10</v>
      </c>
      <c r="S573">
        <v>864.16</v>
      </c>
      <c r="T573">
        <v>7777.41</v>
      </c>
      <c r="U573">
        <v>717.02</v>
      </c>
    </row>
    <row r="574" spans="1:21" ht="15" customHeight="1" x14ac:dyDescent="0.25">
      <c r="A574" t="s">
        <v>1395</v>
      </c>
      <c r="B574" s="8">
        <v>44894</v>
      </c>
      <c r="C574" s="8">
        <v>44895</v>
      </c>
      <c r="D574" t="s">
        <v>32</v>
      </c>
      <c r="E574" t="s">
        <v>3056</v>
      </c>
      <c r="F574" t="s">
        <v>3046</v>
      </c>
      <c r="G574" t="s">
        <v>1397</v>
      </c>
      <c r="H574">
        <v>8143439136</v>
      </c>
      <c r="I574" t="s">
        <v>43</v>
      </c>
      <c r="J574" t="s">
        <v>51</v>
      </c>
      <c r="K574" t="s">
        <v>131</v>
      </c>
      <c r="L574" t="s">
        <v>108</v>
      </c>
      <c r="M574" t="str">
        <f>TRIM(Table2[[#This Row],[Category]])</f>
        <v>Clothing</v>
      </c>
      <c r="N574" t="s">
        <v>38</v>
      </c>
      <c r="O574" t="s">
        <v>303</v>
      </c>
      <c r="P574">
        <v>18</v>
      </c>
      <c r="Q574">
        <v>2184.66</v>
      </c>
      <c r="R574">
        <v>25</v>
      </c>
      <c r="S574">
        <v>9830.9699999999993</v>
      </c>
      <c r="T574">
        <v>29492.91</v>
      </c>
      <c r="U574">
        <v>1438.32</v>
      </c>
    </row>
    <row r="575" spans="1:21" ht="15" customHeight="1" x14ac:dyDescent="0.25">
      <c r="A575" t="s">
        <v>1584</v>
      </c>
      <c r="B575" s="8">
        <v>44898</v>
      </c>
      <c r="C575" s="8">
        <v>44899</v>
      </c>
      <c r="D575" t="s">
        <v>32</v>
      </c>
      <c r="E575" t="s">
        <v>3087</v>
      </c>
      <c r="F575" t="s">
        <v>3045</v>
      </c>
      <c r="G575" t="s">
        <v>1586</v>
      </c>
      <c r="H575">
        <v>9073532555</v>
      </c>
      <c r="I575" t="s">
        <v>43</v>
      </c>
      <c r="J575" t="s">
        <v>25</v>
      </c>
      <c r="K575" t="s">
        <v>44</v>
      </c>
      <c r="L575" t="s">
        <v>27</v>
      </c>
      <c r="M575" t="str">
        <f>TRIM(Table2[[#This Row],[Category]])</f>
        <v>Food &amp; Beverages</v>
      </c>
      <c r="N575" t="s">
        <v>79</v>
      </c>
      <c r="O575" t="s">
        <v>234</v>
      </c>
      <c r="P575">
        <v>14</v>
      </c>
      <c r="Q575">
        <v>7789.49</v>
      </c>
      <c r="R575">
        <v>15</v>
      </c>
      <c r="S575">
        <v>16357.93</v>
      </c>
      <c r="T575">
        <v>92694.93</v>
      </c>
      <c r="U575">
        <v>35360.31</v>
      </c>
    </row>
    <row r="576" spans="1:21" ht="15" customHeight="1" x14ac:dyDescent="0.25">
      <c r="A576" t="s">
        <v>915</v>
      </c>
      <c r="B576" s="8">
        <v>44900</v>
      </c>
      <c r="C576" s="8">
        <v>44900</v>
      </c>
      <c r="D576" t="s">
        <v>32</v>
      </c>
      <c r="E576" t="s">
        <v>3089</v>
      </c>
      <c r="F576" t="s">
        <v>3074</v>
      </c>
      <c r="G576" t="s">
        <v>917</v>
      </c>
      <c r="H576">
        <v>7035666702</v>
      </c>
      <c r="I576" t="s">
        <v>43</v>
      </c>
      <c r="J576" t="s">
        <v>61</v>
      </c>
      <c r="K576" t="s">
        <v>84</v>
      </c>
      <c r="L576" t="s">
        <v>96</v>
      </c>
      <c r="M576" t="str">
        <f>TRIM(Table2[[#This Row],[Category]])</f>
        <v>Technology</v>
      </c>
      <c r="N576" t="s">
        <v>254</v>
      </c>
      <c r="O576" t="s">
        <v>255</v>
      </c>
      <c r="P576">
        <v>13</v>
      </c>
      <c r="Q576">
        <v>254465.57</v>
      </c>
      <c r="R576">
        <v>15</v>
      </c>
      <c r="S576">
        <v>496207.86</v>
      </c>
      <c r="T576">
        <v>2811844.55</v>
      </c>
      <c r="U576">
        <v>956763.8</v>
      </c>
    </row>
    <row r="577" spans="1:21" ht="15" customHeight="1" x14ac:dyDescent="0.25">
      <c r="A577" t="s">
        <v>1002</v>
      </c>
      <c r="B577" s="8">
        <v>44901</v>
      </c>
      <c r="C577" s="8">
        <v>44901</v>
      </c>
      <c r="D577" t="s">
        <v>32</v>
      </c>
      <c r="E577" t="s">
        <v>3044</v>
      </c>
      <c r="F577" t="s">
        <v>3075</v>
      </c>
      <c r="G577" t="s">
        <v>1004</v>
      </c>
      <c r="H577">
        <v>8133520615</v>
      </c>
      <c r="I577" t="s">
        <v>35</v>
      </c>
      <c r="J577" t="s">
        <v>25</v>
      </c>
      <c r="K577" t="s">
        <v>36</v>
      </c>
      <c r="L577" t="s">
        <v>85</v>
      </c>
      <c r="M577" t="str">
        <f>TRIM(Table2[[#This Row],[Category]])</f>
        <v>Furniture</v>
      </c>
      <c r="N577" t="s">
        <v>218</v>
      </c>
      <c r="O577" t="s">
        <v>1005</v>
      </c>
      <c r="P577">
        <v>4</v>
      </c>
      <c r="Q577">
        <v>111547.49</v>
      </c>
      <c r="R577">
        <v>5</v>
      </c>
      <c r="S577">
        <v>22309.5</v>
      </c>
      <c r="T577" t="s">
        <v>1006</v>
      </c>
      <c r="U577">
        <v>41865.910000000003</v>
      </c>
    </row>
    <row r="578" spans="1:21" ht="15" customHeight="1" x14ac:dyDescent="0.25">
      <c r="A578" t="s">
        <v>1289</v>
      </c>
      <c r="B578" s="8">
        <v>44908</v>
      </c>
      <c r="C578" s="8">
        <v>44908</v>
      </c>
      <c r="D578" t="s">
        <v>32</v>
      </c>
      <c r="E578" t="s">
        <v>3076</v>
      </c>
      <c r="F578" t="s">
        <v>3079</v>
      </c>
      <c r="G578" t="s">
        <v>1291</v>
      </c>
      <c r="H578">
        <v>8169132926</v>
      </c>
      <c r="I578" t="s">
        <v>24</v>
      </c>
      <c r="J578" t="s">
        <v>51</v>
      </c>
      <c r="K578" t="s">
        <v>52</v>
      </c>
      <c r="L578" t="s">
        <v>96</v>
      </c>
      <c r="M578" t="str">
        <f>TRIM(Table2[[#This Row],[Category]])</f>
        <v>Technology</v>
      </c>
      <c r="N578" t="s">
        <v>385</v>
      </c>
      <c r="O578" t="s">
        <v>1010</v>
      </c>
      <c r="P578">
        <v>9</v>
      </c>
      <c r="Q578">
        <v>48435.08</v>
      </c>
      <c r="R578">
        <v>10</v>
      </c>
      <c r="S578">
        <v>43591.57</v>
      </c>
      <c r="T578">
        <v>392324.15</v>
      </c>
      <c r="U578">
        <f>U577</f>
        <v>41865.910000000003</v>
      </c>
    </row>
    <row r="579" spans="1:21" ht="15" customHeight="1" x14ac:dyDescent="0.25">
      <c r="A579" t="s">
        <v>2567</v>
      </c>
      <c r="B579" s="8">
        <v>44908</v>
      </c>
      <c r="C579" s="8">
        <v>44909</v>
      </c>
      <c r="D579" t="s">
        <v>2568</v>
      </c>
      <c r="E579" t="s">
        <v>3061</v>
      </c>
      <c r="F579" t="s">
        <v>3052</v>
      </c>
      <c r="G579" t="s">
        <v>602</v>
      </c>
      <c r="H579">
        <v>8151393330</v>
      </c>
      <c r="I579" t="s">
        <v>24</v>
      </c>
      <c r="J579" t="s">
        <v>69</v>
      </c>
      <c r="K579" t="s">
        <v>307</v>
      </c>
      <c r="L579" t="s">
        <v>108</v>
      </c>
      <c r="M579" t="str">
        <f>TRIM(Table2[[#This Row],[Category]])</f>
        <v>Clothing</v>
      </c>
      <c r="N579" t="s">
        <v>38</v>
      </c>
      <c r="O579" t="s">
        <v>303</v>
      </c>
      <c r="P579">
        <v>8</v>
      </c>
      <c r="Q579">
        <v>4236.4799999999996</v>
      </c>
      <c r="R579">
        <v>10</v>
      </c>
      <c r="S579">
        <v>3389.18</v>
      </c>
      <c r="T579">
        <v>30502.66</v>
      </c>
      <c r="U579">
        <v>240</v>
      </c>
    </row>
    <row r="580" spans="1:21" ht="15" customHeight="1" x14ac:dyDescent="0.25">
      <c r="A580" t="s">
        <v>1652</v>
      </c>
      <c r="B580" s="8">
        <v>44911</v>
      </c>
      <c r="C580" s="8">
        <v>44911</v>
      </c>
      <c r="D580" t="s">
        <v>32</v>
      </c>
      <c r="E580" t="s">
        <v>3094</v>
      </c>
      <c r="F580" t="s">
        <v>3069</v>
      </c>
      <c r="G580" t="s">
        <v>222</v>
      </c>
      <c r="H580">
        <v>8063151617</v>
      </c>
      <c r="I580" t="s">
        <v>43</v>
      </c>
      <c r="J580" t="s">
        <v>69</v>
      </c>
      <c r="K580" t="s">
        <v>307</v>
      </c>
      <c r="L580" t="s">
        <v>96</v>
      </c>
      <c r="M580" t="str">
        <f>TRIM(Table2[[#This Row],[Category]])</f>
        <v>Technology</v>
      </c>
      <c r="N580" t="s">
        <v>385</v>
      </c>
      <c r="O580" t="s">
        <v>386</v>
      </c>
      <c r="P580">
        <v>8</v>
      </c>
      <c r="Q580">
        <v>421100.08</v>
      </c>
      <c r="R580">
        <v>25</v>
      </c>
      <c r="S580">
        <v>842200.16</v>
      </c>
      <c r="T580">
        <v>2526600.48</v>
      </c>
      <c r="U580">
        <v>725991.66</v>
      </c>
    </row>
    <row r="581" spans="1:21" ht="15" customHeight="1" x14ac:dyDescent="0.25">
      <c r="A581" t="s">
        <v>2562</v>
      </c>
      <c r="B581" s="8">
        <v>44911</v>
      </c>
      <c r="C581" s="8">
        <v>44911</v>
      </c>
      <c r="D581" t="s">
        <v>32</v>
      </c>
      <c r="E581" t="s">
        <v>3035</v>
      </c>
      <c r="F581" t="s">
        <v>3078</v>
      </c>
      <c r="G581" t="s">
        <v>2564</v>
      </c>
      <c r="H581">
        <v>8144050662</v>
      </c>
      <c r="I581" t="s">
        <v>43</v>
      </c>
      <c r="J581" t="s">
        <v>69</v>
      </c>
      <c r="K581" t="s">
        <v>70</v>
      </c>
      <c r="L581" t="s">
        <v>108</v>
      </c>
      <c r="M581" t="str">
        <f>TRIM(Table2[[#This Row],[Category]])</f>
        <v>Clothing</v>
      </c>
      <c r="N581" t="s">
        <v>114</v>
      </c>
      <c r="O581" t="s">
        <v>115</v>
      </c>
      <c r="P581">
        <v>19</v>
      </c>
      <c r="Q581">
        <v>42703.98</v>
      </c>
      <c r="R581">
        <v>10</v>
      </c>
      <c r="S581">
        <v>81137.56</v>
      </c>
      <c r="T581">
        <v>730238.06</v>
      </c>
      <c r="U581">
        <v>278485.28000000003</v>
      </c>
    </row>
    <row r="582" spans="1:21" ht="15" customHeight="1" x14ac:dyDescent="0.25">
      <c r="A582" t="s">
        <v>2243</v>
      </c>
      <c r="B582" s="8">
        <v>44911</v>
      </c>
      <c r="C582" s="8">
        <v>44912</v>
      </c>
      <c r="D582" t="s">
        <v>32</v>
      </c>
      <c r="E582" t="s">
        <v>3033</v>
      </c>
      <c r="F582" t="s">
        <v>3034</v>
      </c>
      <c r="G582" t="s">
        <v>2244</v>
      </c>
      <c r="H582">
        <v>7061155332</v>
      </c>
      <c r="I582" t="s">
        <v>43</v>
      </c>
      <c r="J582" t="s">
        <v>25</v>
      </c>
      <c r="K582" t="s">
        <v>26</v>
      </c>
      <c r="L582" t="s">
        <v>63</v>
      </c>
      <c r="M582" t="str">
        <f>TRIM(Table2[[#This Row],[Category]])</f>
        <v>Office Supplies</v>
      </c>
      <c r="N582" t="s">
        <v>249</v>
      </c>
      <c r="O582" t="s">
        <v>329</v>
      </c>
      <c r="P582">
        <v>9</v>
      </c>
      <c r="Q582">
        <v>24895.74</v>
      </c>
      <c r="R582">
        <v>25</v>
      </c>
      <c r="S582">
        <v>56015.42</v>
      </c>
      <c r="T582">
        <v>168046.24</v>
      </c>
      <c r="U582">
        <f>U581</f>
        <v>278485.28000000003</v>
      </c>
    </row>
    <row r="583" spans="1:21" ht="15" customHeight="1" x14ac:dyDescent="0.25">
      <c r="A583" t="s">
        <v>1360</v>
      </c>
      <c r="B583" s="8">
        <v>44912</v>
      </c>
      <c r="C583" s="8">
        <v>44913</v>
      </c>
      <c r="D583" t="s">
        <v>32</v>
      </c>
      <c r="E583" t="s">
        <v>3067</v>
      </c>
      <c r="F583" t="s">
        <v>3064</v>
      </c>
      <c r="G583" t="s">
        <v>1362</v>
      </c>
      <c r="H583">
        <v>9023851044</v>
      </c>
      <c r="I583" t="s">
        <v>43</v>
      </c>
      <c r="J583" t="s">
        <v>25</v>
      </c>
      <c r="K583" t="s">
        <v>168</v>
      </c>
      <c r="L583" t="s">
        <v>27</v>
      </c>
      <c r="M583" t="str">
        <f>TRIM(Table2[[#This Row],[Category]])</f>
        <v>Food &amp; Beverages</v>
      </c>
      <c r="N583" t="s">
        <v>173</v>
      </c>
      <c r="O583" t="s">
        <v>380</v>
      </c>
      <c r="P583">
        <v>17</v>
      </c>
      <c r="Q583">
        <v>965.85</v>
      </c>
      <c r="R583">
        <v>20</v>
      </c>
      <c r="S583">
        <v>3283.89</v>
      </c>
      <c r="T583">
        <v>13135.56</v>
      </c>
      <c r="U583">
        <v>4824.95</v>
      </c>
    </row>
    <row r="584" spans="1:21" ht="15" customHeight="1" x14ac:dyDescent="0.25">
      <c r="A584" t="s">
        <v>333</v>
      </c>
      <c r="B584" s="8">
        <v>44921</v>
      </c>
      <c r="C584" s="8">
        <v>44921</v>
      </c>
      <c r="D584" t="s">
        <v>32</v>
      </c>
      <c r="E584" t="s">
        <v>3033</v>
      </c>
      <c r="F584" t="s">
        <v>3079</v>
      </c>
      <c r="G584" t="s">
        <v>335</v>
      </c>
      <c r="H584">
        <v>8159418719</v>
      </c>
      <c r="I584" t="s">
        <v>24</v>
      </c>
      <c r="J584" t="s">
        <v>51</v>
      </c>
      <c r="K584" t="s">
        <v>223</v>
      </c>
      <c r="L584" t="s">
        <v>63</v>
      </c>
      <c r="M584" t="str">
        <f>TRIM(Table2[[#This Row],[Category]])</f>
        <v>Office Supplies</v>
      </c>
      <c r="N584" t="s">
        <v>194</v>
      </c>
      <c r="O584" t="s">
        <v>336</v>
      </c>
      <c r="P584">
        <v>16</v>
      </c>
      <c r="Q584">
        <v>6795.77</v>
      </c>
      <c r="R584">
        <v>10</v>
      </c>
      <c r="S584">
        <v>10873.23</v>
      </c>
      <c r="T584">
        <v>97859.09</v>
      </c>
      <c r="U584">
        <v>29155.71</v>
      </c>
    </row>
    <row r="585" spans="1:21" ht="15" customHeight="1" x14ac:dyDescent="0.25">
      <c r="A585" t="s">
        <v>953</v>
      </c>
      <c r="B585" s="8">
        <v>44925</v>
      </c>
      <c r="C585" s="8">
        <v>44925</v>
      </c>
      <c r="D585" t="s">
        <v>32</v>
      </c>
      <c r="E585" t="s">
        <v>3065</v>
      </c>
      <c r="F585" t="s">
        <v>3062</v>
      </c>
      <c r="G585" t="s">
        <v>955</v>
      </c>
      <c r="H585">
        <v>7061681729</v>
      </c>
      <c r="I585" t="s">
        <v>43</v>
      </c>
      <c r="J585" t="s">
        <v>61</v>
      </c>
      <c r="K585" t="s">
        <v>62</v>
      </c>
      <c r="L585" t="s">
        <v>108</v>
      </c>
      <c r="M585" t="str">
        <f>TRIM(Table2[[#This Row],[Category]])</f>
        <v>Clothing</v>
      </c>
      <c r="N585" t="s">
        <v>38</v>
      </c>
      <c r="O585" t="s">
        <v>296</v>
      </c>
      <c r="P585">
        <v>6</v>
      </c>
      <c r="Q585">
        <v>13362.3</v>
      </c>
      <c r="R585">
        <v>10</v>
      </c>
      <c r="S585">
        <v>8017.38</v>
      </c>
      <c r="T585">
        <v>72156.42</v>
      </c>
      <c r="U585">
        <v>-10579.06</v>
      </c>
    </row>
    <row r="586" spans="1:21" ht="15" customHeight="1" x14ac:dyDescent="0.25">
      <c r="A586" t="s">
        <v>2368</v>
      </c>
      <c r="B586" s="8">
        <v>44925</v>
      </c>
      <c r="C586" s="8">
        <v>44925</v>
      </c>
      <c r="D586" t="s">
        <v>32</v>
      </c>
      <c r="E586" t="s">
        <v>3080</v>
      </c>
      <c r="F586" t="s">
        <v>3036</v>
      </c>
      <c r="G586" t="s">
        <v>2369</v>
      </c>
      <c r="H586">
        <v>8064187908</v>
      </c>
      <c r="I586" t="s">
        <v>35</v>
      </c>
      <c r="J586" t="s">
        <v>61</v>
      </c>
      <c r="K586" t="s">
        <v>62</v>
      </c>
      <c r="L586" t="s">
        <v>96</v>
      </c>
      <c r="M586" t="str">
        <f>TRIM(Table2[[#This Row],[Category]])</f>
        <v>Technology</v>
      </c>
      <c r="N586" t="s">
        <v>385</v>
      </c>
      <c r="O586" t="s">
        <v>1010</v>
      </c>
      <c r="P586">
        <v>7</v>
      </c>
      <c r="Q586">
        <v>146700.97</v>
      </c>
      <c r="R586">
        <v>5</v>
      </c>
      <c r="S586">
        <v>51345.34</v>
      </c>
      <c r="T586">
        <v>975561.45</v>
      </c>
      <c r="U586">
        <v>-3546.79</v>
      </c>
    </row>
    <row r="587" spans="1:21" ht="15" customHeight="1" x14ac:dyDescent="0.25">
      <c r="A587" t="s">
        <v>1356</v>
      </c>
      <c r="B587" s="8" t="s">
        <v>1357</v>
      </c>
      <c r="C587" s="8">
        <v>44927</v>
      </c>
      <c r="D587" t="s">
        <v>32</v>
      </c>
      <c r="E587" t="s">
        <v>3073</v>
      </c>
      <c r="F587" t="s">
        <v>3054</v>
      </c>
      <c r="G587" t="s">
        <v>1359</v>
      </c>
      <c r="H587">
        <v>9014257379</v>
      </c>
      <c r="I587" t="s">
        <v>35</v>
      </c>
      <c r="J587" t="s">
        <v>69</v>
      </c>
      <c r="K587" t="s">
        <v>119</v>
      </c>
      <c r="L587" t="s">
        <v>63</v>
      </c>
      <c r="M587" t="str">
        <f>TRIM(Table2[[#This Row],[Category]])</f>
        <v>Office Supplies</v>
      </c>
      <c r="N587" t="s">
        <v>558</v>
      </c>
      <c r="O587" t="s">
        <v>680</v>
      </c>
      <c r="P587">
        <v>2</v>
      </c>
      <c r="Q587">
        <v>8729.34</v>
      </c>
      <c r="R587">
        <v>0</v>
      </c>
      <c r="S587">
        <v>0</v>
      </c>
      <c r="T587">
        <v>17458.68</v>
      </c>
      <c r="U587">
        <v>320.58</v>
      </c>
    </row>
    <row r="588" spans="1:21" ht="15" customHeight="1" x14ac:dyDescent="0.25">
      <c r="A588" t="s">
        <v>909</v>
      </c>
      <c r="B588" s="8">
        <v>44933</v>
      </c>
      <c r="C588" s="8">
        <v>44934</v>
      </c>
      <c r="D588" t="s">
        <v>32</v>
      </c>
      <c r="E588" t="s">
        <v>3097</v>
      </c>
      <c r="F588" t="s">
        <v>3088</v>
      </c>
      <c r="G588" t="s">
        <v>911</v>
      </c>
      <c r="H588">
        <v>8033192032</v>
      </c>
      <c r="I588" t="s">
        <v>24</v>
      </c>
      <c r="J588" t="s">
        <v>588</v>
      </c>
      <c r="K588" t="s">
        <v>155</v>
      </c>
      <c r="L588" t="s">
        <v>108</v>
      </c>
      <c r="M588" t="str">
        <f>TRIM(Table2[[#This Row],[Category]])</f>
        <v>Clothing</v>
      </c>
      <c r="N588" t="s">
        <v>183</v>
      </c>
      <c r="O588" t="s">
        <v>719</v>
      </c>
      <c r="P588">
        <v>15</v>
      </c>
      <c r="Q588">
        <v>40166.54</v>
      </c>
      <c r="R588">
        <v>0</v>
      </c>
      <c r="S588">
        <v>0</v>
      </c>
      <c r="T588">
        <v>602498.1</v>
      </c>
      <c r="U588">
        <v>-67478.81</v>
      </c>
    </row>
    <row r="589" spans="1:21" ht="15" customHeight="1" x14ac:dyDescent="0.25">
      <c r="A589" t="s">
        <v>2494</v>
      </c>
      <c r="B589" s="8">
        <v>44934</v>
      </c>
      <c r="C589" s="8">
        <v>44934</v>
      </c>
      <c r="D589" t="s">
        <v>32</v>
      </c>
      <c r="E589" t="s">
        <v>3097</v>
      </c>
      <c r="F589" t="s">
        <v>3038</v>
      </c>
      <c r="G589" t="s">
        <v>2496</v>
      </c>
      <c r="H589">
        <v>9057277502</v>
      </c>
      <c r="I589" t="s">
        <v>24</v>
      </c>
      <c r="J589" t="s">
        <v>61</v>
      </c>
      <c r="K589" t="s">
        <v>62</v>
      </c>
      <c r="L589" t="s">
        <v>27</v>
      </c>
      <c r="M589" t="str">
        <f>TRIM(Table2[[#This Row],[Category]])</f>
        <v>Food &amp; Beverages</v>
      </c>
      <c r="N589" t="s">
        <v>354</v>
      </c>
      <c r="O589" t="s">
        <v>433</v>
      </c>
      <c r="P589">
        <v>6</v>
      </c>
      <c r="Q589">
        <v>5739.03</v>
      </c>
      <c r="R589">
        <v>25</v>
      </c>
      <c r="S589">
        <v>8608.5499999999993</v>
      </c>
      <c r="T589">
        <v>25825.63</v>
      </c>
      <c r="U589">
        <v>-1567.36</v>
      </c>
    </row>
    <row r="590" spans="1:21" ht="15" customHeight="1" x14ac:dyDescent="0.25">
      <c r="A590" t="s">
        <v>456</v>
      </c>
      <c r="B590" s="8">
        <v>44935</v>
      </c>
      <c r="C590" s="8">
        <v>44935</v>
      </c>
      <c r="D590" t="s">
        <v>32</v>
      </c>
      <c r="E590" t="s">
        <v>3044</v>
      </c>
      <c r="F590" t="s">
        <v>3078</v>
      </c>
      <c r="G590" t="s">
        <v>458</v>
      </c>
      <c r="H590">
        <v>8035923149</v>
      </c>
      <c r="I590" t="s">
        <v>24</v>
      </c>
      <c r="J590" t="s">
        <v>61</v>
      </c>
      <c r="K590" t="s">
        <v>204</v>
      </c>
      <c r="L590" t="s">
        <v>85</v>
      </c>
      <c r="M590" t="str">
        <f>TRIM(Table2[[#This Row],[Category]])</f>
        <v>Furniture</v>
      </c>
      <c r="N590" t="s">
        <v>86</v>
      </c>
      <c r="O590" t="s">
        <v>87</v>
      </c>
      <c r="P590">
        <v>11</v>
      </c>
      <c r="Q590">
        <v>160355.95000000001</v>
      </c>
      <c r="R590">
        <v>10</v>
      </c>
      <c r="S590">
        <v>176391.55</v>
      </c>
      <c r="T590">
        <v>1587523.9</v>
      </c>
      <c r="U590">
        <v>252781.67</v>
      </c>
    </row>
    <row r="591" spans="1:21" ht="15" customHeight="1" x14ac:dyDescent="0.25">
      <c r="A591" t="s">
        <v>1851</v>
      </c>
      <c r="B591" s="8">
        <v>44936</v>
      </c>
      <c r="C591" s="8">
        <v>44937</v>
      </c>
      <c r="D591" t="s">
        <v>32</v>
      </c>
      <c r="E591" t="s">
        <v>3097</v>
      </c>
      <c r="F591" t="s">
        <v>3079</v>
      </c>
      <c r="G591" t="s">
        <v>1702</v>
      </c>
      <c r="H591">
        <v>8155812035</v>
      </c>
      <c r="I591" t="s">
        <v>43</v>
      </c>
      <c r="J591" t="s">
        <v>61</v>
      </c>
      <c r="K591" t="s">
        <v>84</v>
      </c>
      <c r="L591" t="s">
        <v>63</v>
      </c>
      <c r="M591" t="str">
        <f>TRIM(Table2[[#This Row],[Category]])</f>
        <v>Office Supplies</v>
      </c>
      <c r="N591" t="s">
        <v>64</v>
      </c>
      <c r="O591" t="s">
        <v>777</v>
      </c>
      <c r="P591">
        <v>8</v>
      </c>
      <c r="Q591">
        <v>23571.09</v>
      </c>
      <c r="R591">
        <v>10</v>
      </c>
      <c r="S591">
        <v>18856.87</v>
      </c>
      <c r="T591">
        <v>169711.85</v>
      </c>
      <c r="U591">
        <v>39268.120000000003</v>
      </c>
    </row>
    <row r="592" spans="1:21" ht="15" customHeight="1" x14ac:dyDescent="0.25">
      <c r="A592" t="s">
        <v>555</v>
      </c>
      <c r="B592" s="8">
        <v>44943</v>
      </c>
      <c r="C592" s="8">
        <v>44944</v>
      </c>
      <c r="D592" t="s">
        <v>32</v>
      </c>
      <c r="E592" t="s">
        <v>3063</v>
      </c>
      <c r="F592" t="s">
        <v>3046</v>
      </c>
      <c r="G592" t="s">
        <v>557</v>
      </c>
      <c r="H592">
        <v>9052800206</v>
      </c>
      <c r="I592" t="s">
        <v>43</v>
      </c>
      <c r="J592" t="s">
        <v>61</v>
      </c>
      <c r="K592" t="s">
        <v>95</v>
      </c>
      <c r="L592" t="s">
        <v>63</v>
      </c>
      <c r="M592" t="str">
        <f>TRIM(Table2[[#This Row],[Category]])</f>
        <v>Office Supplies</v>
      </c>
      <c r="N592" t="s">
        <v>558</v>
      </c>
      <c r="O592" t="s">
        <v>559</v>
      </c>
      <c r="P592">
        <v>18</v>
      </c>
      <c r="Q592">
        <v>24732.94</v>
      </c>
      <c r="R592">
        <v>25</v>
      </c>
      <c r="S592">
        <v>111298.23</v>
      </c>
      <c r="T592">
        <v>333894.69</v>
      </c>
      <c r="U592">
        <v>48864.639999999999</v>
      </c>
    </row>
    <row r="593" spans="1:21" ht="15" customHeight="1" x14ac:dyDescent="0.25">
      <c r="A593" t="s">
        <v>2806</v>
      </c>
      <c r="B593" s="8">
        <v>44947</v>
      </c>
      <c r="C593" s="8">
        <v>44947</v>
      </c>
      <c r="D593" t="s">
        <v>32</v>
      </c>
      <c r="E593" t="s">
        <v>3094</v>
      </c>
      <c r="F593" t="s">
        <v>3039</v>
      </c>
      <c r="G593" t="s">
        <v>2807</v>
      </c>
      <c r="H593">
        <v>9077250140</v>
      </c>
      <c r="I593" t="s">
        <v>35</v>
      </c>
      <c r="J593" t="s">
        <v>61</v>
      </c>
      <c r="K593" t="s">
        <v>95</v>
      </c>
      <c r="L593" t="s">
        <v>63</v>
      </c>
      <c r="M593" t="str">
        <f>TRIM(Table2[[#This Row],[Category]])</f>
        <v>Office Supplies</v>
      </c>
      <c r="N593" t="s">
        <v>64</v>
      </c>
      <c r="O593" t="s">
        <v>815</v>
      </c>
      <c r="P593">
        <v>15</v>
      </c>
      <c r="Q593">
        <v>24254.799999999999</v>
      </c>
      <c r="R593">
        <v>0</v>
      </c>
      <c r="S593">
        <v>0</v>
      </c>
      <c r="T593">
        <v>363822</v>
      </c>
      <c r="U593">
        <v>-25304.63</v>
      </c>
    </row>
    <row r="594" spans="1:21" ht="15" customHeight="1" x14ac:dyDescent="0.25">
      <c r="A594" t="s">
        <v>2794</v>
      </c>
      <c r="B594" s="8">
        <v>44979</v>
      </c>
      <c r="C594" s="8">
        <v>44979</v>
      </c>
      <c r="D594" t="s">
        <v>32</v>
      </c>
      <c r="E594" t="s">
        <v>3073</v>
      </c>
      <c r="F594" t="s">
        <v>3038</v>
      </c>
      <c r="G594" t="s">
        <v>3126</v>
      </c>
      <c r="H594">
        <v>8162150745</v>
      </c>
      <c r="I594" t="s">
        <v>35</v>
      </c>
      <c r="J594" t="s">
        <v>51</v>
      </c>
      <c r="K594" t="s">
        <v>316</v>
      </c>
      <c r="L594" t="s">
        <v>96</v>
      </c>
      <c r="M594" t="str">
        <f>TRIM(Table2[[#This Row],[Category]])</f>
        <v>Technology</v>
      </c>
      <c r="N594" t="s">
        <v>385</v>
      </c>
      <c r="O594" t="s">
        <v>743</v>
      </c>
      <c r="P594">
        <v>1</v>
      </c>
      <c r="Q594">
        <v>386068.17</v>
      </c>
      <c r="R594">
        <v>5</v>
      </c>
      <c r="S594">
        <v>19303.41</v>
      </c>
      <c r="T594" t="s">
        <v>2796</v>
      </c>
      <c r="U594">
        <v>-40494.730000000003</v>
      </c>
    </row>
    <row r="595" spans="1:21" ht="15" customHeight="1" x14ac:dyDescent="0.25">
      <c r="A595" t="s">
        <v>2701</v>
      </c>
      <c r="B595" s="8">
        <v>44981</v>
      </c>
      <c r="C595" s="8">
        <v>44981</v>
      </c>
      <c r="D595" t="s">
        <v>32</v>
      </c>
      <c r="E595" t="s">
        <v>3094</v>
      </c>
      <c r="F595" t="s">
        <v>3090</v>
      </c>
      <c r="G595" t="s">
        <v>2703</v>
      </c>
      <c r="H595">
        <v>8066664086</v>
      </c>
      <c r="I595" t="s">
        <v>35</v>
      </c>
      <c r="J595" t="s">
        <v>51</v>
      </c>
      <c r="K595" t="s">
        <v>131</v>
      </c>
      <c r="L595" t="s">
        <v>27</v>
      </c>
      <c r="M595" t="str">
        <f>TRIM(Table2[[#This Row],[Category]])</f>
        <v>Food &amp; Beverages</v>
      </c>
      <c r="N595" t="s">
        <v>45</v>
      </c>
      <c r="O595" t="s">
        <v>2704</v>
      </c>
      <c r="P595">
        <v>8</v>
      </c>
      <c r="Q595">
        <v>3609.48</v>
      </c>
      <c r="R595">
        <v>5</v>
      </c>
      <c r="S595">
        <v>1443.79</v>
      </c>
      <c r="T595">
        <v>27432.05</v>
      </c>
      <c r="U595">
        <v>6062.13</v>
      </c>
    </row>
    <row r="596" spans="1:21" ht="15" customHeight="1" x14ac:dyDescent="0.25">
      <c r="A596" t="s">
        <v>2320</v>
      </c>
      <c r="B596" s="8" t="s">
        <v>2321</v>
      </c>
      <c r="C596" s="8">
        <v>44986</v>
      </c>
      <c r="D596" t="s">
        <v>32</v>
      </c>
      <c r="E596" t="s">
        <v>3051</v>
      </c>
      <c r="F596" t="s">
        <v>3069</v>
      </c>
      <c r="G596" t="s">
        <v>2322</v>
      </c>
      <c r="H596">
        <v>8165480410</v>
      </c>
      <c r="I596" t="s">
        <v>35</v>
      </c>
      <c r="J596" t="s">
        <v>51</v>
      </c>
      <c r="K596" t="s">
        <v>223</v>
      </c>
      <c r="L596" t="s">
        <v>108</v>
      </c>
      <c r="M596" t="str">
        <f>TRIM(Table2[[#This Row],[Category]])</f>
        <v>Clothing</v>
      </c>
      <c r="N596" t="s">
        <v>189</v>
      </c>
      <c r="O596" t="s">
        <v>325</v>
      </c>
      <c r="P596">
        <v>8</v>
      </c>
      <c r="Q596">
        <v>6177.35</v>
      </c>
      <c r="R596">
        <v>0</v>
      </c>
      <c r="S596">
        <v>0</v>
      </c>
      <c r="T596">
        <v>49418.8</v>
      </c>
      <c r="U596">
        <v>13610.19</v>
      </c>
    </row>
    <row r="597" spans="1:21" ht="15" customHeight="1" x14ac:dyDescent="0.25">
      <c r="A597" t="s">
        <v>2253</v>
      </c>
      <c r="B597" s="8">
        <v>44990</v>
      </c>
      <c r="C597" s="8">
        <v>44990</v>
      </c>
      <c r="D597" t="s">
        <v>32</v>
      </c>
      <c r="E597" t="s">
        <v>3049</v>
      </c>
      <c r="F597" t="s">
        <v>3079</v>
      </c>
      <c r="G597" t="s">
        <v>2254</v>
      </c>
      <c r="H597">
        <v>8132532401</v>
      </c>
      <c r="I597" t="s">
        <v>24</v>
      </c>
      <c r="J597" t="s">
        <v>51</v>
      </c>
      <c r="K597" t="s">
        <v>227</v>
      </c>
      <c r="L597" t="s">
        <v>27</v>
      </c>
      <c r="M597" t="str">
        <f>TRIM(Table2[[#This Row],[Category]])</f>
        <v>Food &amp; Beverages</v>
      </c>
      <c r="N597" t="s">
        <v>354</v>
      </c>
      <c r="O597" t="s">
        <v>625</v>
      </c>
      <c r="P597">
        <v>1</v>
      </c>
      <c r="Q597">
        <v>1569.1</v>
      </c>
      <c r="R597">
        <v>10</v>
      </c>
      <c r="S597">
        <v>156.91</v>
      </c>
      <c r="T597">
        <v>1412.19</v>
      </c>
      <c r="U597">
        <v>-145.91999999999999</v>
      </c>
    </row>
    <row r="598" spans="1:21" ht="15" customHeight="1" x14ac:dyDescent="0.25">
      <c r="A598" t="s">
        <v>2849</v>
      </c>
      <c r="B598" s="8">
        <v>44990</v>
      </c>
      <c r="C598" s="8">
        <v>44990</v>
      </c>
      <c r="D598" t="s">
        <v>32</v>
      </c>
      <c r="E598" t="s">
        <v>3095</v>
      </c>
      <c r="F598" t="s">
        <v>3043</v>
      </c>
      <c r="G598" t="s">
        <v>2850</v>
      </c>
      <c r="H598">
        <v>8065199616</v>
      </c>
      <c r="I598" t="s">
        <v>43</v>
      </c>
      <c r="J598" t="s">
        <v>69</v>
      </c>
      <c r="K598" t="s">
        <v>307</v>
      </c>
      <c r="L598" t="s">
        <v>27</v>
      </c>
      <c r="M598" t="str">
        <f>TRIM(Table2[[#This Row],[Category]])</f>
        <v>Food &amp; Beverages</v>
      </c>
      <c r="N598" t="s">
        <v>173</v>
      </c>
      <c r="O598" t="s">
        <v>380</v>
      </c>
      <c r="P598">
        <v>9</v>
      </c>
      <c r="Q598">
        <v>640.11</v>
      </c>
      <c r="R598">
        <v>25</v>
      </c>
      <c r="S598">
        <v>1440.25</v>
      </c>
      <c r="T598">
        <v>4320.74</v>
      </c>
      <c r="U598">
        <v>-215.08</v>
      </c>
    </row>
    <row r="599" spans="1:21" ht="15" customHeight="1" x14ac:dyDescent="0.25">
      <c r="A599" t="s">
        <v>2803</v>
      </c>
      <c r="B599" s="8">
        <v>44996</v>
      </c>
      <c r="C599" s="8">
        <v>44996</v>
      </c>
      <c r="D599" t="s">
        <v>32</v>
      </c>
      <c r="E599" t="s">
        <v>3050</v>
      </c>
      <c r="F599" t="s">
        <v>3088</v>
      </c>
      <c r="G599" t="s">
        <v>2805</v>
      </c>
      <c r="H599">
        <v>9022122405</v>
      </c>
      <c r="I599" t="s">
        <v>35</v>
      </c>
      <c r="J599" t="s">
        <v>69</v>
      </c>
      <c r="K599" t="s">
        <v>70</v>
      </c>
      <c r="L599" t="s">
        <v>85</v>
      </c>
      <c r="M599" t="str">
        <f>TRIM(Table2[[#This Row],[Category]])</f>
        <v>Furniture</v>
      </c>
      <c r="N599" t="s">
        <v>486</v>
      </c>
      <c r="O599" t="s">
        <v>527</v>
      </c>
      <c r="P599">
        <v>13</v>
      </c>
      <c r="Q599">
        <v>140584.31</v>
      </c>
      <c r="R599">
        <v>10</v>
      </c>
      <c r="S599">
        <v>182759.6</v>
      </c>
      <c r="T599">
        <v>1644836.43</v>
      </c>
      <c r="U599">
        <v>387386</v>
      </c>
    </row>
    <row r="600" spans="1:21" ht="15" customHeight="1" x14ac:dyDescent="0.25">
      <c r="A600" t="s">
        <v>231</v>
      </c>
      <c r="B600" s="8">
        <v>44996</v>
      </c>
      <c r="C600" s="8">
        <v>44997</v>
      </c>
      <c r="D600" t="s">
        <v>32</v>
      </c>
      <c r="E600" t="s">
        <v>3061</v>
      </c>
      <c r="F600" t="s">
        <v>3074</v>
      </c>
      <c r="G600" t="s">
        <v>233</v>
      </c>
      <c r="H600">
        <v>9055635017</v>
      </c>
      <c r="I600" t="s">
        <v>35</v>
      </c>
      <c r="J600" t="s">
        <v>69</v>
      </c>
      <c r="K600" t="s">
        <v>144</v>
      </c>
      <c r="L600" t="s">
        <v>27</v>
      </c>
      <c r="M600" t="str">
        <f>TRIM(Table2[[#This Row],[Category]])</f>
        <v>Food &amp; Beverages</v>
      </c>
      <c r="N600" t="s">
        <v>79</v>
      </c>
      <c r="O600" t="s">
        <v>234</v>
      </c>
      <c r="P600">
        <v>3</v>
      </c>
      <c r="Q600">
        <v>7600.08</v>
      </c>
      <c r="R600">
        <v>5</v>
      </c>
      <c r="S600">
        <v>1140.01</v>
      </c>
      <c r="T600">
        <f>T599</f>
        <v>1644836.43</v>
      </c>
      <c r="U600">
        <v>6109.16</v>
      </c>
    </row>
    <row r="601" spans="1:21" ht="15" customHeight="1" x14ac:dyDescent="0.25">
      <c r="A601" t="s">
        <v>1516</v>
      </c>
      <c r="B601" s="8">
        <v>44996</v>
      </c>
      <c r="C601" s="8">
        <v>44997</v>
      </c>
      <c r="D601" t="s">
        <v>32</v>
      </c>
      <c r="E601" t="s">
        <v>3068</v>
      </c>
      <c r="F601" t="s">
        <v>3034</v>
      </c>
      <c r="G601" t="s">
        <v>1517</v>
      </c>
      <c r="H601">
        <v>8062598523</v>
      </c>
      <c r="I601" t="s">
        <v>24</v>
      </c>
      <c r="J601" t="s">
        <v>61</v>
      </c>
      <c r="K601" t="s">
        <v>182</v>
      </c>
      <c r="L601" t="s">
        <v>27</v>
      </c>
      <c r="M601" t="str">
        <f>TRIM(Table2[[#This Row],[Category]])</f>
        <v>Food &amp; Beverages</v>
      </c>
      <c r="N601" t="s">
        <v>79</v>
      </c>
      <c r="O601" t="s">
        <v>145</v>
      </c>
      <c r="P601">
        <v>8</v>
      </c>
      <c r="Q601">
        <v>2863.04</v>
      </c>
      <c r="R601">
        <v>20</v>
      </c>
      <c r="S601">
        <v>4580.8599999999997</v>
      </c>
      <c r="T601">
        <v>18323.46</v>
      </c>
      <c r="U601">
        <v>7236.59</v>
      </c>
    </row>
    <row r="602" spans="1:21" ht="15" customHeight="1" x14ac:dyDescent="0.25">
      <c r="A602" t="s">
        <v>2260</v>
      </c>
      <c r="B602" s="8">
        <v>44999</v>
      </c>
      <c r="C602" s="8">
        <v>44999</v>
      </c>
      <c r="D602" t="s">
        <v>32</v>
      </c>
      <c r="E602" t="s">
        <v>3098</v>
      </c>
      <c r="F602" t="s">
        <v>3039</v>
      </c>
      <c r="G602" t="s">
        <v>2262</v>
      </c>
      <c r="H602">
        <v>9011179053</v>
      </c>
      <c r="I602" t="s">
        <v>24</v>
      </c>
      <c r="J602" t="s">
        <v>69</v>
      </c>
      <c r="K602" t="s">
        <v>144</v>
      </c>
      <c r="L602" t="s">
        <v>85</v>
      </c>
      <c r="M602" t="str">
        <f>TRIM(Table2[[#This Row],[Category]])</f>
        <v>Furniture</v>
      </c>
      <c r="N602" t="s">
        <v>486</v>
      </c>
      <c r="O602" t="s">
        <v>543</v>
      </c>
      <c r="P602">
        <v>1</v>
      </c>
      <c r="Q602">
        <v>98472.45</v>
      </c>
      <c r="R602">
        <v>10</v>
      </c>
      <c r="S602">
        <v>9847.25</v>
      </c>
      <c r="T602">
        <v>88625.2</v>
      </c>
      <c r="U602">
        <v>4171.67</v>
      </c>
    </row>
    <row r="603" spans="1:21" ht="15" customHeight="1" x14ac:dyDescent="0.25">
      <c r="A603" t="s">
        <v>2675</v>
      </c>
      <c r="B603" s="8">
        <v>44999</v>
      </c>
      <c r="C603" s="8">
        <v>44999</v>
      </c>
      <c r="D603" t="s">
        <v>32</v>
      </c>
      <c r="E603" t="s">
        <v>3055</v>
      </c>
      <c r="F603" t="s">
        <v>3083</v>
      </c>
      <c r="G603" t="s">
        <v>2677</v>
      </c>
      <c r="H603">
        <v>8132661733</v>
      </c>
      <c r="I603" t="s">
        <v>35</v>
      </c>
      <c r="J603" t="s">
        <v>61</v>
      </c>
      <c r="K603" t="s">
        <v>182</v>
      </c>
      <c r="L603" t="s">
        <v>85</v>
      </c>
      <c r="M603" t="str">
        <f>TRIM(Table2[[#This Row],[Category]])</f>
        <v>Furniture</v>
      </c>
      <c r="N603" t="s">
        <v>486</v>
      </c>
      <c r="O603" t="s">
        <v>527</v>
      </c>
      <c r="P603">
        <v>18</v>
      </c>
      <c r="Q603">
        <v>116944.21</v>
      </c>
      <c r="R603">
        <v>0</v>
      </c>
      <c r="S603">
        <v>0</v>
      </c>
      <c r="T603">
        <v>2104995.7799999998</v>
      </c>
      <c r="U603">
        <v>-131209.78</v>
      </c>
    </row>
    <row r="604" spans="1:21" ht="15" customHeight="1" x14ac:dyDescent="0.25">
      <c r="A604" t="s">
        <v>728</v>
      </c>
      <c r="B604" s="8">
        <v>45006</v>
      </c>
      <c r="C604" s="8">
        <v>45006</v>
      </c>
      <c r="D604" t="s">
        <v>32</v>
      </c>
      <c r="E604" t="s">
        <v>3072</v>
      </c>
      <c r="F604" t="s">
        <v>3054</v>
      </c>
      <c r="G604" t="s">
        <v>730</v>
      </c>
      <c r="H604">
        <v>9057442986</v>
      </c>
      <c r="I604" t="s">
        <v>43</v>
      </c>
      <c r="J604" t="s">
        <v>61</v>
      </c>
      <c r="K604" t="s">
        <v>62</v>
      </c>
      <c r="L604" t="s">
        <v>53</v>
      </c>
      <c r="M604" t="str">
        <f>TRIM(Table2[[#This Row],[Category]])</f>
        <v>office supplies</v>
      </c>
      <c r="N604" t="s">
        <v>64</v>
      </c>
      <c r="O604" t="s">
        <v>65</v>
      </c>
      <c r="P604">
        <v>8</v>
      </c>
      <c r="Q604">
        <v>19881.38</v>
      </c>
      <c r="R604">
        <v>10</v>
      </c>
      <c r="S604">
        <v>15905.1</v>
      </c>
      <c r="T604">
        <v>143145.94</v>
      </c>
      <c r="U604">
        <v>33893</v>
      </c>
    </row>
    <row r="605" spans="1:21" ht="15" customHeight="1" x14ac:dyDescent="0.25">
      <c r="A605" t="s">
        <v>186</v>
      </c>
      <c r="B605" s="8">
        <v>45010</v>
      </c>
      <c r="C605" s="8">
        <v>45010</v>
      </c>
      <c r="D605" t="s">
        <v>32</v>
      </c>
      <c r="E605" t="s">
        <v>3070</v>
      </c>
      <c r="F605" t="s">
        <v>3071</v>
      </c>
      <c r="G605" t="s">
        <v>188</v>
      </c>
      <c r="H605">
        <v>8155180853</v>
      </c>
      <c r="I605" t="s">
        <v>35</v>
      </c>
      <c r="J605" t="s">
        <v>61</v>
      </c>
      <c r="K605" t="s">
        <v>95</v>
      </c>
      <c r="L605" t="s">
        <v>96</v>
      </c>
      <c r="M605" t="str">
        <f>TRIM(Table2[[#This Row],[Category]])</f>
        <v>Technology</v>
      </c>
      <c r="N605" t="s">
        <v>189</v>
      </c>
      <c r="O605" t="s">
        <v>190</v>
      </c>
      <c r="P605">
        <v>17</v>
      </c>
      <c r="Q605">
        <v>363616.22</v>
      </c>
      <c r="R605">
        <v>25</v>
      </c>
      <c r="S605">
        <v>1545368.93</v>
      </c>
      <c r="T605">
        <v>4636106.8099999996</v>
      </c>
      <c r="U605">
        <v>960932.31</v>
      </c>
    </row>
    <row r="606" spans="1:21" ht="15" customHeight="1" x14ac:dyDescent="0.25">
      <c r="A606" t="s">
        <v>31</v>
      </c>
      <c r="B606" s="8">
        <v>45013</v>
      </c>
      <c r="C606" s="8">
        <v>45014</v>
      </c>
      <c r="D606" t="s">
        <v>32</v>
      </c>
      <c r="E606" t="s">
        <v>3035</v>
      </c>
      <c r="F606" t="s">
        <v>3036</v>
      </c>
      <c r="G606" t="s">
        <v>34</v>
      </c>
      <c r="H606">
        <v>9023678638</v>
      </c>
      <c r="I606" t="s">
        <v>35</v>
      </c>
      <c r="J606" t="s">
        <v>25</v>
      </c>
      <c r="K606" t="s">
        <v>36</v>
      </c>
      <c r="L606" t="s">
        <v>37</v>
      </c>
      <c r="M606" t="str">
        <f>TRIM(Table2[[#This Row],[Category]])</f>
        <v>clothing</v>
      </c>
      <c r="N606" t="s">
        <v>38</v>
      </c>
      <c r="O606" t="s">
        <v>39</v>
      </c>
      <c r="P606">
        <v>11</v>
      </c>
      <c r="Q606">
        <v>8685.6200000000008</v>
      </c>
      <c r="R606">
        <v>0</v>
      </c>
      <c r="S606">
        <v>0</v>
      </c>
      <c r="T606">
        <v>95541.82</v>
      </c>
      <c r="U606">
        <v>-9014.61</v>
      </c>
    </row>
    <row r="607" spans="1:21" ht="15" customHeight="1" x14ac:dyDescent="0.25">
      <c r="A607" t="s">
        <v>1181</v>
      </c>
      <c r="B607" s="8">
        <v>45017</v>
      </c>
      <c r="C607" s="8">
        <v>45017</v>
      </c>
      <c r="D607" t="s">
        <v>32</v>
      </c>
      <c r="E607" t="s">
        <v>3082</v>
      </c>
      <c r="F607" t="s">
        <v>3050</v>
      </c>
      <c r="G607" t="s">
        <v>1183</v>
      </c>
      <c r="H607">
        <v>8149219877</v>
      </c>
      <c r="I607" t="s">
        <v>43</v>
      </c>
      <c r="J607" t="s">
        <v>69</v>
      </c>
      <c r="K607" t="s">
        <v>307</v>
      </c>
      <c r="L607" t="s">
        <v>63</v>
      </c>
      <c r="M607" t="str">
        <f>TRIM(Table2[[#This Row],[Category]])</f>
        <v>Office Supplies</v>
      </c>
      <c r="N607" t="s">
        <v>194</v>
      </c>
      <c r="O607" t="s">
        <v>257</v>
      </c>
      <c r="P607">
        <v>14</v>
      </c>
      <c r="Q607">
        <v>22245.88</v>
      </c>
      <c r="R607">
        <v>15</v>
      </c>
      <c r="S607">
        <v>46716.35</v>
      </c>
      <c r="T607">
        <v>264725.96999999997</v>
      </c>
      <c r="U607">
        <v>83581.62</v>
      </c>
    </row>
    <row r="608" spans="1:21" ht="15" customHeight="1" x14ac:dyDescent="0.25">
      <c r="A608" t="s">
        <v>1581</v>
      </c>
      <c r="B608" s="8">
        <v>45029</v>
      </c>
      <c r="C608" s="8">
        <v>45029</v>
      </c>
      <c r="D608" t="s">
        <v>32</v>
      </c>
      <c r="E608" t="s">
        <v>3068</v>
      </c>
      <c r="F608" t="s">
        <v>3066</v>
      </c>
      <c r="G608" t="s">
        <v>1583</v>
      </c>
      <c r="H608">
        <v>8149659648</v>
      </c>
      <c r="I608" t="s">
        <v>24</v>
      </c>
      <c r="J608" t="s">
        <v>61</v>
      </c>
      <c r="K608" t="s">
        <v>62</v>
      </c>
      <c r="L608" t="s">
        <v>63</v>
      </c>
      <c r="M608" t="str">
        <f>TRIM(Table2[[#This Row],[Category]])</f>
        <v>Office Supplies</v>
      </c>
      <c r="N608" t="s">
        <v>249</v>
      </c>
      <c r="O608" t="s">
        <v>329</v>
      </c>
      <c r="P608">
        <v>1</v>
      </c>
      <c r="Q608">
        <v>4066.82</v>
      </c>
      <c r="R608">
        <v>25</v>
      </c>
      <c r="S608">
        <v>1016.71</v>
      </c>
      <c r="T608">
        <v>3050.11</v>
      </c>
      <c r="U608">
        <v>1269.4100000000001</v>
      </c>
    </row>
    <row r="609" spans="1:21" ht="15" customHeight="1" x14ac:dyDescent="0.25">
      <c r="A609" t="s">
        <v>2219</v>
      </c>
      <c r="B609" s="8">
        <v>45031</v>
      </c>
      <c r="C609" s="8">
        <v>45032</v>
      </c>
      <c r="D609" t="s">
        <v>32</v>
      </c>
      <c r="E609" t="s">
        <v>3048</v>
      </c>
      <c r="F609" t="s">
        <v>3039</v>
      </c>
      <c r="G609" t="s">
        <v>2221</v>
      </c>
      <c r="H609">
        <v>7064617421</v>
      </c>
      <c r="I609" t="s">
        <v>24</v>
      </c>
      <c r="J609" t="s">
        <v>61</v>
      </c>
      <c r="K609" t="s">
        <v>62</v>
      </c>
      <c r="L609" t="s">
        <v>27</v>
      </c>
      <c r="M609" t="str">
        <f>TRIM(Table2[[#This Row],[Category]])</f>
        <v>Food &amp; Beverages</v>
      </c>
      <c r="N609" t="s">
        <v>354</v>
      </c>
      <c r="O609" t="s">
        <v>355</v>
      </c>
      <c r="P609">
        <v>1</v>
      </c>
      <c r="Q609">
        <v>577.78</v>
      </c>
      <c r="R609">
        <v>25</v>
      </c>
      <c r="S609">
        <v>144.44</v>
      </c>
      <c r="T609">
        <v>433.34</v>
      </c>
      <c r="U609">
        <v>-38.35</v>
      </c>
    </row>
    <row r="610" spans="1:21" ht="15" customHeight="1" x14ac:dyDescent="0.25">
      <c r="A610" t="s">
        <v>1564</v>
      </c>
      <c r="B610" s="8">
        <v>45037</v>
      </c>
      <c r="C610" s="8">
        <v>45037</v>
      </c>
      <c r="D610" t="s">
        <v>32</v>
      </c>
      <c r="E610" t="s">
        <v>3035</v>
      </c>
      <c r="F610" t="s">
        <v>3069</v>
      </c>
      <c r="G610" t="s">
        <v>1565</v>
      </c>
      <c r="H610">
        <v>9058859576</v>
      </c>
      <c r="I610" t="s">
        <v>43</v>
      </c>
      <c r="J610" t="s">
        <v>61</v>
      </c>
      <c r="K610" t="s">
        <v>204</v>
      </c>
      <c r="L610" t="s">
        <v>1566</v>
      </c>
      <c r="M610" t="str">
        <f>TRIM(Table2[[#This Row],[Category]])</f>
        <v>furniture</v>
      </c>
      <c r="N610" t="s">
        <v>243</v>
      </c>
      <c r="O610" t="s">
        <v>439</v>
      </c>
      <c r="P610">
        <v>12</v>
      </c>
      <c r="Q610">
        <v>173086.18</v>
      </c>
      <c r="R610">
        <v>20</v>
      </c>
      <c r="S610">
        <v>415406.83</v>
      </c>
      <c r="T610">
        <v>1661627.33</v>
      </c>
      <c r="U610">
        <v>548092.81999999995</v>
      </c>
    </row>
    <row r="611" spans="1:21" ht="15" customHeight="1" x14ac:dyDescent="0.25">
      <c r="A611" t="s">
        <v>2211</v>
      </c>
      <c r="B611" s="8">
        <v>45042</v>
      </c>
      <c r="C611" s="8">
        <v>45042</v>
      </c>
      <c r="D611" t="s">
        <v>32</v>
      </c>
      <c r="E611" t="s">
        <v>3076</v>
      </c>
      <c r="F611" t="s">
        <v>3036</v>
      </c>
      <c r="G611" t="s">
        <v>2213</v>
      </c>
      <c r="H611">
        <v>8037861979</v>
      </c>
      <c r="I611" t="s">
        <v>43</v>
      </c>
      <c r="J611" t="s">
        <v>61</v>
      </c>
      <c r="K611" t="s">
        <v>2214</v>
      </c>
      <c r="L611" t="s">
        <v>96</v>
      </c>
      <c r="M611" t="str">
        <f>TRIM(Table2[[#This Row],[Category]])</f>
        <v>Technology</v>
      </c>
      <c r="N611" t="s">
        <v>254</v>
      </c>
      <c r="O611" t="s">
        <v>455</v>
      </c>
      <c r="P611">
        <v>11</v>
      </c>
      <c r="Q611">
        <v>128798.29</v>
      </c>
      <c r="R611">
        <v>15</v>
      </c>
      <c r="S611">
        <v>212517.18</v>
      </c>
      <c r="T611">
        <v>1204264.01</v>
      </c>
      <c r="U611">
        <v>102154.15</v>
      </c>
    </row>
    <row r="612" spans="1:21" ht="15" customHeight="1" x14ac:dyDescent="0.25">
      <c r="A612" t="s">
        <v>1238</v>
      </c>
      <c r="B612" s="8">
        <v>45048</v>
      </c>
      <c r="C612" s="8">
        <v>45049</v>
      </c>
      <c r="D612" t="s">
        <v>32</v>
      </c>
      <c r="E612" t="s">
        <v>3053</v>
      </c>
      <c r="F612" t="s">
        <v>3042</v>
      </c>
      <c r="G612" t="s">
        <v>1240</v>
      </c>
      <c r="H612">
        <v>8139809723</v>
      </c>
      <c r="I612" t="s">
        <v>35</v>
      </c>
      <c r="J612" t="s">
        <v>51</v>
      </c>
      <c r="K612" t="s">
        <v>316</v>
      </c>
      <c r="L612" t="s">
        <v>63</v>
      </c>
      <c r="M612" t="str">
        <f>TRIM(Table2[[#This Row],[Category]])</f>
        <v>Office Supplies</v>
      </c>
      <c r="N612" t="s">
        <v>54</v>
      </c>
      <c r="O612" t="s">
        <v>1039</v>
      </c>
      <c r="P612">
        <v>2</v>
      </c>
      <c r="Q612">
        <v>9668.2800000000007</v>
      </c>
      <c r="R612">
        <v>5</v>
      </c>
      <c r="S612">
        <v>966.83</v>
      </c>
      <c r="T612">
        <v>18369.73</v>
      </c>
      <c r="U612">
        <v>7311.38</v>
      </c>
    </row>
    <row r="613" spans="1:21" ht="15" customHeight="1" x14ac:dyDescent="0.25">
      <c r="A613" t="s">
        <v>100</v>
      </c>
      <c r="B613" s="8">
        <v>45059</v>
      </c>
      <c r="C613" s="8">
        <v>45060</v>
      </c>
      <c r="D613" t="s">
        <v>32</v>
      </c>
      <c r="E613" t="s">
        <v>3051</v>
      </c>
      <c r="F613" t="s">
        <v>3052</v>
      </c>
      <c r="G613" t="s">
        <v>102</v>
      </c>
      <c r="H613">
        <v>8068231838</v>
      </c>
      <c r="I613" t="s">
        <v>24</v>
      </c>
      <c r="J613" t="s">
        <v>61</v>
      </c>
      <c r="K613" t="s">
        <v>103</v>
      </c>
      <c r="L613" t="s">
        <v>63</v>
      </c>
      <c r="M613" t="str">
        <f>TRIM(Table2[[#This Row],[Category]])</f>
        <v>Office Supplies</v>
      </c>
      <c r="N613" t="s">
        <v>64</v>
      </c>
      <c r="O613" t="s">
        <v>104</v>
      </c>
      <c r="P613">
        <v>2</v>
      </c>
      <c r="Q613">
        <v>11942.1</v>
      </c>
      <c r="R613">
        <v>0</v>
      </c>
      <c r="S613">
        <v>0</v>
      </c>
      <c r="T613">
        <v>23884.2</v>
      </c>
      <c r="U613">
        <v>-2714.02</v>
      </c>
    </row>
    <row r="614" spans="1:21" ht="15" customHeight="1" x14ac:dyDescent="0.25">
      <c r="A614" t="s">
        <v>100</v>
      </c>
      <c r="B614" s="8">
        <v>45059</v>
      </c>
      <c r="C614" s="8">
        <v>45060</v>
      </c>
      <c r="D614" t="s">
        <v>32</v>
      </c>
      <c r="E614" t="s">
        <v>3051</v>
      </c>
      <c r="F614" t="s">
        <v>3052</v>
      </c>
      <c r="G614" t="s">
        <v>102</v>
      </c>
      <c r="H614">
        <v>8068231838</v>
      </c>
      <c r="I614" t="s">
        <v>1669</v>
      </c>
      <c r="J614" t="s">
        <v>61</v>
      </c>
      <c r="K614" t="s">
        <v>84</v>
      </c>
      <c r="L614" t="s">
        <v>63</v>
      </c>
      <c r="M614" t="str">
        <f>TRIM(Table2[[#This Row],[Category]])</f>
        <v>Office Supplies</v>
      </c>
      <c r="N614" t="s">
        <v>64</v>
      </c>
      <c r="O614" t="s">
        <v>104</v>
      </c>
      <c r="P614">
        <v>2</v>
      </c>
      <c r="Q614">
        <v>11942.1</v>
      </c>
      <c r="R614">
        <v>0</v>
      </c>
      <c r="S614">
        <v>0</v>
      </c>
      <c r="T614">
        <v>23884.2</v>
      </c>
      <c r="U614">
        <v>-2714.02</v>
      </c>
    </row>
    <row r="615" spans="1:21" ht="15" customHeight="1" x14ac:dyDescent="0.25">
      <c r="A615" t="s">
        <v>2345</v>
      </c>
      <c r="B615" s="8">
        <v>45063</v>
      </c>
      <c r="C615" s="8">
        <v>45064</v>
      </c>
      <c r="D615" t="s">
        <v>32</v>
      </c>
      <c r="E615" t="s">
        <v>3059</v>
      </c>
      <c r="F615" t="s">
        <v>3079</v>
      </c>
      <c r="G615" t="s">
        <v>2347</v>
      </c>
      <c r="H615">
        <v>8149392214</v>
      </c>
      <c r="I615" t="s">
        <v>43</v>
      </c>
      <c r="J615" t="s">
        <v>61</v>
      </c>
      <c r="K615" t="s">
        <v>84</v>
      </c>
      <c r="L615" t="s">
        <v>96</v>
      </c>
      <c r="M615" t="str">
        <f>TRIM(Table2[[#This Row],[Category]])</f>
        <v>Technology</v>
      </c>
      <c r="N615" t="s">
        <v>254</v>
      </c>
      <c r="O615" t="s">
        <v>455</v>
      </c>
      <c r="P615">
        <f>P614</f>
        <v>2</v>
      </c>
      <c r="Q615">
        <v>394357.17</v>
      </c>
      <c r="R615">
        <v>5</v>
      </c>
      <c r="S615">
        <v>118307.15</v>
      </c>
      <c r="T615">
        <v>2247835.87</v>
      </c>
      <c r="U615">
        <v>286210.96000000002</v>
      </c>
    </row>
    <row r="616" spans="1:21" ht="15" customHeight="1" x14ac:dyDescent="0.25">
      <c r="A616" t="s">
        <v>778</v>
      </c>
      <c r="B616" s="8">
        <v>45073</v>
      </c>
      <c r="C616" s="8">
        <v>45073</v>
      </c>
      <c r="D616" t="s">
        <v>32</v>
      </c>
      <c r="E616" t="s">
        <v>3039</v>
      </c>
      <c r="F616" t="s">
        <v>3038</v>
      </c>
      <c r="G616" t="s">
        <v>780</v>
      </c>
      <c r="H616">
        <v>8061200603</v>
      </c>
      <c r="I616" t="s">
        <v>43</v>
      </c>
      <c r="J616" t="s">
        <v>61</v>
      </c>
      <c r="K616" t="s">
        <v>95</v>
      </c>
      <c r="L616" t="s">
        <v>96</v>
      </c>
      <c r="M616" t="str">
        <f>TRIM(Table2[[#This Row],[Category]])</f>
        <v>Technology</v>
      </c>
      <c r="N616" t="s">
        <v>385</v>
      </c>
      <c r="O616" t="s">
        <v>781</v>
      </c>
      <c r="P616">
        <v>13</v>
      </c>
      <c r="Q616">
        <v>101187.87</v>
      </c>
      <c r="R616">
        <v>10</v>
      </c>
      <c r="S616">
        <v>131544.23000000001</v>
      </c>
      <c r="T616">
        <v>1183898.08</v>
      </c>
      <c r="U616">
        <v>309910.37</v>
      </c>
    </row>
    <row r="617" spans="1:21" ht="15" customHeight="1" x14ac:dyDescent="0.25">
      <c r="A617" t="s">
        <v>235</v>
      </c>
      <c r="B617" s="8">
        <v>45076</v>
      </c>
      <c r="C617" s="8">
        <v>45077</v>
      </c>
      <c r="D617" t="s">
        <v>32</v>
      </c>
      <c r="E617" t="s">
        <v>3048</v>
      </c>
      <c r="F617" t="s">
        <v>3075</v>
      </c>
      <c r="G617" t="s">
        <v>237</v>
      </c>
      <c r="H617">
        <v>8101610970</v>
      </c>
      <c r="I617" t="s">
        <v>24</v>
      </c>
      <c r="J617" t="s">
        <v>51</v>
      </c>
      <c r="K617" t="s">
        <v>227</v>
      </c>
      <c r="L617" t="s">
        <v>85</v>
      </c>
      <c r="M617" t="str">
        <f>TRIM(Table2[[#This Row],[Category]])</f>
        <v>Furniture</v>
      </c>
      <c r="N617" t="s">
        <v>86</v>
      </c>
      <c r="O617" t="s">
        <v>238</v>
      </c>
      <c r="P617">
        <v>10</v>
      </c>
      <c r="Q617">
        <v>179090.91</v>
      </c>
      <c r="R617">
        <v>0</v>
      </c>
      <c r="S617">
        <v>0</v>
      </c>
      <c r="T617" t="s">
        <v>239</v>
      </c>
      <c r="U617">
        <v>380814.35</v>
      </c>
    </row>
    <row r="618" spans="1:21" ht="15" customHeight="1" x14ac:dyDescent="0.25">
      <c r="A618" t="s">
        <v>235</v>
      </c>
      <c r="B618" s="8">
        <v>45076</v>
      </c>
      <c r="C618" s="8">
        <v>45077</v>
      </c>
      <c r="D618" t="s">
        <v>32</v>
      </c>
      <c r="E618" t="s">
        <v>3048</v>
      </c>
      <c r="F618" t="s">
        <v>3075</v>
      </c>
      <c r="G618" t="s">
        <v>237</v>
      </c>
      <c r="H618">
        <v>8101610970</v>
      </c>
      <c r="I618" t="s">
        <v>24</v>
      </c>
      <c r="J618" t="s">
        <v>51</v>
      </c>
      <c r="K618" t="s">
        <v>227</v>
      </c>
      <c r="L618" t="s">
        <v>85</v>
      </c>
      <c r="M618" t="str">
        <f>TRIM(Table2[[#This Row],[Category]])</f>
        <v>Furniture</v>
      </c>
      <c r="N618" t="s">
        <v>86</v>
      </c>
      <c r="O618" t="s">
        <v>238</v>
      </c>
      <c r="P618">
        <v>10</v>
      </c>
      <c r="Q618">
        <v>179090.91</v>
      </c>
      <c r="R618">
        <v>0</v>
      </c>
      <c r="S618">
        <v>0</v>
      </c>
      <c r="T618">
        <v>1790909.1</v>
      </c>
      <c r="U618">
        <v>380814.35</v>
      </c>
    </row>
    <row r="619" spans="1:21" ht="15" customHeight="1" x14ac:dyDescent="0.25">
      <c r="A619" t="s">
        <v>2488</v>
      </c>
      <c r="B619" s="8">
        <v>45078</v>
      </c>
      <c r="C619" s="8">
        <v>45079</v>
      </c>
      <c r="D619" t="s">
        <v>32</v>
      </c>
      <c r="E619" t="s">
        <v>3081</v>
      </c>
      <c r="F619" t="s">
        <v>3062</v>
      </c>
      <c r="G619" t="s">
        <v>2490</v>
      </c>
      <c r="H619">
        <v>7064365631</v>
      </c>
      <c r="I619" t="s">
        <v>24</v>
      </c>
      <c r="J619" t="s">
        <v>51</v>
      </c>
      <c r="K619" t="s">
        <v>131</v>
      </c>
      <c r="L619" t="s">
        <v>85</v>
      </c>
      <c r="M619" t="str">
        <f>TRIM(Table2[[#This Row],[Category]])</f>
        <v>Furniture</v>
      </c>
      <c r="N619" t="s">
        <v>243</v>
      </c>
      <c r="O619" t="s">
        <v>1054</v>
      </c>
      <c r="P619">
        <v>4</v>
      </c>
      <c r="Q619">
        <v>66431.87</v>
      </c>
      <c r="R619">
        <v>25</v>
      </c>
      <c r="S619">
        <v>66431.87</v>
      </c>
      <c r="T619">
        <v>199295.61</v>
      </c>
      <c r="U619">
        <v>928.86</v>
      </c>
    </row>
    <row r="620" spans="1:21" ht="15" customHeight="1" x14ac:dyDescent="0.25">
      <c r="A620" t="s">
        <v>1898</v>
      </c>
      <c r="B620" s="8">
        <v>45079</v>
      </c>
      <c r="C620" s="8">
        <v>45080</v>
      </c>
      <c r="D620" t="s">
        <v>32</v>
      </c>
      <c r="E620" t="s">
        <v>3073</v>
      </c>
      <c r="F620" t="s">
        <v>3071</v>
      </c>
      <c r="G620" t="s">
        <v>1900</v>
      </c>
      <c r="H620">
        <v>7062135960</v>
      </c>
      <c r="I620" t="s">
        <v>35</v>
      </c>
      <c r="J620" t="s">
        <v>25</v>
      </c>
      <c r="K620" t="s">
        <v>3127</v>
      </c>
      <c r="L620" t="s">
        <v>108</v>
      </c>
      <c r="M620" t="str">
        <f>TRIM(Table2[[#This Row],[Category]])</f>
        <v>Clothing</v>
      </c>
      <c r="N620" t="s">
        <v>183</v>
      </c>
      <c r="O620" t="s">
        <v>184</v>
      </c>
      <c r="P620">
        <v>17</v>
      </c>
      <c r="Q620">
        <v>42047.29</v>
      </c>
      <c r="R620">
        <v>0</v>
      </c>
      <c r="S620">
        <v>0</v>
      </c>
      <c r="T620">
        <v>714803.93</v>
      </c>
      <c r="U620">
        <v>-35625.06</v>
      </c>
    </row>
    <row r="621" spans="1:21" ht="15" customHeight="1" x14ac:dyDescent="0.25">
      <c r="A621" t="s">
        <v>2456</v>
      </c>
      <c r="B621" s="8">
        <v>45081</v>
      </c>
      <c r="C621" s="8">
        <v>45082</v>
      </c>
      <c r="D621" t="s">
        <v>32</v>
      </c>
      <c r="E621" t="s">
        <v>3097</v>
      </c>
      <c r="F621" t="s">
        <v>3039</v>
      </c>
      <c r="G621" t="s">
        <v>2458</v>
      </c>
      <c r="H621">
        <v>8168482755</v>
      </c>
      <c r="I621" t="s">
        <v>24</v>
      </c>
      <c r="J621" t="s">
        <v>69</v>
      </c>
      <c r="K621" t="s">
        <v>307</v>
      </c>
      <c r="L621" t="s">
        <v>96</v>
      </c>
      <c r="M621" t="str">
        <f>TRIM(Table2[[#This Row],[Category]])</f>
        <v>Technology</v>
      </c>
      <c r="N621" t="s">
        <v>97</v>
      </c>
      <c r="O621" t="s">
        <v>230</v>
      </c>
      <c r="P621">
        <v>9</v>
      </c>
      <c r="Q621">
        <v>319110.43</v>
      </c>
      <c r="R621">
        <v>0</v>
      </c>
      <c r="S621">
        <v>0</v>
      </c>
      <c r="T621">
        <v>2871993.87</v>
      </c>
      <c r="U621">
        <v>-69994.48</v>
      </c>
    </row>
    <row r="622" spans="1:21" ht="15" customHeight="1" x14ac:dyDescent="0.25">
      <c r="A622" t="s">
        <v>1024</v>
      </c>
      <c r="B622" s="8">
        <v>45089</v>
      </c>
      <c r="C622" s="8">
        <v>45089</v>
      </c>
      <c r="D622" t="s">
        <v>32</v>
      </c>
      <c r="E622" t="s">
        <v>3049</v>
      </c>
      <c r="F622" t="s">
        <v>3078</v>
      </c>
      <c r="G622" t="s">
        <v>1025</v>
      </c>
      <c r="H622">
        <v>9059766777</v>
      </c>
      <c r="I622" t="s">
        <v>43</v>
      </c>
      <c r="J622" t="s">
        <v>61</v>
      </c>
      <c r="K622" t="s">
        <v>95</v>
      </c>
      <c r="L622" t="s">
        <v>96</v>
      </c>
      <c r="M622" t="str">
        <f>TRIM(Table2[[#This Row],[Category]])</f>
        <v>Technology</v>
      </c>
      <c r="N622" t="s">
        <v>254</v>
      </c>
      <c r="O622" t="s">
        <v>756</v>
      </c>
      <c r="P622">
        <v>7</v>
      </c>
      <c r="Q622">
        <v>178138</v>
      </c>
      <c r="R622">
        <v>10</v>
      </c>
      <c r="S622">
        <v>124696.6</v>
      </c>
      <c r="T622">
        <v>1122269.3999999999</v>
      </c>
      <c r="U622">
        <v>106960.18</v>
      </c>
    </row>
    <row r="623" spans="1:21" ht="15" customHeight="1" x14ac:dyDescent="0.25">
      <c r="A623" t="s">
        <v>1960</v>
      </c>
      <c r="B623" s="8">
        <v>45090</v>
      </c>
      <c r="C623" s="8">
        <v>45091</v>
      </c>
      <c r="D623" t="s">
        <v>32</v>
      </c>
      <c r="E623" t="s">
        <v>3061</v>
      </c>
      <c r="F623" t="s">
        <v>3096</v>
      </c>
      <c r="G623" t="s">
        <v>1962</v>
      </c>
      <c r="H623">
        <v>9073356313</v>
      </c>
      <c r="I623" t="s">
        <v>24</v>
      </c>
      <c r="J623" t="s">
        <v>25</v>
      </c>
      <c r="K623" t="s">
        <v>126</v>
      </c>
      <c r="L623" t="s">
        <v>96</v>
      </c>
      <c r="M623" t="str">
        <f>TRIM(Table2[[#This Row],[Category]])</f>
        <v>Technology</v>
      </c>
      <c r="N623" t="s">
        <v>254</v>
      </c>
      <c r="O623" t="s">
        <v>530</v>
      </c>
      <c r="P623">
        <v>10</v>
      </c>
      <c r="Q623" t="s">
        <v>1963</v>
      </c>
      <c r="R623">
        <v>15</v>
      </c>
      <c r="S623">
        <v>48334.2</v>
      </c>
      <c r="T623">
        <v>273893.8</v>
      </c>
      <c r="U623">
        <v>26134.93</v>
      </c>
    </row>
    <row r="624" spans="1:21" ht="15" customHeight="1" x14ac:dyDescent="0.25">
      <c r="A624" t="s">
        <v>2002</v>
      </c>
      <c r="B624" s="8">
        <v>45094</v>
      </c>
      <c r="C624" s="8">
        <v>45094</v>
      </c>
      <c r="D624" t="s">
        <v>32</v>
      </c>
      <c r="E624" t="s">
        <v>3041</v>
      </c>
      <c r="F624" t="s">
        <v>3052</v>
      </c>
      <c r="G624" t="s">
        <v>2003</v>
      </c>
      <c r="H624">
        <v>8061430171</v>
      </c>
      <c r="I624" t="s">
        <v>35</v>
      </c>
      <c r="J624" t="s">
        <v>61</v>
      </c>
      <c r="K624" t="s">
        <v>84</v>
      </c>
      <c r="L624" t="s">
        <v>108</v>
      </c>
      <c r="M624" t="str">
        <f>TRIM(Table2[[#This Row],[Category]])</f>
        <v>Clothing</v>
      </c>
      <c r="N624" t="s">
        <v>114</v>
      </c>
      <c r="O624" t="s">
        <v>891</v>
      </c>
      <c r="P624">
        <v>20</v>
      </c>
      <c r="Q624">
        <v>8581.09</v>
      </c>
      <c r="R624">
        <v>25</v>
      </c>
      <c r="S624">
        <v>42905.45</v>
      </c>
      <c r="T624">
        <v>128716.35</v>
      </c>
      <c r="U624">
        <v>51789.88</v>
      </c>
    </row>
    <row r="625" spans="1:21" ht="15" customHeight="1" x14ac:dyDescent="0.25">
      <c r="A625" t="s">
        <v>2768</v>
      </c>
      <c r="B625" s="8">
        <v>45094</v>
      </c>
      <c r="C625" s="8">
        <v>45094</v>
      </c>
      <c r="D625" t="s">
        <v>32</v>
      </c>
      <c r="E625" t="s">
        <v>3092</v>
      </c>
      <c r="F625" t="s">
        <v>3038</v>
      </c>
      <c r="G625" t="s">
        <v>2770</v>
      </c>
      <c r="H625">
        <v>9054754605</v>
      </c>
      <c r="I625" t="s">
        <v>959</v>
      </c>
      <c r="J625" t="s">
        <v>51</v>
      </c>
      <c r="K625" t="s">
        <v>131</v>
      </c>
      <c r="L625" t="s">
        <v>63</v>
      </c>
      <c r="M625" t="str">
        <f>TRIM(Table2[[#This Row],[Category]])</f>
        <v>Office Supplies</v>
      </c>
      <c r="N625" t="s">
        <v>249</v>
      </c>
      <c r="O625" t="s">
        <v>329</v>
      </c>
      <c r="P625">
        <v>6</v>
      </c>
      <c r="Q625">
        <v>21377.83</v>
      </c>
      <c r="R625">
        <v>20</v>
      </c>
      <c r="S625">
        <v>25653.4</v>
      </c>
      <c r="T625">
        <v>102613.58</v>
      </c>
      <c r="U625">
        <v>34494.83</v>
      </c>
    </row>
    <row r="626" spans="1:21" ht="15" customHeight="1" x14ac:dyDescent="0.25">
      <c r="A626" t="s">
        <v>2182</v>
      </c>
      <c r="B626" s="8">
        <v>45101</v>
      </c>
      <c r="C626" s="8">
        <v>45102</v>
      </c>
      <c r="D626" t="s">
        <v>32</v>
      </c>
      <c r="E626" t="s">
        <v>3072</v>
      </c>
      <c r="F626" t="s">
        <v>3054</v>
      </c>
      <c r="G626" t="s">
        <v>730</v>
      </c>
      <c r="H626">
        <v>8038238024</v>
      </c>
      <c r="I626" t="s">
        <v>35</v>
      </c>
      <c r="J626" t="s">
        <v>25</v>
      </c>
      <c r="K626" t="s">
        <v>126</v>
      </c>
      <c r="L626" t="s">
        <v>96</v>
      </c>
      <c r="M626" t="str">
        <f>TRIM(Table2[[#This Row],[Category]])</f>
        <v>Technology</v>
      </c>
      <c r="N626" t="s">
        <v>385</v>
      </c>
      <c r="O626" t="s">
        <v>743</v>
      </c>
      <c r="P626">
        <v>17</v>
      </c>
      <c r="Q626">
        <v>72584.320000000007</v>
      </c>
      <c r="R626">
        <v>15</v>
      </c>
      <c r="S626">
        <v>185090.02</v>
      </c>
      <c r="T626" t="s">
        <v>2183</v>
      </c>
      <c r="U626">
        <v>411730.02</v>
      </c>
    </row>
    <row r="627" spans="1:21" ht="15" customHeight="1" x14ac:dyDescent="0.25">
      <c r="A627" t="s">
        <v>2748</v>
      </c>
      <c r="B627" s="8">
        <v>45109</v>
      </c>
      <c r="C627" s="8">
        <v>45109</v>
      </c>
      <c r="D627" t="s">
        <v>32</v>
      </c>
      <c r="E627" t="s">
        <v>3084</v>
      </c>
      <c r="F627" t="s">
        <v>3096</v>
      </c>
      <c r="G627" t="s">
        <v>2749</v>
      </c>
      <c r="H627">
        <v>8067440597</v>
      </c>
      <c r="I627" t="s">
        <v>43</v>
      </c>
      <c r="J627" t="s">
        <v>588</v>
      </c>
      <c r="K627" t="s">
        <v>204</v>
      </c>
      <c r="L627" t="s">
        <v>63</v>
      </c>
      <c r="M627" t="str">
        <f>TRIM(Table2[[#This Row],[Category]])</f>
        <v>Office Supplies</v>
      </c>
      <c r="N627" t="s">
        <v>64</v>
      </c>
      <c r="O627" t="s">
        <v>501</v>
      </c>
      <c r="P627">
        <v>10</v>
      </c>
      <c r="Q627">
        <v>1526.35</v>
      </c>
      <c r="R627">
        <v>0</v>
      </c>
      <c r="S627">
        <v>0</v>
      </c>
      <c r="T627">
        <v>15263.5</v>
      </c>
      <c r="U627">
        <v>6443.27</v>
      </c>
    </row>
    <row r="628" spans="1:21" ht="15" customHeight="1" x14ac:dyDescent="0.25">
      <c r="A628" t="s">
        <v>845</v>
      </c>
      <c r="B628" s="8">
        <v>45112</v>
      </c>
      <c r="C628" s="8">
        <v>45113</v>
      </c>
      <c r="D628" t="s">
        <v>32</v>
      </c>
      <c r="E628" t="s">
        <v>3047</v>
      </c>
      <c r="F628" t="s">
        <v>3074</v>
      </c>
      <c r="G628" t="s">
        <v>847</v>
      </c>
      <c r="H628">
        <v>8165703436</v>
      </c>
      <c r="I628" t="s">
        <v>35</v>
      </c>
      <c r="J628" t="s">
        <v>51</v>
      </c>
      <c r="K628" t="s">
        <v>131</v>
      </c>
      <c r="L628" t="s">
        <v>534</v>
      </c>
      <c r="M628" t="str">
        <f>TRIM(Table2[[#This Row],[Category]])</f>
        <v>CLOTHING</v>
      </c>
      <c r="N628" t="s">
        <v>114</v>
      </c>
      <c r="O628" t="s">
        <v>848</v>
      </c>
      <c r="P628">
        <v>15</v>
      </c>
      <c r="Q628">
        <v>7778.58</v>
      </c>
      <c r="R628">
        <v>10</v>
      </c>
      <c r="S628">
        <v>11667.87</v>
      </c>
      <c r="T628">
        <v>105010.83</v>
      </c>
      <c r="U628">
        <v>1223.58</v>
      </c>
    </row>
    <row r="629" spans="1:21" ht="15" customHeight="1" x14ac:dyDescent="0.25">
      <c r="A629" t="s">
        <v>56</v>
      </c>
      <c r="B629" s="8">
        <v>45114</v>
      </c>
      <c r="C629" s="8">
        <v>45114</v>
      </c>
      <c r="D629" t="s">
        <v>32</v>
      </c>
      <c r="E629" t="s">
        <v>3041</v>
      </c>
      <c r="F629" t="s">
        <v>3042</v>
      </c>
      <c r="G629" t="s">
        <v>58</v>
      </c>
      <c r="H629" t="s">
        <v>59</v>
      </c>
      <c r="I629" t="s">
        <v>43</v>
      </c>
      <c r="J629" t="s">
        <v>61</v>
      </c>
      <c r="K629" t="s">
        <v>62</v>
      </c>
      <c r="L629" t="s">
        <v>63</v>
      </c>
      <c r="M629" t="str">
        <f>TRIM(Table2[[#This Row],[Category]])</f>
        <v>Office Supplies</v>
      </c>
      <c r="N629" t="s">
        <v>64</v>
      </c>
      <c r="O629" t="s">
        <v>65</v>
      </c>
      <c r="P629">
        <v>19</v>
      </c>
      <c r="Q629">
        <v>2121.62</v>
      </c>
      <c r="R629">
        <v>10</v>
      </c>
      <c r="S629">
        <v>4031.08</v>
      </c>
      <c r="T629">
        <v>36279.699999999997</v>
      </c>
      <c r="U629">
        <v>-813.54</v>
      </c>
    </row>
    <row r="630" spans="1:21" ht="15" customHeight="1" x14ac:dyDescent="0.25">
      <c r="A630" t="s">
        <v>245</v>
      </c>
      <c r="B630" s="8">
        <v>45116</v>
      </c>
      <c r="C630" s="8">
        <v>45117</v>
      </c>
      <c r="D630" t="s">
        <v>32</v>
      </c>
      <c r="E630" t="s">
        <v>3061</v>
      </c>
      <c r="F630" t="s">
        <v>3043</v>
      </c>
      <c r="G630" t="s">
        <v>247</v>
      </c>
      <c r="H630">
        <v>9014231028</v>
      </c>
      <c r="I630" t="s">
        <v>24</v>
      </c>
      <c r="J630" t="s">
        <v>51</v>
      </c>
      <c r="K630" t="s">
        <v>223</v>
      </c>
      <c r="L630" t="s">
        <v>248</v>
      </c>
      <c r="M630" t="str">
        <f>TRIM(Table2[[#This Row],[Category]])</f>
        <v>Office Supplies</v>
      </c>
      <c r="N630" t="s">
        <v>249</v>
      </c>
      <c r="O630" t="s">
        <v>250</v>
      </c>
      <c r="P630">
        <v>6</v>
      </c>
      <c r="Q630">
        <v>23796.5</v>
      </c>
      <c r="R630">
        <v>5</v>
      </c>
      <c r="S630">
        <v>7138.95</v>
      </c>
      <c r="T630">
        <v>135640.04999999999</v>
      </c>
      <c r="U630">
        <v>-2735.75</v>
      </c>
    </row>
    <row r="631" spans="1:21" ht="15" customHeight="1" x14ac:dyDescent="0.25">
      <c r="A631" t="s">
        <v>1176</v>
      </c>
      <c r="B631" s="8">
        <v>45122</v>
      </c>
      <c r="C631" s="8">
        <v>45122</v>
      </c>
      <c r="D631" t="s">
        <v>32</v>
      </c>
      <c r="E631" t="s">
        <v>3050</v>
      </c>
      <c r="F631" t="s">
        <v>3038</v>
      </c>
      <c r="G631" t="s">
        <v>1178</v>
      </c>
      <c r="H631">
        <v>8101439533</v>
      </c>
      <c r="I631" t="s">
        <v>43</v>
      </c>
      <c r="J631" t="s">
        <v>69</v>
      </c>
      <c r="K631" t="s">
        <v>70</v>
      </c>
      <c r="L631" t="s">
        <v>27</v>
      </c>
      <c r="M631" t="str">
        <f>TRIM(Table2[[#This Row],[Category]])</f>
        <v>Food &amp; Beverages</v>
      </c>
      <c r="N631" t="s">
        <v>173</v>
      </c>
      <c r="O631" t="s">
        <v>174</v>
      </c>
      <c r="P631">
        <v>20</v>
      </c>
      <c r="Q631">
        <v>4963.1499999999996</v>
      </c>
      <c r="R631">
        <v>5</v>
      </c>
      <c r="S631">
        <v>4963.1499999999996</v>
      </c>
      <c r="T631">
        <v>94299.85</v>
      </c>
      <c r="U631">
        <v>19597.060000000001</v>
      </c>
    </row>
    <row r="632" spans="1:21" ht="15" customHeight="1" x14ac:dyDescent="0.25">
      <c r="A632" t="s">
        <v>2387</v>
      </c>
      <c r="B632" s="8">
        <v>45123</v>
      </c>
      <c r="C632" s="8">
        <v>45123</v>
      </c>
      <c r="D632" t="s">
        <v>32</v>
      </c>
      <c r="E632" t="s">
        <v>3044</v>
      </c>
      <c r="F632" t="s">
        <v>3043</v>
      </c>
      <c r="G632" t="s">
        <v>2388</v>
      </c>
      <c r="H632">
        <v>7039047740</v>
      </c>
      <c r="I632" t="s">
        <v>24</v>
      </c>
      <c r="J632" t="s">
        <v>61</v>
      </c>
      <c r="K632" t="s">
        <v>62</v>
      </c>
      <c r="L632" t="s">
        <v>27</v>
      </c>
      <c r="M632" t="str">
        <f>TRIM(Table2[[#This Row],[Category]])</f>
        <v>Food &amp; Beverages</v>
      </c>
      <c r="N632" t="s">
        <v>28</v>
      </c>
      <c r="O632" t="s">
        <v>29</v>
      </c>
      <c r="P632">
        <v>13</v>
      </c>
      <c r="Q632">
        <v>6315.46</v>
      </c>
      <c r="R632">
        <v>20</v>
      </c>
      <c r="S632">
        <v>16420.2</v>
      </c>
      <c r="T632">
        <v>65680.78</v>
      </c>
      <c r="U632">
        <v>-6.06</v>
      </c>
    </row>
    <row r="633" spans="1:21" ht="15" customHeight="1" x14ac:dyDescent="0.25">
      <c r="A633" t="s">
        <v>1830</v>
      </c>
      <c r="B633" s="8">
        <v>45125</v>
      </c>
      <c r="C633" s="8">
        <v>45126</v>
      </c>
      <c r="D633" t="s">
        <v>32</v>
      </c>
      <c r="E633" t="s">
        <v>3101</v>
      </c>
      <c r="F633" t="s">
        <v>3046</v>
      </c>
      <c r="G633" t="s">
        <v>1832</v>
      </c>
      <c r="H633">
        <v>8062386418</v>
      </c>
      <c r="I633" t="s">
        <v>24</v>
      </c>
      <c r="J633" t="s">
        <v>25</v>
      </c>
      <c r="K633" t="s">
        <v>168</v>
      </c>
      <c r="L633" t="s">
        <v>96</v>
      </c>
      <c r="M633" t="str">
        <f>TRIM(Table2[[#This Row],[Category]])</f>
        <v>Technology</v>
      </c>
      <c r="N633" t="s">
        <v>189</v>
      </c>
      <c r="O633" t="s">
        <v>205</v>
      </c>
      <c r="P633">
        <v>19</v>
      </c>
      <c r="Q633">
        <v>112846.74</v>
      </c>
      <c r="R633">
        <v>20</v>
      </c>
      <c r="S633">
        <v>428817.61</v>
      </c>
      <c r="T633">
        <v>1715270.45</v>
      </c>
      <c r="U633">
        <v>24416.68</v>
      </c>
    </row>
    <row r="634" spans="1:21" ht="15" customHeight="1" x14ac:dyDescent="0.25">
      <c r="A634" t="s">
        <v>2910</v>
      </c>
      <c r="B634" s="8">
        <v>45125</v>
      </c>
      <c r="C634" s="8">
        <v>45126</v>
      </c>
      <c r="D634" t="s">
        <v>32</v>
      </c>
      <c r="E634" t="s">
        <v>3095</v>
      </c>
      <c r="F634" t="s">
        <v>3066</v>
      </c>
      <c r="G634" t="s">
        <v>2912</v>
      </c>
      <c r="H634">
        <v>8065280661</v>
      </c>
      <c r="I634" t="s">
        <v>35</v>
      </c>
      <c r="J634" t="s">
        <v>61</v>
      </c>
      <c r="K634" t="s">
        <v>95</v>
      </c>
      <c r="L634" t="s">
        <v>96</v>
      </c>
      <c r="M634" t="str">
        <f>TRIM(Table2[[#This Row],[Category]])</f>
        <v>Technology</v>
      </c>
      <c r="N634" t="s">
        <v>97</v>
      </c>
      <c r="O634" t="s">
        <v>443</v>
      </c>
      <c r="P634">
        <v>14</v>
      </c>
      <c r="Q634">
        <v>241060.91</v>
      </c>
      <c r="R634">
        <v>0</v>
      </c>
      <c r="S634">
        <v>0</v>
      </c>
      <c r="T634">
        <v>3374852.74</v>
      </c>
      <c r="U634">
        <v>1173604.52</v>
      </c>
    </row>
    <row r="635" spans="1:21" ht="15" customHeight="1" x14ac:dyDescent="0.25">
      <c r="A635" t="s">
        <v>280</v>
      </c>
      <c r="B635" s="8">
        <v>45131</v>
      </c>
      <c r="C635" s="8">
        <v>45131</v>
      </c>
      <c r="D635" t="s">
        <v>32</v>
      </c>
      <c r="E635" t="s">
        <v>3035</v>
      </c>
      <c r="F635" t="s">
        <v>3066</v>
      </c>
      <c r="G635" t="s">
        <v>282</v>
      </c>
      <c r="H635">
        <v>8068885465</v>
      </c>
      <c r="I635" t="s">
        <v>24</v>
      </c>
      <c r="J635" t="s">
        <v>61</v>
      </c>
      <c r="K635" t="s">
        <v>204</v>
      </c>
      <c r="L635" t="s">
        <v>63</v>
      </c>
      <c r="M635" t="str">
        <f>TRIM(Table2[[#This Row],[Category]])</f>
        <v>Office Supplies</v>
      </c>
      <c r="N635" t="s">
        <v>64</v>
      </c>
      <c r="O635" t="s">
        <v>65</v>
      </c>
      <c r="P635">
        <v>4</v>
      </c>
      <c r="Q635" t="s">
        <v>283</v>
      </c>
      <c r="R635">
        <v>0</v>
      </c>
      <c r="S635">
        <v>0</v>
      </c>
      <c r="T635">
        <v>33463.72</v>
      </c>
      <c r="U635">
        <v>1602.32</v>
      </c>
    </row>
    <row r="636" spans="1:21" ht="15" customHeight="1" x14ac:dyDescent="0.25">
      <c r="A636" t="s">
        <v>280</v>
      </c>
      <c r="B636" s="8">
        <v>45131</v>
      </c>
      <c r="C636" s="8">
        <v>45131</v>
      </c>
      <c r="D636" t="s">
        <v>32</v>
      </c>
      <c r="E636" t="s">
        <v>3035</v>
      </c>
      <c r="F636" t="s">
        <v>3066</v>
      </c>
      <c r="G636" t="s">
        <v>282</v>
      </c>
      <c r="H636">
        <v>8068885465</v>
      </c>
      <c r="I636" t="s">
        <v>24</v>
      </c>
      <c r="J636" t="s">
        <v>61</v>
      </c>
      <c r="K636" t="s">
        <v>204</v>
      </c>
      <c r="L636" t="s">
        <v>63</v>
      </c>
      <c r="M636" t="str">
        <f>TRIM(Table2[[#This Row],[Category]])</f>
        <v>Office Supplies</v>
      </c>
      <c r="N636" t="s">
        <v>64</v>
      </c>
      <c r="O636" t="s">
        <v>65</v>
      </c>
      <c r="P636">
        <v>4</v>
      </c>
      <c r="Q636">
        <v>8365.93</v>
      </c>
      <c r="R636">
        <v>0</v>
      </c>
      <c r="S636">
        <v>0</v>
      </c>
      <c r="T636">
        <v>33463.72</v>
      </c>
      <c r="U636">
        <v>1602.32</v>
      </c>
    </row>
    <row r="637" spans="1:21" ht="15" customHeight="1" x14ac:dyDescent="0.25">
      <c r="A637" t="s">
        <v>2782</v>
      </c>
      <c r="B637" s="8">
        <v>45131</v>
      </c>
      <c r="C637" s="8">
        <v>45131</v>
      </c>
      <c r="D637" t="s">
        <v>32</v>
      </c>
      <c r="E637" t="s">
        <v>3065</v>
      </c>
      <c r="F637" t="s">
        <v>3066</v>
      </c>
      <c r="G637" t="s">
        <v>153</v>
      </c>
      <c r="H637">
        <v>9021154772</v>
      </c>
      <c r="I637" t="s">
        <v>24</v>
      </c>
      <c r="J637" t="s">
        <v>61</v>
      </c>
      <c r="K637" t="s">
        <v>62</v>
      </c>
      <c r="L637" t="s">
        <v>63</v>
      </c>
      <c r="M637" t="str">
        <f>TRIM(Table2[[#This Row],[Category]])</f>
        <v>Office Supplies</v>
      </c>
      <c r="N637" t="s">
        <v>469</v>
      </c>
      <c r="O637" t="s">
        <v>1082</v>
      </c>
      <c r="P637">
        <v>12</v>
      </c>
      <c r="Q637">
        <v>20105.11</v>
      </c>
      <c r="R637">
        <v>10</v>
      </c>
      <c r="S637">
        <v>24126.13</v>
      </c>
      <c r="T637">
        <v>217135.19</v>
      </c>
      <c r="U637">
        <v>-32213.66</v>
      </c>
    </row>
    <row r="638" spans="1:21" ht="15" customHeight="1" x14ac:dyDescent="0.25">
      <c r="A638" t="s">
        <v>1932</v>
      </c>
      <c r="B638" s="8">
        <v>45132</v>
      </c>
      <c r="C638" s="8">
        <v>45132</v>
      </c>
      <c r="D638" t="s">
        <v>32</v>
      </c>
      <c r="E638" t="s">
        <v>3081</v>
      </c>
      <c r="F638" t="s">
        <v>3074</v>
      </c>
      <c r="G638" t="s">
        <v>1705</v>
      </c>
      <c r="H638">
        <v>8107459520</v>
      </c>
      <c r="I638" t="s">
        <v>35</v>
      </c>
      <c r="J638" t="s">
        <v>69</v>
      </c>
      <c r="K638" t="s">
        <v>307</v>
      </c>
      <c r="L638" t="s">
        <v>63</v>
      </c>
      <c r="M638" t="str">
        <f>TRIM(Table2[[#This Row],[Category]])</f>
        <v>Office Supplies</v>
      </c>
      <c r="N638" t="s">
        <v>558</v>
      </c>
      <c r="O638" t="s">
        <v>559</v>
      </c>
      <c r="P638">
        <v>14</v>
      </c>
      <c r="Q638">
        <v>10883.89</v>
      </c>
      <c r="R638">
        <v>10</v>
      </c>
      <c r="S638">
        <v>15237.45</v>
      </c>
      <c r="T638">
        <v>137137.01</v>
      </c>
      <c r="U638">
        <v>-9197.4</v>
      </c>
    </row>
    <row r="639" spans="1:21" ht="15" customHeight="1" x14ac:dyDescent="0.25">
      <c r="A639" t="s">
        <v>1363</v>
      </c>
      <c r="B639" s="8">
        <v>45133</v>
      </c>
      <c r="C639" s="8">
        <v>45133</v>
      </c>
      <c r="D639" t="s">
        <v>32</v>
      </c>
      <c r="E639" t="s">
        <v>3068</v>
      </c>
      <c r="F639" t="s">
        <v>3034</v>
      </c>
      <c r="G639" t="s">
        <v>1365</v>
      </c>
      <c r="H639">
        <v>8136491114</v>
      </c>
      <c r="I639" t="s">
        <v>43</v>
      </c>
      <c r="J639" t="s">
        <v>61</v>
      </c>
      <c r="K639" t="s">
        <v>84</v>
      </c>
      <c r="L639" t="s">
        <v>108</v>
      </c>
      <c r="M639" t="str">
        <f>TRIM(Table2[[#This Row],[Category]])</f>
        <v>Clothing</v>
      </c>
      <c r="N639" t="s">
        <v>189</v>
      </c>
      <c r="O639" t="s">
        <v>190</v>
      </c>
      <c r="P639">
        <v>19</v>
      </c>
      <c r="Q639">
        <v>40348.370000000003</v>
      </c>
      <c r="R639">
        <v>0</v>
      </c>
      <c r="S639">
        <v>0</v>
      </c>
      <c r="T639">
        <v>766619.03</v>
      </c>
      <c r="U639">
        <v>305308.2</v>
      </c>
    </row>
    <row r="640" spans="1:21" ht="15" customHeight="1" x14ac:dyDescent="0.25">
      <c r="A640" t="s">
        <v>520</v>
      </c>
      <c r="B640" s="8">
        <v>45134</v>
      </c>
      <c r="C640" s="8">
        <v>45134</v>
      </c>
      <c r="D640" t="s">
        <v>32</v>
      </c>
      <c r="E640" t="s">
        <v>3033</v>
      </c>
      <c r="F640" t="s">
        <v>3038</v>
      </c>
      <c r="G640" t="s">
        <v>522</v>
      </c>
      <c r="H640">
        <v>7036688907</v>
      </c>
      <c r="I640" t="s">
        <v>43</v>
      </c>
      <c r="J640" t="s">
        <v>51</v>
      </c>
      <c r="K640" t="s">
        <v>52</v>
      </c>
      <c r="L640" t="s">
        <v>27</v>
      </c>
      <c r="M640" t="str">
        <f>TRIM(Table2[[#This Row],[Category]])</f>
        <v>Food &amp; Beverages</v>
      </c>
      <c r="N640" t="s">
        <v>45</v>
      </c>
      <c r="O640" t="s">
        <v>523</v>
      </c>
      <c r="P640">
        <v>17</v>
      </c>
      <c r="Q640">
        <v>1832.75</v>
      </c>
      <c r="R640">
        <v>15</v>
      </c>
      <c r="S640">
        <v>4673.51</v>
      </c>
      <c r="T640">
        <v>26483.24</v>
      </c>
      <c r="U640">
        <v>3973.72</v>
      </c>
    </row>
    <row r="641" spans="1:21" ht="15" customHeight="1" x14ac:dyDescent="0.25">
      <c r="A641" t="s">
        <v>2304</v>
      </c>
      <c r="B641" s="8">
        <v>45138</v>
      </c>
      <c r="C641" s="8">
        <v>45138</v>
      </c>
      <c r="D641" t="s">
        <v>32</v>
      </c>
      <c r="E641" t="s">
        <v>3056</v>
      </c>
      <c r="F641" t="s">
        <v>3086</v>
      </c>
      <c r="G641" t="s">
        <v>2306</v>
      </c>
      <c r="H641">
        <v>8147158985</v>
      </c>
      <c r="I641" t="s">
        <v>35</v>
      </c>
      <c r="J641" t="s">
        <v>69</v>
      </c>
      <c r="K641" t="s">
        <v>3127</v>
      </c>
      <c r="L641" t="s">
        <v>96</v>
      </c>
      <c r="M641" t="str">
        <f>TRIM(Table2[[#This Row],[Category]])</f>
        <v>Technology</v>
      </c>
      <c r="N641" t="s">
        <v>254</v>
      </c>
      <c r="O641" t="s">
        <v>455</v>
      </c>
      <c r="P641">
        <v>11</v>
      </c>
      <c r="Q641">
        <v>124762.16</v>
      </c>
      <c r="R641">
        <v>10</v>
      </c>
      <c r="S641">
        <v>137238.38</v>
      </c>
      <c r="T641">
        <v>1235145.3799999999</v>
      </c>
      <c r="U641">
        <v>383018.89</v>
      </c>
    </row>
    <row r="642" spans="1:21" ht="15" customHeight="1" x14ac:dyDescent="0.25">
      <c r="A642" t="s">
        <v>2204</v>
      </c>
      <c r="B642" s="8">
        <v>45140</v>
      </c>
      <c r="C642" s="8">
        <v>45140</v>
      </c>
      <c r="D642" t="s">
        <v>32</v>
      </c>
      <c r="E642" t="s">
        <v>3050</v>
      </c>
      <c r="F642" t="s">
        <v>3040</v>
      </c>
      <c r="G642" t="s">
        <v>2206</v>
      </c>
      <c r="H642">
        <v>8154593496</v>
      </c>
      <c r="I642" t="s">
        <v>35</v>
      </c>
      <c r="J642" t="s">
        <v>61</v>
      </c>
      <c r="K642" t="s">
        <v>204</v>
      </c>
      <c r="L642" t="s">
        <v>96</v>
      </c>
      <c r="M642" t="str">
        <f>TRIM(Table2[[#This Row],[Category]])</f>
        <v>Technology</v>
      </c>
      <c r="N642" t="s">
        <v>189</v>
      </c>
      <c r="O642" t="s">
        <v>287</v>
      </c>
      <c r="P642">
        <v>20</v>
      </c>
      <c r="Q642">
        <v>228450.65</v>
      </c>
      <c r="R642">
        <v>5</v>
      </c>
      <c r="S642">
        <v>228450.65</v>
      </c>
      <c r="T642">
        <v>4340562.3499999996</v>
      </c>
      <c r="U642">
        <v>1197970.49</v>
      </c>
    </row>
    <row r="643" spans="1:21" ht="15" customHeight="1" x14ac:dyDescent="0.25">
      <c r="A643" t="s">
        <v>516</v>
      </c>
      <c r="B643" s="8">
        <v>45147</v>
      </c>
      <c r="C643" s="8">
        <v>45147</v>
      </c>
      <c r="D643" t="s">
        <v>32</v>
      </c>
      <c r="E643" t="s">
        <v>3072</v>
      </c>
      <c r="F643" t="s">
        <v>3066</v>
      </c>
      <c r="G643" t="s">
        <v>518</v>
      </c>
      <c r="H643">
        <v>8167136730</v>
      </c>
      <c r="I643" t="s">
        <v>24</v>
      </c>
      <c r="J643" t="s">
        <v>51</v>
      </c>
      <c r="K643" t="s">
        <v>316</v>
      </c>
      <c r="L643" t="s">
        <v>108</v>
      </c>
      <c r="M643" t="str">
        <f>TRIM(Table2[[#This Row],[Category]])</f>
        <v>Clothing</v>
      </c>
      <c r="N643" t="s">
        <v>38</v>
      </c>
      <c r="O643" t="s">
        <v>519</v>
      </c>
      <c r="P643">
        <v>19</v>
      </c>
      <c r="Q643">
        <v>19225.009999999998</v>
      </c>
      <c r="R643">
        <v>25</v>
      </c>
      <c r="S643">
        <v>91318.8</v>
      </c>
      <c r="T643">
        <v>273956.39</v>
      </c>
      <c r="U643">
        <v>-9097.2199999999993</v>
      </c>
    </row>
    <row r="644" spans="1:21" ht="15" customHeight="1" x14ac:dyDescent="0.25">
      <c r="A644" t="s">
        <v>2155</v>
      </c>
      <c r="B644" s="8">
        <v>45150</v>
      </c>
      <c r="C644" s="8">
        <v>45151</v>
      </c>
      <c r="D644" t="s">
        <v>32</v>
      </c>
      <c r="E644" t="s">
        <v>3068</v>
      </c>
      <c r="F644" t="s">
        <v>3057</v>
      </c>
      <c r="G644" t="s">
        <v>1267</v>
      </c>
      <c r="H644">
        <v>8107397002</v>
      </c>
      <c r="I644" t="s">
        <v>24</v>
      </c>
      <c r="J644" t="s">
        <v>25</v>
      </c>
      <c r="K644" t="s">
        <v>26</v>
      </c>
      <c r="L644" t="s">
        <v>108</v>
      </c>
      <c r="M644" t="str">
        <f>TRIM(Table2[[#This Row],[Category]])</f>
        <v>Clothing</v>
      </c>
      <c r="N644" t="s">
        <v>109</v>
      </c>
      <c r="O644" t="s">
        <v>1258</v>
      </c>
      <c r="P644">
        <v>9</v>
      </c>
      <c r="Q644">
        <v>41031.64</v>
      </c>
      <c r="R644">
        <v>10</v>
      </c>
      <c r="S644">
        <v>36928.480000000003</v>
      </c>
      <c r="T644">
        <v>332356.28000000003</v>
      </c>
      <c r="U644">
        <v>-32796.21</v>
      </c>
    </row>
    <row r="645" spans="1:21" ht="15" customHeight="1" x14ac:dyDescent="0.25">
      <c r="A645" t="s">
        <v>2339</v>
      </c>
      <c r="B645" s="8">
        <v>45152</v>
      </c>
      <c r="C645" s="8">
        <v>45152</v>
      </c>
      <c r="D645" t="s">
        <v>32</v>
      </c>
      <c r="E645" t="s">
        <v>3037</v>
      </c>
      <c r="F645" t="s">
        <v>3042</v>
      </c>
      <c r="G645" t="s">
        <v>2340</v>
      </c>
      <c r="H645">
        <v>9028784988</v>
      </c>
      <c r="I645" t="s">
        <v>35</v>
      </c>
      <c r="J645" t="s">
        <v>69</v>
      </c>
      <c r="K645" t="s">
        <v>119</v>
      </c>
      <c r="L645" t="s">
        <v>85</v>
      </c>
      <c r="M645" t="str">
        <f>TRIM(Table2[[#This Row],[Category]])</f>
        <v>Furniture</v>
      </c>
      <c r="N645" t="s">
        <v>86</v>
      </c>
      <c r="O645" t="s">
        <v>199</v>
      </c>
      <c r="P645">
        <v>14</v>
      </c>
      <c r="Q645">
        <v>107787.15</v>
      </c>
      <c r="R645">
        <v>15</v>
      </c>
      <c r="S645">
        <v>226353.01</v>
      </c>
      <c r="T645">
        <f>T644</f>
        <v>332356.28000000003</v>
      </c>
      <c r="U645">
        <v>123362.15</v>
      </c>
    </row>
    <row r="646" spans="1:21" ht="15" customHeight="1" x14ac:dyDescent="0.25">
      <c r="A646" t="s">
        <v>1438</v>
      </c>
      <c r="B646" s="8">
        <v>45157</v>
      </c>
      <c r="C646" s="8">
        <v>45158</v>
      </c>
      <c r="D646" t="s">
        <v>32</v>
      </c>
      <c r="E646" t="s">
        <v>3050</v>
      </c>
      <c r="F646" t="s">
        <v>3086</v>
      </c>
      <c r="G646" t="s">
        <v>1440</v>
      </c>
      <c r="H646" t="s">
        <v>649</v>
      </c>
      <c r="I646" t="s">
        <v>35</v>
      </c>
      <c r="J646" t="s">
        <v>51</v>
      </c>
      <c r="K646" t="s">
        <v>316</v>
      </c>
      <c r="L646" t="s">
        <v>1441</v>
      </c>
      <c r="M646" t="str">
        <f>TRIM(Table2[[#This Row],[Category]])</f>
        <v>OFFICE SUPPLIES</v>
      </c>
      <c r="N646" t="s">
        <v>54</v>
      </c>
      <c r="O646" t="s">
        <v>1039</v>
      </c>
      <c r="P646">
        <v>16</v>
      </c>
      <c r="Q646">
        <v>24968.720000000001</v>
      </c>
      <c r="R646">
        <v>0</v>
      </c>
      <c r="S646">
        <v>0</v>
      </c>
      <c r="T646">
        <v>399499.52000000002</v>
      </c>
      <c r="U646">
        <v>35084.79</v>
      </c>
    </row>
    <row r="647" spans="1:21" ht="15" customHeight="1" x14ac:dyDescent="0.25">
      <c r="A647" t="s">
        <v>2450</v>
      </c>
      <c r="B647" s="8">
        <v>45158</v>
      </c>
      <c r="C647" s="8">
        <v>45158</v>
      </c>
      <c r="D647" t="s">
        <v>32</v>
      </c>
      <c r="E647" t="s">
        <v>3070</v>
      </c>
      <c r="F647" t="s">
        <v>3038</v>
      </c>
      <c r="G647" t="s">
        <v>1246</v>
      </c>
      <c r="H647">
        <v>9017082569</v>
      </c>
      <c r="I647" t="s">
        <v>35</v>
      </c>
      <c r="J647" t="s">
        <v>69</v>
      </c>
      <c r="K647" t="s">
        <v>155</v>
      </c>
      <c r="L647" t="s">
        <v>85</v>
      </c>
      <c r="M647" t="str">
        <f>TRIM(Table2[[#This Row],[Category]])</f>
        <v>Furniture</v>
      </c>
      <c r="N647" t="s">
        <v>486</v>
      </c>
      <c r="O647" t="s">
        <v>1018</v>
      </c>
      <c r="P647">
        <v>4</v>
      </c>
      <c r="Q647">
        <v>80527.95</v>
      </c>
      <c r="R647">
        <v>10</v>
      </c>
      <c r="S647">
        <v>32211.18</v>
      </c>
      <c r="T647">
        <v>289900.62</v>
      </c>
      <c r="U647">
        <v>103029.23</v>
      </c>
    </row>
    <row r="648" spans="1:21" ht="15" customHeight="1" x14ac:dyDescent="0.25">
      <c r="A648" t="s">
        <v>2021</v>
      </c>
      <c r="B648" s="8">
        <v>45163</v>
      </c>
      <c r="C648" s="8">
        <v>45164</v>
      </c>
      <c r="D648" t="s">
        <v>32</v>
      </c>
      <c r="E648" t="s">
        <v>3058</v>
      </c>
      <c r="F648" t="s">
        <v>3046</v>
      </c>
      <c r="G648" t="s">
        <v>2023</v>
      </c>
      <c r="H648">
        <v>8106413691</v>
      </c>
      <c r="I648" t="s">
        <v>43</v>
      </c>
      <c r="J648" t="s">
        <v>25</v>
      </c>
      <c r="K648" t="s">
        <v>36</v>
      </c>
      <c r="L648" t="s">
        <v>108</v>
      </c>
      <c r="M648" t="str">
        <f>TRIM(Table2[[#This Row],[Category]])</f>
        <v>Clothing</v>
      </c>
      <c r="N648" t="s">
        <v>109</v>
      </c>
      <c r="O648" t="s">
        <v>2024</v>
      </c>
      <c r="P648">
        <v>7</v>
      </c>
      <c r="Q648">
        <v>12548.68</v>
      </c>
      <c r="R648">
        <v>10</v>
      </c>
      <c r="S648">
        <v>8784.08</v>
      </c>
      <c r="T648">
        <v>79056.679999999993</v>
      </c>
      <c r="U648">
        <v>5785.25</v>
      </c>
    </row>
    <row r="649" spans="1:21" ht="15" customHeight="1" x14ac:dyDescent="0.25">
      <c r="A649" t="s">
        <v>833</v>
      </c>
      <c r="B649" s="8">
        <v>45174</v>
      </c>
      <c r="C649" s="8">
        <v>45174</v>
      </c>
      <c r="D649" t="s">
        <v>32</v>
      </c>
      <c r="E649" t="s">
        <v>3058</v>
      </c>
      <c r="F649" t="s">
        <v>3086</v>
      </c>
      <c r="G649" t="s">
        <v>834</v>
      </c>
      <c r="H649">
        <v>8159670757</v>
      </c>
      <c r="I649" t="s">
        <v>35</v>
      </c>
      <c r="J649" t="s">
        <v>69</v>
      </c>
      <c r="K649" t="s">
        <v>155</v>
      </c>
      <c r="L649" t="s">
        <v>27</v>
      </c>
      <c r="M649" t="str">
        <f>TRIM(Table2[[#This Row],[Category]])</f>
        <v>Food &amp; Beverages</v>
      </c>
      <c r="N649" t="s">
        <v>173</v>
      </c>
      <c r="O649" t="s">
        <v>380</v>
      </c>
      <c r="P649">
        <v>15</v>
      </c>
      <c r="Q649">
        <v>1226.17</v>
      </c>
      <c r="R649">
        <v>0</v>
      </c>
      <c r="S649">
        <v>0</v>
      </c>
      <c r="T649">
        <v>18392.55</v>
      </c>
      <c r="U649">
        <v>7714.51</v>
      </c>
    </row>
    <row r="650" spans="1:21" ht="15" customHeight="1" x14ac:dyDescent="0.25">
      <c r="A650" t="s">
        <v>1816</v>
      </c>
      <c r="B650" s="8">
        <v>45174</v>
      </c>
      <c r="C650" s="8">
        <v>45174</v>
      </c>
      <c r="D650" t="s">
        <v>32</v>
      </c>
      <c r="E650" t="s">
        <v>3047</v>
      </c>
      <c r="F650" t="s">
        <v>3077</v>
      </c>
      <c r="G650" t="s">
        <v>1818</v>
      </c>
      <c r="H650">
        <v>7038087324</v>
      </c>
      <c r="I650" t="s">
        <v>43</v>
      </c>
      <c r="J650" t="s">
        <v>25</v>
      </c>
      <c r="K650" t="s">
        <v>126</v>
      </c>
      <c r="L650" t="s">
        <v>108</v>
      </c>
      <c r="M650" t="str">
        <f>TRIM(Table2[[#This Row],[Category]])</f>
        <v>Clothing</v>
      </c>
      <c r="N650" t="s">
        <v>38</v>
      </c>
      <c r="O650" t="s">
        <v>213</v>
      </c>
      <c r="P650">
        <v>17</v>
      </c>
      <c r="Q650">
        <v>18815.71</v>
      </c>
      <c r="R650">
        <v>10</v>
      </c>
      <c r="S650">
        <v>31986.71</v>
      </c>
      <c r="T650">
        <v>287880.36</v>
      </c>
      <c r="U650">
        <v>5590.19</v>
      </c>
    </row>
    <row r="651" spans="1:21" ht="15" customHeight="1" x14ac:dyDescent="0.25">
      <c r="A651" t="s">
        <v>1541</v>
      </c>
      <c r="B651" s="8" t="s">
        <v>1542</v>
      </c>
      <c r="C651" s="8">
        <v>45177</v>
      </c>
      <c r="D651" t="s">
        <v>32</v>
      </c>
      <c r="E651" t="s">
        <v>3033</v>
      </c>
      <c r="F651" t="s">
        <v>3069</v>
      </c>
      <c r="G651" t="s">
        <v>1544</v>
      </c>
      <c r="H651">
        <v>8035171713</v>
      </c>
      <c r="I651" t="s">
        <v>35</v>
      </c>
      <c r="J651" t="s">
        <v>69</v>
      </c>
      <c r="K651" t="s">
        <v>70</v>
      </c>
      <c r="L651" t="s">
        <v>1545</v>
      </c>
      <c r="M651" t="str">
        <f>TRIM(Table2[[#This Row],[Category]])</f>
        <v>Food &amp;Beverages</v>
      </c>
      <c r="N651" t="s">
        <v>28</v>
      </c>
      <c r="O651" t="s">
        <v>71</v>
      </c>
      <c r="P651">
        <v>18</v>
      </c>
      <c r="Q651">
        <v>4677.72</v>
      </c>
      <c r="R651">
        <v>0</v>
      </c>
      <c r="S651">
        <v>0</v>
      </c>
      <c r="T651">
        <v>84198.96</v>
      </c>
      <c r="U651">
        <v>33711.68</v>
      </c>
    </row>
    <row r="652" spans="1:21" ht="15" customHeight="1" x14ac:dyDescent="0.25">
      <c r="A652" t="s">
        <v>2149</v>
      </c>
      <c r="B652" s="8">
        <v>45177</v>
      </c>
      <c r="C652" s="8">
        <v>45177</v>
      </c>
      <c r="D652" t="s">
        <v>32</v>
      </c>
      <c r="E652" t="s">
        <v>3087</v>
      </c>
      <c r="F652" t="s">
        <v>3036</v>
      </c>
      <c r="G652" t="s">
        <v>2150</v>
      </c>
      <c r="H652">
        <v>8141316224</v>
      </c>
      <c r="I652" t="s">
        <v>43</v>
      </c>
      <c r="J652" t="s">
        <v>25</v>
      </c>
      <c r="K652" t="s">
        <v>44</v>
      </c>
      <c r="L652" t="s">
        <v>108</v>
      </c>
      <c r="M652" t="str">
        <f>TRIM(Table2[[#This Row],[Category]])</f>
        <v>Clothing</v>
      </c>
      <c r="N652" t="s">
        <v>183</v>
      </c>
      <c r="O652" t="s">
        <v>869</v>
      </c>
      <c r="P652">
        <v>7</v>
      </c>
      <c r="Q652">
        <v>3909.87</v>
      </c>
      <c r="R652">
        <v>15</v>
      </c>
      <c r="S652">
        <v>4105.3599999999997</v>
      </c>
      <c r="T652">
        <v>23263.73</v>
      </c>
      <c r="U652">
        <v>-915.29</v>
      </c>
    </row>
    <row r="653" spans="1:21" ht="15" customHeight="1" x14ac:dyDescent="0.25">
      <c r="A653" t="s">
        <v>1518</v>
      </c>
      <c r="B653" s="8">
        <v>45181</v>
      </c>
      <c r="C653" s="8">
        <v>45182</v>
      </c>
      <c r="D653" t="s">
        <v>32</v>
      </c>
      <c r="E653" t="str">
        <f>E654</f>
        <v>Amara</v>
      </c>
      <c r="F653" t="s">
        <v>3073</v>
      </c>
      <c r="G653" t="s">
        <v>1520</v>
      </c>
      <c r="H653">
        <v>9054009366</v>
      </c>
      <c r="I653" t="s">
        <v>43</v>
      </c>
      <c r="J653" t="s">
        <v>25</v>
      </c>
      <c r="K653" t="s">
        <v>26</v>
      </c>
      <c r="L653" t="s">
        <v>63</v>
      </c>
      <c r="M653" t="str">
        <f>TRIM(Table2[[#This Row],[Category]])</f>
        <v>Office Supplies</v>
      </c>
      <c r="N653" t="s">
        <v>54</v>
      </c>
      <c r="O653" t="s">
        <v>963</v>
      </c>
      <c r="P653">
        <v>11</v>
      </c>
      <c r="Q653">
        <v>12574.58</v>
      </c>
      <c r="R653">
        <v>20</v>
      </c>
      <c r="S653">
        <v>27664.080000000002</v>
      </c>
      <c r="T653">
        <v>110656.3</v>
      </c>
      <c r="U653">
        <v>-7839.81</v>
      </c>
    </row>
    <row r="654" spans="1:21" ht="15" customHeight="1" x14ac:dyDescent="0.25">
      <c r="A654" t="s">
        <v>2135</v>
      </c>
      <c r="B654" s="8">
        <v>45183</v>
      </c>
      <c r="C654" s="8">
        <v>45183</v>
      </c>
      <c r="D654" t="s">
        <v>32</v>
      </c>
      <c r="E654" t="s">
        <v>3047</v>
      </c>
      <c r="F654" t="s">
        <v>3090</v>
      </c>
      <c r="G654" t="s">
        <v>3126</v>
      </c>
      <c r="H654">
        <v>9024291258</v>
      </c>
      <c r="I654" t="s">
        <v>43</v>
      </c>
      <c r="J654" t="s">
        <v>61</v>
      </c>
      <c r="K654" t="s">
        <v>182</v>
      </c>
      <c r="L654" t="s">
        <v>27</v>
      </c>
      <c r="M654" t="str">
        <f>TRIM(Table2[[#This Row],[Category]])</f>
        <v>Food &amp; Beverages</v>
      </c>
      <c r="N654" t="s">
        <v>173</v>
      </c>
      <c r="O654" t="s">
        <v>662</v>
      </c>
      <c r="P654">
        <v>1</v>
      </c>
      <c r="Q654">
        <v>5550.95</v>
      </c>
      <c r="R654">
        <v>25</v>
      </c>
      <c r="S654">
        <v>1387.74</v>
      </c>
      <c r="T654">
        <v>4163.21</v>
      </c>
      <c r="U654">
        <v>579.95000000000005</v>
      </c>
    </row>
    <row r="655" spans="1:21" ht="15" customHeight="1" x14ac:dyDescent="0.25">
      <c r="A655" t="s">
        <v>1840</v>
      </c>
      <c r="B655" s="8">
        <v>45202</v>
      </c>
      <c r="C655" s="8">
        <v>45203</v>
      </c>
      <c r="D655" t="s">
        <v>32</v>
      </c>
      <c r="E655" t="str">
        <f>E656</f>
        <v>Femi</v>
      </c>
      <c r="F655" t="str">
        <f>F654</f>
        <v>Adeleke</v>
      </c>
      <c r="G655" t="s">
        <v>1841</v>
      </c>
      <c r="H655">
        <v>9012661097</v>
      </c>
      <c r="I655" t="s">
        <v>24</v>
      </c>
      <c r="J655" t="s">
        <v>69</v>
      </c>
      <c r="K655" t="s">
        <v>119</v>
      </c>
      <c r="L655" t="s">
        <v>96</v>
      </c>
      <c r="M655" t="str">
        <f>TRIM(Table2[[#This Row],[Category]])</f>
        <v>Technology</v>
      </c>
      <c r="N655" t="s">
        <v>385</v>
      </c>
      <c r="O655" t="s">
        <v>743</v>
      </c>
      <c r="P655">
        <v>10</v>
      </c>
      <c r="Q655">
        <v>96812.04</v>
      </c>
      <c r="R655">
        <v>5</v>
      </c>
      <c r="S655">
        <v>48406.02</v>
      </c>
      <c r="T655">
        <v>919714.38</v>
      </c>
      <c r="U655">
        <v>390376.22</v>
      </c>
    </row>
    <row r="656" spans="1:21" ht="15" customHeight="1" x14ac:dyDescent="0.25">
      <c r="A656" t="s">
        <v>1561</v>
      </c>
      <c r="B656" s="8">
        <v>45208</v>
      </c>
      <c r="C656" s="8">
        <v>45208</v>
      </c>
      <c r="D656" t="s">
        <v>32</v>
      </c>
      <c r="E656" t="s">
        <v>3091</v>
      </c>
      <c r="F656" t="s">
        <v>3040</v>
      </c>
      <c r="G656" t="s">
        <v>1563</v>
      </c>
      <c r="H656">
        <v>8142961940</v>
      </c>
      <c r="I656" t="s">
        <v>35</v>
      </c>
      <c r="J656" t="s">
        <v>25</v>
      </c>
      <c r="K656" t="s">
        <v>36</v>
      </c>
      <c r="L656" t="s">
        <v>108</v>
      </c>
      <c r="M656" t="str">
        <f>TRIM(Table2[[#This Row],[Category]])</f>
        <v>Clothing</v>
      </c>
      <c r="N656" t="s">
        <v>189</v>
      </c>
      <c r="O656" t="s">
        <v>325</v>
      </c>
      <c r="P656">
        <v>14</v>
      </c>
      <c r="Q656">
        <v>21277.99</v>
      </c>
      <c r="R656">
        <v>0</v>
      </c>
      <c r="S656">
        <v>0</v>
      </c>
      <c r="T656">
        <v>297891.86</v>
      </c>
      <c r="U656">
        <v>-15847.83</v>
      </c>
    </row>
    <row r="657" spans="1:21" ht="15" customHeight="1" x14ac:dyDescent="0.25">
      <c r="A657" t="s">
        <v>2173</v>
      </c>
      <c r="B657" s="8">
        <v>45211</v>
      </c>
      <c r="C657" s="8">
        <v>45212</v>
      </c>
      <c r="D657" t="s">
        <v>32</v>
      </c>
      <c r="E657" t="s">
        <v>3050</v>
      </c>
      <c r="F657" t="s">
        <v>3042</v>
      </c>
      <c r="G657" t="s">
        <v>2174</v>
      </c>
      <c r="H657">
        <v>8136514410</v>
      </c>
      <c r="I657" t="s">
        <v>24</v>
      </c>
      <c r="J657" t="s">
        <v>69</v>
      </c>
      <c r="K657" t="s">
        <v>155</v>
      </c>
      <c r="L657" t="s">
        <v>85</v>
      </c>
      <c r="M657" t="str">
        <f>TRIM(Table2[[#This Row],[Category]])</f>
        <v>Furniture</v>
      </c>
      <c r="N657" t="s">
        <v>243</v>
      </c>
      <c r="O657" t="s">
        <v>613</v>
      </c>
      <c r="P657">
        <v>4</v>
      </c>
      <c r="Q657" t="s">
        <v>2175</v>
      </c>
      <c r="R657">
        <v>5</v>
      </c>
      <c r="S657">
        <v>17280.25</v>
      </c>
      <c r="T657">
        <v>328324.71000000002</v>
      </c>
      <c r="U657">
        <v>38415.47</v>
      </c>
    </row>
    <row r="658" spans="1:21" ht="15" customHeight="1" x14ac:dyDescent="0.25">
      <c r="A658" t="s">
        <v>866</v>
      </c>
      <c r="B658" s="8">
        <v>45216</v>
      </c>
      <c r="C658" s="8">
        <v>45216</v>
      </c>
      <c r="D658" t="s">
        <v>32</v>
      </c>
      <c r="E658" t="s">
        <v>3047</v>
      </c>
      <c r="F658" t="s">
        <v>3040</v>
      </c>
      <c r="G658" t="s">
        <v>868</v>
      </c>
      <c r="H658">
        <v>8165352450</v>
      </c>
      <c r="I658" t="s">
        <v>24</v>
      </c>
      <c r="J658" t="s">
        <v>61</v>
      </c>
      <c r="K658" t="s">
        <v>95</v>
      </c>
      <c r="L658" t="s">
        <v>108</v>
      </c>
      <c r="M658" t="str">
        <f>TRIM(Table2[[#This Row],[Category]])</f>
        <v>Clothing</v>
      </c>
      <c r="N658" t="s">
        <v>183</v>
      </c>
      <c r="O658" t="s">
        <v>869</v>
      </c>
      <c r="P658">
        <v>19</v>
      </c>
      <c r="Q658">
        <v>33679.480000000003</v>
      </c>
      <c r="R658">
        <v>5</v>
      </c>
      <c r="S658">
        <v>31995.51</v>
      </c>
      <c r="T658">
        <v>607914.61</v>
      </c>
      <c r="U658">
        <v>33982.57</v>
      </c>
    </row>
    <row r="659" spans="1:21" ht="15" customHeight="1" x14ac:dyDescent="0.25">
      <c r="A659" t="s">
        <v>1644</v>
      </c>
      <c r="B659" s="8">
        <v>45234</v>
      </c>
      <c r="C659" s="8">
        <v>45234</v>
      </c>
      <c r="D659" t="s">
        <v>32</v>
      </c>
      <c r="E659" t="s">
        <v>3033</v>
      </c>
      <c r="F659" t="s">
        <v>3040</v>
      </c>
      <c r="G659" t="s">
        <v>1646</v>
      </c>
      <c r="H659">
        <v>9058994829</v>
      </c>
      <c r="I659" t="s">
        <v>35</v>
      </c>
      <c r="J659" t="s">
        <v>51</v>
      </c>
      <c r="K659" t="s">
        <v>223</v>
      </c>
      <c r="L659" t="s">
        <v>96</v>
      </c>
      <c r="M659" t="str">
        <f>TRIM(Table2[[#This Row],[Category]])</f>
        <v>Technology</v>
      </c>
      <c r="N659" t="s">
        <v>120</v>
      </c>
      <c r="O659" t="s">
        <v>359</v>
      </c>
      <c r="P659">
        <v>16</v>
      </c>
      <c r="Q659">
        <v>194725.92</v>
      </c>
      <c r="R659">
        <v>15</v>
      </c>
      <c r="S659">
        <v>467342.21</v>
      </c>
      <c r="T659">
        <v>2648272.5099999998</v>
      </c>
      <c r="U659">
        <v>457830.36</v>
      </c>
    </row>
    <row r="660" spans="1:21" ht="15" customHeight="1" x14ac:dyDescent="0.25">
      <c r="A660" t="s">
        <v>2851</v>
      </c>
      <c r="B660" s="8">
        <v>45239</v>
      </c>
      <c r="C660" s="8">
        <v>45239</v>
      </c>
      <c r="D660" t="s">
        <v>32</v>
      </c>
      <c r="E660" t="s">
        <v>3081</v>
      </c>
      <c r="F660" t="s">
        <v>3075</v>
      </c>
      <c r="G660" t="s">
        <v>2853</v>
      </c>
      <c r="H660">
        <v>9055658528</v>
      </c>
      <c r="I660" t="s">
        <v>35</v>
      </c>
      <c r="J660" t="s">
        <v>25</v>
      </c>
      <c r="K660" t="s">
        <v>168</v>
      </c>
      <c r="L660" t="s">
        <v>96</v>
      </c>
      <c r="M660" t="str">
        <f>TRIM(Table2[[#This Row],[Category]])</f>
        <v>Technology</v>
      </c>
      <c r="N660" t="s">
        <v>189</v>
      </c>
      <c r="O660" t="s">
        <v>325</v>
      </c>
      <c r="P660">
        <v>15</v>
      </c>
      <c r="Q660">
        <v>421574.85</v>
      </c>
      <c r="R660">
        <v>25</v>
      </c>
      <c r="S660">
        <v>1580905.69</v>
      </c>
      <c r="T660">
        <v>4742717.0599999996</v>
      </c>
      <c r="U660">
        <v>1268977.52</v>
      </c>
    </row>
    <row r="661" spans="1:21" ht="15" customHeight="1" x14ac:dyDescent="0.25">
      <c r="A661" t="s">
        <v>1231</v>
      </c>
      <c r="B661" s="8">
        <v>45248</v>
      </c>
      <c r="C661" s="8">
        <v>45249</v>
      </c>
      <c r="D661" t="s">
        <v>32</v>
      </c>
      <c r="E661" t="s">
        <v>3051</v>
      </c>
      <c r="F661" t="s">
        <v>3034</v>
      </c>
      <c r="G661" t="s">
        <v>1233</v>
      </c>
      <c r="H661">
        <v>8039742158</v>
      </c>
      <c r="I661" t="s">
        <v>35</v>
      </c>
      <c r="J661" t="s">
        <v>61</v>
      </c>
      <c r="K661" t="s">
        <v>204</v>
      </c>
      <c r="L661" t="s">
        <v>63</v>
      </c>
      <c r="M661" t="str">
        <f>TRIM(Table2[[#This Row],[Category]])</f>
        <v>Office Supplies</v>
      </c>
      <c r="N661" t="s">
        <v>312</v>
      </c>
      <c r="O661" t="s">
        <v>761</v>
      </c>
      <c r="P661">
        <v>1</v>
      </c>
      <c r="Q661">
        <v>14101.84</v>
      </c>
      <c r="R661">
        <v>5</v>
      </c>
      <c r="S661">
        <v>705.09</v>
      </c>
      <c r="T661">
        <v>13396.75</v>
      </c>
      <c r="U661">
        <v>2631.64</v>
      </c>
    </row>
    <row r="662" spans="1:21" ht="15" customHeight="1" x14ac:dyDescent="0.25">
      <c r="A662" t="s">
        <v>206</v>
      </c>
      <c r="B662" s="8">
        <v>45250</v>
      </c>
      <c r="C662" s="8">
        <v>45251</v>
      </c>
      <c r="D662" t="s">
        <v>32</v>
      </c>
      <c r="E662" t="s">
        <v>3048</v>
      </c>
      <c r="F662" t="s">
        <v>3042</v>
      </c>
      <c r="G662" t="s">
        <v>208</v>
      </c>
      <c r="H662">
        <v>8109961107</v>
      </c>
      <c r="I662" t="s">
        <v>35</v>
      </c>
      <c r="J662" t="s">
        <v>69</v>
      </c>
      <c r="K662" t="s">
        <v>70</v>
      </c>
      <c r="L662" t="s">
        <v>96</v>
      </c>
      <c r="M662" t="str">
        <f>TRIM(Table2[[#This Row],[Category]])</f>
        <v>Technology</v>
      </c>
      <c r="N662" t="s">
        <v>189</v>
      </c>
      <c r="O662" t="s">
        <v>205</v>
      </c>
      <c r="P662">
        <v>1</v>
      </c>
      <c r="Q662">
        <v>260510.51</v>
      </c>
      <c r="R662">
        <v>0</v>
      </c>
      <c r="S662">
        <v>0</v>
      </c>
      <c r="T662">
        <v>260510.51</v>
      </c>
      <c r="U662">
        <v>61389.25</v>
      </c>
    </row>
    <row r="663" spans="1:21" ht="15" customHeight="1" x14ac:dyDescent="0.25">
      <c r="A663" t="s">
        <v>2797</v>
      </c>
      <c r="B663" s="8">
        <v>45253</v>
      </c>
      <c r="C663" s="8">
        <v>45253</v>
      </c>
      <c r="D663" t="s">
        <v>32</v>
      </c>
      <c r="E663" t="s">
        <v>3092</v>
      </c>
      <c r="F663" t="s">
        <v>3096</v>
      </c>
      <c r="G663" t="s">
        <v>2799</v>
      </c>
      <c r="H663">
        <v>8153048456</v>
      </c>
      <c r="I663" t="s">
        <v>35</v>
      </c>
      <c r="J663" t="s">
        <v>51</v>
      </c>
      <c r="K663" t="s">
        <v>131</v>
      </c>
      <c r="L663" t="s">
        <v>108</v>
      </c>
      <c r="M663" t="str">
        <f>TRIM(Table2[[#This Row],[Category]])</f>
        <v>Clothing</v>
      </c>
      <c r="N663" t="s">
        <v>189</v>
      </c>
      <c r="O663" t="s">
        <v>325</v>
      </c>
      <c r="P663">
        <v>12</v>
      </c>
      <c r="Q663">
        <v>35776.370000000003</v>
      </c>
      <c r="R663">
        <v>0</v>
      </c>
      <c r="S663">
        <v>0</v>
      </c>
      <c r="T663">
        <v>429316.44</v>
      </c>
      <c r="U663">
        <v>26593.62</v>
      </c>
    </row>
    <row r="664" spans="1:21" ht="15" customHeight="1" x14ac:dyDescent="0.25">
      <c r="A664" t="s">
        <v>2612</v>
      </c>
      <c r="B664" s="8">
        <v>45265</v>
      </c>
      <c r="C664" s="8">
        <v>45265</v>
      </c>
      <c r="D664" t="s">
        <v>32</v>
      </c>
      <c r="E664" t="s">
        <v>3089</v>
      </c>
      <c r="F664" t="s">
        <v>3045</v>
      </c>
      <c r="G664" t="s">
        <v>592</v>
      </c>
      <c r="H664">
        <v>8157985242</v>
      </c>
      <c r="I664" t="s">
        <v>35</v>
      </c>
      <c r="J664" t="s">
        <v>51</v>
      </c>
      <c r="K664" t="s">
        <v>223</v>
      </c>
      <c r="L664" t="s">
        <v>108</v>
      </c>
      <c r="M664" t="str">
        <f>TRIM(Table2[[#This Row],[Category]])</f>
        <v>Clothing</v>
      </c>
      <c r="N664" t="s">
        <v>109</v>
      </c>
      <c r="O664" t="s">
        <v>426</v>
      </c>
      <c r="P664">
        <v>7</v>
      </c>
      <c r="Q664">
        <v>37382.379999999997</v>
      </c>
      <c r="R664">
        <v>20</v>
      </c>
      <c r="S664">
        <v>52335.33</v>
      </c>
      <c r="T664">
        <v>209341.33</v>
      </c>
      <c r="U664">
        <v>-11422.44</v>
      </c>
    </row>
    <row r="665" spans="1:21" ht="15" customHeight="1" x14ac:dyDescent="0.25">
      <c r="A665" t="s">
        <v>585</v>
      </c>
      <c r="B665" s="8">
        <v>45270</v>
      </c>
      <c r="C665" s="8">
        <v>45270</v>
      </c>
      <c r="D665" t="s">
        <v>32</v>
      </c>
      <c r="E665" t="s">
        <v>3091</v>
      </c>
      <c r="F665" t="s">
        <v>3052</v>
      </c>
      <c r="G665" t="s">
        <v>587</v>
      </c>
      <c r="H665">
        <v>8038033690</v>
      </c>
      <c r="I665" t="s">
        <v>35</v>
      </c>
      <c r="J665" t="s">
        <v>588</v>
      </c>
      <c r="K665" t="s">
        <v>119</v>
      </c>
      <c r="L665" t="s">
        <v>27</v>
      </c>
      <c r="M665" t="str">
        <f>TRIM(Table2[[#This Row],[Category]])</f>
        <v>Food &amp; Beverages</v>
      </c>
      <c r="N665" t="s">
        <v>79</v>
      </c>
      <c r="O665" t="s">
        <v>490</v>
      </c>
      <c r="P665">
        <v>4</v>
      </c>
      <c r="Q665">
        <v>1886.83</v>
      </c>
      <c r="R665">
        <v>0</v>
      </c>
      <c r="S665">
        <v>0</v>
      </c>
      <c r="T665">
        <v>7547.32</v>
      </c>
      <c r="U665">
        <v>889.56</v>
      </c>
    </row>
    <row r="666" spans="1:21" ht="15" customHeight="1" x14ac:dyDescent="0.25">
      <c r="A666" t="s">
        <v>2880</v>
      </c>
      <c r="B666" s="8">
        <v>45269</v>
      </c>
      <c r="C666" s="8">
        <v>45270</v>
      </c>
      <c r="D666" t="s">
        <v>32</v>
      </c>
      <c r="E666" t="s">
        <v>3081</v>
      </c>
      <c r="F666" t="s">
        <v>3039</v>
      </c>
      <c r="G666" t="s">
        <v>1326</v>
      </c>
      <c r="H666">
        <v>8153515887</v>
      </c>
      <c r="I666" t="s">
        <v>35</v>
      </c>
      <c r="J666" t="s">
        <v>25</v>
      </c>
      <c r="K666" t="s">
        <v>44</v>
      </c>
      <c r="L666" t="s">
        <v>108</v>
      </c>
      <c r="M666" t="str">
        <f>TRIM(Table2[[#This Row],[Category]])</f>
        <v>Clothing</v>
      </c>
      <c r="N666" t="s">
        <v>183</v>
      </c>
      <c r="O666" t="s">
        <v>184</v>
      </c>
      <c r="P666">
        <v>14</v>
      </c>
      <c r="Q666">
        <v>7286.52</v>
      </c>
      <c r="R666">
        <v>0</v>
      </c>
      <c r="S666">
        <v>0</v>
      </c>
      <c r="T666">
        <v>102011.28</v>
      </c>
      <c r="U666">
        <v>33522.949999999997</v>
      </c>
    </row>
    <row r="667" spans="1:21" ht="15" customHeight="1" x14ac:dyDescent="0.25">
      <c r="A667" t="s">
        <v>670</v>
      </c>
      <c r="B667" s="8">
        <v>45275</v>
      </c>
      <c r="C667" s="8">
        <v>45276</v>
      </c>
      <c r="D667" t="s">
        <v>32</v>
      </c>
      <c r="E667" t="s">
        <v>3072</v>
      </c>
      <c r="F667" t="s">
        <v>3071</v>
      </c>
      <c r="G667" t="s">
        <v>672</v>
      </c>
      <c r="H667">
        <v>7032126998</v>
      </c>
      <c r="I667" t="s">
        <v>24</v>
      </c>
      <c r="J667" t="s">
        <v>69</v>
      </c>
      <c r="K667" t="s">
        <v>119</v>
      </c>
      <c r="L667" t="s">
        <v>63</v>
      </c>
      <c r="M667" t="str">
        <f>TRIM(Table2[[#This Row],[Category]])</f>
        <v>Office Supplies</v>
      </c>
      <c r="N667" t="s">
        <v>249</v>
      </c>
      <c r="O667" t="s">
        <v>465</v>
      </c>
      <c r="P667">
        <v>11</v>
      </c>
      <c r="Q667">
        <v>1053.3399999999999</v>
      </c>
      <c r="R667">
        <v>0</v>
      </c>
      <c r="S667">
        <v>0</v>
      </c>
      <c r="T667">
        <v>11586.74</v>
      </c>
      <c r="U667">
        <f>U666</f>
        <v>33522.949999999997</v>
      </c>
    </row>
    <row r="668" spans="1:21" ht="15" customHeight="1" x14ac:dyDescent="0.25">
      <c r="A668" t="s">
        <v>158</v>
      </c>
      <c r="B668" s="8">
        <v>45278</v>
      </c>
      <c r="C668" s="8">
        <v>45279</v>
      </c>
      <c r="D668" t="s">
        <v>32</v>
      </c>
      <c r="E668" t="s">
        <v>3067</v>
      </c>
      <c r="F668" t="s">
        <v>3043</v>
      </c>
      <c r="G668" t="s">
        <v>160</v>
      </c>
      <c r="H668">
        <v>9074240180</v>
      </c>
      <c r="I668" t="s">
        <v>35</v>
      </c>
      <c r="J668" t="s">
        <v>69</v>
      </c>
      <c r="K668" t="s">
        <v>119</v>
      </c>
      <c r="L668" t="s">
        <v>108</v>
      </c>
      <c r="M668" t="str">
        <f>TRIM(Table2[[#This Row],[Category]])</f>
        <v>Clothing</v>
      </c>
      <c r="N668" t="s">
        <v>38</v>
      </c>
      <c r="O668" t="s">
        <v>39</v>
      </c>
      <c r="P668">
        <v>9</v>
      </c>
      <c r="Q668">
        <v>39167.18</v>
      </c>
      <c r="R668" t="s">
        <v>161</v>
      </c>
      <c r="S668">
        <v>35250.46</v>
      </c>
      <c r="T668">
        <v>317254.15999999997</v>
      </c>
      <c r="U668">
        <v>74519.53</v>
      </c>
    </row>
    <row r="669" spans="1:21" ht="15" customHeight="1" x14ac:dyDescent="0.25">
      <c r="A669" t="s">
        <v>2461</v>
      </c>
      <c r="B669" s="8">
        <v>45280</v>
      </c>
      <c r="C669" s="8">
        <v>45281</v>
      </c>
      <c r="D669" t="s">
        <v>32</v>
      </c>
      <c r="E669" t="s">
        <v>3053</v>
      </c>
      <c r="F669" t="s">
        <v>3039</v>
      </c>
      <c r="G669" t="s">
        <v>2462</v>
      </c>
      <c r="H669">
        <v>8106415010</v>
      </c>
      <c r="I669" t="s">
        <v>24</v>
      </c>
      <c r="J669" t="s">
        <v>61</v>
      </c>
      <c r="K669" t="s">
        <v>182</v>
      </c>
      <c r="L669" t="s">
        <v>96</v>
      </c>
      <c r="M669" t="str">
        <f>TRIM(Table2[[#This Row],[Category]])</f>
        <v>Technology</v>
      </c>
      <c r="N669" t="s">
        <v>120</v>
      </c>
      <c r="O669" t="s">
        <v>359</v>
      </c>
      <c r="P669">
        <v>17</v>
      </c>
      <c r="Q669">
        <v>268103.37</v>
      </c>
      <c r="R669">
        <v>25</v>
      </c>
      <c r="S669">
        <v>1139439.32</v>
      </c>
      <c r="T669">
        <v>3418317.97</v>
      </c>
      <c r="U669">
        <v>94763.35</v>
      </c>
    </row>
    <row r="670" spans="1:21" ht="15" customHeight="1" x14ac:dyDescent="0.25">
      <c r="A670" t="s">
        <v>2657</v>
      </c>
      <c r="B670" s="8">
        <v>45280</v>
      </c>
      <c r="C670" s="8">
        <v>45281</v>
      </c>
      <c r="D670" t="s">
        <v>32</v>
      </c>
      <c r="E670" t="s">
        <v>3047</v>
      </c>
      <c r="F670" t="s">
        <v>3045</v>
      </c>
      <c r="G670" t="s">
        <v>3126</v>
      </c>
      <c r="H670">
        <v>8142456742</v>
      </c>
      <c r="I670" t="s">
        <v>35</v>
      </c>
      <c r="J670" t="s">
        <v>69</v>
      </c>
      <c r="K670" t="s">
        <v>155</v>
      </c>
      <c r="L670" t="s">
        <v>108</v>
      </c>
      <c r="M670" t="str">
        <f>TRIM(Table2[[#This Row],[Category]])</f>
        <v>Clothing</v>
      </c>
      <c r="N670" t="s">
        <v>38</v>
      </c>
      <c r="O670" t="s">
        <v>296</v>
      </c>
      <c r="P670">
        <v>8</v>
      </c>
      <c r="Q670">
        <v>5958.1</v>
      </c>
      <c r="R670">
        <v>0</v>
      </c>
      <c r="S670">
        <v>0</v>
      </c>
      <c r="T670">
        <v>47664.800000000003</v>
      </c>
      <c r="U670">
        <v>5853.8</v>
      </c>
    </row>
    <row r="671" spans="1:21" ht="15" customHeight="1" x14ac:dyDescent="0.25">
      <c r="A671" t="s">
        <v>466</v>
      </c>
      <c r="B671" s="8">
        <v>45281</v>
      </c>
      <c r="C671" s="8">
        <v>45282</v>
      </c>
      <c r="D671" t="s">
        <v>32</v>
      </c>
      <c r="E671" t="s">
        <v>3063</v>
      </c>
      <c r="F671" t="s">
        <v>3034</v>
      </c>
      <c r="G671" t="s">
        <v>468</v>
      </c>
      <c r="H671">
        <v>9058297090</v>
      </c>
      <c r="I671" t="s">
        <v>24</v>
      </c>
      <c r="J671" t="s">
        <v>69</v>
      </c>
      <c r="K671" t="s">
        <v>119</v>
      </c>
      <c r="L671" t="s">
        <v>63</v>
      </c>
      <c r="M671" t="str">
        <f>TRIM(Table2[[#This Row],[Category]])</f>
        <v>Office Supplies</v>
      </c>
      <c r="N671" t="s">
        <v>469</v>
      </c>
      <c r="O671" t="s">
        <v>470</v>
      </c>
      <c r="P671">
        <v>13</v>
      </c>
      <c r="Q671">
        <v>2338.5100000000002</v>
      </c>
      <c r="R671">
        <v>10</v>
      </c>
      <c r="S671">
        <v>3040.06</v>
      </c>
      <c r="T671">
        <v>27360.57</v>
      </c>
      <c r="U671">
        <v>4318.91</v>
      </c>
    </row>
    <row r="672" spans="1:21" ht="15" customHeight="1" x14ac:dyDescent="0.25">
      <c r="A672" t="s">
        <v>2830</v>
      </c>
      <c r="B672" s="8">
        <v>45285</v>
      </c>
      <c r="C672" s="8">
        <v>45285</v>
      </c>
      <c r="D672" t="s">
        <v>32</v>
      </c>
      <c r="E672" t="s">
        <v>3059</v>
      </c>
      <c r="F672" t="s">
        <v>3083</v>
      </c>
      <c r="G672" t="s">
        <v>2831</v>
      </c>
      <c r="H672">
        <v>8168339206</v>
      </c>
      <c r="I672" t="s">
        <v>35</v>
      </c>
      <c r="J672" t="s">
        <v>61</v>
      </c>
      <c r="K672" t="s">
        <v>62</v>
      </c>
      <c r="L672" t="s">
        <v>96</v>
      </c>
      <c r="M672" t="str">
        <f>TRIM(Table2[[#This Row],[Category]])</f>
        <v>Technology</v>
      </c>
      <c r="N672" t="s">
        <v>97</v>
      </c>
      <c r="O672" t="s">
        <v>98</v>
      </c>
      <c r="P672">
        <v>6</v>
      </c>
      <c r="Q672">
        <v>203482.62</v>
      </c>
      <c r="R672">
        <v>0</v>
      </c>
      <c r="S672">
        <v>0</v>
      </c>
      <c r="T672">
        <v>1220895.72</v>
      </c>
      <c r="U672">
        <v>389265.33</v>
      </c>
    </row>
    <row r="673" spans="1:21" ht="15" customHeight="1" x14ac:dyDescent="0.25">
      <c r="A673" t="s">
        <v>1142</v>
      </c>
      <c r="B673" s="8">
        <v>45290</v>
      </c>
      <c r="C673" s="8">
        <v>45290</v>
      </c>
      <c r="D673" t="s">
        <v>32</v>
      </c>
      <c r="E673" t="s">
        <v>3033</v>
      </c>
      <c r="F673" t="s">
        <v>3036</v>
      </c>
      <c r="G673" t="s">
        <v>648</v>
      </c>
      <c r="H673">
        <v>9055191903</v>
      </c>
      <c r="I673" t="s">
        <v>35</v>
      </c>
      <c r="J673" t="s">
        <v>61</v>
      </c>
      <c r="K673" t="s">
        <v>95</v>
      </c>
      <c r="L673" t="s">
        <v>85</v>
      </c>
      <c r="M673" t="str">
        <f>TRIM(Table2[[#This Row],[Category]])</f>
        <v>Furniture</v>
      </c>
      <c r="N673" t="s">
        <v>243</v>
      </c>
      <c r="O673" t="s">
        <v>1143</v>
      </c>
      <c r="P673">
        <v>13</v>
      </c>
      <c r="Q673">
        <v>23807.68</v>
      </c>
      <c r="R673">
        <v>5</v>
      </c>
      <c r="S673">
        <v>15474.99</v>
      </c>
      <c r="T673">
        <v>294024.84999999998</v>
      </c>
      <c r="U673">
        <v>85431.73</v>
      </c>
    </row>
    <row r="674" spans="1:21" ht="15" customHeight="1" x14ac:dyDescent="0.25">
      <c r="A674" t="s">
        <v>870</v>
      </c>
      <c r="B674" s="8">
        <v>45296</v>
      </c>
      <c r="C674" s="8">
        <v>45297</v>
      </c>
      <c r="D674" t="s">
        <v>32</v>
      </c>
      <c r="E674" t="s">
        <v>3048</v>
      </c>
      <c r="F674" t="s">
        <v>3042</v>
      </c>
      <c r="G674" t="s">
        <v>871</v>
      </c>
      <c r="H674">
        <v>8162637507</v>
      </c>
      <c r="I674" t="s">
        <v>24</v>
      </c>
      <c r="J674" t="s">
        <v>61</v>
      </c>
      <c r="K674" t="s">
        <v>84</v>
      </c>
      <c r="L674" t="s">
        <v>108</v>
      </c>
      <c r="M674" t="str">
        <f>TRIM(Table2[[#This Row],[Category]])</f>
        <v>Clothing</v>
      </c>
      <c r="N674" t="s">
        <v>109</v>
      </c>
      <c r="O674" t="s">
        <v>157</v>
      </c>
      <c r="P674">
        <v>18</v>
      </c>
      <c r="Q674">
        <v>33183.03</v>
      </c>
      <c r="R674">
        <v>0</v>
      </c>
      <c r="S674">
        <v>0</v>
      </c>
      <c r="T674">
        <v>597294.54</v>
      </c>
      <c r="U674">
        <v>249761.12</v>
      </c>
    </row>
    <row r="675" spans="1:21" ht="15" customHeight="1" x14ac:dyDescent="0.25">
      <c r="A675" t="s">
        <v>990</v>
      </c>
      <c r="B675" s="8">
        <v>45296</v>
      </c>
      <c r="C675" s="8">
        <v>45297</v>
      </c>
      <c r="D675" t="s">
        <v>32</v>
      </c>
      <c r="E675" t="s">
        <v>3089</v>
      </c>
      <c r="F675" t="s">
        <v>3077</v>
      </c>
      <c r="G675" t="s">
        <v>3126</v>
      </c>
      <c r="H675">
        <v>8102375290</v>
      </c>
      <c r="I675" t="s">
        <v>43</v>
      </c>
      <c r="J675" t="s">
        <v>51</v>
      </c>
      <c r="K675" t="s">
        <v>316</v>
      </c>
      <c r="L675" t="s">
        <v>63</v>
      </c>
      <c r="M675" t="str">
        <f>TRIM(Table2[[#This Row],[Category]])</f>
        <v>Office Supplies</v>
      </c>
      <c r="N675" t="s">
        <v>194</v>
      </c>
      <c r="O675" t="s">
        <v>336</v>
      </c>
      <c r="P675">
        <v>7</v>
      </c>
      <c r="Q675">
        <v>22336.78</v>
      </c>
      <c r="R675">
        <v>10</v>
      </c>
      <c r="S675">
        <v>15635.75</v>
      </c>
      <c r="T675">
        <v>140721.71</v>
      </c>
      <c r="U675">
        <v>40827.14</v>
      </c>
    </row>
    <row r="676" spans="1:21" ht="15" customHeight="1" x14ac:dyDescent="0.25">
      <c r="A676" t="s">
        <v>1432</v>
      </c>
      <c r="B676" s="8">
        <v>45312</v>
      </c>
      <c r="C676" s="8">
        <v>45312</v>
      </c>
      <c r="D676" t="s">
        <v>32</v>
      </c>
      <c r="E676" t="s">
        <v>3053</v>
      </c>
      <c r="F676" t="s">
        <v>3069</v>
      </c>
      <c r="G676" t="s">
        <v>1433</v>
      </c>
      <c r="H676">
        <v>8106952931</v>
      </c>
      <c r="I676" t="s">
        <v>35</v>
      </c>
      <c r="J676" t="s">
        <v>25</v>
      </c>
      <c r="K676" t="s">
        <v>26</v>
      </c>
      <c r="L676" t="s">
        <v>108</v>
      </c>
      <c r="M676" t="str">
        <f>TRIM(Table2[[#This Row],[Category]])</f>
        <v>Clothing</v>
      </c>
      <c r="N676" t="s">
        <v>183</v>
      </c>
      <c r="O676" t="s">
        <v>372</v>
      </c>
      <c r="P676">
        <v>14</v>
      </c>
      <c r="Q676">
        <v>24112.79</v>
      </c>
      <c r="R676">
        <v>0</v>
      </c>
      <c r="S676">
        <v>0</v>
      </c>
      <c r="T676">
        <v>337579.06</v>
      </c>
      <c r="U676">
        <v>103584.67</v>
      </c>
    </row>
    <row r="677" spans="1:21" ht="15" customHeight="1" x14ac:dyDescent="0.25">
      <c r="A677" t="s">
        <v>1767</v>
      </c>
      <c r="B677" s="8">
        <v>45316</v>
      </c>
      <c r="C677" s="8">
        <v>45316</v>
      </c>
      <c r="D677" t="s">
        <v>32</v>
      </c>
      <c r="E677" t="s">
        <v>3098</v>
      </c>
      <c r="F677" t="s">
        <v>3066</v>
      </c>
      <c r="G677" t="s">
        <v>1769</v>
      </c>
      <c r="H677">
        <v>8139014904</v>
      </c>
      <c r="I677" t="s">
        <v>24</v>
      </c>
      <c r="J677" t="s">
        <v>51</v>
      </c>
      <c r="K677" t="s">
        <v>227</v>
      </c>
      <c r="L677" t="s">
        <v>96</v>
      </c>
      <c r="M677" t="str">
        <f>TRIM(Table2[[#This Row],[Category]])</f>
        <v>Technology</v>
      </c>
      <c r="N677" t="s">
        <v>97</v>
      </c>
      <c r="O677" t="s">
        <v>98</v>
      </c>
      <c r="P677">
        <v>5</v>
      </c>
      <c r="Q677">
        <v>318400.07</v>
      </c>
      <c r="R677">
        <v>10</v>
      </c>
      <c r="S677">
        <v>159200.04</v>
      </c>
      <c r="T677">
        <v>1432800.31</v>
      </c>
      <c r="U677">
        <v>305560.96999999997</v>
      </c>
    </row>
    <row r="678" spans="1:21" ht="15" customHeight="1" x14ac:dyDescent="0.25">
      <c r="A678" t="s">
        <v>2727</v>
      </c>
      <c r="B678" s="8">
        <v>45317</v>
      </c>
      <c r="C678" s="8">
        <v>45317</v>
      </c>
      <c r="D678" t="s">
        <v>32</v>
      </c>
      <c r="E678" t="s">
        <v>3084</v>
      </c>
      <c r="F678" t="s">
        <v>3077</v>
      </c>
      <c r="G678" t="s">
        <v>2728</v>
      </c>
      <c r="H678">
        <v>8131146741</v>
      </c>
      <c r="I678" t="s">
        <v>35</v>
      </c>
      <c r="J678" t="s">
        <v>61</v>
      </c>
      <c r="K678" t="s">
        <v>84</v>
      </c>
      <c r="L678" t="s">
        <v>63</v>
      </c>
      <c r="M678" t="str">
        <f>TRIM(Table2[[#This Row],[Category]])</f>
        <v>Office Supplies</v>
      </c>
      <c r="N678" t="s">
        <v>194</v>
      </c>
      <c r="O678" t="s">
        <v>336</v>
      </c>
      <c r="P678">
        <v>17</v>
      </c>
      <c r="Q678">
        <v>19275.57</v>
      </c>
      <c r="R678">
        <v>0</v>
      </c>
      <c r="S678">
        <v>0</v>
      </c>
      <c r="T678">
        <v>327684.69</v>
      </c>
      <c r="U678">
        <v>49332.23</v>
      </c>
    </row>
    <row r="679" spans="1:21" ht="15" customHeight="1" x14ac:dyDescent="0.25">
      <c r="A679" t="s">
        <v>1401</v>
      </c>
      <c r="B679" s="8">
        <v>45319</v>
      </c>
      <c r="C679" s="8">
        <v>45320</v>
      </c>
      <c r="D679" t="s">
        <v>32</v>
      </c>
      <c r="E679" t="s">
        <v>3073</v>
      </c>
      <c r="F679" t="s">
        <v>3046</v>
      </c>
      <c r="G679" t="s">
        <v>1402</v>
      </c>
      <c r="H679">
        <v>7036894759</v>
      </c>
      <c r="I679" t="s">
        <v>35</v>
      </c>
      <c r="J679" t="s">
        <v>51</v>
      </c>
      <c r="K679" t="s">
        <v>316</v>
      </c>
      <c r="L679" t="s">
        <v>63</v>
      </c>
      <c r="M679" t="str">
        <f>TRIM(Table2[[#This Row],[Category]])</f>
        <v>Office Supplies</v>
      </c>
      <c r="N679" t="s">
        <v>64</v>
      </c>
      <c r="O679" t="s">
        <v>777</v>
      </c>
      <c r="P679">
        <v>15</v>
      </c>
      <c r="Q679">
        <v>2646.17</v>
      </c>
      <c r="R679">
        <v>15</v>
      </c>
      <c r="S679">
        <v>5953.88</v>
      </c>
      <c r="T679">
        <v>33738.67</v>
      </c>
      <c r="U679">
        <v>11208.37</v>
      </c>
    </row>
    <row r="680" spans="1:21" ht="15" customHeight="1" x14ac:dyDescent="0.25">
      <c r="A680" t="s">
        <v>437</v>
      </c>
      <c r="B680" s="8">
        <v>45322</v>
      </c>
      <c r="C680" s="8">
        <v>45322</v>
      </c>
      <c r="D680" t="s">
        <v>32</v>
      </c>
      <c r="E680" t="str">
        <f>E681</f>
        <v>Ikenna</v>
      </c>
      <c r="F680" t="str">
        <f>F679</f>
        <v>Okonkwo</v>
      </c>
      <c r="G680" t="s">
        <v>438</v>
      </c>
      <c r="H680">
        <v>8162407191</v>
      </c>
      <c r="I680" t="s">
        <v>35</v>
      </c>
      <c r="J680" t="s">
        <v>61</v>
      </c>
      <c r="K680" t="s">
        <v>182</v>
      </c>
      <c r="L680" t="s">
        <v>85</v>
      </c>
      <c r="M680" t="str">
        <f>TRIM(Table2[[#This Row],[Category]])</f>
        <v>Furniture</v>
      </c>
      <c r="N680" t="s">
        <v>243</v>
      </c>
      <c r="O680" t="s">
        <v>439</v>
      </c>
      <c r="P680">
        <v>5</v>
      </c>
      <c r="Q680">
        <v>163712.67000000001</v>
      </c>
      <c r="R680">
        <v>15</v>
      </c>
      <c r="S680">
        <v>122784.5</v>
      </c>
      <c r="T680">
        <v>695778.85</v>
      </c>
      <c r="U680">
        <v>-66079.41</v>
      </c>
    </row>
    <row r="681" spans="1:21" ht="15" customHeight="1" x14ac:dyDescent="0.25">
      <c r="A681" t="s">
        <v>1070</v>
      </c>
      <c r="B681" s="8">
        <v>45324</v>
      </c>
      <c r="C681" s="8">
        <v>45325</v>
      </c>
      <c r="D681" t="s">
        <v>32</v>
      </c>
      <c r="E681" t="s">
        <v>3058</v>
      </c>
      <c r="F681" t="s">
        <v>3036</v>
      </c>
      <c r="G681" t="s">
        <v>1072</v>
      </c>
      <c r="H681">
        <v>8103200150</v>
      </c>
      <c r="I681" t="s">
        <v>35</v>
      </c>
      <c r="J681" t="s">
        <v>69</v>
      </c>
      <c r="K681" t="s">
        <v>70</v>
      </c>
      <c r="L681" t="s">
        <v>27</v>
      </c>
      <c r="M681" t="str">
        <f>TRIM(Table2[[#This Row],[Category]])</f>
        <v>Food &amp; Beverages</v>
      </c>
      <c r="N681" t="s">
        <v>354</v>
      </c>
      <c r="O681" t="s">
        <v>355</v>
      </c>
      <c r="P681">
        <v>8</v>
      </c>
      <c r="Q681">
        <v>5850.28</v>
      </c>
      <c r="R681">
        <v>25</v>
      </c>
      <c r="S681">
        <v>11700.56</v>
      </c>
      <c r="T681">
        <v>35101.68</v>
      </c>
      <c r="U681">
        <v>3837.71</v>
      </c>
    </row>
    <row r="682" spans="1:21" ht="15" customHeight="1" x14ac:dyDescent="0.25">
      <c r="A682" t="s">
        <v>453</v>
      </c>
      <c r="B682" s="8">
        <v>45326</v>
      </c>
      <c r="C682" s="8">
        <v>45327</v>
      </c>
      <c r="D682" t="s">
        <v>32</v>
      </c>
      <c r="E682" t="s">
        <v>3047</v>
      </c>
      <c r="F682" t="s">
        <v>3039</v>
      </c>
      <c r="G682" t="s">
        <v>454</v>
      </c>
      <c r="H682">
        <v>7035045421</v>
      </c>
      <c r="I682" t="s">
        <v>24</v>
      </c>
      <c r="J682" t="s">
        <v>69</v>
      </c>
      <c r="K682" t="s">
        <v>307</v>
      </c>
      <c r="L682" t="s">
        <v>96</v>
      </c>
      <c r="M682" t="str">
        <f>TRIM(Table2[[#This Row],[Category]])</f>
        <v>Technology</v>
      </c>
      <c r="N682" t="s">
        <v>254</v>
      </c>
      <c r="O682" t="s">
        <v>455</v>
      </c>
      <c r="P682">
        <v>12</v>
      </c>
      <c r="Q682">
        <v>73033.17</v>
      </c>
      <c r="R682">
        <v>25</v>
      </c>
      <c r="S682">
        <v>219099.51</v>
      </c>
      <c r="T682">
        <v>657298.53</v>
      </c>
      <c r="U682">
        <v>34921.19</v>
      </c>
    </row>
    <row r="683" spans="1:21" ht="15" customHeight="1" x14ac:dyDescent="0.25">
      <c r="A683" t="s">
        <v>1688</v>
      </c>
      <c r="B683" s="8">
        <v>45328</v>
      </c>
      <c r="C683" s="8">
        <v>45329</v>
      </c>
      <c r="D683" t="s">
        <v>32</v>
      </c>
      <c r="E683" t="s">
        <v>3080</v>
      </c>
      <c r="F683" t="s">
        <v>3066</v>
      </c>
      <c r="G683" t="s">
        <v>1690</v>
      </c>
      <c r="H683">
        <v>8034172607</v>
      </c>
      <c r="I683" t="s">
        <v>35</v>
      </c>
      <c r="J683" t="s">
        <v>61</v>
      </c>
      <c r="K683" t="s">
        <v>62</v>
      </c>
      <c r="L683" t="s">
        <v>27</v>
      </c>
      <c r="M683" t="str">
        <f>TRIM(Table2[[#This Row],[Category]])</f>
        <v>Food &amp; Beverages</v>
      </c>
      <c r="N683" t="s">
        <v>45</v>
      </c>
      <c r="O683" t="s">
        <v>523</v>
      </c>
      <c r="P683">
        <v>2</v>
      </c>
      <c r="Q683">
        <v>2823.14</v>
      </c>
      <c r="R683">
        <v>10</v>
      </c>
      <c r="S683">
        <v>564.63</v>
      </c>
      <c r="T683">
        <v>5081.6499999999996</v>
      </c>
      <c r="U683">
        <v>1899.07</v>
      </c>
    </row>
    <row r="684" spans="1:21" ht="15" customHeight="1" x14ac:dyDescent="0.25">
      <c r="A684" t="s">
        <v>2693</v>
      </c>
      <c r="B684" s="8">
        <v>45329</v>
      </c>
      <c r="C684" s="8">
        <v>45329</v>
      </c>
      <c r="D684" t="s">
        <v>32</v>
      </c>
      <c r="E684" t="s">
        <v>3058</v>
      </c>
      <c r="F684" t="s">
        <v>3083</v>
      </c>
      <c r="G684" t="s">
        <v>2694</v>
      </c>
      <c r="H684">
        <v>9058702071</v>
      </c>
      <c r="I684" t="s">
        <v>24</v>
      </c>
      <c r="J684" t="s">
        <v>51</v>
      </c>
      <c r="K684" t="s">
        <v>131</v>
      </c>
      <c r="L684" t="s">
        <v>2695</v>
      </c>
      <c r="M684" t="str">
        <f>TRIM(Table2[[#This Row],[Category]])</f>
        <v>Food &amp; Beverages</v>
      </c>
      <c r="N684" t="s">
        <v>45</v>
      </c>
      <c r="O684" t="s">
        <v>523</v>
      </c>
      <c r="P684">
        <v>3</v>
      </c>
      <c r="Q684">
        <v>2261.39</v>
      </c>
      <c r="R684">
        <v>10</v>
      </c>
      <c r="S684">
        <v>678.42</v>
      </c>
      <c r="T684">
        <v>6105.75</v>
      </c>
      <c r="U684">
        <v>-460.02</v>
      </c>
    </row>
    <row r="685" spans="1:21" ht="15" customHeight="1" x14ac:dyDescent="0.25">
      <c r="A685" t="s">
        <v>2549</v>
      </c>
      <c r="B685" s="8">
        <v>45329</v>
      </c>
      <c r="C685" s="8">
        <v>45330</v>
      </c>
      <c r="D685" t="s">
        <v>32</v>
      </c>
      <c r="E685" t="s">
        <v>3082</v>
      </c>
      <c r="F685" t="s">
        <v>3045</v>
      </c>
      <c r="G685" t="s">
        <v>2551</v>
      </c>
      <c r="H685">
        <v>8142822847</v>
      </c>
      <c r="I685" t="s">
        <v>24</v>
      </c>
      <c r="J685" t="s">
        <v>51</v>
      </c>
      <c r="K685" t="s">
        <v>316</v>
      </c>
      <c r="L685" t="s">
        <v>27</v>
      </c>
      <c r="M685" t="str">
        <f>TRIM(Table2[[#This Row],[Category]])</f>
        <v>Food &amp; Beverages</v>
      </c>
      <c r="N685" t="s">
        <v>28</v>
      </c>
      <c r="O685" t="s">
        <v>71</v>
      </c>
      <c r="P685">
        <v>20</v>
      </c>
      <c r="Q685">
        <v>7266.01</v>
      </c>
      <c r="R685">
        <v>15</v>
      </c>
      <c r="S685">
        <v>21798.03</v>
      </c>
      <c r="T685">
        <v>123522.17</v>
      </c>
      <c r="U685">
        <v>-14757.02</v>
      </c>
    </row>
    <row r="686" spans="1:21" ht="15" customHeight="1" x14ac:dyDescent="0.25">
      <c r="A686" t="s">
        <v>2228</v>
      </c>
      <c r="B686" s="8">
        <v>45333</v>
      </c>
      <c r="C686" s="8">
        <v>45334</v>
      </c>
      <c r="D686" t="s">
        <v>32</v>
      </c>
      <c r="E686" t="s">
        <v>3068</v>
      </c>
      <c r="F686" t="s">
        <v>3050</v>
      </c>
      <c r="G686" t="s">
        <v>2229</v>
      </c>
      <c r="H686">
        <v>7065673426</v>
      </c>
      <c r="I686" t="s">
        <v>24</v>
      </c>
      <c r="J686" t="s">
        <v>25</v>
      </c>
      <c r="K686" t="s">
        <v>44</v>
      </c>
      <c r="L686" t="s">
        <v>108</v>
      </c>
      <c r="M686" t="str">
        <f>TRIM(Table2[[#This Row],[Category]])</f>
        <v>Clothing</v>
      </c>
      <c r="N686" t="s">
        <v>38</v>
      </c>
      <c r="O686" t="s">
        <v>296</v>
      </c>
      <c r="P686">
        <v>13</v>
      </c>
      <c r="Q686">
        <v>23783.52</v>
      </c>
      <c r="R686">
        <v>0</v>
      </c>
      <c r="S686">
        <v>0</v>
      </c>
      <c r="T686">
        <v>309185.76</v>
      </c>
      <c r="U686">
        <v>137863.57</v>
      </c>
    </row>
    <row r="687" spans="1:21" ht="15" customHeight="1" x14ac:dyDescent="0.25">
      <c r="A687" t="s">
        <v>1709</v>
      </c>
      <c r="B687" s="8">
        <v>45342</v>
      </c>
      <c r="C687" s="8">
        <v>45342</v>
      </c>
      <c r="D687" t="s">
        <v>32</v>
      </c>
      <c r="E687" t="s">
        <v>3058</v>
      </c>
      <c r="F687" t="s">
        <v>3050</v>
      </c>
      <c r="G687" t="s">
        <v>1107</v>
      </c>
      <c r="H687">
        <v>8138965447</v>
      </c>
      <c r="I687" t="s">
        <v>24</v>
      </c>
      <c r="J687" t="s">
        <v>61</v>
      </c>
      <c r="K687" t="s">
        <v>182</v>
      </c>
      <c r="L687" t="s">
        <v>96</v>
      </c>
      <c r="M687" t="str">
        <f>TRIM(Table2[[#This Row],[Category]])</f>
        <v>Technology</v>
      </c>
      <c r="N687" t="s">
        <v>97</v>
      </c>
      <c r="O687" t="s">
        <v>169</v>
      </c>
      <c r="P687">
        <v>10</v>
      </c>
      <c r="Q687">
        <v>433443.09</v>
      </c>
      <c r="R687">
        <v>0</v>
      </c>
      <c r="S687">
        <v>0</v>
      </c>
      <c r="T687">
        <v>4334430.9000000004</v>
      </c>
      <c r="U687">
        <v>-204350.23</v>
      </c>
    </row>
    <row r="688" spans="1:21" ht="15" customHeight="1" x14ac:dyDescent="0.25">
      <c r="A688" t="s">
        <v>304</v>
      </c>
      <c r="B688" s="8">
        <v>45342</v>
      </c>
      <c r="C688" s="8">
        <v>45343</v>
      </c>
      <c r="D688" t="s">
        <v>32</v>
      </c>
      <c r="E688" t="s">
        <v>3084</v>
      </c>
      <c r="F688" t="s">
        <v>3083</v>
      </c>
      <c r="G688" t="s">
        <v>306</v>
      </c>
      <c r="H688">
        <v>8109427047</v>
      </c>
      <c r="I688" t="s">
        <v>43</v>
      </c>
      <c r="J688" t="s">
        <v>69</v>
      </c>
      <c r="K688" t="s">
        <v>307</v>
      </c>
      <c r="L688" t="s">
        <v>96</v>
      </c>
      <c r="M688" t="str">
        <f>TRIM(Table2[[#This Row],[Category]])</f>
        <v>Technology</v>
      </c>
      <c r="N688" t="s">
        <v>45</v>
      </c>
      <c r="O688" t="s">
        <v>308</v>
      </c>
      <c r="P688">
        <v>15</v>
      </c>
      <c r="Q688">
        <v>7031.27</v>
      </c>
      <c r="R688">
        <v>0</v>
      </c>
      <c r="S688">
        <v>0</v>
      </c>
      <c r="T688">
        <v>105469.05</v>
      </c>
      <c r="U688">
        <v>17462.580000000002</v>
      </c>
    </row>
    <row r="689" spans="1:21" ht="15" customHeight="1" x14ac:dyDescent="0.25">
      <c r="A689" t="s">
        <v>883</v>
      </c>
      <c r="B689" s="8">
        <v>45347</v>
      </c>
      <c r="C689" s="8">
        <v>45347</v>
      </c>
      <c r="D689" t="s">
        <v>32</v>
      </c>
      <c r="E689" t="s">
        <v>3063</v>
      </c>
      <c r="F689" t="s">
        <v>3077</v>
      </c>
      <c r="G689" t="s">
        <v>885</v>
      </c>
      <c r="H689">
        <v>9017259602</v>
      </c>
      <c r="I689" t="s">
        <v>43</v>
      </c>
      <c r="J689" t="s">
        <v>69</v>
      </c>
      <c r="K689" t="s">
        <v>70</v>
      </c>
      <c r="L689" t="s">
        <v>96</v>
      </c>
      <c r="M689" t="str">
        <f>TRIM(Table2[[#This Row],[Category]])</f>
        <v>Technology</v>
      </c>
      <c r="N689" t="s">
        <v>97</v>
      </c>
      <c r="O689" t="s">
        <v>169</v>
      </c>
      <c r="P689">
        <v>1</v>
      </c>
      <c r="Q689">
        <v>97900.87</v>
      </c>
      <c r="R689">
        <v>5</v>
      </c>
      <c r="S689">
        <v>4895.04</v>
      </c>
      <c r="T689">
        <v>93005.83</v>
      </c>
      <c r="U689">
        <v>-1324.46</v>
      </c>
    </row>
    <row r="690" spans="1:21" ht="15" customHeight="1" x14ac:dyDescent="0.25">
      <c r="A690" t="s">
        <v>2686</v>
      </c>
      <c r="B690" s="8">
        <v>45352</v>
      </c>
      <c r="C690" s="8">
        <v>45352</v>
      </c>
      <c r="D690" t="s">
        <v>32</v>
      </c>
      <c r="E690" t="s">
        <v>3055</v>
      </c>
      <c r="F690" t="s">
        <v>3074</v>
      </c>
      <c r="G690" t="s">
        <v>2687</v>
      </c>
      <c r="H690">
        <v>9019215392</v>
      </c>
      <c r="I690" t="s">
        <v>43</v>
      </c>
      <c r="J690" t="s">
        <v>51</v>
      </c>
      <c r="K690" t="s">
        <v>223</v>
      </c>
      <c r="L690" t="s">
        <v>63</v>
      </c>
      <c r="M690" t="str">
        <f>TRIM(Table2[[#This Row],[Category]])</f>
        <v>Office Supplies</v>
      </c>
      <c r="N690" t="s">
        <v>312</v>
      </c>
      <c r="O690" t="s">
        <v>686</v>
      </c>
      <c r="P690">
        <v>3</v>
      </c>
      <c r="Q690">
        <v>15600.98</v>
      </c>
      <c r="R690">
        <v>10</v>
      </c>
      <c r="S690">
        <v>4680.29</v>
      </c>
      <c r="T690">
        <v>42122.65</v>
      </c>
      <c r="U690">
        <v>9581.76</v>
      </c>
    </row>
    <row r="691" spans="1:21" ht="15" customHeight="1" x14ac:dyDescent="0.25">
      <c r="A691" t="s">
        <v>1316</v>
      </c>
      <c r="B691" s="8">
        <v>45357</v>
      </c>
      <c r="C691" s="8">
        <v>45358</v>
      </c>
      <c r="D691" t="s">
        <v>32</v>
      </c>
      <c r="E691" t="s">
        <v>3087</v>
      </c>
      <c r="F691" t="s">
        <v>3036</v>
      </c>
      <c r="G691" t="s">
        <v>1318</v>
      </c>
      <c r="H691">
        <v>8108391619</v>
      </c>
      <c r="I691" t="s">
        <v>35</v>
      </c>
      <c r="J691" t="s">
        <v>25</v>
      </c>
      <c r="K691" t="s">
        <v>44</v>
      </c>
      <c r="L691" t="s">
        <v>96</v>
      </c>
      <c r="M691" t="str">
        <f>TRIM(Table2[[#This Row],[Category]])</f>
        <v>Technology</v>
      </c>
      <c r="N691" t="s">
        <v>189</v>
      </c>
      <c r="O691" t="s">
        <v>190</v>
      </c>
      <c r="P691">
        <v>6</v>
      </c>
      <c r="Q691">
        <v>280481.32</v>
      </c>
      <c r="R691">
        <v>20</v>
      </c>
      <c r="S691">
        <v>336577.58</v>
      </c>
      <c r="T691">
        <v>1346310.34</v>
      </c>
      <c r="U691">
        <v>-114357.91</v>
      </c>
    </row>
    <row r="692" spans="1:21" ht="15" customHeight="1" x14ac:dyDescent="0.25">
      <c r="A692" t="s">
        <v>2103</v>
      </c>
      <c r="B692" s="8">
        <v>45362</v>
      </c>
      <c r="C692" s="8">
        <v>45362</v>
      </c>
      <c r="D692" t="s">
        <v>32</v>
      </c>
      <c r="E692" t="s">
        <v>3056</v>
      </c>
      <c r="F692" t="s">
        <v>3064</v>
      </c>
      <c r="G692" t="s">
        <v>2104</v>
      </c>
      <c r="H692">
        <v>8144087744</v>
      </c>
      <c r="I692" t="s">
        <v>35</v>
      </c>
      <c r="J692" t="s">
        <v>25</v>
      </c>
      <c r="K692" t="s">
        <v>168</v>
      </c>
      <c r="L692" t="s">
        <v>85</v>
      </c>
      <c r="M692" t="str">
        <f>TRIM(Table2[[#This Row],[Category]])</f>
        <v>Furniture</v>
      </c>
      <c r="N692" t="s">
        <v>266</v>
      </c>
      <c r="O692" t="s">
        <v>593</v>
      </c>
      <c r="P692">
        <v>15</v>
      </c>
      <c r="Q692">
        <v>149330.07</v>
      </c>
      <c r="R692">
        <v>0</v>
      </c>
      <c r="S692">
        <v>0</v>
      </c>
      <c r="T692">
        <v>2239951.0499999998</v>
      </c>
      <c r="U692">
        <v>245078.02</v>
      </c>
    </row>
    <row r="693" spans="1:21" ht="15" customHeight="1" x14ac:dyDescent="0.25">
      <c r="A693" t="s">
        <v>2913</v>
      </c>
      <c r="B693" s="8" t="s">
        <v>2914</v>
      </c>
      <c r="C693" s="8">
        <v>45372</v>
      </c>
      <c r="D693" t="s">
        <v>32</v>
      </c>
      <c r="E693" t="s">
        <v>3068</v>
      </c>
      <c r="F693" t="s">
        <v>3079</v>
      </c>
      <c r="G693" t="s">
        <v>945</v>
      </c>
      <c r="H693">
        <v>8152610366</v>
      </c>
      <c r="I693" t="s">
        <v>35</v>
      </c>
      <c r="J693" t="s">
        <v>25</v>
      </c>
      <c r="K693" t="s">
        <v>44</v>
      </c>
      <c r="L693" t="s">
        <v>96</v>
      </c>
      <c r="M693" t="str">
        <f>TRIM(Table2[[#This Row],[Category]])</f>
        <v>Technology</v>
      </c>
      <c r="N693" t="s">
        <v>385</v>
      </c>
      <c r="O693" t="s">
        <v>942</v>
      </c>
      <c r="P693">
        <v>1</v>
      </c>
      <c r="Q693">
        <v>354433.44</v>
      </c>
      <c r="R693">
        <v>0</v>
      </c>
      <c r="S693">
        <v>0</v>
      </c>
      <c r="T693">
        <v>354433.44</v>
      </c>
      <c r="U693">
        <v>147553.75</v>
      </c>
    </row>
    <row r="694" spans="1:21" ht="15" customHeight="1" x14ac:dyDescent="0.25">
      <c r="A694" t="s">
        <v>1299</v>
      </c>
      <c r="B694" s="8">
        <v>45378</v>
      </c>
      <c r="C694" s="8">
        <v>45379</v>
      </c>
      <c r="D694" t="s">
        <v>32</v>
      </c>
      <c r="E694" t="s">
        <v>3093</v>
      </c>
      <c r="F694" t="s">
        <v>3083</v>
      </c>
      <c r="G694" t="s">
        <v>1301</v>
      </c>
      <c r="H694">
        <v>7067544296</v>
      </c>
      <c r="I694" t="s">
        <v>35</v>
      </c>
      <c r="J694" t="s">
        <v>25</v>
      </c>
      <c r="K694" t="s">
        <v>26</v>
      </c>
      <c r="L694" t="s">
        <v>108</v>
      </c>
      <c r="M694" t="str">
        <f>TRIM(Table2[[#This Row],[Category]])</f>
        <v>Clothing</v>
      </c>
      <c r="N694" t="s">
        <v>38</v>
      </c>
      <c r="O694" t="s">
        <v>303</v>
      </c>
      <c r="P694">
        <v>14</v>
      </c>
      <c r="Q694">
        <v>24809.01</v>
      </c>
      <c r="R694">
        <v>0</v>
      </c>
      <c r="S694">
        <v>0</v>
      </c>
      <c r="T694">
        <v>347326.14</v>
      </c>
      <c r="U694">
        <v>8084.13</v>
      </c>
    </row>
    <row r="695" spans="1:21" ht="15" customHeight="1" x14ac:dyDescent="0.25">
      <c r="A695" t="s">
        <v>906</v>
      </c>
      <c r="B695" s="8">
        <v>45381</v>
      </c>
      <c r="C695" s="8">
        <v>45382</v>
      </c>
      <c r="D695" t="s">
        <v>32</v>
      </c>
      <c r="E695" t="s">
        <v>3091</v>
      </c>
      <c r="F695" t="s">
        <v>3042</v>
      </c>
      <c r="G695" t="s">
        <v>908</v>
      </c>
      <c r="H695">
        <v>9019023619</v>
      </c>
      <c r="I695" t="s">
        <v>35</v>
      </c>
      <c r="J695" t="s">
        <v>51</v>
      </c>
      <c r="K695" t="s">
        <v>131</v>
      </c>
      <c r="L695" t="s">
        <v>108</v>
      </c>
      <c r="M695" t="str">
        <f>TRIM(Table2[[#This Row],[Category]])</f>
        <v>Clothing</v>
      </c>
      <c r="N695" t="s">
        <v>109</v>
      </c>
      <c r="O695" t="s">
        <v>110</v>
      </c>
      <c r="P695">
        <v>2</v>
      </c>
      <c r="Q695">
        <v>7698</v>
      </c>
      <c r="R695">
        <v>0</v>
      </c>
      <c r="S695">
        <v>0</v>
      </c>
      <c r="T695">
        <v>15396</v>
      </c>
      <c r="U695">
        <v>-1351.34</v>
      </c>
    </row>
    <row r="696" spans="1:21" ht="15" customHeight="1" x14ac:dyDescent="0.25">
      <c r="A696" t="s">
        <v>1442</v>
      </c>
      <c r="B696" s="8">
        <v>45382</v>
      </c>
      <c r="C696" s="8">
        <v>45382</v>
      </c>
      <c r="D696" t="s">
        <v>32</v>
      </c>
      <c r="E696" t="s">
        <v>3048</v>
      </c>
      <c r="F696" t="s">
        <v>3050</v>
      </c>
      <c r="G696" t="s">
        <v>1443</v>
      </c>
      <c r="H696">
        <v>8136681296</v>
      </c>
      <c r="I696" t="s">
        <v>35</v>
      </c>
      <c r="J696" t="s">
        <v>25</v>
      </c>
      <c r="K696" t="s">
        <v>26</v>
      </c>
      <c r="L696" t="s">
        <v>85</v>
      </c>
      <c r="M696" t="str">
        <f>TRIM(Table2[[#This Row],[Category]])</f>
        <v>Furniture</v>
      </c>
      <c r="N696" t="s">
        <v>266</v>
      </c>
      <c r="O696" t="s">
        <v>1444</v>
      </c>
      <c r="P696">
        <v>14</v>
      </c>
      <c r="Q696">
        <v>29115.09</v>
      </c>
      <c r="R696">
        <v>20</v>
      </c>
      <c r="S696">
        <v>81522.25</v>
      </c>
      <c r="T696">
        <v>326089.01</v>
      </c>
      <c r="U696">
        <v>5579.71</v>
      </c>
    </row>
    <row r="697" spans="1:21" ht="15" customHeight="1" x14ac:dyDescent="0.25">
      <c r="A697" t="s">
        <v>1445</v>
      </c>
      <c r="B697" s="8">
        <v>45390</v>
      </c>
      <c r="C697" s="8">
        <v>45391</v>
      </c>
      <c r="D697" t="s">
        <v>32</v>
      </c>
      <c r="E697" t="s">
        <v>3092</v>
      </c>
      <c r="F697" t="s">
        <v>3036</v>
      </c>
      <c r="G697" t="s">
        <v>1447</v>
      </c>
      <c r="H697">
        <v>9028627505</v>
      </c>
      <c r="I697" t="s">
        <v>43</v>
      </c>
      <c r="J697" t="s">
        <v>51</v>
      </c>
      <c r="K697" t="s">
        <v>316</v>
      </c>
      <c r="L697" t="s">
        <v>96</v>
      </c>
      <c r="M697" t="str">
        <f>TRIM(Table2[[#This Row],[Category]])</f>
        <v>Technology</v>
      </c>
      <c r="N697" t="s">
        <v>120</v>
      </c>
      <c r="O697" t="s">
        <v>367</v>
      </c>
      <c r="P697">
        <v>8</v>
      </c>
      <c r="Q697">
        <v>227863.5</v>
      </c>
      <c r="R697">
        <v>0</v>
      </c>
      <c r="S697">
        <v>0</v>
      </c>
      <c r="T697">
        <v>1822908</v>
      </c>
      <c r="U697">
        <v>-240926.26</v>
      </c>
    </row>
    <row r="698" spans="1:21" ht="15" customHeight="1" x14ac:dyDescent="0.25">
      <c r="A698" t="s">
        <v>2758</v>
      </c>
      <c r="B698" s="8">
        <v>45393</v>
      </c>
      <c r="C698" s="8">
        <v>45394</v>
      </c>
      <c r="D698" t="s">
        <v>32</v>
      </c>
      <c r="E698" t="s">
        <v>3084</v>
      </c>
      <c r="F698" t="s">
        <v>3066</v>
      </c>
      <c r="G698" t="s">
        <v>2760</v>
      </c>
      <c r="H698">
        <v>8036599997</v>
      </c>
      <c r="I698" t="s">
        <v>35</v>
      </c>
      <c r="J698" t="s">
        <v>25</v>
      </c>
      <c r="K698" t="s">
        <v>44</v>
      </c>
      <c r="L698" t="s">
        <v>63</v>
      </c>
      <c r="M698" t="str">
        <f>TRIM(Table2[[#This Row],[Category]])</f>
        <v>Office Supplies</v>
      </c>
      <c r="N698" t="s">
        <v>249</v>
      </c>
      <c r="O698" t="s">
        <v>1141</v>
      </c>
      <c r="P698">
        <v>16</v>
      </c>
      <c r="Q698">
        <v>6274.22</v>
      </c>
      <c r="R698">
        <v>15</v>
      </c>
      <c r="S698">
        <v>15058.13</v>
      </c>
      <c r="T698">
        <v>85329.39</v>
      </c>
      <c r="U698">
        <v>17326.47</v>
      </c>
    </row>
    <row r="699" spans="1:21" ht="15" customHeight="1" x14ac:dyDescent="0.25">
      <c r="A699" t="s">
        <v>2953</v>
      </c>
      <c r="B699" s="8">
        <v>45405</v>
      </c>
      <c r="C699" s="8">
        <v>45405</v>
      </c>
      <c r="D699" t="s">
        <v>32</v>
      </c>
      <c r="E699" t="s">
        <v>3080</v>
      </c>
      <c r="F699" t="s">
        <v>3054</v>
      </c>
      <c r="G699" t="s">
        <v>2955</v>
      </c>
      <c r="H699">
        <v>8032544670</v>
      </c>
      <c r="I699" t="s">
        <v>24</v>
      </c>
      <c r="J699" t="s">
        <v>69</v>
      </c>
      <c r="K699" t="s">
        <v>119</v>
      </c>
      <c r="L699" t="s">
        <v>108</v>
      </c>
      <c r="M699" t="str">
        <f>TRIM(Table2[[#This Row],[Category]])</f>
        <v>Clothing</v>
      </c>
      <c r="N699" t="s">
        <v>183</v>
      </c>
      <c r="O699" t="s">
        <v>869</v>
      </c>
      <c r="P699">
        <v>6</v>
      </c>
      <c r="Q699">
        <v>41692.870000000003</v>
      </c>
      <c r="R699">
        <v>0</v>
      </c>
      <c r="S699">
        <v>0</v>
      </c>
      <c r="T699">
        <v>250157.22</v>
      </c>
      <c r="U699">
        <v>77915.94</v>
      </c>
    </row>
    <row r="700" spans="1:21" ht="15" customHeight="1" x14ac:dyDescent="0.25">
      <c r="A700" t="s">
        <v>1083</v>
      </c>
      <c r="B700" s="8">
        <v>45409</v>
      </c>
      <c r="C700" s="8">
        <v>45409</v>
      </c>
      <c r="D700" t="s">
        <v>32</v>
      </c>
      <c r="E700" t="s">
        <v>3065</v>
      </c>
      <c r="F700" t="s">
        <v>3086</v>
      </c>
      <c r="G700" t="s">
        <v>1084</v>
      </c>
      <c r="H700">
        <v>8104936391</v>
      </c>
      <c r="I700" t="s">
        <v>24</v>
      </c>
      <c r="J700" t="s">
        <v>51</v>
      </c>
      <c r="K700" t="s">
        <v>227</v>
      </c>
      <c r="L700" t="s">
        <v>63</v>
      </c>
      <c r="M700" t="str">
        <f>TRIM(Table2[[#This Row],[Category]])</f>
        <v>Office Supplies</v>
      </c>
      <c r="N700" t="s">
        <v>469</v>
      </c>
      <c r="O700" t="s">
        <v>470</v>
      </c>
      <c r="P700">
        <v>13</v>
      </c>
      <c r="Q700">
        <v>5659</v>
      </c>
      <c r="R700">
        <v>0</v>
      </c>
      <c r="S700">
        <v>0</v>
      </c>
      <c r="T700">
        <v>73567</v>
      </c>
      <c r="U700">
        <v>-6817.29</v>
      </c>
    </row>
    <row r="701" spans="1:21" ht="15" customHeight="1" x14ac:dyDescent="0.25">
      <c r="A701" t="s">
        <v>1403</v>
      </c>
      <c r="B701" s="8">
        <v>45410</v>
      </c>
      <c r="C701" s="8">
        <v>45410</v>
      </c>
      <c r="D701" t="s">
        <v>32</v>
      </c>
      <c r="E701" t="s">
        <v>3035</v>
      </c>
      <c r="F701" t="s">
        <v>3088</v>
      </c>
      <c r="G701" t="s">
        <v>1405</v>
      </c>
      <c r="H701">
        <v>8104486033</v>
      </c>
      <c r="I701" t="s">
        <v>24</v>
      </c>
      <c r="J701" t="s">
        <v>51</v>
      </c>
      <c r="K701" t="s">
        <v>131</v>
      </c>
      <c r="L701" t="str">
        <f>L700</f>
        <v>Office Supplies</v>
      </c>
      <c r="M701" t="str">
        <f>TRIM(Table2[[#This Row],[Category]])</f>
        <v>Office Supplies</v>
      </c>
      <c r="N701" t="s">
        <v>64</v>
      </c>
      <c r="O701" t="s">
        <v>777</v>
      </c>
      <c r="P701">
        <v>3</v>
      </c>
      <c r="Q701">
        <v>24672.639999999999</v>
      </c>
      <c r="R701">
        <v>15</v>
      </c>
      <c r="S701">
        <v>11102.69</v>
      </c>
      <c r="T701">
        <v>62915.23</v>
      </c>
      <c r="U701">
        <v>-6098.44</v>
      </c>
    </row>
    <row r="702" spans="1:21" ht="15" customHeight="1" x14ac:dyDescent="0.25">
      <c r="A702" t="s">
        <v>949</v>
      </c>
      <c r="B702" s="8">
        <v>45415</v>
      </c>
      <c r="C702" s="8">
        <v>45416</v>
      </c>
      <c r="D702" t="s">
        <v>32</v>
      </c>
      <c r="E702" t="s">
        <v>3060</v>
      </c>
      <c r="F702" t="s">
        <v>3090</v>
      </c>
      <c r="G702" t="s">
        <v>951</v>
      </c>
      <c r="H702">
        <v>9015216804</v>
      </c>
      <c r="I702" t="s">
        <v>43</v>
      </c>
      <c r="J702" t="s">
        <v>51</v>
      </c>
      <c r="K702" t="s">
        <v>52</v>
      </c>
      <c r="L702" t="s">
        <v>85</v>
      </c>
      <c r="M702" t="str">
        <f>TRIM(Table2[[#This Row],[Category]])</f>
        <v>Furniture</v>
      </c>
      <c r="N702" t="s">
        <v>266</v>
      </c>
      <c r="O702" t="s">
        <v>952</v>
      </c>
      <c r="P702">
        <v>12</v>
      </c>
      <c r="Q702">
        <v>150757.16</v>
      </c>
      <c r="R702">
        <v>25</v>
      </c>
      <c r="S702">
        <v>452271.48</v>
      </c>
      <c r="T702">
        <v>1356814.44</v>
      </c>
      <c r="U702">
        <v>397641.63</v>
      </c>
    </row>
    <row r="703" spans="1:21" ht="15" customHeight="1" x14ac:dyDescent="0.25">
      <c r="A703" t="s">
        <v>2116</v>
      </c>
      <c r="B703" s="8">
        <v>45422</v>
      </c>
      <c r="C703" s="8">
        <v>45422</v>
      </c>
      <c r="D703" t="s">
        <v>32</v>
      </c>
      <c r="E703" t="s">
        <v>3087</v>
      </c>
      <c r="F703" t="s">
        <v>3088</v>
      </c>
      <c r="G703" t="s">
        <v>2118</v>
      </c>
      <c r="H703">
        <v>8061627774</v>
      </c>
      <c r="I703" t="s">
        <v>35</v>
      </c>
      <c r="J703" t="s">
        <v>61</v>
      </c>
      <c r="K703" t="s">
        <v>95</v>
      </c>
      <c r="L703" t="s">
        <v>96</v>
      </c>
      <c r="M703" t="str">
        <f>TRIM(Table2[[#This Row],[Category]])</f>
        <v>Technology</v>
      </c>
      <c r="N703" t="s">
        <v>189</v>
      </c>
      <c r="O703" t="s">
        <v>325</v>
      </c>
      <c r="P703">
        <v>1</v>
      </c>
      <c r="Q703">
        <v>278841.99</v>
      </c>
      <c r="R703">
        <v>0</v>
      </c>
      <c r="S703">
        <v>0</v>
      </c>
      <c r="T703">
        <v>278841.99</v>
      </c>
      <c r="U703">
        <v>11905.31</v>
      </c>
    </row>
    <row r="704" spans="1:21" ht="15" customHeight="1" x14ac:dyDescent="0.25">
      <c r="A704" t="s">
        <v>1604</v>
      </c>
      <c r="B704" s="8">
        <v>45429</v>
      </c>
      <c r="C704" s="8">
        <v>45430</v>
      </c>
      <c r="D704" t="s">
        <v>32</v>
      </c>
      <c r="E704" t="s">
        <v>3089</v>
      </c>
      <c r="F704" t="s">
        <v>3034</v>
      </c>
      <c r="G704" t="s">
        <v>1606</v>
      </c>
      <c r="H704" t="s">
        <v>422</v>
      </c>
      <c r="I704" t="s">
        <v>24</v>
      </c>
      <c r="J704" t="s">
        <v>69</v>
      </c>
      <c r="K704" t="s">
        <v>144</v>
      </c>
      <c r="L704" t="s">
        <v>85</v>
      </c>
      <c r="M704" t="str">
        <f>TRIM(Table2[[#This Row],[Category]])</f>
        <v>Furniture</v>
      </c>
      <c r="N704" t="s">
        <v>266</v>
      </c>
      <c r="O704" t="s">
        <v>803</v>
      </c>
      <c r="P704">
        <v>15</v>
      </c>
      <c r="Q704">
        <v>91379.48</v>
      </c>
      <c r="R704">
        <v>0</v>
      </c>
      <c r="S704">
        <v>0</v>
      </c>
      <c r="T704">
        <v>1370692.2</v>
      </c>
      <c r="U704">
        <f>U703</f>
        <v>11905.31</v>
      </c>
    </row>
    <row r="705" spans="1:21" ht="15" customHeight="1" x14ac:dyDescent="0.25">
      <c r="A705" t="s">
        <v>2019</v>
      </c>
      <c r="B705" s="8">
        <v>45429</v>
      </c>
      <c r="C705" s="8">
        <v>45430</v>
      </c>
      <c r="D705" t="s">
        <v>32</v>
      </c>
      <c r="E705" t="str">
        <f>E706</f>
        <v>Chisom</v>
      </c>
      <c r="F705" t="str">
        <f>F704</f>
        <v>Atiku</v>
      </c>
      <c r="G705" t="s">
        <v>2020</v>
      </c>
      <c r="H705">
        <v>9057426442</v>
      </c>
      <c r="I705" t="s">
        <v>43</v>
      </c>
      <c r="J705" t="s">
        <v>61</v>
      </c>
      <c r="K705" t="s">
        <v>204</v>
      </c>
      <c r="L705" t="s">
        <v>108</v>
      </c>
      <c r="M705" t="str">
        <f>TRIM(Table2[[#This Row],[Category]])</f>
        <v>Clothing</v>
      </c>
      <c r="N705" t="s">
        <v>109</v>
      </c>
      <c r="O705" t="s">
        <v>426</v>
      </c>
      <c r="P705">
        <v>3</v>
      </c>
      <c r="Q705">
        <v>17175.37</v>
      </c>
      <c r="R705">
        <v>20</v>
      </c>
      <c r="S705">
        <v>10305.219999999999</v>
      </c>
      <c r="T705">
        <v>41220.89</v>
      </c>
      <c r="U705">
        <v>-2046.64</v>
      </c>
    </row>
    <row r="706" spans="1:21" ht="15" customHeight="1" x14ac:dyDescent="0.25">
      <c r="A706" t="s">
        <v>2255</v>
      </c>
      <c r="B706" s="8">
        <v>45433</v>
      </c>
      <c r="C706" s="8">
        <v>45434</v>
      </c>
      <c r="D706" t="s">
        <v>32</v>
      </c>
      <c r="E706" t="s">
        <v>3041</v>
      </c>
      <c r="F706" t="s">
        <v>3064</v>
      </c>
      <c r="G706" t="s">
        <v>2257</v>
      </c>
      <c r="H706">
        <v>8137597584</v>
      </c>
      <c r="I706" t="s">
        <v>24</v>
      </c>
      <c r="J706" t="s">
        <v>25</v>
      </c>
      <c r="K706" t="s">
        <v>126</v>
      </c>
      <c r="L706" t="s">
        <v>108</v>
      </c>
      <c r="M706" t="str">
        <f>TRIM(Table2[[#This Row],[Category]])</f>
        <v>Clothing</v>
      </c>
      <c r="N706" t="s">
        <v>183</v>
      </c>
      <c r="O706" t="s">
        <v>869</v>
      </c>
      <c r="P706">
        <v>17</v>
      </c>
      <c r="Q706">
        <v>17264.64</v>
      </c>
      <c r="R706">
        <v>10</v>
      </c>
      <c r="S706">
        <v>29349.89</v>
      </c>
      <c r="T706">
        <v>264148.99</v>
      </c>
      <c r="U706">
        <v>44485.68</v>
      </c>
    </row>
    <row r="707" spans="1:21" ht="15" customHeight="1" x14ac:dyDescent="0.25">
      <c r="A707" t="s">
        <v>2940</v>
      </c>
      <c r="B707" s="8">
        <v>45434</v>
      </c>
      <c r="C707" s="8">
        <v>45434</v>
      </c>
      <c r="D707" t="s">
        <v>32</v>
      </c>
      <c r="E707" t="s">
        <v>3084</v>
      </c>
      <c r="F707" t="s">
        <v>3096</v>
      </c>
      <c r="G707" t="s">
        <v>2749</v>
      </c>
      <c r="H707">
        <v>9029866836</v>
      </c>
      <c r="I707" t="s">
        <v>24</v>
      </c>
      <c r="J707" t="s">
        <v>61</v>
      </c>
      <c r="K707" t="s">
        <v>95</v>
      </c>
      <c r="L707" t="s">
        <v>63</v>
      </c>
      <c r="M707" t="str">
        <f>TRIM(Table2[[#This Row],[Category]])</f>
        <v>Office Supplies</v>
      </c>
      <c r="N707" t="s">
        <v>312</v>
      </c>
      <c r="O707" t="s">
        <v>761</v>
      </c>
      <c r="P707">
        <v>4</v>
      </c>
      <c r="Q707">
        <v>24521.62</v>
      </c>
      <c r="R707">
        <v>10</v>
      </c>
      <c r="S707">
        <v>9808.65</v>
      </c>
      <c r="T707">
        <v>88277.83</v>
      </c>
      <c r="U707">
        <v>31425.56</v>
      </c>
    </row>
    <row r="708" spans="1:21" ht="15" customHeight="1" x14ac:dyDescent="0.25">
      <c r="A708" t="s">
        <v>2351</v>
      </c>
      <c r="B708" s="8">
        <v>45439</v>
      </c>
      <c r="C708" s="8">
        <v>45439</v>
      </c>
      <c r="D708" t="s">
        <v>32</v>
      </c>
      <c r="E708" t="s">
        <v>3072</v>
      </c>
      <c r="F708" t="s">
        <v>3054</v>
      </c>
      <c r="G708" t="s">
        <v>2352</v>
      </c>
      <c r="H708">
        <v>9022875419</v>
      </c>
      <c r="I708" t="s">
        <v>43</v>
      </c>
      <c r="J708" t="s">
        <v>25</v>
      </c>
      <c r="K708" t="s">
        <v>44</v>
      </c>
      <c r="L708" t="s">
        <v>85</v>
      </c>
      <c r="M708" t="str">
        <f>TRIM(Table2[[#This Row],[Category]])</f>
        <v>Furniture</v>
      </c>
      <c r="N708" t="s">
        <v>243</v>
      </c>
      <c r="O708" t="s">
        <v>439</v>
      </c>
      <c r="P708">
        <v>5</v>
      </c>
      <c r="Q708">
        <v>120924.36</v>
      </c>
      <c r="R708">
        <v>5</v>
      </c>
      <c r="S708">
        <v>30231.09</v>
      </c>
      <c r="T708">
        <v>574390.71</v>
      </c>
      <c r="U708">
        <v>188016.38</v>
      </c>
    </row>
    <row r="709" spans="1:21" ht="15" customHeight="1" x14ac:dyDescent="0.25">
      <c r="A709" t="s">
        <v>2637</v>
      </c>
      <c r="B709" s="8">
        <v>45447</v>
      </c>
      <c r="C709" s="8">
        <v>45448</v>
      </c>
      <c r="D709" t="s">
        <v>32</v>
      </c>
      <c r="E709" t="s">
        <v>3051</v>
      </c>
      <c r="F709" t="s">
        <v>3062</v>
      </c>
      <c r="G709" t="s">
        <v>2638</v>
      </c>
      <c r="H709">
        <v>9051738763</v>
      </c>
      <c r="I709" t="s">
        <v>35</v>
      </c>
      <c r="J709" t="s">
        <v>69</v>
      </c>
      <c r="K709" t="s">
        <v>307</v>
      </c>
      <c r="L709" t="s">
        <v>96</v>
      </c>
      <c r="M709" t="str">
        <f>TRIM(Table2[[#This Row],[Category]])</f>
        <v>Technology</v>
      </c>
      <c r="N709" t="s">
        <v>97</v>
      </c>
      <c r="O709" t="s">
        <v>1416</v>
      </c>
      <c r="P709">
        <v>7</v>
      </c>
      <c r="Q709">
        <v>327708.81</v>
      </c>
      <c r="R709">
        <v>10</v>
      </c>
      <c r="S709">
        <v>229396.17</v>
      </c>
      <c r="T709">
        <v>2064565.5</v>
      </c>
      <c r="U709">
        <v>-279443.64</v>
      </c>
    </row>
    <row r="710" spans="1:21" ht="15" customHeight="1" x14ac:dyDescent="0.25">
      <c r="A710" t="s">
        <v>2027</v>
      </c>
      <c r="B710" s="8">
        <v>45453</v>
      </c>
      <c r="C710" s="8">
        <v>45454</v>
      </c>
      <c r="D710" t="s">
        <v>32</v>
      </c>
      <c r="E710" t="s">
        <v>3041</v>
      </c>
      <c r="F710" t="s">
        <v>3052</v>
      </c>
      <c r="G710" t="s">
        <v>2028</v>
      </c>
      <c r="H710">
        <v>8039286841</v>
      </c>
      <c r="I710" t="s">
        <v>24</v>
      </c>
      <c r="J710" t="s">
        <v>25</v>
      </c>
      <c r="K710" t="s">
        <v>36</v>
      </c>
      <c r="L710" t="s">
        <v>108</v>
      </c>
      <c r="M710" t="str">
        <f>TRIM(Table2[[#This Row],[Category]])</f>
        <v>Clothing</v>
      </c>
      <c r="N710" t="s">
        <v>114</v>
      </c>
      <c r="O710" t="s">
        <v>482</v>
      </c>
      <c r="P710">
        <v>4</v>
      </c>
      <c r="Q710">
        <v>20113.2</v>
      </c>
      <c r="R710">
        <v>20</v>
      </c>
      <c r="S710">
        <v>16090.56</v>
      </c>
      <c r="T710">
        <v>64362.239999999998</v>
      </c>
      <c r="U710">
        <v>-3045.37</v>
      </c>
    </row>
    <row r="711" spans="1:21" ht="15" customHeight="1" x14ac:dyDescent="0.25">
      <c r="A711" t="s">
        <v>1277</v>
      </c>
      <c r="B711" s="8">
        <v>45456</v>
      </c>
      <c r="C711" s="8">
        <v>45456</v>
      </c>
      <c r="D711" t="s">
        <v>32</v>
      </c>
      <c r="E711" t="s">
        <v>3081</v>
      </c>
      <c r="F711" t="s">
        <v>3054</v>
      </c>
      <c r="G711" t="s">
        <v>1278</v>
      </c>
      <c r="H711">
        <v>8038650891</v>
      </c>
      <c r="I711" t="s">
        <v>24</v>
      </c>
      <c r="J711" t="s">
        <v>25</v>
      </c>
      <c r="K711" t="s">
        <v>126</v>
      </c>
      <c r="L711" t="s">
        <v>27</v>
      </c>
      <c r="M711" t="str">
        <f>TRIM(Table2[[#This Row],[Category]])</f>
        <v>Food &amp; Beverages</v>
      </c>
      <c r="N711" t="s">
        <v>28</v>
      </c>
      <c r="O711" t="s">
        <v>347</v>
      </c>
      <c r="P711">
        <v>17</v>
      </c>
      <c r="Q711">
        <v>1684.44</v>
      </c>
      <c r="R711">
        <v>15</v>
      </c>
      <c r="S711">
        <v>4295.32</v>
      </c>
      <c r="T711">
        <v>24340.16</v>
      </c>
      <c r="U711">
        <v>4411.17</v>
      </c>
    </row>
    <row r="712" spans="1:21" ht="15" customHeight="1" x14ac:dyDescent="0.25">
      <c r="A712" t="s">
        <v>2015</v>
      </c>
      <c r="B712" s="8">
        <v>45455</v>
      </c>
      <c r="C712" s="8">
        <v>45456</v>
      </c>
      <c r="D712" t="s">
        <v>32</v>
      </c>
      <c r="E712" t="s">
        <v>3050</v>
      </c>
      <c r="F712" t="s">
        <v>3036</v>
      </c>
      <c r="G712" t="s">
        <v>2017</v>
      </c>
      <c r="H712">
        <v>8135715786</v>
      </c>
      <c r="I712" t="s">
        <v>24</v>
      </c>
      <c r="J712" t="s">
        <v>51</v>
      </c>
      <c r="K712" t="s">
        <v>316</v>
      </c>
      <c r="L712" t="s">
        <v>108</v>
      </c>
      <c r="M712" t="str">
        <f>TRIM(Table2[[#This Row],[Category]])</f>
        <v>Clothing</v>
      </c>
      <c r="N712" t="s">
        <v>114</v>
      </c>
      <c r="O712" t="s">
        <v>891</v>
      </c>
      <c r="P712">
        <v>19</v>
      </c>
      <c r="Q712">
        <v>36105.589999999997</v>
      </c>
      <c r="R712">
        <v>10</v>
      </c>
      <c r="S712">
        <v>68600.62</v>
      </c>
      <c r="T712">
        <v>617405.59</v>
      </c>
      <c r="U712">
        <v>-31245.74</v>
      </c>
    </row>
    <row r="713" spans="1:21" ht="15" customHeight="1" x14ac:dyDescent="0.25">
      <c r="A713" t="s">
        <v>1277</v>
      </c>
      <c r="B713" s="8">
        <v>45456</v>
      </c>
      <c r="C713" s="8">
        <v>45456</v>
      </c>
      <c r="D713" t="s">
        <v>32</v>
      </c>
      <c r="E713" t="s">
        <v>3081</v>
      </c>
      <c r="F713" t="s">
        <v>3054</v>
      </c>
      <c r="G713" t="s">
        <v>1278</v>
      </c>
      <c r="H713">
        <v>8038650891</v>
      </c>
      <c r="I713" t="s">
        <v>24</v>
      </c>
      <c r="J713" t="s">
        <v>25</v>
      </c>
      <c r="K713" t="s">
        <v>126</v>
      </c>
      <c r="L713" t="s">
        <v>27</v>
      </c>
      <c r="M713" t="str">
        <f>TRIM(Table2[[#This Row],[Category]])</f>
        <v>Food &amp; Beverages</v>
      </c>
      <c r="N713" t="s">
        <v>28</v>
      </c>
      <c r="O713" t="s">
        <v>347</v>
      </c>
      <c r="P713">
        <v>17</v>
      </c>
      <c r="Q713">
        <v>1684.44</v>
      </c>
      <c r="R713">
        <v>15</v>
      </c>
      <c r="S713">
        <v>4295.32</v>
      </c>
      <c r="T713">
        <v>24340.16</v>
      </c>
      <c r="U713">
        <v>4411.17</v>
      </c>
    </row>
    <row r="714" spans="1:21" ht="15" customHeight="1" x14ac:dyDescent="0.25">
      <c r="A714" t="s">
        <v>2699</v>
      </c>
      <c r="B714" s="8">
        <v>45457</v>
      </c>
      <c r="C714" s="8">
        <v>45458</v>
      </c>
      <c r="D714" t="s">
        <v>32</v>
      </c>
      <c r="E714" t="s">
        <v>3041</v>
      </c>
      <c r="F714" t="s">
        <v>3038</v>
      </c>
      <c r="G714" t="s">
        <v>2700</v>
      </c>
      <c r="H714">
        <v>8103062198</v>
      </c>
      <c r="I714" t="s">
        <v>35</v>
      </c>
      <c r="J714" t="s">
        <v>69</v>
      </c>
      <c r="K714" t="s">
        <v>155</v>
      </c>
      <c r="L714" t="s">
        <v>63</v>
      </c>
      <c r="M714" t="str">
        <f>TRIM(Table2[[#This Row],[Category]])</f>
        <v>Office Supplies</v>
      </c>
      <c r="N714" t="s">
        <v>194</v>
      </c>
      <c r="O714" t="s">
        <v>700</v>
      </c>
      <c r="P714">
        <v>3</v>
      </c>
      <c r="Q714">
        <v>1505.35</v>
      </c>
      <c r="R714">
        <v>10</v>
      </c>
      <c r="S714">
        <v>451.6</v>
      </c>
      <c r="T714">
        <v>4064.45</v>
      </c>
      <c r="U714">
        <v>-347.6</v>
      </c>
    </row>
    <row r="715" spans="1:21" ht="15" customHeight="1" x14ac:dyDescent="0.25">
      <c r="A715" t="s">
        <v>816</v>
      </c>
      <c r="B715" s="8">
        <v>45459</v>
      </c>
      <c r="C715" s="8">
        <v>45460</v>
      </c>
      <c r="D715" t="s">
        <v>32</v>
      </c>
      <c r="E715" t="s">
        <v>3048</v>
      </c>
      <c r="F715" t="s">
        <v>3066</v>
      </c>
      <c r="G715" t="s">
        <v>818</v>
      </c>
      <c r="H715">
        <v>7066892681</v>
      </c>
      <c r="I715" t="s">
        <v>35</v>
      </c>
      <c r="J715" t="s">
        <v>25</v>
      </c>
      <c r="K715" t="s">
        <v>26</v>
      </c>
      <c r="L715" t="s">
        <v>27</v>
      </c>
      <c r="M715" t="str">
        <f>TRIM(Table2[[#This Row],[Category]])</f>
        <v>Food &amp; Beverages</v>
      </c>
      <c r="N715" t="s">
        <v>28</v>
      </c>
      <c r="O715" t="s">
        <v>29</v>
      </c>
      <c r="P715">
        <v>19</v>
      </c>
      <c r="Q715">
        <v>6681.81</v>
      </c>
      <c r="R715">
        <v>5</v>
      </c>
      <c r="S715">
        <v>6347.72</v>
      </c>
      <c r="T715">
        <f>T714</f>
        <v>4064.45</v>
      </c>
      <c r="U715">
        <v>-6320.52</v>
      </c>
    </row>
    <row r="716" spans="1:21" ht="15" customHeight="1" x14ac:dyDescent="0.25">
      <c r="A716" t="s">
        <v>288</v>
      </c>
      <c r="B716" s="8">
        <v>45467</v>
      </c>
      <c r="C716" s="8">
        <v>45467</v>
      </c>
      <c r="D716" t="s">
        <v>32</v>
      </c>
      <c r="E716" t="s">
        <v>3082</v>
      </c>
      <c r="F716" t="s">
        <v>3036</v>
      </c>
      <c r="G716" t="s">
        <v>290</v>
      </c>
      <c r="H716">
        <v>8168350368</v>
      </c>
      <c r="I716" t="s">
        <v>43</v>
      </c>
      <c r="J716" t="s">
        <v>61</v>
      </c>
      <c r="K716" t="s">
        <v>84</v>
      </c>
      <c r="L716" t="s">
        <v>108</v>
      </c>
      <c r="M716" t="str">
        <f>TRIM(Table2[[#This Row],[Category]])</f>
        <v>Clothing</v>
      </c>
      <c r="N716" t="s">
        <v>114</v>
      </c>
      <c r="O716" t="s">
        <v>291</v>
      </c>
      <c r="P716">
        <v>20</v>
      </c>
      <c r="Q716">
        <v>43845.31</v>
      </c>
      <c r="R716">
        <v>5</v>
      </c>
      <c r="S716">
        <v>43845.31</v>
      </c>
      <c r="T716" t="s">
        <v>292</v>
      </c>
      <c r="U716">
        <v>229816.25</v>
      </c>
    </row>
    <row r="717" spans="1:21" ht="15" customHeight="1" x14ac:dyDescent="0.25">
      <c r="A717" t="s">
        <v>191</v>
      </c>
      <c r="B717" s="8">
        <v>45475</v>
      </c>
      <c r="C717" s="8">
        <v>45475</v>
      </c>
      <c r="D717" t="s">
        <v>32</v>
      </c>
      <c r="E717" t="s">
        <v>3055</v>
      </c>
      <c r="F717" t="s">
        <v>3071</v>
      </c>
      <c r="G717" t="s">
        <v>193</v>
      </c>
      <c r="H717">
        <v>9025147994</v>
      </c>
      <c r="I717" t="s">
        <v>24</v>
      </c>
      <c r="J717" t="s">
        <v>69</v>
      </c>
      <c r="K717" t="s">
        <v>155</v>
      </c>
      <c r="L717" t="s">
        <v>63</v>
      </c>
      <c r="M717" t="str">
        <f>TRIM(Table2[[#This Row],[Category]])</f>
        <v>Office Supplies</v>
      </c>
      <c r="N717" t="s">
        <v>194</v>
      </c>
      <c r="O717" t="s">
        <v>195</v>
      </c>
      <c r="P717">
        <v>8</v>
      </c>
      <c r="Q717">
        <v>12372.63</v>
      </c>
      <c r="R717" t="s">
        <v>161</v>
      </c>
      <c r="S717">
        <v>9898.1</v>
      </c>
      <c r="T717">
        <v>89082.94</v>
      </c>
      <c r="U717">
        <v>10148.65</v>
      </c>
    </row>
    <row r="718" spans="1:21" ht="15" customHeight="1" x14ac:dyDescent="0.25">
      <c r="A718" t="s">
        <v>1633</v>
      </c>
      <c r="B718" s="8">
        <v>45475</v>
      </c>
      <c r="C718" s="8">
        <v>45475</v>
      </c>
      <c r="D718" t="s">
        <v>32</v>
      </c>
      <c r="E718" t="s">
        <v>3092</v>
      </c>
      <c r="F718" t="s">
        <v>3052</v>
      </c>
      <c r="G718" t="s">
        <v>1635</v>
      </c>
      <c r="H718">
        <v>7033821731</v>
      </c>
      <c r="I718" t="s">
        <v>24</v>
      </c>
      <c r="J718" t="s">
        <v>61</v>
      </c>
      <c r="K718" t="s">
        <v>182</v>
      </c>
      <c r="L718" t="s">
        <v>85</v>
      </c>
      <c r="M718" t="str">
        <f>TRIM(Table2[[#This Row],[Category]])</f>
        <v>Furniture</v>
      </c>
      <c r="N718" t="s">
        <v>266</v>
      </c>
      <c r="O718" t="s">
        <v>952</v>
      </c>
      <c r="P718">
        <v>18</v>
      </c>
      <c r="Q718">
        <v>173352.56</v>
      </c>
      <c r="R718">
        <v>20</v>
      </c>
      <c r="S718">
        <v>624069.22</v>
      </c>
      <c r="T718" t="s">
        <v>1636</v>
      </c>
      <c r="U718">
        <v>-311846.77</v>
      </c>
    </row>
    <row r="719" spans="1:21" ht="15" customHeight="1" x14ac:dyDescent="0.25">
      <c r="A719" t="s">
        <v>2499</v>
      </c>
      <c r="B719" s="8">
        <v>45479</v>
      </c>
      <c r="C719" s="8">
        <v>45479</v>
      </c>
      <c r="D719" t="s">
        <v>32</v>
      </c>
      <c r="E719" t="s">
        <v>3060</v>
      </c>
      <c r="F719" t="s">
        <v>3050</v>
      </c>
      <c r="G719" t="s">
        <v>2501</v>
      </c>
      <c r="H719">
        <v>8137135319</v>
      </c>
      <c r="I719" t="s">
        <v>24</v>
      </c>
      <c r="J719" t="s">
        <v>51</v>
      </c>
      <c r="K719" t="s">
        <v>2502</v>
      </c>
      <c r="L719" t="s">
        <v>85</v>
      </c>
      <c r="M719" t="str">
        <f>TRIM(Table2[[#This Row],[Category]])</f>
        <v>Furniture</v>
      </c>
      <c r="N719" t="s">
        <v>218</v>
      </c>
      <c r="O719" t="s">
        <v>219</v>
      </c>
      <c r="P719">
        <v>13</v>
      </c>
      <c r="Q719">
        <v>40394.51</v>
      </c>
      <c r="R719">
        <v>0</v>
      </c>
      <c r="S719">
        <v>0</v>
      </c>
      <c r="T719">
        <v>525128.63</v>
      </c>
      <c r="U719">
        <v>34129.599999999999</v>
      </c>
    </row>
    <row r="720" spans="1:21" ht="15" customHeight="1" x14ac:dyDescent="0.25">
      <c r="A720" t="s">
        <v>974</v>
      </c>
      <c r="B720" s="8">
        <v>45485</v>
      </c>
      <c r="C720" s="8">
        <v>45486</v>
      </c>
      <c r="D720" t="s">
        <v>32</v>
      </c>
      <c r="E720" t="s">
        <v>3068</v>
      </c>
      <c r="F720" t="s">
        <v>3074</v>
      </c>
      <c r="G720" t="s">
        <v>976</v>
      </c>
      <c r="H720">
        <v>7062984841</v>
      </c>
      <c r="I720" t="s">
        <v>43</v>
      </c>
      <c r="J720" t="s">
        <v>61</v>
      </c>
      <c r="K720" t="s">
        <v>182</v>
      </c>
      <c r="L720" t="s">
        <v>27</v>
      </c>
      <c r="M720" t="str">
        <f>TRIM(Table2[[#This Row],[Category]])</f>
        <v>Food &amp; Beverages</v>
      </c>
      <c r="N720" t="s">
        <v>79</v>
      </c>
      <c r="O720" t="s">
        <v>234</v>
      </c>
      <c r="P720">
        <v>19</v>
      </c>
      <c r="Q720">
        <v>786.93</v>
      </c>
      <c r="R720" t="s">
        <v>376</v>
      </c>
      <c r="S720">
        <v>0</v>
      </c>
      <c r="T720">
        <v>14951.67</v>
      </c>
      <c r="U720">
        <v>4044.86</v>
      </c>
    </row>
    <row r="721" spans="1:21" ht="15" customHeight="1" x14ac:dyDescent="0.25">
      <c r="A721" t="s">
        <v>2433</v>
      </c>
      <c r="B721" s="8">
        <v>45487</v>
      </c>
      <c r="C721" s="8">
        <v>45487</v>
      </c>
      <c r="D721" t="s">
        <v>32</v>
      </c>
      <c r="E721" t="s">
        <v>3039</v>
      </c>
      <c r="F721" t="s">
        <v>3088</v>
      </c>
      <c r="G721" t="s">
        <v>2434</v>
      </c>
      <c r="H721">
        <v>8158379676</v>
      </c>
      <c r="I721" t="s">
        <v>24</v>
      </c>
      <c r="J721" t="s">
        <v>51</v>
      </c>
      <c r="K721" t="s">
        <v>131</v>
      </c>
      <c r="L721" t="s">
        <v>96</v>
      </c>
      <c r="M721" t="str">
        <f>TRIM(Table2[[#This Row],[Category]])</f>
        <v>Technology</v>
      </c>
      <c r="N721" t="s">
        <v>97</v>
      </c>
      <c r="O721" t="s">
        <v>169</v>
      </c>
      <c r="P721">
        <v>11</v>
      </c>
      <c r="Q721">
        <v>416890.25</v>
      </c>
      <c r="R721">
        <v>0</v>
      </c>
      <c r="S721">
        <v>0</v>
      </c>
      <c r="T721">
        <v>4585792.75</v>
      </c>
      <c r="U721">
        <v>14539.96</v>
      </c>
    </row>
    <row r="722" spans="1:21" ht="15" customHeight="1" x14ac:dyDescent="0.25">
      <c r="A722" t="s">
        <v>1207</v>
      </c>
      <c r="B722" s="8">
        <v>45491</v>
      </c>
      <c r="C722" s="8">
        <v>45492</v>
      </c>
      <c r="D722" t="s">
        <v>32</v>
      </c>
      <c r="E722" t="s">
        <v>3053</v>
      </c>
      <c r="F722" t="s">
        <v>3050</v>
      </c>
      <c r="G722" t="s">
        <v>711</v>
      </c>
      <c r="H722">
        <v>8135665960</v>
      </c>
      <c r="I722" t="s">
        <v>35</v>
      </c>
      <c r="J722" t="s">
        <v>69</v>
      </c>
      <c r="K722" t="s">
        <v>119</v>
      </c>
      <c r="L722" t="s">
        <v>27</v>
      </c>
      <c r="M722" t="str">
        <f>TRIM(Table2[[#This Row],[Category]])</f>
        <v>Food &amp; Beverages</v>
      </c>
      <c r="N722" t="s">
        <v>173</v>
      </c>
      <c r="O722" t="s">
        <v>1208</v>
      </c>
      <c r="P722">
        <v>5</v>
      </c>
      <c r="Q722">
        <v>676.67</v>
      </c>
      <c r="R722">
        <v>0</v>
      </c>
      <c r="S722">
        <v>0</v>
      </c>
      <c r="T722">
        <v>3383.35</v>
      </c>
      <c r="U722">
        <v>818.66</v>
      </c>
    </row>
    <row r="723" spans="1:21" ht="15" customHeight="1" x14ac:dyDescent="0.25">
      <c r="A723" t="s">
        <v>1510</v>
      </c>
      <c r="B723" s="8">
        <v>45491</v>
      </c>
      <c r="C723" s="8">
        <v>45492</v>
      </c>
      <c r="D723" t="s">
        <v>32</v>
      </c>
      <c r="E723" t="s">
        <v>3056</v>
      </c>
      <c r="F723" t="s">
        <v>3043</v>
      </c>
      <c r="G723" t="s">
        <v>1512</v>
      </c>
      <c r="H723">
        <v>8135466142</v>
      </c>
      <c r="I723" t="s">
        <v>24</v>
      </c>
      <c r="J723" t="s">
        <v>25</v>
      </c>
      <c r="K723" t="s">
        <v>26</v>
      </c>
      <c r="L723" t="s">
        <v>63</v>
      </c>
      <c r="M723" t="str">
        <f>TRIM(Table2[[#This Row],[Category]])</f>
        <v>Office Supplies</v>
      </c>
      <c r="N723" t="s">
        <v>469</v>
      </c>
      <c r="O723" t="s">
        <v>546</v>
      </c>
      <c r="P723">
        <v>14</v>
      </c>
      <c r="Q723">
        <v>9860.7999999999993</v>
      </c>
      <c r="R723">
        <v>5</v>
      </c>
      <c r="S723">
        <v>6902.56</v>
      </c>
      <c r="T723">
        <v>131148.64000000001</v>
      </c>
      <c r="U723">
        <v>27547.73</v>
      </c>
    </row>
    <row r="724" spans="1:21" ht="15" customHeight="1" x14ac:dyDescent="0.25">
      <c r="A724" t="s">
        <v>2081</v>
      </c>
      <c r="B724" s="8">
        <v>45493</v>
      </c>
      <c r="C724" s="8">
        <v>45494</v>
      </c>
      <c r="D724" t="s">
        <v>32</v>
      </c>
      <c r="E724" t="s">
        <v>3076</v>
      </c>
      <c r="F724" t="s">
        <v>3038</v>
      </c>
      <c r="G724" t="s">
        <v>2082</v>
      </c>
      <c r="H724">
        <v>8143468450</v>
      </c>
      <c r="I724" t="s">
        <v>35</v>
      </c>
      <c r="J724" t="s">
        <v>51</v>
      </c>
      <c r="K724" t="s">
        <v>227</v>
      </c>
      <c r="L724" t="s">
        <v>108</v>
      </c>
      <c r="M724" t="str">
        <f>TRIM(Table2[[#This Row],[Category]])</f>
        <v>Clothing</v>
      </c>
      <c r="N724" t="s">
        <v>109</v>
      </c>
      <c r="O724" t="s">
        <v>426</v>
      </c>
      <c r="P724">
        <v>20</v>
      </c>
      <c r="Q724">
        <v>43566.87</v>
      </c>
      <c r="R724">
        <v>25</v>
      </c>
      <c r="S724">
        <v>217834.35</v>
      </c>
      <c r="T724">
        <v>653503.05000000005</v>
      </c>
      <c r="U724">
        <v>162455.76</v>
      </c>
    </row>
    <row r="725" spans="1:21" ht="15" customHeight="1" x14ac:dyDescent="0.25">
      <c r="A725" t="s">
        <v>614</v>
      </c>
      <c r="B725" s="8">
        <v>45505</v>
      </c>
      <c r="C725" s="8">
        <v>45501</v>
      </c>
      <c r="D725" t="s">
        <v>32</v>
      </c>
      <c r="E725" t="str">
        <f>E726</f>
        <v>Sade</v>
      </c>
      <c r="F725" t="str">
        <f>F724</f>
        <v>Bello</v>
      </c>
      <c r="G725" t="s">
        <v>615</v>
      </c>
      <c r="H725">
        <v>9019192588</v>
      </c>
      <c r="I725" t="s">
        <v>43</v>
      </c>
      <c r="J725" t="s">
        <v>51</v>
      </c>
      <c r="K725" t="s">
        <v>223</v>
      </c>
      <c r="L725" t="s">
        <v>85</v>
      </c>
      <c r="M725" t="str">
        <f>TRIM(Table2[[#This Row],[Category]])</f>
        <v>Furniture</v>
      </c>
      <c r="N725" t="s">
        <v>266</v>
      </c>
      <c r="O725" t="s">
        <v>267</v>
      </c>
      <c r="P725">
        <v>3</v>
      </c>
      <c r="Q725">
        <v>98118.44</v>
      </c>
      <c r="R725">
        <v>0</v>
      </c>
      <c r="S725">
        <v>0</v>
      </c>
      <c r="T725">
        <v>294355.32</v>
      </c>
      <c r="U725">
        <v>90839.02</v>
      </c>
    </row>
    <row r="726" spans="1:21" ht="15" customHeight="1" x14ac:dyDescent="0.25">
      <c r="A726" t="s">
        <v>1704</v>
      </c>
      <c r="B726" s="8">
        <v>45506</v>
      </c>
      <c r="C726" s="8">
        <v>45507</v>
      </c>
      <c r="D726" t="s">
        <v>32</v>
      </c>
      <c r="E726" t="s">
        <v>3081</v>
      </c>
      <c r="F726" t="s">
        <v>3074</v>
      </c>
      <c r="G726" t="s">
        <v>1705</v>
      </c>
      <c r="H726">
        <v>7068007639</v>
      </c>
      <c r="I726" t="s">
        <v>959</v>
      </c>
      <c r="J726" t="s">
        <v>61</v>
      </c>
      <c r="K726" t="s">
        <v>204</v>
      </c>
      <c r="L726" t="s">
        <v>85</v>
      </c>
      <c r="M726" t="str">
        <f>TRIM(Table2[[#This Row],[Category]])</f>
        <v>Furniture</v>
      </c>
      <c r="N726" t="s">
        <v>486</v>
      </c>
      <c r="O726" t="s">
        <v>1018</v>
      </c>
      <c r="P726">
        <v>1</v>
      </c>
      <c r="Q726">
        <v>154706.39000000001</v>
      </c>
      <c r="R726">
        <v>10</v>
      </c>
      <c r="S726">
        <v>15470.64</v>
      </c>
      <c r="T726">
        <v>139235.75</v>
      </c>
      <c r="U726">
        <v>-9277.26</v>
      </c>
    </row>
    <row r="727" spans="1:21" ht="15" customHeight="1" x14ac:dyDescent="0.25">
      <c r="A727" t="s">
        <v>667</v>
      </c>
      <c r="B727" s="8">
        <v>45510</v>
      </c>
      <c r="C727" s="8">
        <v>45510</v>
      </c>
      <c r="D727" t="s">
        <v>32</v>
      </c>
      <c r="E727" t="s">
        <v>3097</v>
      </c>
      <c r="F727" t="s">
        <v>3046</v>
      </c>
      <c r="G727" t="s">
        <v>3126</v>
      </c>
      <c r="H727">
        <v>8065956530</v>
      </c>
      <c r="I727" t="s">
        <v>43</v>
      </c>
      <c r="J727" t="s">
        <v>61</v>
      </c>
      <c r="K727" t="s">
        <v>204</v>
      </c>
      <c r="L727" t="s">
        <v>669</v>
      </c>
      <c r="M727" t="str">
        <f>TRIM(Table2[[#This Row],[Category]])</f>
        <v>Clothing</v>
      </c>
      <c r="N727" t="s">
        <v>114</v>
      </c>
      <c r="O727" t="s">
        <v>291</v>
      </c>
      <c r="P727">
        <v>5</v>
      </c>
      <c r="Q727">
        <v>37746.660000000003</v>
      </c>
      <c r="R727">
        <v>10</v>
      </c>
      <c r="S727">
        <v>18873.330000000002</v>
      </c>
      <c r="T727">
        <v>169859.97</v>
      </c>
      <c r="U727">
        <v>6307.62</v>
      </c>
    </row>
    <row r="728" spans="1:21" ht="15" customHeight="1" x14ac:dyDescent="0.25">
      <c r="A728" t="s">
        <v>2547</v>
      </c>
      <c r="B728" s="8">
        <v>45511</v>
      </c>
      <c r="C728" s="8">
        <v>45512</v>
      </c>
      <c r="D728" t="s">
        <v>32</v>
      </c>
      <c r="E728" t="s">
        <v>3095</v>
      </c>
      <c r="F728" t="s">
        <v>3074</v>
      </c>
      <c r="G728" t="s">
        <v>2548</v>
      </c>
      <c r="H728">
        <v>8109890863</v>
      </c>
      <c r="I728" t="s">
        <v>43</v>
      </c>
      <c r="J728" t="s">
        <v>69</v>
      </c>
      <c r="K728" t="s">
        <v>70</v>
      </c>
      <c r="L728" t="s">
        <v>85</v>
      </c>
      <c r="M728" t="str">
        <f>TRIM(Table2[[#This Row],[Category]])</f>
        <v>Furniture</v>
      </c>
      <c r="N728" t="s">
        <v>218</v>
      </c>
      <c r="O728" t="s">
        <v>708</v>
      </c>
      <c r="P728">
        <v>19</v>
      </c>
      <c r="Q728">
        <v>130565.46</v>
      </c>
      <c r="R728">
        <v>5</v>
      </c>
      <c r="S728">
        <v>124037.19</v>
      </c>
      <c r="T728">
        <v>2356706.5499999998</v>
      </c>
      <c r="U728">
        <v>986995.78</v>
      </c>
    </row>
    <row r="729" spans="1:21" ht="15" customHeight="1" x14ac:dyDescent="0.25">
      <c r="A729" t="s">
        <v>228</v>
      </c>
      <c r="B729" s="8">
        <v>45514</v>
      </c>
      <c r="C729" s="8">
        <v>45515</v>
      </c>
      <c r="D729" t="s">
        <v>32</v>
      </c>
      <c r="E729" t="s">
        <v>3035</v>
      </c>
      <c r="F729" t="s">
        <v>3036</v>
      </c>
      <c r="G729" t="s">
        <v>229</v>
      </c>
      <c r="H729">
        <v>8035118725</v>
      </c>
      <c r="I729" t="s">
        <v>24</v>
      </c>
      <c r="J729" t="s">
        <v>51</v>
      </c>
      <c r="K729" t="s">
        <v>227</v>
      </c>
      <c r="L729" t="s">
        <v>96</v>
      </c>
      <c r="M729" t="str">
        <f>TRIM(Table2[[#This Row],[Category]])</f>
        <v>Technology</v>
      </c>
      <c r="N729" t="s">
        <v>97</v>
      </c>
      <c r="O729" t="s">
        <v>230</v>
      </c>
      <c r="P729">
        <v>15</v>
      </c>
      <c r="Q729">
        <v>121080.6</v>
      </c>
      <c r="R729">
        <v>15</v>
      </c>
      <c r="S729">
        <v>272431.34999999998</v>
      </c>
      <c r="T729">
        <v>1543777.65</v>
      </c>
      <c r="U729">
        <v>80026.3</v>
      </c>
    </row>
    <row r="730" spans="1:21" ht="15" customHeight="1" x14ac:dyDescent="0.25">
      <c r="A730" t="s">
        <v>2094</v>
      </c>
      <c r="B730" s="8">
        <v>45517</v>
      </c>
      <c r="C730" s="8">
        <v>45518</v>
      </c>
      <c r="D730" t="s">
        <v>32</v>
      </c>
      <c r="E730" t="s">
        <v>3051</v>
      </c>
      <c r="F730" t="s">
        <v>3071</v>
      </c>
      <c r="G730" t="s">
        <v>2096</v>
      </c>
      <c r="H730">
        <v>8151443289</v>
      </c>
      <c r="I730" t="s">
        <v>43</v>
      </c>
      <c r="J730" t="s">
        <v>51</v>
      </c>
      <c r="K730" t="s">
        <v>316</v>
      </c>
      <c r="L730" t="s">
        <v>108</v>
      </c>
      <c r="M730" t="str">
        <f>TRIM(Table2[[#This Row],[Category]])</f>
        <v>Clothing</v>
      </c>
      <c r="N730" t="s">
        <v>114</v>
      </c>
      <c r="O730" t="s">
        <v>848</v>
      </c>
      <c r="P730">
        <v>10</v>
      </c>
      <c r="Q730">
        <v>28453.97</v>
      </c>
      <c r="R730">
        <v>5</v>
      </c>
      <c r="S730">
        <v>14226.99</v>
      </c>
      <c r="T730">
        <v>270312.71000000002</v>
      </c>
      <c r="U730">
        <v>53574.21</v>
      </c>
    </row>
    <row r="731" spans="1:21" ht="15" customHeight="1" x14ac:dyDescent="0.25">
      <c r="A731" t="s">
        <v>551</v>
      </c>
      <c r="B731" s="8">
        <v>45539</v>
      </c>
      <c r="C731" s="8">
        <v>45539</v>
      </c>
      <c r="D731" t="s">
        <v>32</v>
      </c>
      <c r="E731" t="s">
        <v>3076</v>
      </c>
      <c r="F731" t="s">
        <v>3074</v>
      </c>
      <c r="G731" t="s">
        <v>553</v>
      </c>
      <c r="H731">
        <v>9071992583</v>
      </c>
      <c r="I731" t="s">
        <v>24</v>
      </c>
      <c r="J731" t="s">
        <v>61</v>
      </c>
      <c r="K731" t="s">
        <v>204</v>
      </c>
      <c r="L731" t="s">
        <v>96</v>
      </c>
      <c r="M731" t="str">
        <f>TRIM(Table2[[#This Row],[Category]])</f>
        <v>Technology</v>
      </c>
      <c r="N731" t="s">
        <v>254</v>
      </c>
      <c r="O731" t="s">
        <v>255</v>
      </c>
      <c r="P731">
        <v>2</v>
      </c>
      <c r="Q731">
        <v>247791.24</v>
      </c>
      <c r="R731">
        <v>0</v>
      </c>
      <c r="S731">
        <v>0</v>
      </c>
      <c r="T731" t="s">
        <v>554</v>
      </c>
      <c r="U731">
        <v>49920.51</v>
      </c>
    </row>
    <row r="732" spans="1:21" ht="15" customHeight="1" x14ac:dyDescent="0.25">
      <c r="A732" t="s">
        <v>1007</v>
      </c>
      <c r="B732" s="8">
        <v>45543</v>
      </c>
      <c r="C732" s="8">
        <v>45543</v>
      </c>
      <c r="D732" t="s">
        <v>32</v>
      </c>
      <c r="E732" t="str">
        <f>E733</f>
        <v>Adaeze</v>
      </c>
      <c r="F732" t="str">
        <f>F731</f>
        <v>Osei</v>
      </c>
      <c r="G732" t="s">
        <v>1008</v>
      </c>
      <c r="H732">
        <v>8035088109</v>
      </c>
      <c r="I732" t="s">
        <v>43</v>
      </c>
      <c r="J732" t="s">
        <v>1009</v>
      </c>
      <c r="K732" t="s">
        <v>52</v>
      </c>
      <c r="L732" t="s">
        <v>96</v>
      </c>
      <c r="M732" t="str">
        <f>TRIM(Table2[[#This Row],[Category]])</f>
        <v>Technology</v>
      </c>
      <c r="N732" t="s">
        <v>385</v>
      </c>
      <c r="O732" t="s">
        <v>1010</v>
      </c>
      <c r="P732">
        <v>5</v>
      </c>
      <c r="Q732">
        <v>272671.23</v>
      </c>
      <c r="R732" t="s">
        <v>1011</v>
      </c>
      <c r="S732">
        <v>340839.04</v>
      </c>
      <c r="T732">
        <v>1022517.11</v>
      </c>
      <c r="U732">
        <v>-129333.57</v>
      </c>
    </row>
    <row r="733" spans="1:21" ht="15" customHeight="1" x14ac:dyDescent="0.25">
      <c r="A733" t="s">
        <v>1761</v>
      </c>
      <c r="B733" s="8">
        <v>45546</v>
      </c>
      <c r="C733" s="8">
        <v>45546</v>
      </c>
      <c r="D733" t="s">
        <v>32</v>
      </c>
      <c r="E733" t="s">
        <v>3095</v>
      </c>
      <c r="F733" t="s">
        <v>3054</v>
      </c>
      <c r="G733" t="s">
        <v>1763</v>
      </c>
      <c r="H733">
        <v>8133595845</v>
      </c>
      <c r="I733" t="s">
        <v>43</v>
      </c>
      <c r="J733" t="s">
        <v>51</v>
      </c>
      <c r="K733" t="s">
        <v>316</v>
      </c>
      <c r="L733" t="s">
        <v>85</v>
      </c>
      <c r="M733" t="str">
        <f>TRIM(Table2[[#This Row],[Category]])</f>
        <v>Furniture</v>
      </c>
      <c r="N733" t="s">
        <v>86</v>
      </c>
      <c r="O733" t="s">
        <v>584</v>
      </c>
      <c r="P733">
        <v>12</v>
      </c>
      <c r="Q733">
        <v>156204.68</v>
      </c>
      <c r="R733">
        <v>20</v>
      </c>
      <c r="S733">
        <v>374891.23</v>
      </c>
      <c r="T733">
        <v>1499564.93</v>
      </c>
      <c r="U733">
        <v>139059.39000000001</v>
      </c>
    </row>
    <row r="734" spans="1:21" ht="15" customHeight="1" x14ac:dyDescent="0.25">
      <c r="A734" t="s">
        <v>1613</v>
      </c>
      <c r="B734" s="8">
        <v>45547</v>
      </c>
      <c r="C734" s="8">
        <v>45548</v>
      </c>
      <c r="D734" t="s">
        <v>32</v>
      </c>
      <c r="E734" t="s">
        <v>3094</v>
      </c>
      <c r="F734" t="s">
        <v>3071</v>
      </c>
      <c r="G734" t="s">
        <v>1615</v>
      </c>
      <c r="H734">
        <v>9027330138</v>
      </c>
      <c r="I734" t="s">
        <v>35</v>
      </c>
      <c r="J734" t="s">
        <v>51</v>
      </c>
      <c r="K734" t="s">
        <v>52</v>
      </c>
      <c r="L734" t="s">
        <v>108</v>
      </c>
      <c r="M734" t="str">
        <f>TRIM(Table2[[#This Row],[Category]])</f>
        <v>Clothing</v>
      </c>
      <c r="N734" t="s">
        <v>189</v>
      </c>
      <c r="O734" t="s">
        <v>190</v>
      </c>
      <c r="P734">
        <v>17</v>
      </c>
      <c r="Q734">
        <v>34763.9</v>
      </c>
      <c r="R734">
        <v>20</v>
      </c>
      <c r="S734">
        <v>118197.26</v>
      </c>
      <c r="T734">
        <v>472789.04</v>
      </c>
      <c r="U734">
        <v>145149.67000000001</v>
      </c>
    </row>
    <row r="735" spans="1:21" ht="15" customHeight="1" x14ac:dyDescent="0.25">
      <c r="A735" t="s">
        <v>326</v>
      </c>
      <c r="B735" s="8">
        <v>45551</v>
      </c>
      <c r="C735" s="8">
        <v>45551</v>
      </c>
      <c r="D735" t="s">
        <v>32</v>
      </c>
      <c r="E735" t="s">
        <v>3059</v>
      </c>
      <c r="F735" t="s">
        <v>3045</v>
      </c>
      <c r="G735" t="s">
        <v>328</v>
      </c>
      <c r="H735">
        <v>9055963914</v>
      </c>
      <c r="I735" t="s">
        <v>35</v>
      </c>
      <c r="J735" t="s">
        <v>69</v>
      </c>
      <c r="K735" t="s">
        <v>144</v>
      </c>
      <c r="L735" t="s">
        <v>63</v>
      </c>
      <c r="M735" t="str">
        <f>TRIM(Table2[[#This Row],[Category]])</f>
        <v>Office Supplies</v>
      </c>
      <c r="N735" t="s">
        <v>249</v>
      </c>
      <c r="O735" t="s">
        <v>329</v>
      </c>
      <c r="P735">
        <v>19</v>
      </c>
      <c r="Q735">
        <v>7224.77</v>
      </c>
      <c r="R735">
        <v>0</v>
      </c>
      <c r="S735">
        <v>0</v>
      </c>
      <c r="T735">
        <v>137270.63</v>
      </c>
      <c r="U735">
        <v>54409.98</v>
      </c>
    </row>
    <row r="736" spans="1:21" ht="15" customHeight="1" x14ac:dyDescent="0.25">
      <c r="A736" t="s">
        <v>502</v>
      </c>
      <c r="B736" s="8">
        <v>45553</v>
      </c>
      <c r="C736" s="8">
        <v>45551</v>
      </c>
      <c r="D736" t="s">
        <v>32</v>
      </c>
      <c r="E736" t="s">
        <v>3082</v>
      </c>
      <c r="F736" t="s">
        <v>3074</v>
      </c>
      <c r="G736" t="s">
        <v>504</v>
      </c>
      <c r="H736">
        <v>7036357240</v>
      </c>
      <c r="I736" t="s">
        <v>43</v>
      </c>
      <c r="J736" t="s">
        <v>25</v>
      </c>
      <c r="K736" t="s">
        <v>126</v>
      </c>
      <c r="L736" t="s">
        <v>63</v>
      </c>
      <c r="M736" t="str">
        <f>TRIM(Table2[[#This Row],[Category]])</f>
        <v>Office Supplies</v>
      </c>
      <c r="N736" t="s">
        <v>64</v>
      </c>
      <c r="O736" t="s">
        <v>501</v>
      </c>
      <c r="P736">
        <v>17</v>
      </c>
      <c r="Q736">
        <v>19136.29</v>
      </c>
      <c r="R736">
        <v>25</v>
      </c>
      <c r="S736">
        <v>81329.23</v>
      </c>
      <c r="T736">
        <v>243987.7</v>
      </c>
      <c r="U736">
        <v>-21053.61</v>
      </c>
    </row>
    <row r="737" spans="1:21" ht="15" customHeight="1" x14ac:dyDescent="0.25">
      <c r="A737" t="s">
        <v>1833</v>
      </c>
      <c r="B737" s="8">
        <v>45553</v>
      </c>
      <c r="C737" s="8">
        <v>45554</v>
      </c>
      <c r="D737" t="s">
        <v>32</v>
      </c>
      <c r="E737" t="s">
        <v>3093</v>
      </c>
      <c r="F737" t="s">
        <v>3057</v>
      </c>
      <c r="G737" t="s">
        <v>1834</v>
      </c>
      <c r="H737">
        <v>8066456436</v>
      </c>
      <c r="I737" t="s">
        <v>35</v>
      </c>
      <c r="J737" t="s">
        <v>25</v>
      </c>
      <c r="K737" t="s">
        <v>36</v>
      </c>
      <c r="L737" t="s">
        <v>96</v>
      </c>
      <c r="M737" t="str">
        <f>TRIM(Table2[[#This Row],[Category]])</f>
        <v>Technology</v>
      </c>
      <c r="N737" t="s">
        <v>254</v>
      </c>
      <c r="O737" t="s">
        <v>255</v>
      </c>
      <c r="P737">
        <v>1</v>
      </c>
      <c r="Q737">
        <v>191318.77</v>
      </c>
      <c r="R737">
        <v>15</v>
      </c>
      <c r="S737">
        <v>28697.82</v>
      </c>
      <c r="T737">
        <v>162620.95000000001</v>
      </c>
      <c r="U737">
        <v>29863.08</v>
      </c>
    </row>
    <row r="738" spans="1:21" ht="15" customHeight="1" x14ac:dyDescent="0.25">
      <c r="A738" t="s">
        <v>1481</v>
      </c>
      <c r="B738" s="8">
        <v>45556</v>
      </c>
      <c r="C738" s="8">
        <v>45557</v>
      </c>
      <c r="D738" t="s">
        <v>32</v>
      </c>
      <c r="E738" t="s">
        <v>3099</v>
      </c>
      <c r="F738" t="s">
        <v>3040</v>
      </c>
      <c r="G738" t="s">
        <v>1483</v>
      </c>
      <c r="H738">
        <v>8133673591</v>
      </c>
      <c r="I738" t="s">
        <v>43</v>
      </c>
      <c r="J738" t="s">
        <v>25</v>
      </c>
      <c r="K738" t="s">
        <v>126</v>
      </c>
      <c r="L738" t="s">
        <v>63</v>
      </c>
      <c r="M738" t="str">
        <f>TRIM(Table2[[#This Row],[Category]])</f>
        <v>Office Supplies</v>
      </c>
      <c r="N738" t="s">
        <v>54</v>
      </c>
      <c r="O738" t="s">
        <v>1039</v>
      </c>
      <c r="P738">
        <v>9</v>
      </c>
      <c r="Q738">
        <v>6830.72</v>
      </c>
      <c r="R738">
        <v>25</v>
      </c>
      <c r="S738">
        <v>15369.12</v>
      </c>
      <c r="T738">
        <v>46107.360000000001</v>
      </c>
      <c r="U738">
        <v>-2047.58</v>
      </c>
    </row>
    <row r="739" spans="1:21" ht="15" customHeight="1" x14ac:dyDescent="0.25">
      <c r="A739" t="s">
        <v>2664</v>
      </c>
      <c r="B739" s="8">
        <v>45557</v>
      </c>
      <c r="C739" s="8">
        <v>45557</v>
      </c>
      <c r="D739" t="s">
        <v>32</v>
      </c>
      <c r="E739" t="s">
        <v>3049</v>
      </c>
      <c r="F739" t="s">
        <v>3045</v>
      </c>
      <c r="G739" t="s">
        <v>2666</v>
      </c>
      <c r="H739">
        <v>9027320306</v>
      </c>
      <c r="I739" t="s">
        <v>35</v>
      </c>
      <c r="J739" t="s">
        <v>61</v>
      </c>
      <c r="K739" t="s">
        <v>95</v>
      </c>
      <c r="L739" t="s">
        <v>96</v>
      </c>
      <c r="M739" t="str">
        <f>TRIM(Table2[[#This Row],[Category]])</f>
        <v>Technology</v>
      </c>
      <c r="N739" t="s">
        <v>97</v>
      </c>
      <c r="O739" t="s">
        <v>443</v>
      </c>
      <c r="P739">
        <v>19</v>
      </c>
      <c r="Q739">
        <v>112188.85</v>
      </c>
      <c r="R739">
        <v>20</v>
      </c>
      <c r="S739">
        <v>426317.63</v>
      </c>
      <c r="T739">
        <v>1705270.52</v>
      </c>
      <c r="U739">
        <v>-21760.080000000002</v>
      </c>
    </row>
    <row r="740" spans="1:21" ht="15" customHeight="1" x14ac:dyDescent="0.25">
      <c r="A740" t="s">
        <v>1451</v>
      </c>
      <c r="B740" s="8">
        <v>45566</v>
      </c>
      <c r="C740" s="8">
        <v>45567</v>
      </c>
      <c r="D740" t="s">
        <v>32</v>
      </c>
      <c r="E740" t="s">
        <v>3037</v>
      </c>
      <c r="F740" t="s">
        <v>3074</v>
      </c>
      <c r="G740" t="s">
        <v>1453</v>
      </c>
      <c r="H740">
        <v>9021530135</v>
      </c>
      <c r="I740" t="s">
        <v>24</v>
      </c>
      <c r="J740" t="s">
        <v>61</v>
      </c>
      <c r="K740" t="s">
        <v>182</v>
      </c>
      <c r="L740" t="s">
        <v>108</v>
      </c>
      <c r="M740" t="str">
        <f>TRIM(Table2[[#This Row],[Category]])</f>
        <v>Clothing</v>
      </c>
      <c r="N740" t="s">
        <v>114</v>
      </c>
      <c r="O740" t="s">
        <v>115</v>
      </c>
      <c r="P740">
        <v>13</v>
      </c>
      <c r="Q740">
        <v>21354.97</v>
      </c>
      <c r="R740">
        <v>20</v>
      </c>
      <c r="S740">
        <v>55522.92</v>
      </c>
      <c r="T740">
        <v>222091.69</v>
      </c>
      <c r="U740">
        <v>27937.75</v>
      </c>
    </row>
    <row r="741" spans="1:21" ht="15" customHeight="1" x14ac:dyDescent="0.25">
      <c r="A741" t="s">
        <v>240</v>
      </c>
      <c r="B741" s="8">
        <v>45567</v>
      </c>
      <c r="C741" s="8">
        <v>45568</v>
      </c>
      <c r="D741" t="s">
        <v>32</v>
      </c>
      <c r="E741" t="s">
        <v>3047</v>
      </c>
      <c r="F741" t="s">
        <v>3050</v>
      </c>
      <c r="G741" t="s">
        <v>242</v>
      </c>
      <c r="H741">
        <v>8137784725</v>
      </c>
      <c r="I741" t="s">
        <v>35</v>
      </c>
      <c r="J741" t="s">
        <v>69</v>
      </c>
      <c r="K741" t="s">
        <v>155</v>
      </c>
      <c r="L741" t="s">
        <v>85</v>
      </c>
      <c r="M741" t="str">
        <f>TRIM(Table2[[#This Row],[Category]])</f>
        <v>Furniture</v>
      </c>
      <c r="N741" t="s">
        <v>243</v>
      </c>
      <c r="O741" t="s">
        <v>244</v>
      </c>
      <c r="P741">
        <v>18</v>
      </c>
      <c r="Q741">
        <v>71471.520000000004</v>
      </c>
      <c r="R741">
        <v>25</v>
      </c>
      <c r="S741">
        <v>321621.84000000003</v>
      </c>
      <c r="T741">
        <v>964865.52</v>
      </c>
      <c r="U741">
        <v>54277.97</v>
      </c>
    </row>
    <row r="742" spans="1:21" ht="15" customHeight="1" x14ac:dyDescent="0.25">
      <c r="A742" t="s">
        <v>1218</v>
      </c>
      <c r="B742" s="8" t="s">
        <v>1219</v>
      </c>
      <c r="C742" s="8">
        <v>45570</v>
      </c>
      <c r="D742" t="s">
        <v>32</v>
      </c>
      <c r="E742" t="s">
        <v>3085</v>
      </c>
      <c r="F742" t="s">
        <v>3043</v>
      </c>
      <c r="G742" t="s">
        <v>1221</v>
      </c>
      <c r="H742">
        <v>8131026523</v>
      </c>
      <c r="I742" t="s">
        <v>24</v>
      </c>
      <c r="J742" t="s">
        <v>69</v>
      </c>
      <c r="K742" t="s">
        <v>155</v>
      </c>
      <c r="L742" t="s">
        <v>96</v>
      </c>
      <c r="M742" t="str">
        <f>TRIM(Table2[[#This Row],[Category]])</f>
        <v>Technology</v>
      </c>
      <c r="N742" t="s">
        <v>120</v>
      </c>
      <c r="O742" t="s">
        <v>133</v>
      </c>
      <c r="P742">
        <v>4</v>
      </c>
      <c r="Q742">
        <v>287075.42</v>
      </c>
      <c r="R742">
        <v>5</v>
      </c>
      <c r="S742">
        <v>57415.08</v>
      </c>
      <c r="T742">
        <v>1090886.6000000001</v>
      </c>
      <c r="U742">
        <v>359707.43</v>
      </c>
    </row>
    <row r="743" spans="1:21" ht="15" customHeight="1" x14ac:dyDescent="0.25">
      <c r="A743" t="s">
        <v>2474</v>
      </c>
      <c r="B743" s="8">
        <v>45580</v>
      </c>
      <c r="C743" s="8">
        <v>45581</v>
      </c>
      <c r="D743" t="s">
        <v>32</v>
      </c>
      <c r="E743" t="s">
        <v>3044</v>
      </c>
      <c r="F743" t="s">
        <v>3062</v>
      </c>
      <c r="G743" t="s">
        <v>2476</v>
      </c>
      <c r="H743" t="s">
        <v>649</v>
      </c>
      <c r="I743" t="s">
        <v>24</v>
      </c>
      <c r="J743" t="s">
        <v>25</v>
      </c>
      <c r="K743" t="s">
        <v>168</v>
      </c>
      <c r="L743" t="s">
        <v>27</v>
      </c>
      <c r="M743" t="str">
        <f>TRIM(Table2[[#This Row],[Category]])</f>
        <v>Food &amp; Beverages</v>
      </c>
      <c r="N743" t="s">
        <v>79</v>
      </c>
      <c r="O743" t="s">
        <v>80</v>
      </c>
      <c r="P743">
        <v>5</v>
      </c>
      <c r="Q743">
        <v>3970.02</v>
      </c>
      <c r="R743">
        <v>0</v>
      </c>
      <c r="S743">
        <v>0</v>
      </c>
      <c r="T743" t="s">
        <v>2477</v>
      </c>
      <c r="U743">
        <v>5145.2299999999996</v>
      </c>
    </row>
    <row r="744" spans="1:21" ht="15" customHeight="1" x14ac:dyDescent="0.25">
      <c r="A744" t="s">
        <v>2591</v>
      </c>
      <c r="B744" s="8">
        <v>45584</v>
      </c>
      <c r="C744" s="8">
        <v>45585</v>
      </c>
      <c r="D744" t="s">
        <v>32</v>
      </c>
      <c r="E744" t="s">
        <v>3068</v>
      </c>
      <c r="F744" t="s">
        <v>3086</v>
      </c>
      <c r="G744" t="s">
        <v>2592</v>
      </c>
      <c r="H744">
        <v>8142002613</v>
      </c>
      <c r="I744" t="s">
        <v>35</v>
      </c>
      <c r="J744" t="s">
        <v>51</v>
      </c>
      <c r="K744" t="s">
        <v>131</v>
      </c>
      <c r="L744" t="s">
        <v>63</v>
      </c>
      <c r="M744" t="str">
        <f>TRIM(Table2[[#This Row],[Category]])</f>
        <v>Office Supplies</v>
      </c>
      <c r="N744" t="s">
        <v>249</v>
      </c>
      <c r="O744" t="s">
        <v>465</v>
      </c>
      <c r="P744">
        <v>16</v>
      </c>
      <c r="Q744">
        <v>23847.279999999999</v>
      </c>
      <c r="R744">
        <v>10</v>
      </c>
      <c r="S744">
        <v>38155.65</v>
      </c>
      <c r="T744">
        <v>343400.83</v>
      </c>
      <c r="U744">
        <v>-22359.97</v>
      </c>
    </row>
    <row r="745" spans="1:21" ht="15" customHeight="1" x14ac:dyDescent="0.25">
      <c r="A745" t="s">
        <v>1241</v>
      </c>
      <c r="B745" s="8">
        <v>45586</v>
      </c>
      <c r="C745" s="8">
        <v>45586</v>
      </c>
      <c r="D745" t="s">
        <v>32</v>
      </c>
      <c r="E745" t="s">
        <v>3050</v>
      </c>
      <c r="F745" t="s">
        <v>3074</v>
      </c>
      <c r="G745" t="s">
        <v>1243</v>
      </c>
      <c r="H745">
        <v>9019785019</v>
      </c>
      <c r="I745" t="s">
        <v>35</v>
      </c>
      <c r="J745" t="s">
        <v>69</v>
      </c>
      <c r="K745" t="s">
        <v>155</v>
      </c>
      <c r="L745" t="s">
        <v>63</v>
      </c>
      <c r="M745" t="str">
        <f>TRIM(Table2[[#This Row],[Category]])</f>
        <v>Office Supplies</v>
      </c>
      <c r="N745" t="s">
        <v>194</v>
      </c>
      <c r="O745" t="s">
        <v>716</v>
      </c>
      <c r="P745">
        <v>4</v>
      </c>
      <c r="Q745">
        <v>4010.73</v>
      </c>
      <c r="R745">
        <v>25</v>
      </c>
      <c r="S745">
        <v>4010.73</v>
      </c>
      <c r="T745">
        <v>12032.19</v>
      </c>
      <c r="U745">
        <v>3080.61</v>
      </c>
    </row>
    <row r="746" spans="1:21" ht="15" customHeight="1" x14ac:dyDescent="0.25">
      <c r="A746" t="s">
        <v>939</v>
      </c>
      <c r="B746" s="8">
        <v>45588</v>
      </c>
      <c r="C746" s="8">
        <v>45588</v>
      </c>
      <c r="D746" t="s">
        <v>32</v>
      </c>
      <c r="E746" t="s">
        <v>3055</v>
      </c>
      <c r="F746" t="s">
        <v>3078</v>
      </c>
      <c r="G746" t="s">
        <v>941</v>
      </c>
      <c r="H746">
        <v>8147176462</v>
      </c>
      <c r="I746" t="s">
        <v>43</v>
      </c>
      <c r="J746" t="s">
        <v>51</v>
      </c>
      <c r="K746" t="s">
        <v>223</v>
      </c>
      <c r="L746" t="s">
        <v>96</v>
      </c>
      <c r="M746" t="str">
        <f>TRIM(Table2[[#This Row],[Category]])</f>
        <v>Technology</v>
      </c>
      <c r="N746" t="s">
        <v>385</v>
      </c>
      <c r="O746" t="s">
        <v>942</v>
      </c>
      <c r="P746">
        <v>13</v>
      </c>
      <c r="Q746">
        <v>52979.31</v>
      </c>
      <c r="R746">
        <v>0</v>
      </c>
      <c r="S746">
        <v>0</v>
      </c>
      <c r="T746">
        <v>688731.03</v>
      </c>
      <c r="U746">
        <v>15857.08</v>
      </c>
    </row>
    <row r="747" spans="1:21" ht="15" customHeight="1" x14ac:dyDescent="0.25">
      <c r="A747" t="s">
        <v>1197</v>
      </c>
      <c r="B747" s="8">
        <v>45609</v>
      </c>
      <c r="C747" s="8">
        <v>45609</v>
      </c>
      <c r="D747" t="s">
        <v>32</v>
      </c>
      <c r="E747" t="s">
        <v>3098</v>
      </c>
      <c r="F747" t="s">
        <v>3077</v>
      </c>
      <c r="G747" t="s">
        <v>1199</v>
      </c>
      <c r="H747">
        <v>8033866974</v>
      </c>
      <c r="I747" t="s">
        <v>35</v>
      </c>
      <c r="J747" t="s">
        <v>69</v>
      </c>
      <c r="K747" t="s">
        <v>144</v>
      </c>
      <c r="L747" t="s">
        <v>63</v>
      </c>
      <c r="M747" t="str">
        <f>TRIM(Table2[[#This Row],[Category]])</f>
        <v>Office Supplies</v>
      </c>
      <c r="N747" t="s">
        <v>312</v>
      </c>
      <c r="O747" t="s">
        <v>736</v>
      </c>
      <c r="P747">
        <v>5</v>
      </c>
      <c r="Q747">
        <v>4472.04</v>
      </c>
      <c r="R747">
        <v>0</v>
      </c>
      <c r="S747">
        <v>0</v>
      </c>
      <c r="T747">
        <v>22360.2</v>
      </c>
      <c r="U747">
        <v>6965.07</v>
      </c>
    </row>
    <row r="748" spans="1:21" ht="15" customHeight="1" x14ac:dyDescent="0.25">
      <c r="A748" t="s">
        <v>2343</v>
      </c>
      <c r="B748" s="8">
        <v>45609</v>
      </c>
      <c r="C748" s="8">
        <v>45609</v>
      </c>
      <c r="D748" t="s">
        <v>32</v>
      </c>
      <c r="E748" t="str">
        <f>E749</f>
        <v>Yemi</v>
      </c>
      <c r="F748" t="str">
        <f>F747</f>
        <v>Otedola</v>
      </c>
      <c r="G748" t="s">
        <v>2344</v>
      </c>
      <c r="H748">
        <v>9015015044</v>
      </c>
      <c r="I748" t="s">
        <v>24</v>
      </c>
      <c r="J748" t="s">
        <v>25</v>
      </c>
      <c r="K748" t="s">
        <v>36</v>
      </c>
      <c r="L748" t="s">
        <v>85</v>
      </c>
      <c r="M748" t="str">
        <f>TRIM(Table2[[#This Row],[Category]])</f>
        <v>Furniture</v>
      </c>
      <c r="N748" t="s">
        <v>486</v>
      </c>
      <c r="O748" t="s">
        <v>1193</v>
      </c>
      <c r="P748">
        <v>10</v>
      </c>
      <c r="Q748">
        <v>63508.56</v>
      </c>
      <c r="R748">
        <v>0</v>
      </c>
      <c r="S748">
        <v>0</v>
      </c>
      <c r="T748">
        <v>635085.6</v>
      </c>
      <c r="U748">
        <v>245566.89</v>
      </c>
    </row>
    <row r="749" spans="1:21" ht="15" customHeight="1" x14ac:dyDescent="0.25">
      <c r="A749" t="s">
        <v>2240</v>
      </c>
      <c r="B749" s="8">
        <v>45615</v>
      </c>
      <c r="C749" s="8">
        <v>45615</v>
      </c>
      <c r="D749" t="s">
        <v>32</v>
      </c>
      <c r="E749" t="s">
        <v>3072</v>
      </c>
      <c r="F749" t="s">
        <v>3066</v>
      </c>
      <c r="G749" t="s">
        <v>2241</v>
      </c>
      <c r="H749">
        <v>7063135445</v>
      </c>
      <c r="I749" t="s">
        <v>43</v>
      </c>
      <c r="J749" t="s">
        <v>61</v>
      </c>
      <c r="K749" t="s">
        <v>182</v>
      </c>
      <c r="L749" t="s">
        <v>96</v>
      </c>
      <c r="M749" t="str">
        <f>TRIM(Table2[[#This Row],[Category]])</f>
        <v>Technology</v>
      </c>
      <c r="N749" t="s">
        <v>385</v>
      </c>
      <c r="O749" t="s">
        <v>1010</v>
      </c>
      <c r="P749">
        <v>6</v>
      </c>
      <c r="Q749">
        <v>340444.71</v>
      </c>
      <c r="R749">
        <v>5</v>
      </c>
      <c r="S749">
        <v>102133.41</v>
      </c>
      <c r="T749">
        <v>1940534.85</v>
      </c>
      <c r="U749">
        <v>218428.07</v>
      </c>
    </row>
    <row r="750" spans="1:21" ht="15" customHeight="1" x14ac:dyDescent="0.25">
      <c r="A750" t="s">
        <v>509</v>
      </c>
      <c r="B750" s="8">
        <v>45616</v>
      </c>
      <c r="C750" s="8">
        <v>45617</v>
      </c>
      <c r="D750" t="s">
        <v>32</v>
      </c>
      <c r="E750" t="s">
        <v>3089</v>
      </c>
      <c r="F750" t="s">
        <v>3064</v>
      </c>
      <c r="G750" t="s">
        <v>511</v>
      </c>
      <c r="H750" t="s">
        <v>512</v>
      </c>
      <c r="I750" t="s">
        <v>35</v>
      </c>
      <c r="J750" t="s">
        <v>51</v>
      </c>
      <c r="K750" t="s">
        <v>131</v>
      </c>
      <c r="L750" t="s">
        <v>108</v>
      </c>
      <c r="M750" t="str">
        <f>TRIM(Table2[[#This Row],[Category]])</f>
        <v>Clothing</v>
      </c>
      <c r="N750" t="s">
        <v>189</v>
      </c>
      <c r="O750" t="s">
        <v>478</v>
      </c>
      <c r="P750">
        <v>7</v>
      </c>
      <c r="Q750">
        <v>43567.53</v>
      </c>
      <c r="R750">
        <v>10</v>
      </c>
      <c r="S750">
        <v>30497.27</v>
      </c>
      <c r="T750">
        <v>274475.44</v>
      </c>
      <c r="U750">
        <v>-33158.04</v>
      </c>
    </row>
    <row r="751" spans="1:21" ht="15" customHeight="1" x14ac:dyDescent="0.25">
      <c r="A751" t="s">
        <v>2453</v>
      </c>
      <c r="B751" s="8">
        <v>45624</v>
      </c>
      <c r="C751" s="8">
        <v>45625</v>
      </c>
      <c r="D751" t="s">
        <v>619</v>
      </c>
      <c r="E751" t="s">
        <v>3063</v>
      </c>
      <c r="F751" t="s">
        <v>3088</v>
      </c>
      <c r="G751" t="s">
        <v>2454</v>
      </c>
      <c r="H751">
        <v>9052653843</v>
      </c>
      <c r="I751" t="s">
        <v>24</v>
      </c>
      <c r="J751" t="s">
        <v>69</v>
      </c>
      <c r="K751" t="s">
        <v>155</v>
      </c>
      <c r="L751" t="str">
        <f>L750</f>
        <v>Clothing</v>
      </c>
      <c r="M751" t="str">
        <f>TRIM(Table2[[#This Row],[Category]])</f>
        <v>Clothing</v>
      </c>
      <c r="N751" t="s">
        <v>79</v>
      </c>
      <c r="O751" t="s">
        <v>145</v>
      </c>
      <c r="P751">
        <v>8</v>
      </c>
      <c r="Q751">
        <v>7743.82</v>
      </c>
      <c r="R751">
        <v>10</v>
      </c>
      <c r="S751">
        <v>6195.06</v>
      </c>
      <c r="T751">
        <v>55755.5</v>
      </c>
      <c r="U751">
        <v>11043.67</v>
      </c>
    </row>
    <row r="752" spans="1:21" ht="15" customHeight="1" x14ac:dyDescent="0.25">
      <c r="A752" t="s">
        <v>360</v>
      </c>
      <c r="B752" s="8">
        <v>45639</v>
      </c>
      <c r="C752" s="8">
        <v>45639</v>
      </c>
      <c r="D752" t="s">
        <v>32</v>
      </c>
      <c r="E752" t="s">
        <v>3044</v>
      </c>
      <c r="F752" t="s">
        <v>3083</v>
      </c>
      <c r="G752" t="s">
        <v>362</v>
      </c>
      <c r="H752">
        <v>9027074006</v>
      </c>
      <c r="I752" t="s">
        <v>35</v>
      </c>
      <c r="J752" t="s">
        <v>51</v>
      </c>
      <c r="K752" t="s">
        <v>52</v>
      </c>
      <c r="L752" t="s">
        <v>27</v>
      </c>
      <c r="M752" t="str">
        <f>TRIM(Table2[[#This Row],[Category]])</f>
        <v>Food &amp; Beverages</v>
      </c>
      <c r="N752" t="s">
        <v>173</v>
      </c>
      <c r="O752" t="s">
        <v>279</v>
      </c>
      <c r="P752">
        <v>8</v>
      </c>
      <c r="Q752">
        <v>3780.44</v>
      </c>
      <c r="R752">
        <v>0</v>
      </c>
      <c r="S752">
        <v>0</v>
      </c>
      <c r="T752">
        <v>30243.52</v>
      </c>
      <c r="U752">
        <v>8660.1</v>
      </c>
    </row>
    <row r="753" spans="1:21" ht="15" customHeight="1" x14ac:dyDescent="0.25">
      <c r="A753" t="s">
        <v>607</v>
      </c>
      <c r="B753" s="8">
        <v>45654</v>
      </c>
      <c r="C753" s="8">
        <v>45655</v>
      </c>
      <c r="D753" t="s">
        <v>32</v>
      </c>
      <c r="E753" t="s">
        <v>3093</v>
      </c>
      <c r="F753" t="s">
        <v>3036</v>
      </c>
      <c r="G753" t="s">
        <v>609</v>
      </c>
      <c r="H753">
        <v>8159342928</v>
      </c>
      <c r="I753" t="s">
        <v>43</v>
      </c>
      <c r="J753" t="s">
        <v>51</v>
      </c>
      <c r="K753" t="s">
        <v>223</v>
      </c>
      <c r="L753" t="s">
        <v>108</v>
      </c>
      <c r="M753" t="str">
        <f>TRIM(Table2[[#This Row],[Category]])</f>
        <v>Clothing</v>
      </c>
      <c r="N753" t="s">
        <v>114</v>
      </c>
      <c r="O753" t="s">
        <v>115</v>
      </c>
      <c r="P753">
        <v>11</v>
      </c>
      <c r="Q753">
        <v>34750.050000000003</v>
      </c>
      <c r="R753">
        <v>5</v>
      </c>
      <c r="S753">
        <v>19112.53</v>
      </c>
      <c r="T753">
        <v>363138.02</v>
      </c>
      <c r="U753">
        <v>26299.53</v>
      </c>
    </row>
    <row r="754" spans="1:21" ht="15" customHeight="1" x14ac:dyDescent="0.25">
      <c r="A754" t="s">
        <v>1490</v>
      </c>
      <c r="B754" s="8">
        <v>45654</v>
      </c>
      <c r="C754" s="8">
        <v>45655</v>
      </c>
      <c r="D754" t="s">
        <v>32</v>
      </c>
      <c r="E754" t="s">
        <v>3056</v>
      </c>
      <c r="F754" t="s">
        <v>3074</v>
      </c>
      <c r="G754" t="s">
        <v>1492</v>
      </c>
      <c r="H754">
        <v>8145133011</v>
      </c>
      <c r="I754" t="s">
        <v>35</v>
      </c>
      <c r="J754" t="s">
        <v>51</v>
      </c>
      <c r="K754" t="s">
        <v>227</v>
      </c>
      <c r="L754" t="s">
        <v>63</v>
      </c>
      <c r="M754" t="str">
        <f>TRIM(Table2[[#This Row],[Category]])</f>
        <v>Office Supplies</v>
      </c>
      <c r="N754" t="s">
        <v>194</v>
      </c>
      <c r="O754" t="s">
        <v>336</v>
      </c>
      <c r="P754">
        <v>12</v>
      </c>
      <c r="Q754">
        <v>9393.4500000000007</v>
      </c>
      <c r="R754">
        <v>10</v>
      </c>
      <c r="S754">
        <v>11272.14</v>
      </c>
      <c r="T754">
        <v>101449.26</v>
      </c>
      <c r="U754">
        <v>-13934.61</v>
      </c>
    </row>
    <row r="755" spans="1:21" ht="15" customHeight="1" x14ac:dyDescent="0.25">
      <c r="A755" t="s">
        <v>943</v>
      </c>
      <c r="B755" s="8">
        <v>45655</v>
      </c>
      <c r="C755" s="8">
        <v>45656</v>
      </c>
      <c r="D755" t="s">
        <v>32</v>
      </c>
      <c r="E755" t="s">
        <v>3068</v>
      </c>
      <c r="F755" t="s">
        <v>3079</v>
      </c>
      <c r="G755" t="s">
        <v>945</v>
      </c>
      <c r="H755">
        <v>8152786278</v>
      </c>
      <c r="I755" t="s">
        <v>24</v>
      </c>
      <c r="J755" t="s">
        <v>69</v>
      </c>
      <c r="K755" t="s">
        <v>155</v>
      </c>
      <c r="L755" t="s">
        <v>96</v>
      </c>
      <c r="M755" t="str">
        <f>TRIM(Table2[[#This Row],[Category]])</f>
        <v>Technology</v>
      </c>
      <c r="N755" t="s">
        <v>189</v>
      </c>
      <c r="O755" t="s">
        <v>190</v>
      </c>
      <c r="P755">
        <v>2</v>
      </c>
      <c r="Q755">
        <v>38083.269999999997</v>
      </c>
      <c r="R755">
        <v>5</v>
      </c>
      <c r="S755">
        <v>3808.33</v>
      </c>
      <c r="T755">
        <v>72358.210000000006</v>
      </c>
      <c r="U755">
        <v>737.11</v>
      </c>
    </row>
    <row r="756" spans="1:21" ht="15" customHeight="1" x14ac:dyDescent="0.25">
      <c r="A756" t="s">
        <v>1933</v>
      </c>
      <c r="B756" s="8">
        <v>45655</v>
      </c>
      <c r="C756" s="8">
        <v>45656</v>
      </c>
      <c r="D756" t="s">
        <v>32</v>
      </c>
      <c r="E756" t="s">
        <v>3037</v>
      </c>
      <c r="F756" t="s">
        <v>3077</v>
      </c>
      <c r="G756" t="s">
        <v>1935</v>
      </c>
      <c r="H756">
        <v>7062402872</v>
      </c>
      <c r="I756" t="s">
        <v>43</v>
      </c>
      <c r="J756" t="s">
        <v>61</v>
      </c>
      <c r="K756" t="s">
        <v>204</v>
      </c>
      <c r="L756" t="s">
        <v>27</v>
      </c>
      <c r="M756" t="str">
        <f>TRIM(Table2[[#This Row],[Category]])</f>
        <v>Food &amp; Beverages</v>
      </c>
      <c r="N756" t="s">
        <v>28</v>
      </c>
      <c r="O756" t="s">
        <v>347</v>
      </c>
      <c r="P756">
        <v>8</v>
      </c>
      <c r="Q756">
        <v>4749.6499999999996</v>
      </c>
      <c r="R756">
        <v>0</v>
      </c>
      <c r="S756">
        <v>0</v>
      </c>
      <c r="T756">
        <v>37997.199999999997</v>
      </c>
      <c r="U756">
        <v>-337.57</v>
      </c>
    </row>
    <row r="757" spans="1:21" ht="15" customHeight="1" x14ac:dyDescent="0.25">
      <c r="A757" t="s">
        <v>2964</v>
      </c>
      <c r="B757" s="8">
        <v>45656</v>
      </c>
      <c r="C757" s="8">
        <v>45656</v>
      </c>
      <c r="D757" t="s">
        <v>32</v>
      </c>
      <c r="E757" t="s">
        <v>3084</v>
      </c>
      <c r="F757" t="s">
        <v>3071</v>
      </c>
      <c r="G757" t="s">
        <v>3126</v>
      </c>
      <c r="H757">
        <v>9079613268</v>
      </c>
      <c r="I757" t="s">
        <v>43</v>
      </c>
      <c r="J757" t="s">
        <v>51</v>
      </c>
      <c r="K757" t="s">
        <v>52</v>
      </c>
      <c r="L757" t="s">
        <v>85</v>
      </c>
      <c r="M757" t="str">
        <f>TRIM(Table2[[#This Row],[Category]])</f>
        <v>Furniture</v>
      </c>
      <c r="N757" t="s">
        <v>218</v>
      </c>
      <c r="O757" t="s">
        <v>321</v>
      </c>
      <c r="P757">
        <v>6</v>
      </c>
      <c r="Q757">
        <v>10410.33</v>
      </c>
      <c r="R757">
        <v>150</v>
      </c>
      <c r="S757">
        <v>0</v>
      </c>
      <c r="T757">
        <v>62461.98</v>
      </c>
      <c r="U757">
        <v>23542.48</v>
      </c>
    </row>
    <row r="758" spans="1:21" ht="15" customHeight="1" x14ac:dyDescent="0.25">
      <c r="A758" t="s">
        <v>2847</v>
      </c>
      <c r="B758" s="8">
        <v>45657</v>
      </c>
      <c r="C758" s="8">
        <v>45657</v>
      </c>
      <c r="D758" t="s">
        <v>32</v>
      </c>
      <c r="E758" t="s">
        <v>3072</v>
      </c>
      <c r="F758" t="s">
        <v>3069</v>
      </c>
      <c r="G758" t="s">
        <v>2848</v>
      </c>
      <c r="H758">
        <v>9013277024</v>
      </c>
      <c r="I758" t="s">
        <v>43</v>
      </c>
      <c r="J758" t="s">
        <v>25</v>
      </c>
      <c r="K758" t="s">
        <v>126</v>
      </c>
      <c r="L758" t="s">
        <v>85</v>
      </c>
      <c r="M758" t="str">
        <f>TRIM(Table2[[#This Row],[Category]])</f>
        <v>Furniture</v>
      </c>
      <c r="N758" t="s">
        <v>218</v>
      </c>
      <c r="O758" t="s">
        <v>708</v>
      </c>
      <c r="P758">
        <v>2</v>
      </c>
      <c r="Q758">
        <v>71790.84</v>
      </c>
      <c r="R758">
        <v>10</v>
      </c>
      <c r="S758">
        <v>14358.17</v>
      </c>
      <c r="T758">
        <v>129223.51</v>
      </c>
      <c r="U758">
        <v>-18476.55</v>
      </c>
    </row>
    <row r="759" spans="1:21" ht="15" customHeight="1" x14ac:dyDescent="0.25">
      <c r="A759" t="s">
        <v>1550</v>
      </c>
      <c r="B759" s="8">
        <v>45171</v>
      </c>
      <c r="C759" s="8">
        <f t="shared" ref="C759:C760" si="3">C758</f>
        <v>45657</v>
      </c>
      <c r="D759" t="s">
        <v>32</v>
      </c>
      <c r="E759" t="s">
        <v>3035</v>
      </c>
      <c r="F759" t="s">
        <v>3034</v>
      </c>
      <c r="G759" t="s">
        <v>1551</v>
      </c>
      <c r="H759">
        <v>9028548873</v>
      </c>
      <c r="I759" t="s">
        <v>35</v>
      </c>
      <c r="J759" t="s">
        <v>69</v>
      </c>
      <c r="K759" t="s">
        <v>307</v>
      </c>
      <c r="L759" t="s">
        <v>27</v>
      </c>
      <c r="M759" t="str">
        <f>TRIM(Table2[[#This Row],[Category]])</f>
        <v>Food &amp; Beverages</v>
      </c>
      <c r="N759" t="s">
        <v>45</v>
      </c>
      <c r="O759" t="s">
        <v>838</v>
      </c>
      <c r="P759">
        <v>6</v>
      </c>
      <c r="Q759">
        <v>7743.74</v>
      </c>
      <c r="R759">
        <v>5</v>
      </c>
      <c r="S759">
        <v>2323.12</v>
      </c>
      <c r="T759">
        <v>44139.32</v>
      </c>
      <c r="U759">
        <v>-1719.12</v>
      </c>
    </row>
    <row r="760" spans="1:21" ht="15" customHeight="1" x14ac:dyDescent="0.25">
      <c r="A760" t="s">
        <v>2009</v>
      </c>
      <c r="B760" s="8">
        <v>44606</v>
      </c>
      <c r="C760" s="8">
        <f t="shared" si="3"/>
        <v>45657</v>
      </c>
      <c r="D760" t="s">
        <v>32</v>
      </c>
      <c r="E760" t="s">
        <v>3044</v>
      </c>
      <c r="F760" t="s">
        <v>3083</v>
      </c>
      <c r="G760" t="s">
        <v>222</v>
      </c>
      <c r="H760">
        <v>8138044872</v>
      </c>
      <c r="I760" t="s">
        <v>35</v>
      </c>
      <c r="J760" t="s">
        <v>61</v>
      </c>
      <c r="K760" t="s">
        <v>204</v>
      </c>
      <c r="L760" t="s">
        <v>108</v>
      </c>
      <c r="M760" t="str">
        <f>TRIM(Table2[[#This Row],[Category]])</f>
        <v>Clothing</v>
      </c>
      <c r="N760" t="s">
        <v>38</v>
      </c>
      <c r="O760" t="s">
        <v>213</v>
      </c>
      <c r="P760">
        <v>6</v>
      </c>
      <c r="Q760">
        <v>36767.61</v>
      </c>
      <c r="R760">
        <v>10</v>
      </c>
      <c r="S760">
        <v>22060.57</v>
      </c>
      <c r="T760">
        <v>198545.09</v>
      </c>
      <c r="U760">
        <v>-28573.78</v>
      </c>
    </row>
    <row r="761" spans="1:21" ht="15" customHeight="1" x14ac:dyDescent="0.25">
      <c r="A761" t="s">
        <v>2481</v>
      </c>
      <c r="B761" s="8">
        <v>44575</v>
      </c>
      <c r="C761" s="8">
        <v>44577</v>
      </c>
      <c r="D761" t="s">
        <v>20</v>
      </c>
      <c r="E761" t="s">
        <v>3097</v>
      </c>
      <c r="F761" t="s">
        <v>3057</v>
      </c>
      <c r="G761" t="s">
        <v>2483</v>
      </c>
      <c r="H761">
        <v>9022191407</v>
      </c>
      <c r="I761" t="s">
        <v>24</v>
      </c>
      <c r="J761" t="s">
        <v>69</v>
      </c>
      <c r="K761" t="s">
        <v>119</v>
      </c>
      <c r="L761" t="s">
        <v>27</v>
      </c>
      <c r="M761" t="str">
        <f>TRIM(Table2[[#This Row],[Category]])</f>
        <v>Food &amp; Beverages</v>
      </c>
      <c r="N761" t="s">
        <v>79</v>
      </c>
      <c r="O761" t="s">
        <v>234</v>
      </c>
      <c r="P761">
        <v>6</v>
      </c>
      <c r="Q761">
        <v>3485.58</v>
      </c>
      <c r="R761">
        <v>5</v>
      </c>
      <c r="S761">
        <v>1045.67</v>
      </c>
      <c r="T761" t="s">
        <v>2484</v>
      </c>
      <c r="U761">
        <v>-14.31</v>
      </c>
    </row>
    <row r="762" spans="1:21" ht="15" customHeight="1" x14ac:dyDescent="0.25">
      <c r="A762" t="s">
        <v>2100</v>
      </c>
      <c r="B762" s="8">
        <v>44575</v>
      </c>
      <c r="C762" s="8">
        <v>44578</v>
      </c>
      <c r="D762" t="s">
        <v>20</v>
      </c>
      <c r="E762" t="s">
        <v>3085</v>
      </c>
      <c r="F762" t="s">
        <v>3078</v>
      </c>
      <c r="G762" t="s">
        <v>2102</v>
      </c>
      <c r="H762">
        <v>8062126456</v>
      </c>
      <c r="I762" t="s">
        <v>24</v>
      </c>
      <c r="J762" t="s">
        <v>61</v>
      </c>
      <c r="K762" t="s">
        <v>182</v>
      </c>
      <c r="L762" t="s">
        <v>96</v>
      </c>
      <c r="M762" t="str">
        <f>TRIM(Table2[[#This Row],[Category]])</f>
        <v>Technology</v>
      </c>
      <c r="N762" t="s">
        <v>385</v>
      </c>
      <c r="O762" t="s">
        <v>1010</v>
      </c>
      <c r="P762">
        <v>17</v>
      </c>
      <c r="Q762">
        <v>397756.09</v>
      </c>
      <c r="R762">
        <v>0</v>
      </c>
      <c r="S762">
        <v>0</v>
      </c>
      <c r="T762">
        <v>6761853.5300000003</v>
      </c>
      <c r="U762">
        <v>-11335.22</v>
      </c>
    </row>
    <row r="763" spans="1:21" ht="15" customHeight="1" x14ac:dyDescent="0.25">
      <c r="A763" t="s">
        <v>1094</v>
      </c>
      <c r="B763" s="8">
        <v>44580</v>
      </c>
      <c r="C763" s="8">
        <v>44583</v>
      </c>
      <c r="D763" t="s">
        <v>20</v>
      </c>
      <c r="E763" t="s">
        <v>3076</v>
      </c>
      <c r="F763" t="s">
        <v>3088</v>
      </c>
      <c r="G763" t="s">
        <v>1095</v>
      </c>
      <c r="H763">
        <v>9021121097</v>
      </c>
      <c r="I763" t="s">
        <v>43</v>
      </c>
      <c r="J763" t="s">
        <v>25</v>
      </c>
      <c r="K763" t="s">
        <v>168</v>
      </c>
      <c r="L763" t="s">
        <v>27</v>
      </c>
      <c r="M763" t="str">
        <f>TRIM(Table2[[#This Row],[Category]])</f>
        <v>Food &amp; Beverages</v>
      </c>
      <c r="N763" t="s">
        <v>45</v>
      </c>
      <c r="O763" t="s">
        <v>523</v>
      </c>
      <c r="P763">
        <v>18</v>
      </c>
      <c r="Q763">
        <v>3470.37</v>
      </c>
      <c r="R763">
        <v>15</v>
      </c>
      <c r="S763">
        <v>9370</v>
      </c>
      <c r="T763">
        <v>53096.66</v>
      </c>
      <c r="U763">
        <v>4611.51</v>
      </c>
    </row>
    <row r="764" spans="1:21" ht="15" customHeight="1" x14ac:dyDescent="0.25">
      <c r="A764" t="s">
        <v>2025</v>
      </c>
      <c r="B764" s="8">
        <v>44584</v>
      </c>
      <c r="C764" s="8">
        <v>44587</v>
      </c>
      <c r="D764" t="s">
        <v>20</v>
      </c>
      <c r="E764" t="s">
        <v>3082</v>
      </c>
      <c r="F764" t="s">
        <v>3071</v>
      </c>
      <c r="G764" t="s">
        <v>2026</v>
      </c>
      <c r="H764">
        <v>8132111241</v>
      </c>
      <c r="I764" t="s">
        <v>35</v>
      </c>
      <c r="J764" t="s">
        <v>51</v>
      </c>
      <c r="K764" t="s">
        <v>52</v>
      </c>
      <c r="L764" t="s">
        <v>108</v>
      </c>
      <c r="M764" t="str">
        <f>TRIM(Table2[[#This Row],[Category]])</f>
        <v>Clothing</v>
      </c>
      <c r="N764" t="s">
        <v>38</v>
      </c>
      <c r="O764" t="s">
        <v>296</v>
      </c>
      <c r="P764">
        <v>7</v>
      </c>
      <c r="Q764">
        <v>11123.53</v>
      </c>
      <c r="R764">
        <v>0</v>
      </c>
      <c r="S764">
        <v>0</v>
      </c>
      <c r="T764">
        <v>77864.710000000006</v>
      </c>
      <c r="U764">
        <v>14527.63</v>
      </c>
    </row>
    <row r="765" spans="1:21" ht="15" customHeight="1" x14ac:dyDescent="0.25">
      <c r="A765" t="s">
        <v>2785</v>
      </c>
      <c r="B765" s="8">
        <v>44598</v>
      </c>
      <c r="C765" s="8">
        <v>44601</v>
      </c>
      <c r="D765" t="s">
        <v>20</v>
      </c>
      <c r="E765" t="s">
        <v>3035</v>
      </c>
      <c r="F765" t="s">
        <v>3040</v>
      </c>
      <c r="G765" t="s">
        <v>2787</v>
      </c>
      <c r="H765">
        <v>8148000211</v>
      </c>
      <c r="I765" t="s">
        <v>43</v>
      </c>
      <c r="J765" t="s">
        <v>69</v>
      </c>
      <c r="K765" t="s">
        <v>307</v>
      </c>
      <c r="L765" t="s">
        <v>108</v>
      </c>
      <c r="M765" t="str">
        <f>TRIM(Table2[[#This Row],[Category]])</f>
        <v>Clothing</v>
      </c>
      <c r="N765" t="s">
        <v>189</v>
      </c>
      <c r="O765" t="s">
        <v>205</v>
      </c>
      <c r="P765">
        <v>11</v>
      </c>
      <c r="Q765">
        <v>11930.65</v>
      </c>
      <c r="R765">
        <v>5</v>
      </c>
      <c r="S765">
        <v>6561.86</v>
      </c>
      <c r="T765">
        <v>124675.29</v>
      </c>
      <c r="U765">
        <v>14906.53</v>
      </c>
    </row>
    <row r="766" spans="1:21" ht="15" customHeight="1" x14ac:dyDescent="0.25">
      <c r="A766" t="s">
        <v>2800</v>
      </c>
      <c r="B766" s="8">
        <v>44599</v>
      </c>
      <c r="C766" s="8">
        <v>44601</v>
      </c>
      <c r="D766" t="s">
        <v>20</v>
      </c>
      <c r="E766" t="s">
        <v>3044</v>
      </c>
      <c r="F766" t="s">
        <v>3062</v>
      </c>
      <c r="G766" t="s">
        <v>2801</v>
      </c>
      <c r="H766">
        <v>7033690055</v>
      </c>
      <c r="I766" t="s">
        <v>24</v>
      </c>
      <c r="J766" t="s">
        <v>69</v>
      </c>
      <c r="K766" t="s">
        <v>119</v>
      </c>
      <c r="L766" t="s">
        <v>27</v>
      </c>
      <c r="M766" t="str">
        <f>TRIM(Table2[[#This Row],[Category]])</f>
        <v>Food &amp; Beverages</v>
      </c>
      <c r="N766" t="s">
        <v>173</v>
      </c>
      <c r="O766" t="s">
        <v>380</v>
      </c>
      <c r="P766">
        <v>12</v>
      </c>
      <c r="Q766">
        <v>3985.92</v>
      </c>
      <c r="R766">
        <v>0</v>
      </c>
      <c r="S766">
        <v>0</v>
      </c>
      <c r="T766" t="s">
        <v>2802</v>
      </c>
      <c r="U766">
        <v>2588.06</v>
      </c>
    </row>
    <row r="767" spans="1:21" ht="15" customHeight="1" x14ac:dyDescent="0.25">
      <c r="A767" t="s">
        <v>2127</v>
      </c>
      <c r="B767" s="8">
        <v>44608</v>
      </c>
      <c r="C767" s="8">
        <v>44610</v>
      </c>
      <c r="D767" t="s">
        <v>20</v>
      </c>
      <c r="E767" t="s">
        <v>3076</v>
      </c>
      <c r="F767" t="s">
        <v>3042</v>
      </c>
      <c r="G767" t="s">
        <v>2129</v>
      </c>
      <c r="H767">
        <v>7067004652</v>
      </c>
      <c r="I767" t="s">
        <v>24</v>
      </c>
      <c r="J767" t="s">
        <v>61</v>
      </c>
      <c r="K767" t="s">
        <v>95</v>
      </c>
      <c r="L767" t="s">
        <v>96</v>
      </c>
      <c r="M767" t="str">
        <f>TRIM(Table2[[#This Row],[Category]])</f>
        <v>Technology</v>
      </c>
      <c r="N767" t="s">
        <v>385</v>
      </c>
      <c r="O767" t="s">
        <v>386</v>
      </c>
      <c r="P767">
        <v>19</v>
      </c>
      <c r="Q767">
        <v>47528.05</v>
      </c>
      <c r="R767">
        <v>5</v>
      </c>
      <c r="S767">
        <v>45151.65</v>
      </c>
      <c r="T767">
        <v>857881.3</v>
      </c>
      <c r="U767">
        <v>310481.94</v>
      </c>
    </row>
    <row r="768" spans="1:21" ht="15" customHeight="1" x14ac:dyDescent="0.25">
      <c r="A768" t="s">
        <v>2355</v>
      </c>
      <c r="B768" s="8">
        <v>44615</v>
      </c>
      <c r="C768" s="8">
        <v>44617</v>
      </c>
      <c r="D768" t="s">
        <v>20</v>
      </c>
      <c r="E768" t="s">
        <v>3073</v>
      </c>
      <c r="F768" t="s">
        <v>3057</v>
      </c>
      <c r="G768" t="s">
        <v>2356</v>
      </c>
      <c r="H768">
        <v>9015885832</v>
      </c>
      <c r="I768" t="s">
        <v>35</v>
      </c>
      <c r="J768" t="s">
        <v>25</v>
      </c>
      <c r="K768" t="s">
        <v>126</v>
      </c>
      <c r="L768" t="s">
        <v>63</v>
      </c>
      <c r="M768" t="str">
        <f>TRIM(Table2[[#This Row],[Category]])</f>
        <v>Office Supplies</v>
      </c>
      <c r="N768" t="s">
        <v>469</v>
      </c>
      <c r="O768" t="s">
        <v>1595</v>
      </c>
      <c r="P768">
        <v>10</v>
      </c>
      <c r="Q768">
        <v>14407.18</v>
      </c>
      <c r="R768">
        <v>20</v>
      </c>
      <c r="S768">
        <v>28814.36</v>
      </c>
      <c r="T768">
        <v>115257.44</v>
      </c>
      <c r="U768">
        <v>32023.97</v>
      </c>
    </row>
    <row r="769" spans="1:21" ht="15" customHeight="1" x14ac:dyDescent="0.25">
      <c r="A769" t="s">
        <v>731</v>
      </c>
      <c r="B769" s="8">
        <v>44616</v>
      </c>
      <c r="C769" s="8">
        <v>44619</v>
      </c>
      <c r="D769" t="s">
        <v>20</v>
      </c>
      <c r="E769" t="s">
        <v>3082</v>
      </c>
      <c r="F769" t="s">
        <v>3075</v>
      </c>
      <c r="G769" t="s">
        <v>3126</v>
      </c>
      <c r="H769">
        <v>9017572491</v>
      </c>
      <c r="I769" t="s">
        <v>24</v>
      </c>
      <c r="J769" t="s">
        <v>61</v>
      </c>
      <c r="K769" t="s">
        <v>84</v>
      </c>
      <c r="L769" t="s">
        <v>63</v>
      </c>
      <c r="M769" t="str">
        <f>TRIM(Table2[[#This Row],[Category]])</f>
        <v>Office Supplies</v>
      </c>
      <c r="N769" t="s">
        <v>469</v>
      </c>
      <c r="O769" t="s">
        <v>470</v>
      </c>
      <c r="P769">
        <v>8</v>
      </c>
      <c r="Q769">
        <v>19703.14</v>
      </c>
      <c r="R769">
        <v>20</v>
      </c>
      <c r="S769">
        <v>31525.02</v>
      </c>
      <c r="T769">
        <v>126100.1</v>
      </c>
      <c r="U769">
        <v>10281.11</v>
      </c>
    </row>
    <row r="770" spans="1:21" ht="15" customHeight="1" x14ac:dyDescent="0.25">
      <c r="A770" t="s">
        <v>2478</v>
      </c>
      <c r="B770" s="8">
        <v>44618</v>
      </c>
      <c r="C770" s="8">
        <v>44621</v>
      </c>
      <c r="D770" t="s">
        <v>20</v>
      </c>
      <c r="E770" t="s">
        <v>3068</v>
      </c>
      <c r="F770" t="s">
        <v>3078</v>
      </c>
      <c r="G770" t="s">
        <v>2480</v>
      </c>
      <c r="H770">
        <v>7064610526</v>
      </c>
      <c r="I770" t="s">
        <v>24</v>
      </c>
      <c r="J770" t="s">
        <v>25</v>
      </c>
      <c r="K770" t="s">
        <v>44</v>
      </c>
      <c r="L770" t="s">
        <v>108</v>
      </c>
      <c r="M770" t="str">
        <f>TRIM(Table2[[#This Row],[Category]])</f>
        <v>Clothing</v>
      </c>
      <c r="N770" t="s">
        <v>38</v>
      </c>
      <c r="O770" t="s">
        <v>296</v>
      </c>
      <c r="P770">
        <v>10</v>
      </c>
      <c r="Q770">
        <v>31979.86</v>
      </c>
      <c r="R770">
        <v>10</v>
      </c>
      <c r="S770">
        <v>31979.86</v>
      </c>
      <c r="T770">
        <v>287818.74</v>
      </c>
      <c r="U770">
        <v>-3010.98</v>
      </c>
    </row>
    <row r="771" spans="1:21" ht="15" customHeight="1" x14ac:dyDescent="0.25">
      <c r="A771" t="s">
        <v>2419</v>
      </c>
      <c r="B771" s="8" t="s">
        <v>2420</v>
      </c>
      <c r="C771" s="8">
        <v>44622</v>
      </c>
      <c r="D771" t="s">
        <v>20</v>
      </c>
      <c r="E771" t="s">
        <v>3095</v>
      </c>
      <c r="F771" t="s">
        <v>3046</v>
      </c>
      <c r="G771" t="s">
        <v>2422</v>
      </c>
      <c r="H771">
        <v>8033421636</v>
      </c>
      <c r="I771" t="s">
        <v>24</v>
      </c>
      <c r="J771" t="s">
        <v>51</v>
      </c>
      <c r="K771" t="s">
        <v>223</v>
      </c>
      <c r="L771" t="s">
        <v>156</v>
      </c>
      <c r="M771" t="str">
        <f>TRIM(Table2[[#This Row],[Category]])</f>
        <v>cLOTHING</v>
      </c>
      <c r="N771" t="s">
        <v>114</v>
      </c>
      <c r="O771" t="s">
        <v>891</v>
      </c>
      <c r="P771">
        <v>20</v>
      </c>
      <c r="Q771">
        <v>18212.580000000002</v>
      </c>
      <c r="R771">
        <v>25</v>
      </c>
      <c r="S771">
        <v>91062.9</v>
      </c>
      <c r="T771">
        <v>273188.7</v>
      </c>
      <c r="U771">
        <v>-13155.64</v>
      </c>
    </row>
    <row r="772" spans="1:21" ht="15" customHeight="1" x14ac:dyDescent="0.25">
      <c r="A772" t="s">
        <v>2151</v>
      </c>
      <c r="B772" s="8" t="s">
        <v>2152</v>
      </c>
      <c r="C772" s="8">
        <v>44629</v>
      </c>
      <c r="D772" t="s">
        <v>20</v>
      </c>
      <c r="E772" t="s">
        <v>3047</v>
      </c>
      <c r="F772" t="s">
        <v>3088</v>
      </c>
      <c r="G772" t="s">
        <v>2154</v>
      </c>
      <c r="H772">
        <v>8035404568</v>
      </c>
      <c r="I772" t="s">
        <v>35</v>
      </c>
      <c r="J772" t="s">
        <v>69</v>
      </c>
      <c r="K772" t="s">
        <v>155</v>
      </c>
      <c r="L772" t="s">
        <v>27</v>
      </c>
      <c r="M772" t="str">
        <f>TRIM(Table2[[#This Row],[Category]])</f>
        <v>Food &amp; Beverages</v>
      </c>
      <c r="N772" t="s">
        <v>354</v>
      </c>
      <c r="O772" t="s">
        <v>355</v>
      </c>
      <c r="P772">
        <v>20</v>
      </c>
      <c r="Q772">
        <v>2925.27</v>
      </c>
      <c r="R772">
        <v>15</v>
      </c>
      <c r="S772">
        <v>8775.81</v>
      </c>
      <c r="T772">
        <v>49729.59</v>
      </c>
      <c r="U772">
        <v>18372.37</v>
      </c>
    </row>
    <row r="773" spans="1:21" ht="15" customHeight="1" x14ac:dyDescent="0.25">
      <c r="A773" t="s">
        <v>348</v>
      </c>
      <c r="B773" s="8">
        <v>44629</v>
      </c>
      <c r="C773" s="8">
        <v>44632</v>
      </c>
      <c r="D773" t="s">
        <v>20</v>
      </c>
      <c r="E773" t="s">
        <v>3082</v>
      </c>
      <c r="F773" t="s">
        <v>3071</v>
      </c>
      <c r="G773" t="s">
        <v>350</v>
      </c>
      <c r="H773">
        <v>8137084862</v>
      </c>
      <c r="I773" t="s">
        <v>43</v>
      </c>
      <c r="J773" t="s">
        <v>69</v>
      </c>
      <c r="K773" t="s">
        <v>155</v>
      </c>
      <c r="L773" t="s">
        <v>96</v>
      </c>
      <c r="M773" t="str">
        <f>TRIM(Table2[[#This Row],[Category]])</f>
        <v>Technology</v>
      </c>
      <c r="N773" t="s">
        <v>97</v>
      </c>
      <c r="O773" t="s">
        <v>169</v>
      </c>
      <c r="P773">
        <v>12</v>
      </c>
      <c r="Q773">
        <v>407237.85</v>
      </c>
      <c r="R773">
        <v>0</v>
      </c>
      <c r="S773">
        <v>0</v>
      </c>
      <c r="T773">
        <v>4886854.2</v>
      </c>
      <c r="U773">
        <v>434362.1</v>
      </c>
    </row>
    <row r="774" spans="1:21" ht="15" customHeight="1" x14ac:dyDescent="0.25">
      <c r="A774" t="s">
        <v>775</v>
      </c>
      <c r="B774" s="8">
        <v>44644</v>
      </c>
      <c r="C774" s="8">
        <v>44646</v>
      </c>
      <c r="D774" t="s">
        <v>20</v>
      </c>
      <c r="E774" t="str">
        <f>E775</f>
        <v>Bukola</v>
      </c>
      <c r="F774" t="str">
        <f>F773</f>
        <v>Fashola</v>
      </c>
      <c r="G774" t="s">
        <v>776</v>
      </c>
      <c r="H774">
        <v>9015164420</v>
      </c>
      <c r="I774" t="s">
        <v>24</v>
      </c>
      <c r="J774" t="s">
        <v>25</v>
      </c>
      <c r="K774" t="s">
        <v>126</v>
      </c>
      <c r="L774" t="s">
        <v>63</v>
      </c>
      <c r="M774" t="str">
        <f>TRIM(Table2[[#This Row],[Category]])</f>
        <v>Office Supplies</v>
      </c>
      <c r="N774" t="s">
        <v>64</v>
      </c>
      <c r="O774" t="s">
        <v>777</v>
      </c>
      <c r="P774">
        <v>10</v>
      </c>
      <c r="Q774">
        <v>1699.29</v>
      </c>
      <c r="R774">
        <v>10</v>
      </c>
      <c r="S774">
        <v>1699.29</v>
      </c>
      <c r="T774">
        <v>15293.61</v>
      </c>
      <c r="U774">
        <v>5231.24</v>
      </c>
    </row>
    <row r="775" spans="1:21" ht="15" customHeight="1" x14ac:dyDescent="0.25">
      <c r="A775" t="s">
        <v>696</v>
      </c>
      <c r="B775" s="8">
        <v>44647</v>
      </c>
      <c r="C775" s="8">
        <v>44650</v>
      </c>
      <c r="D775" t="s">
        <v>20</v>
      </c>
      <c r="E775" t="s">
        <v>3037</v>
      </c>
      <c r="F775" t="s">
        <v>3052</v>
      </c>
      <c r="G775" t="s">
        <v>698</v>
      </c>
      <c r="H775">
        <v>8065152891</v>
      </c>
      <c r="I775" t="s">
        <v>24</v>
      </c>
      <c r="J775" t="s">
        <v>699</v>
      </c>
      <c r="K775" t="s">
        <v>44</v>
      </c>
      <c r="L775" t="s">
        <v>63</v>
      </c>
      <c r="M775" t="str">
        <f>TRIM(Table2[[#This Row],[Category]])</f>
        <v>Office Supplies</v>
      </c>
      <c r="N775" t="s">
        <v>194</v>
      </c>
      <c r="O775" t="s">
        <v>700</v>
      </c>
      <c r="P775">
        <v>12</v>
      </c>
      <c r="Q775">
        <v>11518.44</v>
      </c>
      <c r="R775">
        <v>0</v>
      </c>
      <c r="S775">
        <v>0</v>
      </c>
      <c r="T775">
        <v>138221.28</v>
      </c>
      <c r="U775">
        <v>15680.09</v>
      </c>
    </row>
    <row r="776" spans="1:21" ht="15" customHeight="1" x14ac:dyDescent="0.25">
      <c r="A776" t="s">
        <v>40</v>
      </c>
      <c r="B776" s="8">
        <v>44650</v>
      </c>
      <c r="C776" s="8">
        <v>44653</v>
      </c>
      <c r="D776" t="s">
        <v>20</v>
      </c>
      <c r="E776" t="s">
        <v>3037</v>
      </c>
      <c r="F776" t="s">
        <v>3038</v>
      </c>
      <c r="G776" t="s">
        <v>42</v>
      </c>
      <c r="H776">
        <v>8065918715</v>
      </c>
      <c r="I776" t="s">
        <v>43</v>
      </c>
      <c r="J776" t="s">
        <v>25</v>
      </c>
      <c r="K776" t="s">
        <v>44</v>
      </c>
      <c r="L776" t="s">
        <v>27</v>
      </c>
      <c r="M776" t="str">
        <f>TRIM(Table2[[#This Row],[Category]])</f>
        <v>Food &amp; Beverages</v>
      </c>
      <c r="N776" t="s">
        <v>45</v>
      </c>
      <c r="O776" t="s">
        <v>46</v>
      </c>
      <c r="P776">
        <v>3</v>
      </c>
      <c r="Q776">
        <v>1780.62</v>
      </c>
      <c r="R776">
        <v>0</v>
      </c>
      <c r="S776">
        <v>0</v>
      </c>
      <c r="T776">
        <v>5341.86</v>
      </c>
      <c r="U776">
        <v>1318.15</v>
      </c>
    </row>
    <row r="777" spans="1:21" ht="15" customHeight="1" x14ac:dyDescent="0.25">
      <c r="A777" t="s">
        <v>1021</v>
      </c>
      <c r="B777" s="8">
        <v>44650</v>
      </c>
      <c r="C777" s="8">
        <v>44653</v>
      </c>
      <c r="D777" t="s">
        <v>20</v>
      </c>
      <c r="E777" t="s">
        <v>3067</v>
      </c>
      <c r="F777" t="s">
        <v>3079</v>
      </c>
      <c r="G777" t="s">
        <v>1023</v>
      </c>
      <c r="H777">
        <v>9027396087</v>
      </c>
      <c r="I777" t="s">
        <v>43</v>
      </c>
      <c r="J777" t="s">
        <v>69</v>
      </c>
      <c r="K777" t="s">
        <v>155</v>
      </c>
      <c r="L777" t="s">
        <v>63</v>
      </c>
      <c r="M777" t="str">
        <f>TRIM(Table2[[#This Row],[Category]])</f>
        <v>Office Supplies</v>
      </c>
      <c r="N777" t="s">
        <v>312</v>
      </c>
      <c r="O777" t="s">
        <v>686</v>
      </c>
      <c r="P777">
        <v>5</v>
      </c>
      <c r="Q777">
        <v>2894.06</v>
      </c>
      <c r="R777">
        <v>10</v>
      </c>
      <c r="S777">
        <v>1447.03</v>
      </c>
      <c r="T777">
        <v>13023.27</v>
      </c>
      <c r="U777">
        <v>1774.87</v>
      </c>
    </row>
    <row r="778" spans="1:21" ht="15" customHeight="1" x14ac:dyDescent="0.25">
      <c r="A778" t="s">
        <v>2530</v>
      </c>
      <c r="B778" s="8">
        <v>44651</v>
      </c>
      <c r="C778" s="8">
        <v>44653</v>
      </c>
      <c r="D778" t="s">
        <v>20</v>
      </c>
      <c r="E778" t="s">
        <v>3084</v>
      </c>
      <c r="F778" t="s">
        <v>3074</v>
      </c>
      <c r="G778" t="s">
        <v>2532</v>
      </c>
      <c r="H778">
        <v>8106873992</v>
      </c>
      <c r="I778" t="s">
        <v>24</v>
      </c>
      <c r="J778" t="s">
        <v>61</v>
      </c>
      <c r="K778" t="s">
        <v>62</v>
      </c>
      <c r="L778" t="s">
        <v>108</v>
      </c>
      <c r="M778" t="str">
        <f>TRIM(Table2[[#This Row],[Category]])</f>
        <v>Clothing</v>
      </c>
      <c r="N778" t="s">
        <v>109</v>
      </c>
      <c r="O778" t="s">
        <v>110</v>
      </c>
      <c r="P778">
        <v>5</v>
      </c>
      <c r="Q778">
        <v>18826.41</v>
      </c>
      <c r="R778">
        <v>10</v>
      </c>
      <c r="S778">
        <v>9413.2000000000007</v>
      </c>
      <c r="T778">
        <v>84718.85</v>
      </c>
      <c r="U778">
        <v>12992.21</v>
      </c>
    </row>
    <row r="779" spans="1:21" ht="15" customHeight="1" x14ac:dyDescent="0.25">
      <c r="A779" t="s">
        <v>392</v>
      </c>
      <c r="B779" s="8">
        <v>44655</v>
      </c>
      <c r="C779" s="8">
        <v>44657</v>
      </c>
      <c r="D779" t="s">
        <v>20</v>
      </c>
      <c r="E779" t="s">
        <v>3058</v>
      </c>
      <c r="F779" t="s">
        <v>3088</v>
      </c>
      <c r="G779" t="s">
        <v>394</v>
      </c>
      <c r="H779">
        <v>8034429650</v>
      </c>
      <c r="I779" t="s">
        <v>43</v>
      </c>
      <c r="J779" t="s">
        <v>51</v>
      </c>
      <c r="K779" t="s">
        <v>227</v>
      </c>
      <c r="L779" t="s">
        <v>63</v>
      </c>
      <c r="M779" t="str">
        <f>TRIM(Table2[[#This Row],[Category]])</f>
        <v>Office Supplies</v>
      </c>
      <c r="N779" t="s">
        <v>54</v>
      </c>
      <c r="O779" t="s">
        <v>150</v>
      </c>
      <c r="P779">
        <v>10</v>
      </c>
      <c r="Q779">
        <v>19221.939999999999</v>
      </c>
      <c r="R779">
        <v>10</v>
      </c>
      <c r="S779">
        <v>19221.939999999999</v>
      </c>
      <c r="T779">
        <v>172997.46</v>
      </c>
      <c r="U779">
        <v>-13495.43</v>
      </c>
    </row>
    <row r="780" spans="1:21" ht="15" customHeight="1" x14ac:dyDescent="0.25">
      <c r="A780" t="s">
        <v>2962</v>
      </c>
      <c r="B780" s="8">
        <v>44659</v>
      </c>
      <c r="C780" s="8">
        <v>44661</v>
      </c>
      <c r="D780" t="s">
        <v>20</v>
      </c>
      <c r="E780" t="s">
        <v>3058</v>
      </c>
      <c r="F780" t="s">
        <v>3064</v>
      </c>
      <c r="G780" t="s">
        <v>2284</v>
      </c>
      <c r="H780">
        <v>8032585719</v>
      </c>
      <c r="I780" t="s">
        <v>24</v>
      </c>
      <c r="J780" t="s">
        <v>25</v>
      </c>
      <c r="K780" t="s">
        <v>126</v>
      </c>
      <c r="L780" t="s">
        <v>108</v>
      </c>
      <c r="M780" t="str">
        <f>TRIM(Table2[[#This Row],[Category]])</f>
        <v>Clothing</v>
      </c>
      <c r="N780" t="s">
        <v>38</v>
      </c>
      <c r="O780" t="s">
        <v>39</v>
      </c>
      <c r="P780">
        <v>8</v>
      </c>
      <c r="Q780">
        <v>44781.94</v>
      </c>
      <c r="R780">
        <v>20</v>
      </c>
      <c r="S780">
        <v>71651.100000000006</v>
      </c>
      <c r="T780">
        <v>286604.42</v>
      </c>
      <c r="U780">
        <v>-7757.18</v>
      </c>
    </row>
    <row r="781" spans="1:21" ht="15" customHeight="1" x14ac:dyDescent="0.25">
      <c r="A781" t="s">
        <v>2917</v>
      </c>
      <c r="B781" s="8">
        <v>44668</v>
      </c>
      <c r="C781" s="8">
        <v>44671</v>
      </c>
      <c r="D781" t="s">
        <v>20</v>
      </c>
      <c r="E781" t="s">
        <v>3092</v>
      </c>
      <c r="F781" t="s">
        <v>3077</v>
      </c>
      <c r="G781" t="s">
        <v>2919</v>
      </c>
      <c r="H781">
        <v>7062824919</v>
      </c>
      <c r="I781" t="s">
        <v>43</v>
      </c>
      <c r="J781" t="s">
        <v>61</v>
      </c>
      <c r="K781" t="s">
        <v>182</v>
      </c>
      <c r="L781" t="s">
        <v>108</v>
      </c>
      <c r="M781" t="str">
        <f>TRIM(Table2[[#This Row],[Category]])</f>
        <v>Clothing</v>
      </c>
      <c r="N781" t="s">
        <v>183</v>
      </c>
      <c r="O781" t="s">
        <v>869</v>
      </c>
      <c r="P781">
        <v>5</v>
      </c>
      <c r="Q781">
        <v>34811.24</v>
      </c>
      <c r="R781">
        <v>5</v>
      </c>
      <c r="S781">
        <v>8702.81</v>
      </c>
      <c r="T781">
        <v>165353.39000000001</v>
      </c>
      <c r="U781">
        <v>72813.679999999993</v>
      </c>
    </row>
    <row r="782" spans="1:21" ht="15" customHeight="1" x14ac:dyDescent="0.25">
      <c r="A782" t="s">
        <v>1272</v>
      </c>
      <c r="B782" s="8">
        <v>44670</v>
      </c>
      <c r="C782" s="8">
        <v>44672</v>
      </c>
      <c r="D782" t="s">
        <v>20</v>
      </c>
      <c r="E782" t="s">
        <v>3060</v>
      </c>
      <c r="F782" t="s">
        <v>3042</v>
      </c>
      <c r="G782" t="s">
        <v>1274</v>
      </c>
      <c r="H782">
        <v>8065734685</v>
      </c>
      <c r="I782" t="s">
        <v>35</v>
      </c>
      <c r="J782" t="s">
        <v>61</v>
      </c>
      <c r="K782" t="s">
        <v>182</v>
      </c>
      <c r="L782" t="s">
        <v>96</v>
      </c>
      <c r="M782" t="str">
        <f>TRIM(Table2[[#This Row],[Category]])</f>
        <v>Technology</v>
      </c>
      <c r="N782" t="s">
        <v>385</v>
      </c>
      <c r="O782" t="s">
        <v>942</v>
      </c>
      <c r="P782">
        <v>13</v>
      </c>
      <c r="Q782">
        <v>320466.52</v>
      </c>
      <c r="R782">
        <v>10</v>
      </c>
      <c r="S782">
        <v>416606.48</v>
      </c>
      <c r="T782">
        <v>3749458.28</v>
      </c>
      <c r="U782">
        <v>1038840.63</v>
      </c>
    </row>
    <row r="783" spans="1:21" ht="15" customHeight="1" x14ac:dyDescent="0.25">
      <c r="A783" t="s">
        <v>1161</v>
      </c>
      <c r="B783" s="8">
        <v>44670</v>
      </c>
      <c r="C783" s="8">
        <v>44673</v>
      </c>
      <c r="D783" t="s">
        <v>20</v>
      </c>
      <c r="E783" t="s">
        <v>3049</v>
      </c>
      <c r="F783" t="s">
        <v>3050</v>
      </c>
      <c r="G783" t="s">
        <v>1162</v>
      </c>
      <c r="H783">
        <v>9075551832</v>
      </c>
      <c r="I783" t="s">
        <v>35</v>
      </c>
      <c r="J783" t="s">
        <v>25</v>
      </c>
      <c r="K783" t="s">
        <v>44</v>
      </c>
      <c r="L783" t="s">
        <v>63</v>
      </c>
      <c r="M783" t="str">
        <f>TRIM(Table2[[#This Row],[Category]])</f>
        <v>Office Supplies</v>
      </c>
      <c r="N783" t="s">
        <v>194</v>
      </c>
      <c r="O783" t="s">
        <v>700</v>
      </c>
      <c r="P783">
        <v>13</v>
      </c>
      <c r="Q783">
        <v>967.42</v>
      </c>
      <c r="R783">
        <v>5</v>
      </c>
      <c r="S783">
        <v>628.82000000000005</v>
      </c>
      <c r="T783">
        <v>11947.64</v>
      </c>
      <c r="U783">
        <v>5231.58</v>
      </c>
    </row>
    <row r="784" spans="1:21" ht="15" customHeight="1" x14ac:dyDescent="0.25">
      <c r="A784" t="s">
        <v>2741</v>
      </c>
      <c r="B784" s="8">
        <v>44670</v>
      </c>
      <c r="C784" s="8">
        <v>44673</v>
      </c>
      <c r="D784" t="s">
        <v>20</v>
      </c>
      <c r="E784" t="s">
        <v>3039</v>
      </c>
      <c r="F784" t="s">
        <v>3045</v>
      </c>
      <c r="G784" t="s">
        <v>2743</v>
      </c>
      <c r="H784">
        <v>8065931680</v>
      </c>
      <c r="I784" t="s">
        <v>43</v>
      </c>
      <c r="J784" t="s">
        <v>61</v>
      </c>
      <c r="K784" t="s">
        <v>95</v>
      </c>
      <c r="L784" t="s">
        <v>63</v>
      </c>
      <c r="M784" t="str">
        <f>TRIM(Table2[[#This Row],[Category]])</f>
        <v>Office Supplies</v>
      </c>
      <c r="N784" t="s">
        <v>194</v>
      </c>
      <c r="O784" t="s">
        <v>195</v>
      </c>
      <c r="P784">
        <v>2</v>
      </c>
      <c r="Q784">
        <v>14014.36</v>
      </c>
      <c r="R784">
        <v>20</v>
      </c>
      <c r="S784">
        <v>5605.74</v>
      </c>
      <c r="T784">
        <v>22422.98</v>
      </c>
      <c r="U784">
        <v>-2451.88</v>
      </c>
    </row>
    <row r="785" spans="1:21" ht="15" customHeight="1" x14ac:dyDescent="0.25">
      <c r="A785" t="s">
        <v>2097</v>
      </c>
      <c r="B785" s="8">
        <v>44671</v>
      </c>
      <c r="C785" s="8">
        <v>44674</v>
      </c>
      <c r="D785" t="s">
        <v>20</v>
      </c>
      <c r="E785" t="s">
        <v>3033</v>
      </c>
      <c r="F785" t="s">
        <v>3045</v>
      </c>
      <c r="G785" t="s">
        <v>1882</v>
      </c>
      <c r="H785">
        <v>8149690736</v>
      </c>
      <c r="I785" t="s">
        <v>24</v>
      </c>
      <c r="J785" t="s">
        <v>51</v>
      </c>
      <c r="K785" t="s">
        <v>131</v>
      </c>
      <c r="L785" t="s">
        <v>108</v>
      </c>
      <c r="M785" t="str">
        <f>TRIM(Table2[[#This Row],[Category]])</f>
        <v>Clothing</v>
      </c>
      <c r="N785" t="s">
        <v>114</v>
      </c>
      <c r="O785" t="s">
        <v>291</v>
      </c>
      <c r="P785">
        <v>4</v>
      </c>
      <c r="Q785">
        <v>4351.79</v>
      </c>
      <c r="R785">
        <v>10</v>
      </c>
      <c r="S785">
        <v>1740.72</v>
      </c>
      <c r="T785">
        <v>15666.44</v>
      </c>
      <c r="U785">
        <v>3236.75</v>
      </c>
    </row>
    <row r="786" spans="1:21" ht="15" customHeight="1" x14ac:dyDescent="0.25">
      <c r="A786" t="s">
        <v>2215</v>
      </c>
      <c r="B786" s="8">
        <v>44673</v>
      </c>
      <c r="C786" s="8">
        <v>44676</v>
      </c>
      <c r="D786" t="s">
        <v>20</v>
      </c>
      <c r="E786" t="s">
        <v>3089</v>
      </c>
      <c r="F786" t="s">
        <v>3034</v>
      </c>
      <c r="G786" t="s">
        <v>2216</v>
      </c>
      <c r="H786">
        <v>7031765519</v>
      </c>
      <c r="I786" t="s">
        <v>43</v>
      </c>
      <c r="J786" t="s">
        <v>69</v>
      </c>
      <c r="K786" t="s">
        <v>70</v>
      </c>
      <c r="L786" t="s">
        <v>63</v>
      </c>
      <c r="M786" t="str">
        <f>TRIM(Table2[[#This Row],[Category]])</f>
        <v>Office Supplies</v>
      </c>
      <c r="N786" t="s">
        <v>64</v>
      </c>
      <c r="O786" t="s">
        <v>104</v>
      </c>
      <c r="P786">
        <v>6</v>
      </c>
      <c r="Q786">
        <v>5922.1</v>
      </c>
      <c r="R786">
        <v>25</v>
      </c>
      <c r="S786">
        <v>8883.15</v>
      </c>
      <c r="T786">
        <v>26649.45</v>
      </c>
      <c r="U786">
        <v>-700.33</v>
      </c>
    </row>
    <row r="787" spans="1:21" ht="15" customHeight="1" x14ac:dyDescent="0.25">
      <c r="A787" t="s">
        <v>1375</v>
      </c>
      <c r="B787" s="8" t="s">
        <v>1376</v>
      </c>
      <c r="C787" s="8">
        <v>44677</v>
      </c>
      <c r="D787" t="s">
        <v>20</v>
      </c>
      <c r="E787" t="s">
        <v>3087</v>
      </c>
      <c r="F787" t="s">
        <v>3038</v>
      </c>
      <c r="G787" t="s">
        <v>1210</v>
      </c>
      <c r="H787">
        <v>7038807325</v>
      </c>
      <c r="I787" t="s">
        <v>24</v>
      </c>
      <c r="J787" t="s">
        <v>61</v>
      </c>
      <c r="K787" t="s">
        <v>95</v>
      </c>
      <c r="L787" t="s">
        <v>27</v>
      </c>
      <c r="M787" t="str">
        <f>TRIM(Table2[[#This Row],[Category]])</f>
        <v>Food &amp; Beverages</v>
      </c>
      <c r="N787" t="s">
        <v>79</v>
      </c>
      <c r="O787" t="s">
        <v>80</v>
      </c>
      <c r="P787">
        <v>18</v>
      </c>
      <c r="Q787">
        <v>3121.53</v>
      </c>
      <c r="R787" t="s">
        <v>376</v>
      </c>
      <c r="S787">
        <v>0</v>
      </c>
      <c r="T787">
        <v>56187.54</v>
      </c>
      <c r="U787">
        <v>10476.44</v>
      </c>
    </row>
    <row r="788" spans="1:21" ht="15" customHeight="1" x14ac:dyDescent="0.25">
      <c r="A788" t="s">
        <v>1036</v>
      </c>
      <c r="B788" s="8">
        <v>44679</v>
      </c>
      <c r="C788" s="8">
        <v>44681</v>
      </c>
      <c r="D788" t="s">
        <v>20</v>
      </c>
      <c r="E788" t="s">
        <v>3089</v>
      </c>
      <c r="F788" t="s">
        <v>3071</v>
      </c>
      <c r="G788" t="s">
        <v>1038</v>
      </c>
      <c r="H788">
        <v>8139693169</v>
      </c>
      <c r="I788" t="s">
        <v>24</v>
      </c>
      <c r="J788" t="s">
        <v>69</v>
      </c>
      <c r="K788" t="s">
        <v>155</v>
      </c>
      <c r="L788" t="s">
        <v>63</v>
      </c>
      <c r="M788" t="str">
        <f>TRIM(Table2[[#This Row],[Category]])</f>
        <v>Office Supplies</v>
      </c>
      <c r="N788" t="s">
        <v>54</v>
      </c>
      <c r="O788" t="s">
        <v>1039</v>
      </c>
      <c r="P788">
        <v>17</v>
      </c>
      <c r="Q788">
        <v>19707.009999999998</v>
      </c>
      <c r="R788">
        <v>25</v>
      </c>
      <c r="S788">
        <v>83754.789999999994</v>
      </c>
      <c r="T788">
        <v>251264.38</v>
      </c>
      <c r="U788">
        <v>67607.67</v>
      </c>
    </row>
    <row r="789" spans="1:21" ht="15" customHeight="1" x14ac:dyDescent="0.25">
      <c r="A789" t="s">
        <v>2098</v>
      </c>
      <c r="B789" s="8">
        <v>44686</v>
      </c>
      <c r="C789" s="8">
        <v>44688</v>
      </c>
      <c r="D789" t="s">
        <v>20</v>
      </c>
      <c r="E789" t="s">
        <v>3035</v>
      </c>
      <c r="F789" t="s">
        <v>3069</v>
      </c>
      <c r="G789" t="s">
        <v>2099</v>
      </c>
      <c r="H789">
        <v>9014440410</v>
      </c>
      <c r="I789" t="s">
        <v>43</v>
      </c>
      <c r="J789" t="s">
        <v>51</v>
      </c>
      <c r="K789" t="s">
        <v>227</v>
      </c>
      <c r="L789" t="s">
        <v>27</v>
      </c>
      <c r="M789" t="str">
        <f>TRIM(Table2[[#This Row],[Category]])</f>
        <v>Food &amp; Beverages</v>
      </c>
      <c r="N789" t="s">
        <v>354</v>
      </c>
      <c r="O789" t="s">
        <v>789</v>
      </c>
      <c r="P789">
        <v>16</v>
      </c>
      <c r="Q789">
        <v>6001.27</v>
      </c>
      <c r="R789">
        <v>0</v>
      </c>
      <c r="S789">
        <v>0</v>
      </c>
      <c r="T789">
        <v>96020.32</v>
      </c>
      <c r="U789">
        <v>-1524.21</v>
      </c>
    </row>
    <row r="790" spans="1:21" ht="15" customHeight="1" x14ac:dyDescent="0.25">
      <c r="A790" t="s">
        <v>832</v>
      </c>
      <c r="B790" s="8">
        <v>44688</v>
      </c>
      <c r="C790" s="8">
        <v>44690</v>
      </c>
      <c r="D790" t="s">
        <v>20</v>
      </c>
      <c r="E790" t="s">
        <v>3072</v>
      </c>
      <c r="F790" t="s">
        <v>3050</v>
      </c>
      <c r="G790" t="s">
        <v>821</v>
      </c>
      <c r="H790">
        <v>9027945543</v>
      </c>
      <c r="I790" t="s">
        <v>35</v>
      </c>
      <c r="J790" t="s">
        <v>69</v>
      </c>
      <c r="K790" t="s">
        <v>144</v>
      </c>
      <c r="L790" t="s">
        <v>27</v>
      </c>
      <c r="M790" t="str">
        <f>TRIM(Table2[[#This Row],[Category]])</f>
        <v>Food &amp; Beverages</v>
      </c>
      <c r="N790" t="s">
        <v>354</v>
      </c>
      <c r="O790" t="s">
        <v>789</v>
      </c>
      <c r="P790">
        <v>13</v>
      </c>
      <c r="Q790">
        <v>769.57</v>
      </c>
      <c r="R790">
        <v>25</v>
      </c>
      <c r="S790">
        <v>2501.1</v>
      </c>
      <c r="T790">
        <v>7503.31</v>
      </c>
      <c r="U790">
        <v>759.18</v>
      </c>
    </row>
    <row r="791" spans="1:21" ht="15" customHeight="1" x14ac:dyDescent="0.25">
      <c r="A791" t="s">
        <v>713</v>
      </c>
      <c r="B791" s="8">
        <v>44691</v>
      </c>
      <c r="C791" s="8">
        <v>44694</v>
      </c>
      <c r="D791" t="s">
        <v>20</v>
      </c>
      <c r="E791" t="s">
        <v>3082</v>
      </c>
      <c r="F791" t="s">
        <v>3066</v>
      </c>
      <c r="G791" t="s">
        <v>715</v>
      </c>
      <c r="H791">
        <v>8145505300</v>
      </c>
      <c r="I791" t="s">
        <v>24</v>
      </c>
      <c r="J791" t="s">
        <v>25</v>
      </c>
      <c r="K791" t="s">
        <v>168</v>
      </c>
      <c r="L791" t="s">
        <v>63</v>
      </c>
      <c r="M791" t="str">
        <f>TRIM(Table2[[#This Row],[Category]])</f>
        <v>Office Supplies</v>
      </c>
      <c r="N791" t="s">
        <v>194</v>
      </c>
      <c r="O791" t="s">
        <v>716</v>
      </c>
      <c r="P791">
        <v>19</v>
      </c>
      <c r="Q791">
        <v>8775</v>
      </c>
      <c r="R791">
        <v>0</v>
      </c>
      <c r="S791">
        <v>0</v>
      </c>
      <c r="T791">
        <v>166725</v>
      </c>
      <c r="U791">
        <v>31625.279999999999</v>
      </c>
    </row>
    <row r="792" spans="1:21" ht="15" customHeight="1" x14ac:dyDescent="0.25">
      <c r="A792" t="s">
        <v>1478</v>
      </c>
      <c r="B792" s="8">
        <v>44693</v>
      </c>
      <c r="C792" s="8">
        <v>44695</v>
      </c>
      <c r="D792" t="s">
        <v>20</v>
      </c>
      <c r="E792" t="s">
        <v>3051</v>
      </c>
      <c r="F792" t="s">
        <v>3036</v>
      </c>
      <c r="G792" t="s">
        <v>1480</v>
      </c>
      <c r="H792">
        <v>9073694157</v>
      </c>
      <c r="I792" t="s">
        <v>43</v>
      </c>
      <c r="J792" t="s">
        <v>51</v>
      </c>
      <c r="K792" t="s">
        <v>316</v>
      </c>
      <c r="L792" t="s">
        <v>63</v>
      </c>
      <c r="M792" t="str">
        <f>TRIM(Table2[[#This Row],[Category]])</f>
        <v>Office Supplies</v>
      </c>
      <c r="N792" t="s">
        <v>469</v>
      </c>
      <c r="O792" t="s">
        <v>1099</v>
      </c>
      <c r="P792">
        <v>8</v>
      </c>
      <c r="Q792">
        <v>6285.18</v>
      </c>
      <c r="R792">
        <v>0</v>
      </c>
      <c r="S792">
        <v>0</v>
      </c>
      <c r="T792">
        <v>50281.440000000002</v>
      </c>
      <c r="U792">
        <v>-3018.03</v>
      </c>
    </row>
    <row r="793" spans="1:21" ht="15" customHeight="1" x14ac:dyDescent="0.25">
      <c r="A793" t="s">
        <v>2956</v>
      </c>
      <c r="B793" s="8">
        <v>44699</v>
      </c>
      <c r="C793" s="8">
        <v>44701</v>
      </c>
      <c r="D793" t="s">
        <v>20</v>
      </c>
      <c r="E793" t="s">
        <v>3050</v>
      </c>
      <c r="F793" t="s">
        <v>3052</v>
      </c>
      <c r="G793" t="s">
        <v>2957</v>
      </c>
      <c r="H793">
        <v>8132496306</v>
      </c>
      <c r="I793" t="s">
        <v>43</v>
      </c>
      <c r="J793" t="s">
        <v>51</v>
      </c>
      <c r="K793" t="s">
        <v>52</v>
      </c>
      <c r="L793" t="s">
        <v>85</v>
      </c>
      <c r="M793" t="str">
        <f>TRIM(Table2[[#This Row],[Category]])</f>
        <v>Furniture</v>
      </c>
      <c r="N793" t="s">
        <v>243</v>
      </c>
      <c r="O793" t="s">
        <v>404</v>
      </c>
      <c r="P793">
        <v>6</v>
      </c>
      <c r="Q793">
        <v>130966.05</v>
      </c>
      <c r="R793">
        <v>5</v>
      </c>
      <c r="S793">
        <v>39289.82</v>
      </c>
      <c r="T793">
        <v>746506.48</v>
      </c>
      <c r="U793">
        <v>42434.92</v>
      </c>
    </row>
    <row r="794" spans="1:21" ht="15" customHeight="1" x14ac:dyDescent="0.25">
      <c r="A794" t="s">
        <v>2353</v>
      </c>
      <c r="B794" s="8">
        <v>44713</v>
      </c>
      <c r="C794" s="8">
        <v>44716</v>
      </c>
      <c r="D794" t="s">
        <v>20</v>
      </c>
      <c r="E794" t="s">
        <v>3089</v>
      </c>
      <c r="F794" t="s">
        <v>3096</v>
      </c>
      <c r="G794" t="s">
        <v>2354</v>
      </c>
      <c r="H794">
        <v>9025362068</v>
      </c>
      <c r="I794" t="s">
        <v>35</v>
      </c>
      <c r="J794" t="s">
        <v>61</v>
      </c>
      <c r="K794" t="s">
        <v>182</v>
      </c>
      <c r="L794" t="s">
        <v>63</v>
      </c>
      <c r="M794" t="str">
        <f>TRIM(Table2[[#This Row],[Category]])</f>
        <v>Office Supplies</v>
      </c>
      <c r="N794" t="s">
        <v>558</v>
      </c>
      <c r="O794" t="s">
        <v>559</v>
      </c>
      <c r="P794">
        <v>15</v>
      </c>
      <c r="Q794">
        <v>8601.2000000000007</v>
      </c>
      <c r="R794">
        <v>10</v>
      </c>
      <c r="S794">
        <v>12901.8</v>
      </c>
      <c r="T794">
        <v>116116.2</v>
      </c>
      <c r="U794">
        <v>22171.08</v>
      </c>
    </row>
    <row r="795" spans="1:21" ht="15" customHeight="1" x14ac:dyDescent="0.25">
      <c r="A795" t="s">
        <v>513</v>
      </c>
      <c r="B795" s="8">
        <v>44715</v>
      </c>
      <c r="C795" s="8">
        <v>44717</v>
      </c>
      <c r="D795" t="s">
        <v>20</v>
      </c>
      <c r="E795" t="s">
        <v>3044</v>
      </c>
      <c r="F795" t="s">
        <v>3052</v>
      </c>
      <c r="G795" t="s">
        <v>515</v>
      </c>
      <c r="H795">
        <v>9023160763</v>
      </c>
      <c r="I795" t="s">
        <v>24</v>
      </c>
      <c r="J795" t="s">
        <v>25</v>
      </c>
      <c r="K795" t="s">
        <v>36</v>
      </c>
      <c r="L795" t="s">
        <v>96</v>
      </c>
      <c r="M795" t="str">
        <f>TRIM(Table2[[#This Row],[Category]])</f>
        <v>Technology</v>
      </c>
      <c r="N795" t="s">
        <v>97</v>
      </c>
      <c r="O795" t="s">
        <v>98</v>
      </c>
      <c r="P795">
        <v>15</v>
      </c>
      <c r="Q795">
        <v>33572.9</v>
      </c>
      <c r="R795">
        <v>0</v>
      </c>
      <c r="S795">
        <v>0</v>
      </c>
      <c r="T795">
        <v>503593.5</v>
      </c>
      <c r="U795">
        <v>-24780.06</v>
      </c>
    </row>
    <row r="796" spans="1:21" ht="15" customHeight="1" x14ac:dyDescent="0.25">
      <c r="A796" t="s">
        <v>2632</v>
      </c>
      <c r="B796" s="8">
        <v>44717</v>
      </c>
      <c r="C796" s="8">
        <v>44720</v>
      </c>
      <c r="D796" t="s">
        <v>20</v>
      </c>
      <c r="E796" t="s">
        <v>3051</v>
      </c>
      <c r="F796" t="s">
        <v>3040</v>
      </c>
      <c r="G796" t="s">
        <v>3126</v>
      </c>
      <c r="H796">
        <v>8161587080</v>
      </c>
      <c r="I796" t="s">
        <v>43</v>
      </c>
      <c r="J796" t="s">
        <v>61</v>
      </c>
      <c r="K796" t="s">
        <v>62</v>
      </c>
      <c r="L796" t="s">
        <v>96</v>
      </c>
      <c r="M796" t="str">
        <f>TRIM(Table2[[#This Row],[Category]])</f>
        <v>Technology</v>
      </c>
      <c r="N796" t="s">
        <v>97</v>
      </c>
      <c r="O796" t="s">
        <v>443</v>
      </c>
      <c r="P796">
        <v>7</v>
      </c>
      <c r="Q796">
        <v>129285.66</v>
      </c>
      <c r="R796">
        <v>0</v>
      </c>
      <c r="S796">
        <v>0</v>
      </c>
      <c r="T796">
        <v>904999.62</v>
      </c>
      <c r="U796">
        <v>363487.5</v>
      </c>
    </row>
    <row r="797" spans="1:21" ht="15" customHeight="1" x14ac:dyDescent="0.25">
      <c r="A797" t="s">
        <v>1474</v>
      </c>
      <c r="B797" s="8">
        <v>44719</v>
      </c>
      <c r="C797" s="8">
        <v>44722</v>
      </c>
      <c r="D797" t="s">
        <v>20</v>
      </c>
      <c r="E797" t="s">
        <v>3092</v>
      </c>
      <c r="F797" t="s">
        <v>3079</v>
      </c>
      <c r="G797" t="s">
        <v>3126</v>
      </c>
      <c r="H797">
        <v>7066257190</v>
      </c>
      <c r="I797" t="s">
        <v>35</v>
      </c>
      <c r="J797" t="s">
        <v>69</v>
      </c>
      <c r="K797" t="s">
        <v>70</v>
      </c>
      <c r="L797" t="s">
        <v>85</v>
      </c>
      <c r="M797" t="str">
        <f>TRIM(Table2[[#This Row],[Category]])</f>
        <v>Furniture</v>
      </c>
      <c r="N797" t="s">
        <v>486</v>
      </c>
      <c r="O797" t="s">
        <v>1018</v>
      </c>
      <c r="P797">
        <v>17</v>
      </c>
      <c r="Q797">
        <v>51217.54</v>
      </c>
      <c r="R797">
        <v>20</v>
      </c>
      <c r="S797">
        <v>174139.64</v>
      </c>
      <c r="T797">
        <v>696558.54</v>
      </c>
      <c r="U797">
        <v>176184.83</v>
      </c>
    </row>
    <row r="798" spans="1:21" ht="15" customHeight="1" x14ac:dyDescent="0.25">
      <c r="A798" t="s">
        <v>572</v>
      </c>
      <c r="B798" s="8">
        <v>44721</v>
      </c>
      <c r="C798" s="8">
        <v>44723</v>
      </c>
      <c r="D798" t="s">
        <v>20</v>
      </c>
      <c r="E798" t="s">
        <v>3087</v>
      </c>
      <c r="F798" t="s">
        <v>3042</v>
      </c>
      <c r="G798" t="s">
        <v>574</v>
      </c>
      <c r="H798">
        <v>9053514105</v>
      </c>
      <c r="I798" t="s">
        <v>43</v>
      </c>
      <c r="J798" t="s">
        <v>25</v>
      </c>
      <c r="K798" t="s">
        <v>36</v>
      </c>
      <c r="L798" t="s">
        <v>85</v>
      </c>
      <c r="M798" t="str">
        <f>TRIM(Table2[[#This Row],[Category]])</f>
        <v>Furniture</v>
      </c>
      <c r="N798" t="s">
        <v>243</v>
      </c>
      <c r="O798" t="s">
        <v>244</v>
      </c>
      <c r="P798">
        <v>7</v>
      </c>
      <c r="Q798">
        <v>83996.58</v>
      </c>
      <c r="R798">
        <v>20</v>
      </c>
      <c r="S798">
        <v>117595.21</v>
      </c>
      <c r="T798">
        <v>470380.85</v>
      </c>
      <c r="U798">
        <v>-44890.8</v>
      </c>
    </row>
    <row r="799" spans="1:21" ht="15" customHeight="1" x14ac:dyDescent="0.25">
      <c r="A799" t="s">
        <v>812</v>
      </c>
      <c r="B799" s="8">
        <v>44721</v>
      </c>
      <c r="C799" s="8">
        <v>44723</v>
      </c>
      <c r="D799" t="s">
        <v>20</v>
      </c>
      <c r="E799" t="s">
        <v>3097</v>
      </c>
      <c r="F799" t="s">
        <v>3074</v>
      </c>
      <c r="G799" t="s">
        <v>814</v>
      </c>
      <c r="H799">
        <v>9072488575</v>
      </c>
      <c r="I799" t="s">
        <v>35</v>
      </c>
      <c r="J799" t="s">
        <v>25</v>
      </c>
      <c r="K799" t="s">
        <v>168</v>
      </c>
      <c r="L799" t="s">
        <v>63</v>
      </c>
      <c r="M799" t="str">
        <f>TRIM(Table2[[#This Row],[Category]])</f>
        <v>Office Supplies</v>
      </c>
      <c r="N799" t="s">
        <v>64</v>
      </c>
      <c r="O799" t="s">
        <v>815</v>
      </c>
      <c r="P799">
        <v>8</v>
      </c>
      <c r="Q799">
        <v>6997.7</v>
      </c>
      <c r="R799">
        <v>0</v>
      </c>
      <c r="S799">
        <v>0</v>
      </c>
      <c r="T799">
        <v>55981.599999999999</v>
      </c>
      <c r="U799">
        <v>3375.06</v>
      </c>
    </row>
    <row r="800" spans="1:21" ht="15" customHeight="1" x14ac:dyDescent="0.25">
      <c r="A800" t="s">
        <v>2598</v>
      </c>
      <c r="B800" s="8">
        <v>44728</v>
      </c>
      <c r="C800" s="8">
        <v>44731</v>
      </c>
      <c r="D800" t="s">
        <v>20</v>
      </c>
      <c r="E800" t="s">
        <v>3039</v>
      </c>
      <c r="F800" t="s">
        <v>3088</v>
      </c>
      <c r="G800" t="s">
        <v>2434</v>
      </c>
      <c r="H800">
        <v>8068541105</v>
      </c>
      <c r="I800" t="s">
        <v>24</v>
      </c>
      <c r="J800" t="s">
        <v>69</v>
      </c>
      <c r="K800" t="s">
        <v>119</v>
      </c>
      <c r="L800" t="s">
        <v>108</v>
      </c>
      <c r="M800" t="str">
        <f>TRIM(Table2[[#This Row],[Category]])</f>
        <v>Clothing</v>
      </c>
      <c r="N800" t="s">
        <v>109</v>
      </c>
      <c r="O800" t="s">
        <v>157</v>
      </c>
      <c r="P800">
        <v>12</v>
      </c>
      <c r="Q800">
        <v>32612.03</v>
      </c>
      <c r="R800">
        <v>0</v>
      </c>
      <c r="S800">
        <v>0</v>
      </c>
      <c r="T800">
        <v>391344.36</v>
      </c>
      <c r="U800">
        <v>52537.26</v>
      </c>
    </row>
    <row r="801" spans="1:21" ht="15" customHeight="1" x14ac:dyDescent="0.25">
      <c r="A801" t="s">
        <v>462</v>
      </c>
      <c r="B801" s="8">
        <v>44731</v>
      </c>
      <c r="C801" s="8">
        <v>44734</v>
      </c>
      <c r="D801" t="s">
        <v>20</v>
      </c>
      <c r="E801" t="s">
        <v>3081</v>
      </c>
      <c r="F801" t="s">
        <v>3066</v>
      </c>
      <c r="G801" t="s">
        <v>464</v>
      </c>
      <c r="H801">
        <v>8155928582</v>
      </c>
      <c r="I801" t="s">
        <v>43</v>
      </c>
      <c r="J801" t="s">
        <v>69</v>
      </c>
      <c r="K801" t="s">
        <v>70</v>
      </c>
      <c r="L801" t="s">
        <v>63</v>
      </c>
      <c r="M801" t="str">
        <f>TRIM(Table2[[#This Row],[Category]])</f>
        <v>Office Supplies</v>
      </c>
      <c r="N801" t="s">
        <v>249</v>
      </c>
      <c r="O801" t="s">
        <v>465</v>
      </c>
      <c r="P801">
        <v>10</v>
      </c>
      <c r="Q801">
        <v>8534.0400000000009</v>
      </c>
      <c r="R801">
        <v>10</v>
      </c>
      <c r="S801">
        <v>8534.0400000000009</v>
      </c>
      <c r="T801">
        <v>76806.36</v>
      </c>
      <c r="U801">
        <v>9028.5499999999993</v>
      </c>
    </row>
    <row r="802" spans="1:21" ht="15" customHeight="1" x14ac:dyDescent="0.25">
      <c r="A802" t="s">
        <v>258</v>
      </c>
      <c r="B802" s="8">
        <v>44736</v>
      </c>
      <c r="C802" s="8">
        <v>44738</v>
      </c>
      <c r="D802" t="s">
        <v>20</v>
      </c>
      <c r="E802" t="s">
        <v>3056</v>
      </c>
      <c r="F802" t="s">
        <v>3077</v>
      </c>
      <c r="G802" t="s">
        <v>261</v>
      </c>
      <c r="H802">
        <v>9054786401</v>
      </c>
      <c r="I802" t="s">
        <v>35</v>
      </c>
      <c r="J802" t="s">
        <v>25</v>
      </c>
      <c r="K802" t="s">
        <v>3127</v>
      </c>
      <c r="L802" t="s">
        <v>27</v>
      </c>
      <c r="M802" t="str">
        <f>TRIM(Table2[[#This Row],[Category]])</f>
        <v>Food &amp; Beverages</v>
      </c>
      <c r="N802" t="s">
        <v>28</v>
      </c>
      <c r="O802" t="s">
        <v>262</v>
      </c>
      <c r="P802">
        <v>10</v>
      </c>
      <c r="Q802">
        <v>7295.48</v>
      </c>
      <c r="R802">
        <v>15</v>
      </c>
      <c r="S802">
        <v>10943.22</v>
      </c>
      <c r="T802">
        <v>62011.58</v>
      </c>
      <c r="U802">
        <v>2060.5300000000002</v>
      </c>
    </row>
    <row r="803" spans="1:21" ht="15" customHeight="1" x14ac:dyDescent="0.25">
      <c r="A803" t="s">
        <v>1567</v>
      </c>
      <c r="B803" s="8">
        <v>44738</v>
      </c>
      <c r="C803" s="8">
        <v>44741</v>
      </c>
      <c r="D803" t="s">
        <v>20</v>
      </c>
      <c r="E803" t="s">
        <v>3033</v>
      </c>
      <c r="F803" t="s">
        <v>3062</v>
      </c>
      <c r="G803" t="s">
        <v>1569</v>
      </c>
      <c r="H803">
        <v>8109257506</v>
      </c>
      <c r="I803" t="s">
        <v>35</v>
      </c>
      <c r="J803" t="s">
        <v>61</v>
      </c>
      <c r="K803" t="s">
        <v>84</v>
      </c>
      <c r="L803" t="s">
        <v>96</v>
      </c>
      <c r="M803" t="str">
        <f>TRIM(Table2[[#This Row],[Category]])</f>
        <v>Technology</v>
      </c>
      <c r="N803" t="s">
        <v>189</v>
      </c>
      <c r="O803" t="s">
        <v>478</v>
      </c>
      <c r="P803">
        <v>7</v>
      </c>
      <c r="Q803">
        <v>147088.57</v>
      </c>
      <c r="R803">
        <v>25</v>
      </c>
      <c r="S803">
        <v>257405</v>
      </c>
      <c r="T803">
        <v>772214.99</v>
      </c>
      <c r="U803">
        <v>-94032.93</v>
      </c>
    </row>
    <row r="804" spans="1:21" ht="15" customHeight="1" x14ac:dyDescent="0.25">
      <c r="A804" t="s">
        <v>563</v>
      </c>
      <c r="B804" s="8">
        <v>44739</v>
      </c>
      <c r="C804" s="8">
        <v>44742</v>
      </c>
      <c r="D804" t="s">
        <v>20</v>
      </c>
      <c r="E804" t="s">
        <v>3072</v>
      </c>
      <c r="F804" t="s">
        <v>3062</v>
      </c>
      <c r="G804" t="s">
        <v>565</v>
      </c>
      <c r="H804">
        <v>8146429135</v>
      </c>
      <c r="I804" t="s">
        <v>24</v>
      </c>
      <c r="J804" t="s">
        <v>69</v>
      </c>
      <c r="K804" t="s">
        <v>70</v>
      </c>
      <c r="L804" t="s">
        <v>85</v>
      </c>
      <c r="M804" t="str">
        <f>TRIM(Table2[[#This Row],[Category]])</f>
        <v>Furniture</v>
      </c>
      <c r="N804" t="s">
        <v>86</v>
      </c>
      <c r="O804" t="s">
        <v>178</v>
      </c>
      <c r="P804">
        <v>15</v>
      </c>
      <c r="Q804">
        <v>73974.8</v>
      </c>
      <c r="R804">
        <v>10</v>
      </c>
      <c r="S804">
        <v>110962.2</v>
      </c>
      <c r="T804">
        <v>998659.8</v>
      </c>
      <c r="U804">
        <v>421854.77</v>
      </c>
    </row>
    <row r="805" spans="1:21" ht="15" customHeight="1" x14ac:dyDescent="0.25">
      <c r="A805" t="s">
        <v>1616</v>
      </c>
      <c r="B805" s="8">
        <v>44744</v>
      </c>
      <c r="C805" s="8">
        <v>44747</v>
      </c>
      <c r="D805" t="s">
        <v>20</v>
      </c>
      <c r="E805" t="s">
        <v>3098</v>
      </c>
      <c r="F805" t="s">
        <v>3043</v>
      </c>
      <c r="G805" t="s">
        <v>1618</v>
      </c>
      <c r="H805">
        <v>7031768727</v>
      </c>
      <c r="I805" t="s">
        <v>24</v>
      </c>
      <c r="J805" t="s">
        <v>69</v>
      </c>
      <c r="K805" t="s">
        <v>119</v>
      </c>
      <c r="L805" t="s">
        <v>108</v>
      </c>
      <c r="M805" t="str">
        <f>TRIM(Table2[[#This Row],[Category]])</f>
        <v>Clothing</v>
      </c>
      <c r="N805" t="s">
        <v>38</v>
      </c>
      <c r="O805" t="s">
        <v>519</v>
      </c>
      <c r="P805">
        <v>1</v>
      </c>
      <c r="Q805">
        <v>39236</v>
      </c>
      <c r="R805">
        <v>10</v>
      </c>
      <c r="S805">
        <v>3923.6</v>
      </c>
      <c r="T805">
        <v>35312.400000000001</v>
      </c>
      <c r="U805">
        <v>6590.23</v>
      </c>
    </row>
    <row r="806" spans="1:21" ht="15" customHeight="1" x14ac:dyDescent="0.25">
      <c r="A806" t="s">
        <v>1852</v>
      </c>
      <c r="B806" s="8">
        <v>44746</v>
      </c>
      <c r="C806" s="8">
        <v>44748</v>
      </c>
      <c r="D806" t="s">
        <v>20</v>
      </c>
      <c r="E806" t="s">
        <v>3044</v>
      </c>
      <c r="F806" t="s">
        <v>3034</v>
      </c>
      <c r="G806" t="s">
        <v>1854</v>
      </c>
      <c r="H806">
        <v>8063770138</v>
      </c>
      <c r="I806" t="s">
        <v>43</v>
      </c>
      <c r="J806" t="s">
        <v>25</v>
      </c>
      <c r="K806" t="s">
        <v>44</v>
      </c>
      <c r="L806" t="s">
        <v>27</v>
      </c>
      <c r="M806" t="str">
        <f>TRIM(Table2[[#This Row],[Category]])</f>
        <v>Food &amp; Beverages</v>
      </c>
      <c r="N806" t="s">
        <v>79</v>
      </c>
      <c r="O806" t="s">
        <v>145</v>
      </c>
      <c r="P806">
        <v>18</v>
      </c>
      <c r="Q806">
        <v>6024.25</v>
      </c>
      <c r="R806">
        <v>20</v>
      </c>
      <c r="S806">
        <v>21687.3</v>
      </c>
      <c r="T806">
        <v>86749.2</v>
      </c>
      <c r="U806">
        <v>29061.69</v>
      </c>
    </row>
    <row r="807" spans="1:21" ht="15" customHeight="1" x14ac:dyDescent="0.25">
      <c r="A807" t="s">
        <v>1953</v>
      </c>
      <c r="B807" s="8">
        <v>44752</v>
      </c>
      <c r="C807" s="8">
        <v>44755</v>
      </c>
      <c r="D807" t="s">
        <v>20</v>
      </c>
      <c r="E807" t="s">
        <v>3049</v>
      </c>
      <c r="F807" t="s">
        <v>3039</v>
      </c>
      <c r="G807" t="s">
        <v>203</v>
      </c>
      <c r="H807">
        <v>7069392233</v>
      </c>
      <c r="I807" t="s">
        <v>35</v>
      </c>
      <c r="J807" t="s">
        <v>69</v>
      </c>
      <c r="K807" t="s">
        <v>307</v>
      </c>
      <c r="L807" t="s">
        <v>85</v>
      </c>
      <c r="M807" t="str">
        <f>TRIM(Table2[[#This Row],[Category]])</f>
        <v>Furniture</v>
      </c>
      <c r="N807" t="s">
        <v>243</v>
      </c>
      <c r="O807" t="s">
        <v>439</v>
      </c>
      <c r="P807">
        <v>5</v>
      </c>
      <c r="Q807">
        <v>132818.35999999999</v>
      </c>
      <c r="R807">
        <v>0</v>
      </c>
      <c r="S807">
        <v>0</v>
      </c>
      <c r="T807">
        <v>664091.80000000005</v>
      </c>
      <c r="U807">
        <v>32401.65</v>
      </c>
    </row>
    <row r="808" spans="1:21" ht="15" customHeight="1" x14ac:dyDescent="0.25">
      <c r="A808" t="s">
        <v>720</v>
      </c>
      <c r="B808" s="8">
        <v>44753</v>
      </c>
      <c r="C808" s="8">
        <v>44756</v>
      </c>
      <c r="D808" t="s">
        <v>20</v>
      </c>
      <c r="E808" t="s">
        <v>3061</v>
      </c>
      <c r="F808" t="s">
        <v>3050</v>
      </c>
      <c r="G808" t="s">
        <v>722</v>
      </c>
      <c r="H808">
        <v>9073777050</v>
      </c>
      <c r="I808" t="s">
        <v>35</v>
      </c>
      <c r="J808" t="s">
        <v>61</v>
      </c>
      <c r="K808" t="s">
        <v>182</v>
      </c>
      <c r="L808" t="s">
        <v>96</v>
      </c>
      <c r="M808" t="str">
        <f>TRIM(Table2[[#This Row],[Category]])</f>
        <v>Technology</v>
      </c>
      <c r="N808" t="s">
        <v>189</v>
      </c>
      <c r="O808" t="s">
        <v>325</v>
      </c>
      <c r="P808">
        <v>8</v>
      </c>
      <c r="Q808">
        <v>330804.94</v>
      </c>
      <c r="R808">
        <v>15</v>
      </c>
      <c r="S808">
        <v>396965.93</v>
      </c>
      <c r="T808">
        <v>2249473.59</v>
      </c>
      <c r="U808">
        <v>547276.99</v>
      </c>
    </row>
    <row r="809" spans="1:21" ht="15" customHeight="1" x14ac:dyDescent="0.25">
      <c r="A809" t="s">
        <v>2377</v>
      </c>
      <c r="B809" s="8">
        <v>44755</v>
      </c>
      <c r="C809" s="8">
        <v>44758</v>
      </c>
      <c r="D809" t="s">
        <v>20</v>
      </c>
      <c r="E809" t="s">
        <v>3095</v>
      </c>
      <c r="F809" t="s">
        <v>3040</v>
      </c>
      <c r="G809" t="s">
        <v>2378</v>
      </c>
      <c r="H809">
        <v>8132823879</v>
      </c>
      <c r="I809" t="s">
        <v>43</v>
      </c>
      <c r="J809" t="s">
        <v>61</v>
      </c>
      <c r="K809" t="s">
        <v>95</v>
      </c>
      <c r="L809" t="s">
        <v>85</v>
      </c>
      <c r="M809" t="str">
        <f>TRIM(Table2[[#This Row],[Category]])</f>
        <v>Furniture</v>
      </c>
      <c r="N809" t="s">
        <v>218</v>
      </c>
      <c r="O809" t="s">
        <v>1058</v>
      </c>
      <c r="P809">
        <v>11</v>
      </c>
      <c r="Q809">
        <v>94306.1</v>
      </c>
      <c r="R809">
        <v>25</v>
      </c>
      <c r="S809">
        <v>259341.78</v>
      </c>
      <c r="T809">
        <v>778025.32</v>
      </c>
      <c r="U809">
        <v>103574.92</v>
      </c>
    </row>
    <row r="810" spans="1:21" ht="15" customHeight="1" x14ac:dyDescent="0.25">
      <c r="A810" t="s">
        <v>2491</v>
      </c>
      <c r="B810" s="8">
        <v>44757</v>
      </c>
      <c r="C810" s="8">
        <v>44759</v>
      </c>
      <c r="D810" t="s">
        <v>20</v>
      </c>
      <c r="E810" t="s">
        <v>3049</v>
      </c>
      <c r="F810" t="s">
        <v>3075</v>
      </c>
      <c r="G810" t="s">
        <v>2493</v>
      </c>
      <c r="H810">
        <v>8036483795</v>
      </c>
      <c r="I810" t="s">
        <v>35</v>
      </c>
      <c r="J810" t="s">
        <v>25</v>
      </c>
      <c r="K810" t="s">
        <v>36</v>
      </c>
      <c r="L810" t="s">
        <v>108</v>
      </c>
      <c r="M810" t="str">
        <f>TRIM(Table2[[#This Row],[Category]])</f>
        <v>Clothing</v>
      </c>
      <c r="N810" t="s">
        <v>38</v>
      </c>
      <c r="O810" t="s">
        <v>519</v>
      </c>
      <c r="P810">
        <v>19</v>
      </c>
      <c r="Q810">
        <v>36401.64</v>
      </c>
      <c r="R810">
        <v>10</v>
      </c>
      <c r="S810">
        <v>69163.12</v>
      </c>
      <c r="T810">
        <v>622468.04</v>
      </c>
      <c r="U810">
        <v>227583.76</v>
      </c>
    </row>
    <row r="811" spans="1:21" ht="15" customHeight="1" x14ac:dyDescent="0.25">
      <c r="A811" t="s">
        <v>2191</v>
      </c>
      <c r="B811" s="8">
        <v>44760</v>
      </c>
      <c r="C811" s="8">
        <v>44762</v>
      </c>
      <c r="D811" t="s">
        <v>20</v>
      </c>
      <c r="E811" t="s">
        <v>3093</v>
      </c>
      <c r="F811" t="s">
        <v>3083</v>
      </c>
      <c r="G811" t="s">
        <v>1861</v>
      </c>
      <c r="H811">
        <v>8039685189</v>
      </c>
      <c r="I811" t="s">
        <v>24</v>
      </c>
      <c r="J811" t="s">
        <v>2192</v>
      </c>
      <c r="K811" t="s">
        <v>84</v>
      </c>
      <c r="L811" t="s">
        <v>27</v>
      </c>
      <c r="M811" t="str">
        <f>TRIM(Table2[[#This Row],[Category]])</f>
        <v>Food &amp; Beverages</v>
      </c>
      <c r="N811" t="s">
        <v>173</v>
      </c>
      <c r="O811" t="s">
        <v>1795</v>
      </c>
      <c r="P811">
        <v>14</v>
      </c>
      <c r="Q811">
        <v>6799.3</v>
      </c>
      <c r="R811">
        <v>10</v>
      </c>
      <c r="S811">
        <v>9519.02</v>
      </c>
      <c r="T811">
        <v>85671.18</v>
      </c>
      <c r="U811">
        <v>3742.12</v>
      </c>
    </row>
    <row r="812" spans="1:21" ht="15" customHeight="1" x14ac:dyDescent="0.25">
      <c r="A812" t="s">
        <v>2426</v>
      </c>
      <c r="B812" s="8">
        <v>44759</v>
      </c>
      <c r="C812" s="8">
        <v>44762</v>
      </c>
      <c r="D812" t="s">
        <v>20</v>
      </c>
      <c r="E812" t="s">
        <v>3089</v>
      </c>
      <c r="F812" t="s">
        <v>3034</v>
      </c>
      <c r="G812" t="s">
        <v>2427</v>
      </c>
      <c r="H812">
        <v>8104679430</v>
      </c>
      <c r="I812" t="s">
        <v>43</v>
      </c>
      <c r="J812" t="s">
        <v>51</v>
      </c>
      <c r="K812" t="s">
        <v>131</v>
      </c>
      <c r="L812" t="s">
        <v>27</v>
      </c>
      <c r="M812" t="str">
        <f>TRIM(Table2[[#This Row],[Category]])</f>
        <v>Food &amp; Beverages</v>
      </c>
      <c r="N812" t="s">
        <v>354</v>
      </c>
      <c r="O812" t="s">
        <v>625</v>
      </c>
      <c r="P812">
        <v>3</v>
      </c>
      <c r="Q812">
        <v>2036.75</v>
      </c>
      <c r="R812">
        <v>0</v>
      </c>
      <c r="S812">
        <v>0</v>
      </c>
      <c r="T812">
        <v>6110.25</v>
      </c>
      <c r="U812">
        <v>1713.07</v>
      </c>
    </row>
    <row r="813" spans="1:21" ht="15" customHeight="1" x14ac:dyDescent="0.25">
      <c r="A813" t="s">
        <v>2058</v>
      </c>
      <c r="B813" s="8">
        <v>44762</v>
      </c>
      <c r="C813" s="8">
        <v>44764</v>
      </c>
      <c r="D813" t="s">
        <v>20</v>
      </c>
      <c r="E813" t="s">
        <v>3098</v>
      </c>
      <c r="F813" t="s">
        <v>3034</v>
      </c>
      <c r="G813" t="s">
        <v>2060</v>
      </c>
      <c r="H813">
        <v>8135932600</v>
      </c>
      <c r="I813" t="s">
        <v>43</v>
      </c>
      <c r="J813" t="s">
        <v>25</v>
      </c>
      <c r="K813" t="s">
        <v>168</v>
      </c>
      <c r="L813" t="s">
        <v>85</v>
      </c>
      <c r="M813" t="str">
        <f>TRIM(Table2[[#This Row],[Category]])</f>
        <v>Furniture</v>
      </c>
      <c r="N813" t="s">
        <v>486</v>
      </c>
      <c r="O813" t="s">
        <v>1193</v>
      </c>
      <c r="P813">
        <v>17</v>
      </c>
      <c r="Q813">
        <v>110176.46</v>
      </c>
      <c r="R813">
        <v>20</v>
      </c>
      <c r="S813">
        <v>374599.96</v>
      </c>
      <c r="T813">
        <v>1498399.86</v>
      </c>
      <c r="U813">
        <v>241498.72</v>
      </c>
    </row>
    <row r="814" spans="1:21" ht="15" customHeight="1" x14ac:dyDescent="0.25">
      <c r="A814" t="s">
        <v>1468</v>
      </c>
      <c r="B814" s="8">
        <v>44762</v>
      </c>
      <c r="C814" s="8">
        <v>44765</v>
      </c>
      <c r="D814" t="s">
        <v>20</v>
      </c>
      <c r="E814" t="s">
        <v>3072</v>
      </c>
      <c r="F814" t="s">
        <v>3078</v>
      </c>
      <c r="G814" t="s">
        <v>1470</v>
      </c>
      <c r="H814">
        <v>7039333769</v>
      </c>
      <c r="I814" t="s">
        <v>43</v>
      </c>
      <c r="J814" t="s">
        <v>588</v>
      </c>
      <c r="K814" t="s">
        <v>155</v>
      </c>
      <c r="L814" t="s">
        <v>27</v>
      </c>
      <c r="M814" t="str">
        <f>TRIM(Table2[[#This Row],[Category]])</f>
        <v>Food &amp; Beverages</v>
      </c>
      <c r="N814" t="s">
        <v>45</v>
      </c>
      <c r="O814" t="s">
        <v>523</v>
      </c>
      <c r="P814">
        <v>12</v>
      </c>
      <c r="Q814">
        <v>5034.17</v>
      </c>
      <c r="R814">
        <v>15</v>
      </c>
      <c r="S814">
        <v>9061.51</v>
      </c>
      <c r="T814">
        <v>51348.53</v>
      </c>
      <c r="U814">
        <v>-1486.27</v>
      </c>
    </row>
    <row r="815" spans="1:21" ht="15" customHeight="1" x14ac:dyDescent="0.25">
      <c r="A815" t="s">
        <v>251</v>
      </c>
      <c r="B815" s="8">
        <v>44767</v>
      </c>
      <c r="C815" s="8">
        <v>44769</v>
      </c>
      <c r="D815" t="s">
        <v>20</v>
      </c>
      <c r="E815" t="s">
        <v>3076</v>
      </c>
      <c r="F815" t="s">
        <v>3043</v>
      </c>
      <c r="G815" t="s">
        <v>253</v>
      </c>
      <c r="H815">
        <v>8106071208</v>
      </c>
      <c r="I815" t="s">
        <v>24</v>
      </c>
      <c r="J815" t="s">
        <v>69</v>
      </c>
      <c r="K815" t="s">
        <v>144</v>
      </c>
      <c r="L815" t="s">
        <v>96</v>
      </c>
      <c r="M815" t="str">
        <f>TRIM(Table2[[#This Row],[Category]])</f>
        <v>Technology</v>
      </c>
      <c r="N815" t="s">
        <v>254</v>
      </c>
      <c r="O815" t="s">
        <v>255</v>
      </c>
      <c r="P815">
        <v>2</v>
      </c>
      <c r="Q815">
        <v>134325.43</v>
      </c>
      <c r="R815">
        <v>25</v>
      </c>
      <c r="S815">
        <v>67162.710000000006</v>
      </c>
      <c r="T815">
        <v>201488.15</v>
      </c>
      <c r="U815">
        <v>5094.0200000000004</v>
      </c>
    </row>
    <row r="816" spans="1:21" ht="15" customHeight="1" x14ac:dyDescent="0.25">
      <c r="A816" t="s">
        <v>1931</v>
      </c>
      <c r="B816" s="8">
        <v>44774</v>
      </c>
      <c r="C816" s="8">
        <v>44777</v>
      </c>
      <c r="D816" t="s">
        <v>20</v>
      </c>
      <c r="E816" t="s">
        <v>3089</v>
      </c>
      <c r="F816" t="s">
        <v>3069</v>
      </c>
      <c r="G816" t="s">
        <v>831</v>
      </c>
      <c r="H816">
        <v>8162281267</v>
      </c>
      <c r="I816" t="s">
        <v>43</v>
      </c>
      <c r="J816" t="s">
        <v>51</v>
      </c>
      <c r="K816" t="s">
        <v>227</v>
      </c>
      <c r="L816" t="s">
        <v>96</v>
      </c>
      <c r="M816" t="str">
        <f>TRIM(Table2[[#This Row],[Category]])</f>
        <v>Technology</v>
      </c>
      <c r="N816" t="s">
        <v>385</v>
      </c>
      <c r="O816" t="s">
        <v>781</v>
      </c>
      <c r="P816">
        <v>13</v>
      </c>
      <c r="Q816">
        <v>154311.35999999999</v>
      </c>
      <c r="R816">
        <v>20</v>
      </c>
      <c r="S816">
        <v>401209.54</v>
      </c>
      <c r="T816">
        <v>1604838.14</v>
      </c>
      <c r="U816">
        <v>453857.98</v>
      </c>
    </row>
    <row r="817" spans="1:21" ht="15" customHeight="1" x14ac:dyDescent="0.25">
      <c r="A817" t="s">
        <v>1866</v>
      </c>
      <c r="B817" s="8">
        <v>44784</v>
      </c>
      <c r="C817" s="8">
        <v>44787</v>
      </c>
      <c r="D817" t="s">
        <v>20</v>
      </c>
      <c r="E817" t="s">
        <v>3053</v>
      </c>
      <c r="F817" t="s">
        <v>3062</v>
      </c>
      <c r="G817" t="s">
        <v>1868</v>
      </c>
      <c r="H817">
        <v>7038280643</v>
      </c>
      <c r="I817" t="s">
        <v>24</v>
      </c>
      <c r="J817" t="s">
        <v>69</v>
      </c>
      <c r="K817" t="s">
        <v>119</v>
      </c>
      <c r="L817" t="s">
        <v>96</v>
      </c>
      <c r="M817" t="str">
        <f>TRIM(Table2[[#This Row],[Category]])</f>
        <v>Technology</v>
      </c>
      <c r="N817" t="s">
        <v>97</v>
      </c>
      <c r="O817" t="s">
        <v>443</v>
      </c>
      <c r="P817">
        <v>10</v>
      </c>
      <c r="Q817">
        <v>63139.55</v>
      </c>
      <c r="R817">
        <v>0</v>
      </c>
      <c r="S817">
        <v>0</v>
      </c>
      <c r="T817">
        <v>631395.5</v>
      </c>
      <c r="U817">
        <v>-44066.23</v>
      </c>
    </row>
    <row r="818" spans="1:21" ht="15" customHeight="1" x14ac:dyDescent="0.25">
      <c r="A818" t="s">
        <v>2302</v>
      </c>
      <c r="B818" s="8">
        <v>44790</v>
      </c>
      <c r="C818" s="8">
        <v>44792</v>
      </c>
      <c r="D818" t="s">
        <v>20</v>
      </c>
      <c r="E818" t="s">
        <v>3068</v>
      </c>
      <c r="F818" t="s">
        <v>3077</v>
      </c>
      <c r="G818" t="s">
        <v>2303</v>
      </c>
      <c r="H818">
        <v>8032342330</v>
      </c>
      <c r="I818" t="s">
        <v>24</v>
      </c>
      <c r="J818" t="s">
        <v>69</v>
      </c>
      <c r="K818" t="s">
        <v>144</v>
      </c>
      <c r="L818" t="s">
        <v>85</v>
      </c>
      <c r="M818" t="str">
        <f>TRIM(Table2[[#This Row],[Category]])</f>
        <v>Furniture</v>
      </c>
      <c r="N818" t="s">
        <v>86</v>
      </c>
      <c r="O818" t="s">
        <v>178</v>
      </c>
      <c r="P818">
        <v>19</v>
      </c>
      <c r="Q818">
        <v>171090.61</v>
      </c>
      <c r="R818">
        <v>10</v>
      </c>
      <c r="S818">
        <v>325072.15999999997</v>
      </c>
      <c r="T818">
        <v>2925649.43</v>
      </c>
      <c r="U818">
        <v>-91959.51</v>
      </c>
    </row>
    <row r="819" spans="1:21" ht="15" customHeight="1" x14ac:dyDescent="0.25">
      <c r="A819" t="s">
        <v>1381</v>
      </c>
      <c r="B819" s="8">
        <v>44791</v>
      </c>
      <c r="C819" s="8">
        <v>44793</v>
      </c>
      <c r="D819" t="s">
        <v>20</v>
      </c>
      <c r="E819" t="s">
        <v>3089</v>
      </c>
      <c r="F819" t="s">
        <v>3054</v>
      </c>
      <c r="G819" t="s">
        <v>1383</v>
      </c>
      <c r="H819">
        <v>8151380679</v>
      </c>
      <c r="I819" t="s">
        <v>35</v>
      </c>
      <c r="J819" t="s">
        <v>25</v>
      </c>
      <c r="K819" t="s">
        <v>26</v>
      </c>
      <c r="L819" t="s">
        <v>63</v>
      </c>
      <c r="M819" t="str">
        <f>TRIM(Table2[[#This Row],[Category]])</f>
        <v>Office Supplies</v>
      </c>
      <c r="N819" t="s">
        <v>64</v>
      </c>
      <c r="O819" t="s">
        <v>777</v>
      </c>
      <c r="P819">
        <v>16</v>
      </c>
      <c r="Q819">
        <v>23327.18</v>
      </c>
      <c r="R819">
        <v>10</v>
      </c>
      <c r="S819">
        <v>37323.49</v>
      </c>
      <c r="T819">
        <v>335911.39</v>
      </c>
      <c r="U819">
        <v>34289.160000000003</v>
      </c>
    </row>
    <row r="820" spans="1:21" ht="15" customHeight="1" x14ac:dyDescent="0.25">
      <c r="A820" t="s">
        <v>1284</v>
      </c>
      <c r="B820" s="8">
        <v>44793</v>
      </c>
      <c r="C820" s="8">
        <v>44796</v>
      </c>
      <c r="D820" t="s">
        <v>20</v>
      </c>
      <c r="E820" t="s">
        <v>3081</v>
      </c>
      <c r="F820" t="s">
        <v>3054</v>
      </c>
      <c r="G820" t="s">
        <v>1285</v>
      </c>
      <c r="H820">
        <v>8149672974</v>
      </c>
      <c r="I820" t="s">
        <v>43</v>
      </c>
      <c r="J820" t="s">
        <v>25</v>
      </c>
      <c r="K820" t="s">
        <v>36</v>
      </c>
      <c r="L820" t="s">
        <v>96</v>
      </c>
      <c r="M820" t="str">
        <f>TRIM(Table2[[#This Row],[Category]])</f>
        <v>Technology</v>
      </c>
      <c r="N820" t="s">
        <v>254</v>
      </c>
      <c r="O820" t="s">
        <v>452</v>
      </c>
      <c r="P820">
        <v>16</v>
      </c>
      <c r="Q820">
        <v>53474.16</v>
      </c>
      <c r="R820">
        <v>0</v>
      </c>
      <c r="S820">
        <v>0</v>
      </c>
      <c r="T820">
        <v>855586.56</v>
      </c>
      <c r="U820">
        <v>222832.74</v>
      </c>
    </row>
    <row r="821" spans="1:21" ht="15" customHeight="1" x14ac:dyDescent="0.25">
      <c r="A821" t="s">
        <v>137</v>
      </c>
      <c r="B821" s="8">
        <v>44798</v>
      </c>
      <c r="C821" s="8">
        <v>44800</v>
      </c>
      <c r="D821" t="s">
        <v>20</v>
      </c>
      <c r="E821" t="s">
        <v>3060</v>
      </c>
      <c r="F821" t="s">
        <v>3054</v>
      </c>
      <c r="G821" t="s">
        <v>139</v>
      </c>
      <c r="H821">
        <v>8164533779</v>
      </c>
      <c r="I821" t="s">
        <v>35</v>
      </c>
      <c r="J821" t="s">
        <v>51</v>
      </c>
      <c r="K821" t="s">
        <v>52</v>
      </c>
      <c r="L821" t="s">
        <v>63</v>
      </c>
      <c r="M821" t="str">
        <f>TRIM(Table2[[#This Row],[Category]])</f>
        <v>Office Supplies</v>
      </c>
      <c r="N821" t="s">
        <v>54</v>
      </c>
      <c r="O821" t="s">
        <v>55</v>
      </c>
      <c r="P821">
        <v>9</v>
      </c>
      <c r="Q821">
        <v>12882.52</v>
      </c>
      <c r="R821">
        <v>0</v>
      </c>
      <c r="S821">
        <v>0</v>
      </c>
      <c r="T821">
        <v>115942.68</v>
      </c>
      <c r="U821">
        <v>-10970.6</v>
      </c>
    </row>
    <row r="822" spans="1:21" ht="15" customHeight="1" x14ac:dyDescent="0.25">
      <c r="A822" t="s">
        <v>1929</v>
      </c>
      <c r="B822" s="8">
        <v>44804</v>
      </c>
      <c r="C822" s="8">
        <v>44807</v>
      </c>
      <c r="D822" t="s">
        <v>20</v>
      </c>
      <c r="E822" t="s">
        <v>3081</v>
      </c>
      <c r="F822" t="s">
        <v>3090</v>
      </c>
      <c r="G822" t="s">
        <v>768</v>
      </c>
      <c r="H822" t="s">
        <v>1930</v>
      </c>
      <c r="I822" t="s">
        <v>125</v>
      </c>
      <c r="J822" t="s">
        <v>51</v>
      </c>
      <c r="K822" t="s">
        <v>223</v>
      </c>
      <c r="L822" t="s">
        <v>27</v>
      </c>
      <c r="M822" t="str">
        <f>TRIM(Table2[[#This Row],[Category]])</f>
        <v>Food &amp; Beverages</v>
      </c>
      <c r="N822" t="s">
        <v>45</v>
      </c>
      <c r="O822" t="s">
        <v>46</v>
      </c>
      <c r="P822">
        <v>14</v>
      </c>
      <c r="Q822">
        <v>1696.51</v>
      </c>
      <c r="R822">
        <v>0</v>
      </c>
      <c r="S822">
        <v>0</v>
      </c>
      <c r="T822">
        <v>23751.14</v>
      </c>
      <c r="U822">
        <v>9164.8700000000008</v>
      </c>
    </row>
    <row r="823" spans="1:21" ht="15" customHeight="1" x14ac:dyDescent="0.25">
      <c r="A823" t="s">
        <v>170</v>
      </c>
      <c r="B823" s="8">
        <v>44822</v>
      </c>
      <c r="C823" s="8">
        <v>44824</v>
      </c>
      <c r="D823" t="s">
        <v>20</v>
      </c>
      <c r="E823" t="s">
        <v>3051</v>
      </c>
      <c r="F823" t="s">
        <v>3069</v>
      </c>
      <c r="G823" t="s">
        <v>172</v>
      </c>
      <c r="H823">
        <v>9073919694</v>
      </c>
      <c r="I823" t="s">
        <v>43</v>
      </c>
      <c r="J823" t="s">
        <v>69</v>
      </c>
      <c r="K823" t="s">
        <v>144</v>
      </c>
      <c r="L823" t="s">
        <v>27</v>
      </c>
      <c r="M823" t="str">
        <f>TRIM(Table2[[#This Row],[Category]])</f>
        <v>Food &amp; Beverages</v>
      </c>
      <c r="N823" t="s">
        <v>173</v>
      </c>
      <c r="O823" t="s">
        <v>174</v>
      </c>
      <c r="P823">
        <v>1</v>
      </c>
      <c r="Q823">
        <v>3426.78</v>
      </c>
      <c r="R823">
        <v>10</v>
      </c>
      <c r="S823">
        <v>342.68</v>
      </c>
      <c r="T823">
        <v>3084.1</v>
      </c>
      <c r="U823">
        <v>68.31</v>
      </c>
    </row>
    <row r="824" spans="1:21" ht="15" customHeight="1" x14ac:dyDescent="0.25">
      <c r="A824" t="s">
        <v>809</v>
      </c>
      <c r="B824" s="8">
        <v>44822</v>
      </c>
      <c r="C824" s="8">
        <v>44824</v>
      </c>
      <c r="D824" t="s">
        <v>20</v>
      </c>
      <c r="E824" t="s">
        <v>3049</v>
      </c>
      <c r="F824" t="s">
        <v>3078</v>
      </c>
      <c r="G824" t="s">
        <v>811</v>
      </c>
      <c r="H824">
        <v>8031543292</v>
      </c>
      <c r="I824" t="s">
        <v>43</v>
      </c>
      <c r="J824" t="s">
        <v>61</v>
      </c>
      <c r="K824" t="s">
        <v>204</v>
      </c>
      <c r="L824" t="s">
        <v>85</v>
      </c>
      <c r="M824" t="str">
        <f>TRIM(Table2[[#This Row],[Category]])</f>
        <v>Furniture</v>
      </c>
      <c r="N824" t="s">
        <v>266</v>
      </c>
      <c r="O824" t="s">
        <v>593</v>
      </c>
      <c r="P824">
        <v>20</v>
      </c>
      <c r="Q824">
        <v>166418.57</v>
      </c>
      <c r="R824">
        <v>5</v>
      </c>
      <c r="S824">
        <v>166418.57</v>
      </c>
      <c r="T824">
        <v>3161952.83</v>
      </c>
      <c r="U824">
        <v>739226.83</v>
      </c>
    </row>
    <row r="825" spans="1:21" ht="15" customHeight="1" x14ac:dyDescent="0.25">
      <c r="A825" t="s">
        <v>1842</v>
      </c>
      <c r="B825" s="8">
        <v>44825</v>
      </c>
      <c r="C825" s="8">
        <v>44828</v>
      </c>
      <c r="D825" t="s">
        <v>20</v>
      </c>
      <c r="E825" t="s">
        <v>3044</v>
      </c>
      <c r="F825" t="s">
        <v>3077</v>
      </c>
      <c r="G825" t="s">
        <v>1844</v>
      </c>
      <c r="H825">
        <v>8167405244</v>
      </c>
      <c r="I825" t="s">
        <v>43</v>
      </c>
      <c r="J825" t="s">
        <v>61</v>
      </c>
      <c r="K825" t="s">
        <v>84</v>
      </c>
      <c r="L825" t="s">
        <v>85</v>
      </c>
      <c r="M825" t="str">
        <f>TRIM(Table2[[#This Row],[Category]])</f>
        <v>Furniture</v>
      </c>
      <c r="N825" t="s">
        <v>486</v>
      </c>
      <c r="O825" t="s">
        <v>1018</v>
      </c>
      <c r="P825">
        <v>9</v>
      </c>
      <c r="Q825">
        <v>22319.7</v>
      </c>
      <c r="R825">
        <v>15</v>
      </c>
      <c r="S825">
        <v>30131.599999999999</v>
      </c>
      <c r="T825">
        <v>170745.7</v>
      </c>
      <c r="U825">
        <v>70709.14</v>
      </c>
    </row>
    <row r="826" spans="1:21" ht="15" customHeight="1" x14ac:dyDescent="0.25">
      <c r="A826" t="s">
        <v>2217</v>
      </c>
      <c r="B826" s="8">
        <v>44826</v>
      </c>
      <c r="C826" s="8">
        <v>44828</v>
      </c>
      <c r="D826" t="s">
        <v>20</v>
      </c>
      <c r="E826" t="s">
        <v>3047</v>
      </c>
      <c r="F826" t="s">
        <v>3079</v>
      </c>
      <c r="G826" t="s">
        <v>2218</v>
      </c>
      <c r="H826">
        <v>8066591646</v>
      </c>
      <c r="I826" t="s">
        <v>24</v>
      </c>
      <c r="J826" t="s">
        <v>414</v>
      </c>
      <c r="K826" t="s">
        <v>36</v>
      </c>
      <c r="L826" t="s">
        <v>63</v>
      </c>
      <c r="M826" t="str">
        <f>TRIM(Table2[[#This Row],[Category]])</f>
        <v>Office Supplies</v>
      </c>
      <c r="N826" t="s">
        <v>194</v>
      </c>
      <c r="O826" t="s">
        <v>195</v>
      </c>
      <c r="P826">
        <v>2</v>
      </c>
      <c r="Q826">
        <v>2054.89</v>
      </c>
      <c r="R826">
        <v>25</v>
      </c>
      <c r="S826">
        <v>1027.44</v>
      </c>
      <c r="T826">
        <v>3082.34</v>
      </c>
      <c r="U826">
        <v>-73.12</v>
      </c>
    </row>
    <row r="827" spans="1:21" ht="15" customHeight="1" x14ac:dyDescent="0.25">
      <c r="A827" t="s">
        <v>2961</v>
      </c>
      <c r="B827" s="8">
        <v>44833</v>
      </c>
      <c r="C827" s="8">
        <v>44836</v>
      </c>
      <c r="D827" t="s">
        <v>20</v>
      </c>
      <c r="E827" t="s">
        <v>3089</v>
      </c>
      <c r="F827" t="s">
        <v>3077</v>
      </c>
      <c r="G827" t="s">
        <v>2809</v>
      </c>
      <c r="H827">
        <v>7063034475</v>
      </c>
      <c r="I827" t="s">
        <v>24</v>
      </c>
      <c r="J827" t="s">
        <v>61</v>
      </c>
      <c r="K827" t="s">
        <v>84</v>
      </c>
      <c r="L827" t="s">
        <v>85</v>
      </c>
      <c r="M827" t="str">
        <f>TRIM(Table2[[#This Row],[Category]])</f>
        <v>Furniture</v>
      </c>
      <c r="N827" t="s">
        <v>218</v>
      </c>
      <c r="O827" t="s">
        <v>219</v>
      </c>
      <c r="P827">
        <v>18</v>
      </c>
      <c r="Q827">
        <v>20785.8</v>
      </c>
      <c r="R827">
        <v>10</v>
      </c>
      <c r="S827">
        <v>37414.44</v>
      </c>
      <c r="T827">
        <v>336729.96</v>
      </c>
      <c r="U827">
        <v>11536.01</v>
      </c>
    </row>
    <row r="828" spans="1:21" ht="15" customHeight="1" x14ac:dyDescent="0.25">
      <c r="A828" t="s">
        <v>2384</v>
      </c>
      <c r="B828" s="8">
        <v>44848</v>
      </c>
      <c r="C828" s="8">
        <v>44851</v>
      </c>
      <c r="D828" t="s">
        <v>20</v>
      </c>
      <c r="E828" t="s">
        <v>3091</v>
      </c>
      <c r="F828" t="s">
        <v>3046</v>
      </c>
      <c r="G828" t="s">
        <v>2386</v>
      </c>
      <c r="H828">
        <v>8135293781</v>
      </c>
      <c r="I828" t="s">
        <v>43</v>
      </c>
      <c r="J828" t="s">
        <v>69</v>
      </c>
      <c r="K828" t="s">
        <v>307</v>
      </c>
      <c r="L828" t="s">
        <v>63</v>
      </c>
      <c r="M828" t="str">
        <f>TRIM(Table2[[#This Row],[Category]])</f>
        <v>Office Supplies</v>
      </c>
      <c r="N828" t="s">
        <v>194</v>
      </c>
      <c r="O828" t="s">
        <v>716</v>
      </c>
      <c r="P828">
        <v>14</v>
      </c>
      <c r="Q828">
        <v>1080.1400000000001</v>
      </c>
      <c r="R828">
        <v>15</v>
      </c>
      <c r="S828">
        <v>2268.29</v>
      </c>
      <c r="T828">
        <v>12853.67</v>
      </c>
      <c r="U828">
        <v>583.70000000000005</v>
      </c>
    </row>
    <row r="829" spans="1:21" ht="15" customHeight="1" x14ac:dyDescent="0.25">
      <c r="A829" t="s">
        <v>2448</v>
      </c>
      <c r="B829" s="8">
        <v>44849</v>
      </c>
      <c r="C829" s="8">
        <v>44852</v>
      </c>
      <c r="D829" t="s">
        <v>20</v>
      </c>
      <c r="E829" t="s">
        <v>3056</v>
      </c>
      <c r="F829" t="s">
        <v>3034</v>
      </c>
      <c r="G829" t="s">
        <v>1032</v>
      </c>
      <c r="H829">
        <v>8138438704</v>
      </c>
      <c r="I829" t="s">
        <v>35</v>
      </c>
      <c r="J829" t="s">
        <v>51</v>
      </c>
      <c r="K829" t="s">
        <v>52</v>
      </c>
      <c r="L829" t="s">
        <v>85</v>
      </c>
      <c r="M829" t="str">
        <f>TRIM(Table2[[#This Row],[Category]])</f>
        <v>Furniture</v>
      </c>
      <c r="N829" t="s">
        <v>243</v>
      </c>
      <c r="O829" t="s">
        <v>404</v>
      </c>
      <c r="P829">
        <v>4</v>
      </c>
      <c r="Q829">
        <v>9852.27</v>
      </c>
      <c r="R829">
        <v>25</v>
      </c>
      <c r="S829">
        <v>9852.27</v>
      </c>
      <c r="T829">
        <v>29556.81</v>
      </c>
      <c r="U829">
        <v>1084.6300000000001</v>
      </c>
    </row>
    <row r="830" spans="1:21" ht="15" customHeight="1" x14ac:dyDescent="0.25">
      <c r="A830" t="s">
        <v>1941</v>
      </c>
      <c r="B830" s="8">
        <v>44851</v>
      </c>
      <c r="C830" s="8">
        <v>44853</v>
      </c>
      <c r="D830" t="s">
        <v>20</v>
      </c>
      <c r="E830" t="s">
        <v>3059</v>
      </c>
      <c r="F830" t="s">
        <v>3050</v>
      </c>
      <c r="G830" t="s">
        <v>1943</v>
      </c>
      <c r="H830">
        <v>9057987624</v>
      </c>
      <c r="I830" t="s">
        <v>35</v>
      </c>
      <c r="J830" t="s">
        <v>61</v>
      </c>
      <c r="K830" t="s">
        <v>95</v>
      </c>
      <c r="L830" t="s">
        <v>85</v>
      </c>
      <c r="M830" t="str">
        <f>TRIM(Table2[[#This Row],[Category]])</f>
        <v>Furniture</v>
      </c>
      <c r="N830" t="s">
        <v>218</v>
      </c>
      <c r="O830" t="s">
        <v>219</v>
      </c>
      <c r="P830">
        <v>17</v>
      </c>
      <c r="Q830">
        <v>135891.97</v>
      </c>
      <c r="R830">
        <v>10</v>
      </c>
      <c r="S830">
        <v>231016.35</v>
      </c>
      <c r="T830">
        <v>2079147.14</v>
      </c>
      <c r="U830">
        <v>274677.58</v>
      </c>
    </row>
    <row r="831" spans="1:21" ht="15" customHeight="1" x14ac:dyDescent="0.25">
      <c r="A831" t="s">
        <v>687</v>
      </c>
      <c r="B831" s="8">
        <v>44851</v>
      </c>
      <c r="C831" s="8">
        <v>44854</v>
      </c>
      <c r="D831" t="s">
        <v>20</v>
      </c>
      <c r="E831" t="s">
        <v>3051</v>
      </c>
      <c r="F831" t="s">
        <v>3088</v>
      </c>
      <c r="G831" t="s">
        <v>689</v>
      </c>
      <c r="H831">
        <v>9057437584</v>
      </c>
      <c r="I831" t="s">
        <v>35</v>
      </c>
      <c r="J831" t="s">
        <v>51</v>
      </c>
      <c r="K831" t="s">
        <v>52</v>
      </c>
      <c r="L831" t="s">
        <v>108</v>
      </c>
      <c r="M831" t="str">
        <f>TRIM(Table2[[#This Row],[Category]])</f>
        <v>Clothing</v>
      </c>
      <c r="N831" t="s">
        <v>109</v>
      </c>
      <c r="O831" t="s">
        <v>690</v>
      </c>
      <c r="P831">
        <v>6</v>
      </c>
      <c r="Q831">
        <v>29326.57</v>
      </c>
      <c r="R831">
        <v>25</v>
      </c>
      <c r="S831">
        <v>43989.86</v>
      </c>
      <c r="T831">
        <v>131969.56</v>
      </c>
      <c r="U831">
        <v>-6582.73</v>
      </c>
    </row>
    <row r="832" spans="1:21" ht="15" customHeight="1" x14ac:dyDescent="0.25">
      <c r="A832" t="s">
        <v>2258</v>
      </c>
      <c r="B832" s="8">
        <v>44854</v>
      </c>
      <c r="C832" s="8">
        <v>44857</v>
      </c>
      <c r="D832" t="s">
        <v>20</v>
      </c>
      <c r="E832" t="s">
        <v>3060</v>
      </c>
      <c r="F832" t="s">
        <v>3071</v>
      </c>
      <c r="G832" t="s">
        <v>2259</v>
      </c>
      <c r="H832">
        <v>9015203347</v>
      </c>
      <c r="I832" t="s">
        <v>24</v>
      </c>
      <c r="J832" t="s">
        <v>61</v>
      </c>
      <c r="K832" t="s">
        <v>62</v>
      </c>
      <c r="L832" t="s">
        <v>96</v>
      </c>
      <c r="M832" t="str">
        <f>TRIM(Table2[[#This Row],[Category]])</f>
        <v>Technology</v>
      </c>
      <c r="N832" t="s">
        <v>254</v>
      </c>
      <c r="O832" t="s">
        <v>530</v>
      </c>
      <c r="P832">
        <v>6</v>
      </c>
      <c r="Q832">
        <v>298660.07</v>
      </c>
      <c r="R832">
        <v>0</v>
      </c>
      <c r="S832">
        <v>0</v>
      </c>
      <c r="T832">
        <v>1791960.42</v>
      </c>
      <c r="U832">
        <v>662457.42000000004</v>
      </c>
    </row>
    <row r="833" spans="1:21" ht="15" customHeight="1" x14ac:dyDescent="0.25">
      <c r="A833" t="s">
        <v>2927</v>
      </c>
      <c r="B833" s="8">
        <v>44859</v>
      </c>
      <c r="C833" s="8">
        <v>44862</v>
      </c>
      <c r="D833" t="s">
        <v>20</v>
      </c>
      <c r="E833" t="s">
        <v>3035</v>
      </c>
      <c r="F833" t="s">
        <v>3045</v>
      </c>
      <c r="G833" t="s">
        <v>2929</v>
      </c>
      <c r="H833">
        <v>8106542417</v>
      </c>
      <c r="I833" t="s">
        <v>24</v>
      </c>
      <c r="J833" t="s">
        <v>69</v>
      </c>
      <c r="K833" t="s">
        <v>307</v>
      </c>
      <c r="L833" t="s">
        <v>27</v>
      </c>
      <c r="M833" t="str">
        <f>TRIM(Table2[[#This Row],[Category]])</f>
        <v>Food &amp; Beverages</v>
      </c>
      <c r="N833" t="s">
        <v>79</v>
      </c>
      <c r="O833" t="s">
        <v>80</v>
      </c>
      <c r="P833">
        <v>17</v>
      </c>
      <c r="Q833">
        <v>463.8</v>
      </c>
      <c r="R833">
        <v>10</v>
      </c>
      <c r="S833">
        <v>788.46</v>
      </c>
      <c r="T833">
        <v>7096.14</v>
      </c>
      <c r="U833">
        <v>1360.25</v>
      </c>
    </row>
    <row r="834" spans="1:21" ht="15" customHeight="1" x14ac:dyDescent="0.25">
      <c r="A834" t="s">
        <v>946</v>
      </c>
      <c r="B834" s="8">
        <v>44861</v>
      </c>
      <c r="C834" s="8">
        <v>44863</v>
      </c>
      <c r="D834" t="s">
        <v>20</v>
      </c>
      <c r="E834" t="s">
        <v>3076</v>
      </c>
      <c r="F834" t="s">
        <v>3052</v>
      </c>
      <c r="G834" t="s">
        <v>948</v>
      </c>
      <c r="H834">
        <v>7038593275</v>
      </c>
      <c r="I834" t="s">
        <v>24</v>
      </c>
      <c r="J834" t="s">
        <v>61</v>
      </c>
      <c r="K834" t="s">
        <v>182</v>
      </c>
      <c r="L834" t="str">
        <f>L833</f>
        <v>Food &amp; Beverages</v>
      </c>
      <c r="M834" t="str">
        <f>TRIM(Table2[[#This Row],[Category]])</f>
        <v>Food &amp; Beverages</v>
      </c>
      <c r="N834" t="s">
        <v>254</v>
      </c>
      <c r="O834" t="s">
        <v>452</v>
      </c>
      <c r="P834">
        <v>18</v>
      </c>
      <c r="Q834">
        <v>391206.05</v>
      </c>
      <c r="R834">
        <v>15</v>
      </c>
      <c r="S834">
        <v>1056256.33</v>
      </c>
      <c r="T834">
        <v>5985452.5700000003</v>
      </c>
      <c r="U834">
        <v>-44548.03</v>
      </c>
    </row>
    <row r="835" spans="1:21" ht="15" customHeight="1" x14ac:dyDescent="0.25">
      <c r="A835" t="s">
        <v>1573</v>
      </c>
      <c r="B835" s="8">
        <v>44871</v>
      </c>
      <c r="C835" s="8">
        <v>44873</v>
      </c>
      <c r="D835" t="s">
        <v>20</v>
      </c>
      <c r="E835" t="s">
        <v>3087</v>
      </c>
      <c r="F835" t="s">
        <v>3071</v>
      </c>
      <c r="G835" t="s">
        <v>1575</v>
      </c>
      <c r="H835">
        <v>8032861110</v>
      </c>
      <c r="I835" t="s">
        <v>35</v>
      </c>
      <c r="J835" t="s">
        <v>51</v>
      </c>
      <c r="K835" t="s">
        <v>223</v>
      </c>
      <c r="L835" t="s">
        <v>96</v>
      </c>
      <c r="M835" t="str">
        <f>TRIM(Table2[[#This Row],[Category]])</f>
        <v>Technology</v>
      </c>
      <c r="N835" t="s">
        <v>254</v>
      </c>
      <c r="O835" t="s">
        <v>452</v>
      </c>
      <c r="P835">
        <v>4</v>
      </c>
      <c r="Q835">
        <v>355237.97</v>
      </c>
      <c r="R835">
        <v>25</v>
      </c>
      <c r="S835">
        <v>355237.97</v>
      </c>
      <c r="T835">
        <v>1065713.9099999999</v>
      </c>
      <c r="U835">
        <v>-133020.64000000001</v>
      </c>
    </row>
    <row r="836" spans="1:21" ht="15" customHeight="1" x14ac:dyDescent="0.25">
      <c r="A836" t="s">
        <v>987</v>
      </c>
      <c r="B836" s="8">
        <v>44874</v>
      </c>
      <c r="C836" s="8">
        <v>44877</v>
      </c>
      <c r="D836" t="s">
        <v>20</v>
      </c>
      <c r="E836" t="s">
        <v>3041</v>
      </c>
      <c r="F836" t="s">
        <v>3066</v>
      </c>
      <c r="G836" t="s">
        <v>989</v>
      </c>
      <c r="H836">
        <v>8036254872</v>
      </c>
      <c r="I836" t="s">
        <v>24</v>
      </c>
      <c r="J836" t="s">
        <v>69</v>
      </c>
      <c r="K836" t="s">
        <v>144</v>
      </c>
      <c r="L836" t="s">
        <v>85</v>
      </c>
      <c r="M836" t="str">
        <f>TRIM(Table2[[#This Row],[Category]])</f>
        <v>Furniture</v>
      </c>
      <c r="N836" t="s">
        <v>218</v>
      </c>
      <c r="O836" t="s">
        <v>219</v>
      </c>
      <c r="P836">
        <v>12</v>
      </c>
      <c r="Q836">
        <v>55588.93</v>
      </c>
      <c r="R836">
        <v>0</v>
      </c>
      <c r="S836">
        <v>0</v>
      </c>
      <c r="T836">
        <v>667067.16</v>
      </c>
      <c r="U836">
        <v>171935.3</v>
      </c>
    </row>
    <row r="837" spans="1:21" ht="15" customHeight="1" x14ac:dyDescent="0.25">
      <c r="A837" t="s">
        <v>1156</v>
      </c>
      <c r="B837" s="8">
        <v>44881</v>
      </c>
      <c r="C837" s="8">
        <v>44883</v>
      </c>
      <c r="D837" t="s">
        <v>20</v>
      </c>
      <c r="E837" t="s">
        <v>3056</v>
      </c>
      <c r="F837" t="s">
        <v>3034</v>
      </c>
      <c r="G837" t="s">
        <v>1157</v>
      </c>
      <c r="H837">
        <v>8133477610</v>
      </c>
      <c r="I837" t="s">
        <v>24</v>
      </c>
      <c r="J837" t="s">
        <v>61</v>
      </c>
      <c r="K837" t="s">
        <v>62</v>
      </c>
      <c r="L837" t="s">
        <v>63</v>
      </c>
      <c r="M837" t="str">
        <f>TRIM(Table2[[#This Row],[Category]])</f>
        <v>Office Supplies</v>
      </c>
      <c r="N837" t="s">
        <v>249</v>
      </c>
      <c r="O837" t="s">
        <v>1141</v>
      </c>
      <c r="P837">
        <v>4</v>
      </c>
      <c r="Q837">
        <v>17497.98</v>
      </c>
      <c r="R837">
        <v>10</v>
      </c>
      <c r="S837">
        <v>6999.19</v>
      </c>
      <c r="T837">
        <v>62992.73</v>
      </c>
      <c r="U837">
        <v>7561.45</v>
      </c>
    </row>
    <row r="838" spans="1:21" ht="15" customHeight="1" x14ac:dyDescent="0.25">
      <c r="A838" t="s">
        <v>1570</v>
      </c>
      <c r="B838" s="8">
        <v>44886</v>
      </c>
      <c r="C838" s="8">
        <v>44888</v>
      </c>
      <c r="D838" t="s">
        <v>20</v>
      </c>
      <c r="E838" t="s">
        <v>3092</v>
      </c>
      <c r="F838" t="s">
        <v>3090</v>
      </c>
      <c r="G838" t="s">
        <v>1572</v>
      </c>
      <c r="H838">
        <v>7038224612</v>
      </c>
      <c r="I838" t="s">
        <v>43</v>
      </c>
      <c r="J838" t="s">
        <v>25</v>
      </c>
      <c r="K838" t="s">
        <v>44</v>
      </c>
      <c r="L838" t="s">
        <v>96</v>
      </c>
      <c r="M838" t="str">
        <f>TRIM(Table2[[#This Row],[Category]])</f>
        <v>Technology</v>
      </c>
      <c r="N838" t="s">
        <v>254</v>
      </c>
      <c r="O838" t="s">
        <v>255</v>
      </c>
      <c r="P838">
        <v>8</v>
      </c>
      <c r="Q838">
        <v>67499.289999999994</v>
      </c>
      <c r="R838">
        <v>20</v>
      </c>
      <c r="S838">
        <v>107998.86</v>
      </c>
      <c r="T838">
        <v>431995.46</v>
      </c>
      <c r="U838">
        <v>2027.48</v>
      </c>
    </row>
    <row r="839" spans="1:21" ht="15" customHeight="1" x14ac:dyDescent="0.25">
      <c r="A839" t="s">
        <v>1454</v>
      </c>
      <c r="B839" s="8">
        <v>44898</v>
      </c>
      <c r="C839" s="8">
        <v>44901</v>
      </c>
      <c r="D839" t="s">
        <v>20</v>
      </c>
      <c r="E839" t="s">
        <v>3068</v>
      </c>
      <c r="F839" t="s">
        <v>3054</v>
      </c>
      <c r="G839" t="s">
        <v>1456</v>
      </c>
      <c r="H839">
        <v>9017527687</v>
      </c>
      <c r="I839" t="s">
        <v>24</v>
      </c>
      <c r="J839" t="s">
        <v>25</v>
      </c>
      <c r="K839" t="s">
        <v>126</v>
      </c>
      <c r="L839" t="s">
        <v>108</v>
      </c>
      <c r="M839" t="str">
        <f>TRIM(Table2[[#This Row],[Category]])</f>
        <v>Clothing</v>
      </c>
      <c r="N839" t="s">
        <v>114</v>
      </c>
      <c r="O839" t="s">
        <v>891</v>
      </c>
      <c r="P839">
        <v>18</v>
      </c>
      <c r="Q839">
        <v>31026.06</v>
      </c>
      <c r="R839">
        <v>25</v>
      </c>
      <c r="S839">
        <v>139617.26999999999</v>
      </c>
      <c r="T839">
        <v>418851.81</v>
      </c>
      <c r="U839">
        <v>80975</v>
      </c>
    </row>
    <row r="840" spans="1:21" ht="15" customHeight="1" x14ac:dyDescent="0.25">
      <c r="A840" t="s">
        <v>663</v>
      </c>
      <c r="B840" s="8">
        <v>44902</v>
      </c>
      <c r="C840" s="8">
        <v>44904</v>
      </c>
      <c r="D840" t="s">
        <v>664</v>
      </c>
      <c r="E840" t="s">
        <v>3094</v>
      </c>
      <c r="F840" t="s">
        <v>3040</v>
      </c>
      <c r="G840" t="s">
        <v>666</v>
      </c>
      <c r="H840">
        <v>9026563269</v>
      </c>
      <c r="I840" t="s">
        <v>35</v>
      </c>
      <c r="J840" t="s">
        <v>25</v>
      </c>
      <c r="K840" t="s">
        <v>26</v>
      </c>
      <c r="L840" t="s">
        <v>108</v>
      </c>
      <c r="M840" t="str">
        <f>TRIM(Table2[[#This Row],[Category]])</f>
        <v>Clothing</v>
      </c>
      <c r="N840" t="s">
        <v>114</v>
      </c>
      <c r="O840" t="s">
        <v>291</v>
      </c>
      <c r="P840">
        <v>8</v>
      </c>
      <c r="Q840">
        <v>6240.08</v>
      </c>
      <c r="R840">
        <v>25</v>
      </c>
      <c r="S840">
        <v>12480.16</v>
      </c>
      <c r="T840">
        <v>37440.480000000003</v>
      </c>
      <c r="U840">
        <v>11161.45</v>
      </c>
    </row>
    <row r="841" spans="1:21" ht="15" customHeight="1" x14ac:dyDescent="0.25">
      <c r="A841" t="s">
        <v>1467</v>
      </c>
      <c r="B841" s="8">
        <v>44909</v>
      </c>
      <c r="C841" s="8">
        <v>44911</v>
      </c>
      <c r="D841" t="s">
        <v>20</v>
      </c>
      <c r="E841" t="s">
        <v>3037</v>
      </c>
      <c r="F841" t="s">
        <v>3074</v>
      </c>
      <c r="G841" t="s">
        <v>1453</v>
      </c>
      <c r="H841">
        <v>8148087921</v>
      </c>
      <c r="I841" t="s">
        <v>35</v>
      </c>
      <c r="J841" t="s">
        <v>25</v>
      </c>
      <c r="K841" t="s">
        <v>44</v>
      </c>
      <c r="L841" t="s">
        <v>27</v>
      </c>
      <c r="M841" t="str">
        <f>TRIM(Table2[[#This Row],[Category]])</f>
        <v>Food &amp; Beverages</v>
      </c>
      <c r="N841" t="s">
        <v>173</v>
      </c>
      <c r="O841" t="s">
        <v>662</v>
      </c>
      <c r="P841">
        <v>16</v>
      </c>
      <c r="Q841">
        <v>2352.9699999999998</v>
      </c>
      <c r="R841">
        <v>0</v>
      </c>
      <c r="S841">
        <v>0</v>
      </c>
      <c r="T841">
        <v>37647.519999999997</v>
      </c>
      <c r="U841">
        <v>16619.830000000002</v>
      </c>
    </row>
    <row r="842" spans="1:21" ht="15" customHeight="1" x14ac:dyDescent="0.25">
      <c r="A842" t="s">
        <v>2888</v>
      </c>
      <c r="B842" s="8">
        <v>44911</v>
      </c>
      <c r="C842" s="8">
        <v>44914</v>
      </c>
      <c r="D842" t="s">
        <v>20</v>
      </c>
      <c r="E842" t="s">
        <v>3051</v>
      </c>
      <c r="F842" t="s">
        <v>3064</v>
      </c>
      <c r="G842" t="s">
        <v>898</v>
      </c>
      <c r="H842">
        <v>8035072102</v>
      </c>
      <c r="I842" t="s">
        <v>24</v>
      </c>
      <c r="J842" t="s">
        <v>69</v>
      </c>
      <c r="K842" t="s">
        <v>155</v>
      </c>
      <c r="L842" t="s">
        <v>108</v>
      </c>
      <c r="M842" t="str">
        <f>TRIM(Table2[[#This Row],[Category]])</f>
        <v>Clothing</v>
      </c>
      <c r="N842" t="s">
        <v>109</v>
      </c>
      <c r="O842" t="s">
        <v>157</v>
      </c>
      <c r="P842">
        <v>17</v>
      </c>
      <c r="Q842">
        <v>33056.730000000003</v>
      </c>
      <c r="R842">
        <v>15</v>
      </c>
      <c r="S842">
        <v>84294.66</v>
      </c>
      <c r="T842">
        <v>477669.75</v>
      </c>
      <c r="U842">
        <v>-10353.69</v>
      </c>
    </row>
    <row r="843" spans="1:21" ht="15" customHeight="1" x14ac:dyDescent="0.25">
      <c r="A843" t="s">
        <v>1389</v>
      </c>
      <c r="B843" s="8">
        <v>44913</v>
      </c>
      <c r="C843" s="8">
        <v>44916</v>
      </c>
      <c r="D843" t="s">
        <v>20</v>
      </c>
      <c r="E843" t="s">
        <v>3067</v>
      </c>
      <c r="F843" t="s">
        <v>3083</v>
      </c>
      <c r="G843" t="s">
        <v>1391</v>
      </c>
      <c r="H843">
        <v>8161793880</v>
      </c>
      <c r="I843" t="s">
        <v>35</v>
      </c>
      <c r="J843" t="s">
        <v>51</v>
      </c>
      <c r="K843" t="s">
        <v>227</v>
      </c>
      <c r="L843" t="s">
        <v>85</v>
      </c>
      <c r="M843" t="str">
        <f>TRIM(Table2[[#This Row],[Category]])</f>
        <v>Furniture</v>
      </c>
      <c r="N843" t="s">
        <v>243</v>
      </c>
      <c r="O843" t="s">
        <v>404</v>
      </c>
      <c r="P843">
        <v>6</v>
      </c>
      <c r="Q843">
        <v>86419.36</v>
      </c>
      <c r="R843">
        <v>0</v>
      </c>
      <c r="S843">
        <v>0</v>
      </c>
      <c r="T843">
        <v>518516.16</v>
      </c>
      <c r="U843">
        <v>143674.23999999999</v>
      </c>
    </row>
    <row r="844" spans="1:21" ht="15" customHeight="1" x14ac:dyDescent="0.25">
      <c r="A844" t="s">
        <v>1682</v>
      </c>
      <c r="B844" s="8">
        <v>44918</v>
      </c>
      <c r="C844" s="8">
        <v>44920</v>
      </c>
      <c r="D844" t="s">
        <v>20</v>
      </c>
      <c r="E844" t="s">
        <v>3061</v>
      </c>
      <c r="F844" t="s">
        <v>3034</v>
      </c>
      <c r="G844" t="s">
        <v>1684</v>
      </c>
      <c r="H844">
        <v>7035126595</v>
      </c>
      <c r="I844" t="s">
        <v>35</v>
      </c>
      <c r="J844" t="s">
        <v>25</v>
      </c>
      <c r="K844" t="s">
        <v>126</v>
      </c>
      <c r="L844" t="s">
        <v>85</v>
      </c>
      <c r="M844" t="str">
        <f>TRIM(Table2[[#This Row],[Category]])</f>
        <v>Furniture</v>
      </c>
      <c r="N844" t="s">
        <v>218</v>
      </c>
      <c r="O844" t="s">
        <v>321</v>
      </c>
      <c r="P844">
        <v>9</v>
      </c>
      <c r="Q844">
        <v>38285.32</v>
      </c>
      <c r="R844">
        <v>0</v>
      </c>
      <c r="S844">
        <v>0</v>
      </c>
      <c r="T844">
        <v>344567.88</v>
      </c>
      <c r="U844">
        <v>-47344.92</v>
      </c>
    </row>
    <row r="845" spans="1:21" ht="15" customHeight="1" x14ac:dyDescent="0.25">
      <c r="A845" t="s">
        <v>880</v>
      </c>
      <c r="B845" s="8">
        <v>44924</v>
      </c>
      <c r="C845" s="8">
        <v>44927</v>
      </c>
      <c r="D845" t="s">
        <v>20</v>
      </c>
      <c r="E845" t="s">
        <v>3087</v>
      </c>
      <c r="F845" t="s">
        <v>3046</v>
      </c>
      <c r="G845" t="s">
        <v>882</v>
      </c>
      <c r="H845">
        <v>8164512853</v>
      </c>
      <c r="I845" t="s">
        <v>43</v>
      </c>
      <c r="J845" t="s">
        <v>61</v>
      </c>
      <c r="K845" t="s">
        <v>3127</v>
      </c>
      <c r="L845" t="s">
        <v>85</v>
      </c>
      <c r="M845" t="str">
        <f>TRIM(Table2[[#This Row],[Category]])</f>
        <v>Furniture</v>
      </c>
      <c r="N845" t="s">
        <v>266</v>
      </c>
      <c r="O845" t="s">
        <v>803</v>
      </c>
      <c r="P845">
        <v>3</v>
      </c>
      <c r="Q845">
        <v>92207.26</v>
      </c>
      <c r="R845">
        <v>0</v>
      </c>
      <c r="S845">
        <v>0</v>
      </c>
      <c r="T845">
        <v>276621.78000000003</v>
      </c>
      <c r="U845">
        <v>60493.82</v>
      </c>
    </row>
    <row r="846" spans="1:21" ht="15" customHeight="1" x14ac:dyDescent="0.25">
      <c r="A846" t="s">
        <v>2886</v>
      </c>
      <c r="B846" s="8">
        <v>44925</v>
      </c>
      <c r="C846" s="8">
        <v>44928</v>
      </c>
      <c r="D846" t="s">
        <v>20</v>
      </c>
      <c r="E846" t="s">
        <v>3089</v>
      </c>
      <c r="F846" t="s">
        <v>3043</v>
      </c>
      <c r="G846" t="s">
        <v>2887</v>
      </c>
      <c r="H846">
        <v>7064148815</v>
      </c>
      <c r="I846" t="s">
        <v>24</v>
      </c>
      <c r="J846" t="s">
        <v>25</v>
      </c>
      <c r="K846" t="s">
        <v>44</v>
      </c>
      <c r="L846" t="s">
        <v>27</v>
      </c>
      <c r="M846" t="str">
        <f>TRIM(Table2[[#This Row],[Category]])</f>
        <v>Food &amp; Beverages</v>
      </c>
      <c r="N846" t="s">
        <v>79</v>
      </c>
      <c r="O846" t="s">
        <v>127</v>
      </c>
      <c r="P846">
        <v>5</v>
      </c>
      <c r="Q846">
        <v>2362.06</v>
      </c>
      <c r="R846">
        <v>0</v>
      </c>
      <c r="S846">
        <v>0</v>
      </c>
      <c r="T846">
        <v>11810.3</v>
      </c>
      <c r="U846">
        <v>-768.84</v>
      </c>
    </row>
    <row r="847" spans="1:21" ht="15" customHeight="1" x14ac:dyDescent="0.25">
      <c r="A847" t="s">
        <v>1012</v>
      </c>
      <c r="B847" s="8">
        <v>44930</v>
      </c>
      <c r="C847" s="8">
        <v>44933</v>
      </c>
      <c r="D847" t="s">
        <v>20</v>
      </c>
      <c r="E847" t="s">
        <v>3080</v>
      </c>
      <c r="F847" t="s">
        <v>3057</v>
      </c>
      <c r="G847" t="s">
        <v>1014</v>
      </c>
      <c r="H847">
        <v>9015755579</v>
      </c>
      <c r="I847" t="s">
        <v>35</v>
      </c>
      <c r="J847" t="s">
        <v>61</v>
      </c>
      <c r="K847" t="s">
        <v>95</v>
      </c>
      <c r="L847" t="s">
        <v>96</v>
      </c>
      <c r="M847" t="str">
        <f>TRIM(Table2[[#This Row],[Category]])</f>
        <v>Technology</v>
      </c>
      <c r="N847" t="s">
        <v>385</v>
      </c>
      <c r="O847" t="s">
        <v>942</v>
      </c>
      <c r="P847">
        <v>16</v>
      </c>
      <c r="Q847">
        <v>278838.77</v>
      </c>
      <c r="R847">
        <v>20</v>
      </c>
      <c r="S847">
        <v>892284.06</v>
      </c>
      <c r="T847">
        <v>3569136.26</v>
      </c>
      <c r="U847">
        <v>-170104.78</v>
      </c>
    </row>
    <row r="848" spans="1:21" ht="15" customHeight="1" x14ac:dyDescent="0.25">
      <c r="A848" t="s">
        <v>1538</v>
      </c>
      <c r="B848" s="8">
        <v>44943</v>
      </c>
      <c r="C848" s="8">
        <v>44946</v>
      </c>
      <c r="D848" t="s">
        <v>20</v>
      </c>
      <c r="E848" t="s">
        <v>3068</v>
      </c>
      <c r="F848" t="s">
        <v>3050</v>
      </c>
      <c r="G848" t="s">
        <v>1540</v>
      </c>
      <c r="H848" t="s">
        <v>23</v>
      </c>
      <c r="I848" t="s">
        <v>43</v>
      </c>
      <c r="J848" t="s">
        <v>69</v>
      </c>
      <c r="K848" t="s">
        <v>307</v>
      </c>
      <c r="L848" t="s">
        <v>108</v>
      </c>
      <c r="M848" t="str">
        <f>TRIM(Table2[[#This Row],[Category]])</f>
        <v>Clothing</v>
      </c>
      <c r="N848" t="s">
        <v>109</v>
      </c>
      <c r="O848" t="s">
        <v>1258</v>
      </c>
      <c r="P848">
        <v>17</v>
      </c>
      <c r="Q848">
        <v>42018.71</v>
      </c>
      <c r="R848">
        <v>25</v>
      </c>
      <c r="S848">
        <v>178579.52</v>
      </c>
      <c r="T848">
        <v>535738.55000000005</v>
      </c>
      <c r="U848">
        <v>-53369.17</v>
      </c>
    </row>
    <row r="849" spans="1:21" ht="15" customHeight="1" x14ac:dyDescent="0.25">
      <c r="A849" t="s">
        <v>2691</v>
      </c>
      <c r="B849" s="8">
        <v>44951</v>
      </c>
      <c r="C849" s="8">
        <v>44954</v>
      </c>
      <c r="D849" t="s">
        <v>20</v>
      </c>
      <c r="E849" t="s">
        <v>3037</v>
      </c>
      <c r="F849" t="s">
        <v>3077</v>
      </c>
      <c r="G849" t="s">
        <v>2692</v>
      </c>
      <c r="H849">
        <v>8138762657</v>
      </c>
      <c r="I849" t="s">
        <v>35</v>
      </c>
      <c r="J849" t="s">
        <v>61</v>
      </c>
      <c r="K849" t="s">
        <v>84</v>
      </c>
      <c r="L849" t="s">
        <v>27</v>
      </c>
      <c r="M849" t="str">
        <f>TRIM(Table2[[#This Row],[Category]])</f>
        <v>Food &amp; Beverages</v>
      </c>
      <c r="N849" t="s">
        <v>173</v>
      </c>
      <c r="O849" t="s">
        <v>380</v>
      </c>
      <c r="P849">
        <v>10</v>
      </c>
      <c r="Q849">
        <v>1202.52</v>
      </c>
      <c r="R849">
        <v>5</v>
      </c>
      <c r="S849">
        <v>601.26</v>
      </c>
      <c r="T849">
        <v>11423.94</v>
      </c>
      <c r="U849">
        <v>-303.42</v>
      </c>
    </row>
    <row r="850" spans="1:21" ht="15" customHeight="1" x14ac:dyDescent="0.25">
      <c r="A850" t="s">
        <v>1155</v>
      </c>
      <c r="B850" s="8">
        <v>44952</v>
      </c>
      <c r="C850" s="8">
        <v>44955</v>
      </c>
      <c r="D850" t="s">
        <v>20</v>
      </c>
      <c r="E850" t="s">
        <v>3097</v>
      </c>
      <c r="F850" t="s">
        <v>3088</v>
      </c>
      <c r="G850" t="s">
        <v>911</v>
      </c>
      <c r="H850">
        <v>9026114011</v>
      </c>
      <c r="I850" t="s">
        <v>43</v>
      </c>
      <c r="J850" t="s">
        <v>69</v>
      </c>
      <c r="K850" t="s">
        <v>70</v>
      </c>
      <c r="L850" t="s">
        <v>85</v>
      </c>
      <c r="M850" t="str">
        <f>TRIM(Table2[[#This Row],[Category]])</f>
        <v>Furniture</v>
      </c>
      <c r="N850" t="s">
        <v>243</v>
      </c>
      <c r="O850" t="s">
        <v>244</v>
      </c>
      <c r="P850">
        <v>15</v>
      </c>
      <c r="Q850">
        <v>149312.46</v>
      </c>
      <c r="R850">
        <v>0</v>
      </c>
      <c r="S850">
        <v>0</v>
      </c>
      <c r="T850">
        <v>2239686.9</v>
      </c>
      <c r="U850">
        <v>255947.06</v>
      </c>
    </row>
    <row r="851" spans="1:21" ht="15" customHeight="1" x14ac:dyDescent="0.25">
      <c r="A851" t="s">
        <v>1649</v>
      </c>
      <c r="B851" s="8">
        <v>44954</v>
      </c>
      <c r="C851" s="8">
        <v>44956</v>
      </c>
      <c r="D851" t="s">
        <v>20</v>
      </c>
      <c r="E851" t="s">
        <v>3085</v>
      </c>
      <c r="F851" t="s">
        <v>3040</v>
      </c>
      <c r="G851" t="s">
        <v>1651</v>
      </c>
      <c r="H851">
        <v>9024710242</v>
      </c>
      <c r="I851" t="s">
        <v>24</v>
      </c>
      <c r="J851" t="s">
        <v>25</v>
      </c>
      <c r="K851" t="s">
        <v>44</v>
      </c>
      <c r="L851" t="s">
        <v>85</v>
      </c>
      <c r="M851" t="str">
        <f>TRIM(Table2[[#This Row],[Category]])</f>
        <v>Furniture</v>
      </c>
      <c r="N851" t="s">
        <v>486</v>
      </c>
      <c r="O851" t="s">
        <v>543</v>
      </c>
      <c r="P851">
        <v>16</v>
      </c>
      <c r="Q851">
        <v>14328.92</v>
      </c>
      <c r="R851">
        <v>5</v>
      </c>
      <c r="S851">
        <v>11463.14</v>
      </c>
      <c r="T851">
        <v>217799.58</v>
      </c>
      <c r="U851">
        <v>-31737.48</v>
      </c>
    </row>
    <row r="852" spans="1:21" ht="15" customHeight="1" x14ac:dyDescent="0.25">
      <c r="A852" t="s">
        <v>2265</v>
      </c>
      <c r="B852" s="8">
        <v>44959</v>
      </c>
      <c r="C852" s="8">
        <v>44956</v>
      </c>
      <c r="D852" t="s">
        <v>20</v>
      </c>
      <c r="E852" t="s">
        <v>3095</v>
      </c>
      <c r="F852" t="s">
        <v>3042</v>
      </c>
      <c r="G852" t="s">
        <v>2185</v>
      </c>
      <c r="H852">
        <v>9013838932</v>
      </c>
      <c r="I852" t="s">
        <v>35</v>
      </c>
      <c r="J852" t="s">
        <v>25</v>
      </c>
      <c r="K852" t="s">
        <v>44</v>
      </c>
      <c r="L852" t="s">
        <v>27</v>
      </c>
      <c r="M852" t="str">
        <f>TRIM(Table2[[#This Row],[Category]])</f>
        <v>Food &amp; Beverages</v>
      </c>
      <c r="N852" t="s">
        <v>45</v>
      </c>
      <c r="O852" t="s">
        <v>46</v>
      </c>
      <c r="P852">
        <v>13</v>
      </c>
      <c r="Q852">
        <v>409.12</v>
      </c>
      <c r="R852">
        <v>15</v>
      </c>
      <c r="S852">
        <v>797.78</v>
      </c>
      <c r="T852">
        <v>4520.78</v>
      </c>
      <c r="U852">
        <v>1594.16</v>
      </c>
    </row>
    <row r="853" spans="1:21" ht="15" customHeight="1" x14ac:dyDescent="0.25">
      <c r="A853" t="s">
        <v>560</v>
      </c>
      <c r="B853" s="8">
        <v>44956</v>
      </c>
      <c r="C853" s="8">
        <v>44958</v>
      </c>
      <c r="D853" t="s">
        <v>20</v>
      </c>
      <c r="E853" t="s">
        <v>3095</v>
      </c>
      <c r="F853" t="s">
        <v>3062</v>
      </c>
      <c r="G853" t="s">
        <v>562</v>
      </c>
      <c r="H853">
        <v>9075316188</v>
      </c>
      <c r="I853" t="s">
        <v>43</v>
      </c>
      <c r="J853" t="s">
        <v>61</v>
      </c>
      <c r="K853" t="s">
        <v>84</v>
      </c>
      <c r="L853" t="s">
        <v>85</v>
      </c>
      <c r="M853" t="str">
        <f>TRIM(Table2[[#This Row],[Category]])</f>
        <v>Furniture</v>
      </c>
      <c r="N853" t="s">
        <v>86</v>
      </c>
      <c r="O853" t="s">
        <v>178</v>
      </c>
      <c r="P853">
        <v>19</v>
      </c>
      <c r="Q853">
        <v>144012.04</v>
      </c>
      <c r="R853">
        <v>5</v>
      </c>
      <c r="S853">
        <v>136811.44</v>
      </c>
      <c r="T853">
        <f>T852</f>
        <v>4520.78</v>
      </c>
      <c r="U853">
        <v>-116201.89</v>
      </c>
    </row>
    <row r="854" spans="1:21" ht="15" customHeight="1" x14ac:dyDescent="0.25">
      <c r="A854" t="s">
        <v>967</v>
      </c>
      <c r="B854" s="8">
        <v>44956</v>
      </c>
      <c r="C854" s="8">
        <v>44959</v>
      </c>
      <c r="D854" t="s">
        <v>20</v>
      </c>
      <c r="E854" t="s">
        <v>3092</v>
      </c>
      <c r="F854" t="s">
        <v>3050</v>
      </c>
      <c r="G854" t="s">
        <v>969</v>
      </c>
      <c r="H854">
        <v>8109945709</v>
      </c>
      <c r="I854" t="s">
        <v>35</v>
      </c>
      <c r="J854" t="s">
        <v>69</v>
      </c>
      <c r="K854" t="s">
        <v>70</v>
      </c>
      <c r="L854" t="s">
        <v>96</v>
      </c>
      <c r="M854" t="str">
        <f>TRIM(Table2[[#This Row],[Category]])</f>
        <v>Technology</v>
      </c>
      <c r="N854" t="s">
        <v>120</v>
      </c>
      <c r="O854" t="s">
        <v>359</v>
      </c>
      <c r="P854">
        <v>7</v>
      </c>
      <c r="Q854">
        <v>306595.78000000003</v>
      </c>
      <c r="R854">
        <v>15</v>
      </c>
      <c r="S854">
        <v>321925.57</v>
      </c>
      <c r="T854">
        <v>1824244.89</v>
      </c>
      <c r="U854">
        <v>641037.92000000004</v>
      </c>
    </row>
    <row r="855" spans="1:21" ht="15" customHeight="1" x14ac:dyDescent="0.25">
      <c r="A855" t="s">
        <v>1111</v>
      </c>
      <c r="B855" s="8">
        <v>44968</v>
      </c>
      <c r="C855" s="8">
        <v>44971</v>
      </c>
      <c r="D855" t="s">
        <v>20</v>
      </c>
      <c r="E855" t="s">
        <v>3087</v>
      </c>
      <c r="F855" t="s">
        <v>3086</v>
      </c>
      <c r="G855" t="s">
        <v>1112</v>
      </c>
      <c r="H855">
        <v>8064958849</v>
      </c>
      <c r="I855" t="s">
        <v>24</v>
      </c>
      <c r="J855" t="s">
        <v>51</v>
      </c>
      <c r="K855" t="s">
        <v>316</v>
      </c>
      <c r="L855" t="s">
        <v>108</v>
      </c>
      <c r="M855" t="str">
        <f>TRIM(Table2[[#This Row],[Category]])</f>
        <v>Clothing</v>
      </c>
      <c r="N855" t="s">
        <v>38</v>
      </c>
      <c r="O855" t="s">
        <v>519</v>
      </c>
      <c r="P855">
        <v>9</v>
      </c>
      <c r="Q855">
        <v>9196.5</v>
      </c>
      <c r="R855">
        <v>0</v>
      </c>
      <c r="S855">
        <v>0</v>
      </c>
      <c r="T855">
        <v>82768.5</v>
      </c>
      <c r="U855">
        <v>7241</v>
      </c>
    </row>
    <row r="856" spans="1:21" ht="15" customHeight="1" x14ac:dyDescent="0.25">
      <c r="A856" t="s">
        <v>1716</v>
      </c>
      <c r="B856" s="8">
        <v>44977</v>
      </c>
      <c r="C856" s="8">
        <v>44980</v>
      </c>
      <c r="D856" t="s">
        <v>20</v>
      </c>
      <c r="E856" t="s">
        <v>3091</v>
      </c>
      <c r="F856" t="s">
        <v>3052</v>
      </c>
      <c r="G856" t="s">
        <v>587</v>
      </c>
      <c r="H856">
        <v>8108478135</v>
      </c>
      <c r="I856" t="s">
        <v>24</v>
      </c>
      <c r="J856" t="s">
        <v>69</v>
      </c>
      <c r="K856" t="s">
        <v>119</v>
      </c>
      <c r="L856" t="s">
        <v>96</v>
      </c>
      <c r="M856" t="str">
        <f>TRIM(Table2[[#This Row],[Category]])</f>
        <v>Technology</v>
      </c>
      <c r="N856" t="s">
        <v>189</v>
      </c>
      <c r="O856" t="s">
        <v>205</v>
      </c>
      <c r="P856">
        <v>17</v>
      </c>
      <c r="Q856">
        <v>366291.14</v>
      </c>
      <c r="R856">
        <v>10</v>
      </c>
      <c r="S856">
        <v>622694.93999999994</v>
      </c>
      <c r="T856">
        <v>5604254.4400000004</v>
      </c>
      <c r="U856">
        <v>2220302.06</v>
      </c>
    </row>
    <row r="857" spans="1:21" ht="15" customHeight="1" x14ac:dyDescent="0.25">
      <c r="A857" t="s">
        <v>2199</v>
      </c>
      <c r="B857" s="8">
        <v>44978</v>
      </c>
      <c r="C857" s="8">
        <v>44981</v>
      </c>
      <c r="D857" t="s">
        <v>20</v>
      </c>
      <c r="E857" t="s">
        <v>3094</v>
      </c>
      <c r="F857" t="s">
        <v>3066</v>
      </c>
      <c r="G857" t="s">
        <v>2200</v>
      </c>
      <c r="H857">
        <v>8153116927</v>
      </c>
      <c r="I857" t="s">
        <v>35</v>
      </c>
      <c r="J857" t="s">
        <v>25</v>
      </c>
      <c r="K857" t="s">
        <v>168</v>
      </c>
      <c r="L857" t="s">
        <v>108</v>
      </c>
      <c r="M857" t="str">
        <f>TRIM(Table2[[#This Row],[Category]])</f>
        <v>Clothing</v>
      </c>
      <c r="N857" t="s">
        <v>38</v>
      </c>
      <c r="O857" t="s">
        <v>519</v>
      </c>
      <c r="P857">
        <v>4</v>
      </c>
      <c r="Q857">
        <v>32798.79</v>
      </c>
      <c r="R857">
        <v>20</v>
      </c>
      <c r="S857">
        <v>26239.03</v>
      </c>
      <c r="T857">
        <v>104956.13</v>
      </c>
      <c r="U857">
        <v>40232.61</v>
      </c>
    </row>
    <row r="858" spans="1:21" ht="15" customHeight="1" x14ac:dyDescent="0.25">
      <c r="A858" t="s">
        <v>2832</v>
      </c>
      <c r="B858" s="8">
        <v>44979</v>
      </c>
      <c r="C858" s="8">
        <v>44982</v>
      </c>
      <c r="D858" t="s">
        <v>20</v>
      </c>
      <c r="E858" t="s">
        <v>3056</v>
      </c>
      <c r="F858" t="s">
        <v>3064</v>
      </c>
      <c r="G858" t="s">
        <v>2833</v>
      </c>
      <c r="H858">
        <v>8165686347</v>
      </c>
      <c r="I858" t="s">
        <v>24</v>
      </c>
      <c r="J858" t="s">
        <v>25</v>
      </c>
      <c r="K858" t="s">
        <v>168</v>
      </c>
      <c r="L858" t="s">
        <v>85</v>
      </c>
      <c r="M858" t="str">
        <f>TRIM(Table2[[#This Row],[Category]])</f>
        <v>Furniture</v>
      </c>
      <c r="N858" t="s">
        <v>486</v>
      </c>
      <c r="O858" t="s">
        <v>487</v>
      </c>
      <c r="P858">
        <v>17</v>
      </c>
      <c r="Q858">
        <v>89396.24</v>
      </c>
      <c r="R858">
        <v>0</v>
      </c>
      <c r="S858">
        <v>0</v>
      </c>
      <c r="T858">
        <v>1519736.08</v>
      </c>
      <c r="U858">
        <v>306820.53999999998</v>
      </c>
    </row>
    <row r="859" spans="1:21" ht="15" customHeight="1" x14ac:dyDescent="0.25">
      <c r="A859" t="s">
        <v>2516</v>
      </c>
      <c r="B859" s="8">
        <v>44981</v>
      </c>
      <c r="C859" s="8">
        <v>44984</v>
      </c>
      <c r="D859" t="s">
        <v>20</v>
      </c>
      <c r="E859" t="s">
        <v>3051</v>
      </c>
      <c r="F859" t="s">
        <v>3078</v>
      </c>
      <c r="G859" t="s">
        <v>2518</v>
      </c>
      <c r="H859">
        <v>7067939725</v>
      </c>
      <c r="I859" t="s">
        <v>24</v>
      </c>
      <c r="J859" t="s">
        <v>51</v>
      </c>
      <c r="K859" t="s">
        <v>316</v>
      </c>
      <c r="L859" t="s">
        <v>108</v>
      </c>
      <c r="M859" t="str">
        <f>TRIM(Table2[[#This Row],[Category]])</f>
        <v>Clothing</v>
      </c>
      <c r="N859" t="s">
        <v>38</v>
      </c>
      <c r="O859" t="s">
        <v>303</v>
      </c>
      <c r="P859">
        <v>16</v>
      </c>
      <c r="Q859">
        <v>37119.160000000003</v>
      </c>
      <c r="R859">
        <v>10</v>
      </c>
      <c r="S859">
        <v>59390.66</v>
      </c>
      <c r="T859">
        <v>534515.9</v>
      </c>
      <c r="U859">
        <v>112289.91</v>
      </c>
    </row>
    <row r="860" spans="1:21" ht="15" customHeight="1" x14ac:dyDescent="0.25">
      <c r="A860" t="s">
        <v>1265</v>
      </c>
      <c r="B860" s="8">
        <v>44988</v>
      </c>
      <c r="C860" s="8">
        <v>44991</v>
      </c>
      <c r="D860" t="s">
        <v>20</v>
      </c>
      <c r="E860" t="s">
        <v>3068</v>
      </c>
      <c r="F860" t="s">
        <v>3057</v>
      </c>
      <c r="G860" t="s">
        <v>1267</v>
      </c>
      <c r="H860">
        <v>8154962012</v>
      </c>
      <c r="I860" t="s">
        <v>35</v>
      </c>
      <c r="J860" t="s">
        <v>69</v>
      </c>
      <c r="K860" t="s">
        <v>70</v>
      </c>
      <c r="L860" t="s">
        <v>85</v>
      </c>
      <c r="M860" t="str">
        <f>TRIM(Table2[[#This Row],[Category]])</f>
        <v>Furniture</v>
      </c>
      <c r="N860" t="s">
        <v>86</v>
      </c>
      <c r="O860" t="s">
        <v>238</v>
      </c>
      <c r="P860">
        <v>4</v>
      </c>
      <c r="Q860">
        <v>151920.69</v>
      </c>
      <c r="R860">
        <v>20</v>
      </c>
      <c r="S860">
        <v>121536.55</v>
      </c>
      <c r="T860">
        <v>486146.21</v>
      </c>
      <c r="U860">
        <v>21986.86</v>
      </c>
    </row>
    <row r="861" spans="1:21" ht="15" customHeight="1" x14ac:dyDescent="0.25">
      <c r="A861" t="s">
        <v>2654</v>
      </c>
      <c r="B861" s="8">
        <v>44988</v>
      </c>
      <c r="C861" s="8">
        <v>44991</v>
      </c>
      <c r="D861" t="s">
        <v>20</v>
      </c>
      <c r="E861" t="s">
        <v>3068</v>
      </c>
      <c r="F861" t="s">
        <v>3088</v>
      </c>
      <c r="G861" t="s">
        <v>2656</v>
      </c>
      <c r="H861">
        <v>9071702543</v>
      </c>
      <c r="I861" t="s">
        <v>43</v>
      </c>
      <c r="J861" t="s">
        <v>51</v>
      </c>
      <c r="K861" t="s">
        <v>223</v>
      </c>
      <c r="L861" t="str">
        <f>L860</f>
        <v>Furniture</v>
      </c>
      <c r="M861" t="str">
        <f>TRIM(Table2[[#This Row],[Category]])</f>
        <v>Furniture</v>
      </c>
      <c r="N861" t="s">
        <v>114</v>
      </c>
      <c r="O861" t="s">
        <v>115</v>
      </c>
      <c r="P861">
        <v>1</v>
      </c>
      <c r="Q861">
        <v>15744.17</v>
      </c>
      <c r="R861">
        <v>10</v>
      </c>
      <c r="S861">
        <v>1574.42</v>
      </c>
      <c r="T861">
        <v>14169.75</v>
      </c>
      <c r="U861">
        <v>3831.2</v>
      </c>
    </row>
    <row r="862" spans="1:21" ht="15" customHeight="1" x14ac:dyDescent="0.25">
      <c r="A862" t="s">
        <v>1247</v>
      </c>
      <c r="B862" s="8">
        <v>44991</v>
      </c>
      <c r="C862" s="8">
        <v>44994</v>
      </c>
      <c r="D862" t="s">
        <v>20</v>
      </c>
      <c r="E862" t="s">
        <v>3050</v>
      </c>
      <c r="F862" t="s">
        <v>3052</v>
      </c>
      <c r="G862" t="s">
        <v>1249</v>
      </c>
      <c r="H862">
        <v>8169930106</v>
      </c>
      <c r="I862" t="s">
        <v>24</v>
      </c>
      <c r="J862" t="s">
        <v>51</v>
      </c>
      <c r="K862" t="s">
        <v>52</v>
      </c>
      <c r="L862" t="s">
        <v>63</v>
      </c>
      <c r="M862" t="str">
        <f>TRIM(Table2[[#This Row],[Category]])</f>
        <v>Office Supplies</v>
      </c>
      <c r="N862" t="s">
        <v>194</v>
      </c>
      <c r="O862" t="s">
        <v>257</v>
      </c>
      <c r="P862">
        <v>9</v>
      </c>
      <c r="Q862">
        <v>16942.54</v>
      </c>
      <c r="R862">
        <v>0</v>
      </c>
      <c r="S862">
        <v>0</v>
      </c>
      <c r="T862">
        <v>152482.85999999999</v>
      </c>
      <c r="U862">
        <v>-8463.16</v>
      </c>
    </row>
    <row r="863" spans="1:21" ht="15" customHeight="1" x14ac:dyDescent="0.25">
      <c r="A863" t="s">
        <v>116</v>
      </c>
      <c r="B863" s="8">
        <v>45007</v>
      </c>
      <c r="C863" s="8">
        <v>45009</v>
      </c>
      <c r="D863" t="s">
        <v>20</v>
      </c>
      <c r="E863" t="s">
        <v>3035</v>
      </c>
      <c r="F863" t="s">
        <v>3034</v>
      </c>
      <c r="G863" t="s">
        <v>118</v>
      </c>
      <c r="H863">
        <v>9016261415</v>
      </c>
      <c r="I863" t="s">
        <v>35</v>
      </c>
      <c r="J863" t="s">
        <v>69</v>
      </c>
      <c r="K863" t="s">
        <v>119</v>
      </c>
      <c r="L863" t="s">
        <v>96</v>
      </c>
      <c r="M863" t="str">
        <f>TRIM(Table2[[#This Row],[Category]])</f>
        <v>Technology</v>
      </c>
      <c r="N863" t="s">
        <v>120</v>
      </c>
      <c r="O863" t="s">
        <v>121</v>
      </c>
      <c r="P863">
        <v>17</v>
      </c>
      <c r="Q863">
        <v>222403</v>
      </c>
      <c r="R863">
        <v>0</v>
      </c>
      <c r="S863">
        <v>0</v>
      </c>
      <c r="T863">
        <v>3780851</v>
      </c>
      <c r="U863">
        <v>-438095.72</v>
      </c>
    </row>
    <row r="864" spans="1:21" ht="15" customHeight="1" x14ac:dyDescent="0.25">
      <c r="A864" t="s">
        <v>2579</v>
      </c>
      <c r="B864" s="8">
        <v>45008</v>
      </c>
      <c r="C864" s="8">
        <v>45011</v>
      </c>
      <c r="D864" t="s">
        <v>20</v>
      </c>
      <c r="E864" t="s">
        <v>3061</v>
      </c>
      <c r="F864" t="s">
        <v>3042</v>
      </c>
      <c r="G864" t="s">
        <v>2581</v>
      </c>
      <c r="H864">
        <v>9015039461</v>
      </c>
      <c r="I864" t="s">
        <v>43</v>
      </c>
      <c r="J864" t="s">
        <v>588</v>
      </c>
      <c r="K864" t="s">
        <v>227</v>
      </c>
      <c r="L864" t="s">
        <v>27</v>
      </c>
      <c r="M864" t="str">
        <f>TRIM(Table2[[#This Row],[Category]])</f>
        <v>Food &amp; Beverages</v>
      </c>
      <c r="N864" t="s">
        <v>79</v>
      </c>
      <c r="O864" t="s">
        <v>80</v>
      </c>
      <c r="P864">
        <v>6</v>
      </c>
      <c r="Q864">
        <v>2467.16</v>
      </c>
      <c r="R864">
        <v>0</v>
      </c>
      <c r="S864">
        <v>0</v>
      </c>
      <c r="T864">
        <v>14802.96</v>
      </c>
      <c r="U864">
        <v>-1673.15</v>
      </c>
    </row>
    <row r="865" spans="1:21" ht="15" customHeight="1" x14ac:dyDescent="0.25">
      <c r="A865" t="s">
        <v>330</v>
      </c>
      <c r="B865" s="8">
        <v>45010</v>
      </c>
      <c r="C865" s="8">
        <v>45012</v>
      </c>
      <c r="D865" t="s">
        <v>20</v>
      </c>
      <c r="E865" t="s">
        <v>3085</v>
      </c>
      <c r="F865" t="s">
        <v>3036</v>
      </c>
      <c r="G865" t="s">
        <v>332</v>
      </c>
      <c r="H865">
        <v>9072630140</v>
      </c>
      <c r="I865" t="s">
        <v>35</v>
      </c>
      <c r="J865" t="s">
        <v>69</v>
      </c>
      <c r="K865" t="s">
        <v>144</v>
      </c>
      <c r="L865" t="s">
        <v>96</v>
      </c>
      <c r="M865" t="str">
        <f>TRIM(Table2[[#This Row],[Category]])</f>
        <v>Technology</v>
      </c>
      <c r="N865" t="s">
        <v>97</v>
      </c>
      <c r="O865" t="s">
        <v>230</v>
      </c>
      <c r="P865">
        <v>12</v>
      </c>
      <c r="Q865">
        <v>29513.57</v>
      </c>
      <c r="R865">
        <v>0</v>
      </c>
      <c r="S865">
        <v>0</v>
      </c>
      <c r="T865">
        <v>354162.84</v>
      </c>
      <c r="U865">
        <v>-33971.29</v>
      </c>
    </row>
    <row r="866" spans="1:21" ht="15" customHeight="1" x14ac:dyDescent="0.25">
      <c r="A866" t="s">
        <v>1055</v>
      </c>
      <c r="B866" s="8">
        <v>45009</v>
      </c>
      <c r="C866" s="8">
        <v>45012</v>
      </c>
      <c r="D866" t="s">
        <v>20</v>
      </c>
      <c r="E866" t="s">
        <v>3065</v>
      </c>
      <c r="F866" t="s">
        <v>3034</v>
      </c>
      <c r="G866" t="s">
        <v>1057</v>
      </c>
      <c r="H866">
        <v>8144349848</v>
      </c>
      <c r="I866" t="s">
        <v>43</v>
      </c>
      <c r="J866" t="s">
        <v>61</v>
      </c>
      <c r="K866" t="s">
        <v>204</v>
      </c>
      <c r="L866" t="s">
        <v>85</v>
      </c>
      <c r="M866" t="str">
        <f>TRIM(Table2[[#This Row],[Category]])</f>
        <v>Furniture</v>
      </c>
      <c r="N866" t="s">
        <v>218</v>
      </c>
      <c r="O866" t="s">
        <v>1058</v>
      </c>
      <c r="P866">
        <v>7</v>
      </c>
      <c r="Q866">
        <v>43565.919999999998</v>
      </c>
      <c r="R866">
        <v>5</v>
      </c>
      <c r="S866">
        <v>15248.07</v>
      </c>
      <c r="T866">
        <v>289713.37</v>
      </c>
      <c r="U866">
        <v>101921.4</v>
      </c>
    </row>
    <row r="867" spans="1:21" ht="15" customHeight="1" x14ac:dyDescent="0.25">
      <c r="A867" t="s">
        <v>401</v>
      </c>
      <c r="B867" s="8">
        <v>45015</v>
      </c>
      <c r="C867" s="8">
        <v>45018</v>
      </c>
      <c r="D867" t="s">
        <v>20</v>
      </c>
      <c r="E867" t="s">
        <v>3048</v>
      </c>
      <c r="F867" t="s">
        <v>3050</v>
      </c>
      <c r="G867" t="s">
        <v>403</v>
      </c>
      <c r="H867">
        <v>8159555575</v>
      </c>
      <c r="I867" t="s">
        <v>24</v>
      </c>
      <c r="J867" t="s">
        <v>69</v>
      </c>
      <c r="K867" t="s">
        <v>144</v>
      </c>
      <c r="L867" t="s">
        <v>85</v>
      </c>
      <c r="M867" t="str">
        <f>TRIM(Table2[[#This Row],[Category]])</f>
        <v>Furniture</v>
      </c>
      <c r="N867" t="s">
        <v>243</v>
      </c>
      <c r="O867" t="s">
        <v>404</v>
      </c>
      <c r="P867">
        <v>5</v>
      </c>
      <c r="Q867">
        <v>133109.21</v>
      </c>
      <c r="R867">
        <v>5</v>
      </c>
      <c r="S867">
        <v>33277.300000000003</v>
      </c>
      <c r="T867">
        <v>632268.75</v>
      </c>
      <c r="U867">
        <v>-55840.26</v>
      </c>
    </row>
    <row r="868" spans="1:21" ht="15" customHeight="1" x14ac:dyDescent="0.25">
      <c r="A868" t="s">
        <v>2404</v>
      </c>
      <c r="B868" s="8">
        <v>45018</v>
      </c>
      <c r="C868" s="8">
        <v>45021</v>
      </c>
      <c r="D868" t="s">
        <v>20</v>
      </c>
      <c r="E868" t="s">
        <v>3037</v>
      </c>
      <c r="F868" t="s">
        <v>3071</v>
      </c>
      <c r="G868" t="s">
        <v>2406</v>
      </c>
      <c r="H868">
        <v>9026949960</v>
      </c>
      <c r="I868" t="s">
        <v>35</v>
      </c>
      <c r="J868" t="s">
        <v>51</v>
      </c>
      <c r="K868" t="s">
        <v>316</v>
      </c>
      <c r="L868" t="s">
        <v>27</v>
      </c>
      <c r="M868" t="str">
        <f>TRIM(Table2[[#This Row],[Category]])</f>
        <v>Food &amp; Beverages</v>
      </c>
      <c r="N868" t="s">
        <v>354</v>
      </c>
      <c r="O868" t="s">
        <v>625</v>
      </c>
      <c r="P868">
        <v>7</v>
      </c>
      <c r="Q868">
        <v>6252.04</v>
      </c>
      <c r="R868">
        <v>10</v>
      </c>
      <c r="S868">
        <v>4376.43</v>
      </c>
      <c r="T868">
        <v>39387.85</v>
      </c>
      <c r="U868">
        <v>-1616.79</v>
      </c>
    </row>
    <row r="869" spans="1:21" ht="15" customHeight="1" x14ac:dyDescent="0.25">
      <c r="A869" t="s">
        <v>872</v>
      </c>
      <c r="B869" s="8">
        <v>45019</v>
      </c>
      <c r="C869" s="8">
        <v>45022</v>
      </c>
      <c r="D869" t="s">
        <v>20</v>
      </c>
      <c r="E869" t="s">
        <v>3051</v>
      </c>
      <c r="F869" t="s">
        <v>3079</v>
      </c>
      <c r="G869" t="s">
        <v>874</v>
      </c>
      <c r="H869">
        <v>7035371458</v>
      </c>
      <c r="I869" t="s">
        <v>35</v>
      </c>
      <c r="J869" t="s">
        <v>51</v>
      </c>
      <c r="K869" t="s">
        <v>52</v>
      </c>
      <c r="L869" t="str">
        <f>L868</f>
        <v>Food &amp; Beverages</v>
      </c>
      <c r="M869" t="str">
        <f>TRIM(Table2[[#This Row],[Category]])</f>
        <v>Food &amp; Beverages</v>
      </c>
      <c r="N869" t="s">
        <v>45</v>
      </c>
      <c r="O869" t="s">
        <v>875</v>
      </c>
      <c r="P869">
        <v>16</v>
      </c>
      <c r="Q869">
        <v>6854.35</v>
      </c>
      <c r="R869" t="s">
        <v>376</v>
      </c>
      <c r="S869">
        <v>0</v>
      </c>
      <c r="T869">
        <v>109669.6</v>
      </c>
      <c r="U869">
        <v>40559.769999999997</v>
      </c>
    </row>
    <row r="870" spans="1:21" ht="15" customHeight="1" x14ac:dyDescent="0.25">
      <c r="A870" t="s">
        <v>2908</v>
      </c>
      <c r="B870" s="8">
        <v>45024</v>
      </c>
      <c r="C870" s="8">
        <v>45026</v>
      </c>
      <c r="D870" t="s">
        <v>20</v>
      </c>
      <c r="E870" t="s">
        <v>3058</v>
      </c>
      <c r="F870" t="s">
        <v>3075</v>
      </c>
      <c r="G870" t="s">
        <v>2909</v>
      </c>
      <c r="H870">
        <v>7031442518</v>
      </c>
      <c r="I870" t="s">
        <v>24</v>
      </c>
      <c r="J870" t="s">
        <v>51</v>
      </c>
      <c r="K870" t="s">
        <v>52</v>
      </c>
      <c r="L870" t="s">
        <v>27</v>
      </c>
      <c r="M870" t="str">
        <f>TRIM(Table2[[#This Row],[Category]])</f>
        <v>Food &amp; Beverages</v>
      </c>
      <c r="N870" t="s">
        <v>354</v>
      </c>
      <c r="O870" t="s">
        <v>433</v>
      </c>
      <c r="P870">
        <v>6</v>
      </c>
      <c r="Q870">
        <v>1799.24</v>
      </c>
      <c r="R870">
        <v>5</v>
      </c>
      <c r="S870">
        <v>539.77</v>
      </c>
      <c r="T870">
        <v>10255.67</v>
      </c>
      <c r="U870">
        <v>2194.11</v>
      </c>
    </row>
    <row r="871" spans="1:21" ht="15" customHeight="1" x14ac:dyDescent="0.25">
      <c r="A871" t="s">
        <v>1947</v>
      </c>
      <c r="B871" s="8">
        <v>45027</v>
      </c>
      <c r="C871" s="8">
        <v>45030</v>
      </c>
      <c r="D871" t="s">
        <v>20</v>
      </c>
      <c r="E871" t="s">
        <v>3048</v>
      </c>
      <c r="F871" t="s">
        <v>3036</v>
      </c>
      <c r="G871" t="s">
        <v>3126</v>
      </c>
      <c r="H871" t="s">
        <v>1948</v>
      </c>
      <c r="I871" t="s">
        <v>24</v>
      </c>
      <c r="J871" t="s">
        <v>51</v>
      </c>
      <c r="K871" t="s">
        <v>227</v>
      </c>
      <c r="L871" t="s">
        <v>85</v>
      </c>
      <c r="M871" t="str">
        <f>TRIM(Table2[[#This Row],[Category]])</f>
        <v>Furniture</v>
      </c>
      <c r="N871" t="s">
        <v>218</v>
      </c>
      <c r="O871" t="s">
        <v>219</v>
      </c>
      <c r="P871">
        <v>8</v>
      </c>
      <c r="Q871">
        <v>114475.53</v>
      </c>
      <c r="R871">
        <v>15</v>
      </c>
      <c r="S871">
        <v>137370.64000000001</v>
      </c>
      <c r="T871">
        <v>778433.6</v>
      </c>
      <c r="U871">
        <v>-30969</v>
      </c>
    </row>
    <row r="872" spans="1:21" ht="15" customHeight="1" x14ac:dyDescent="0.25">
      <c r="A872" t="s">
        <v>1353</v>
      </c>
      <c r="B872" s="8">
        <v>45033</v>
      </c>
      <c r="C872" s="8">
        <v>45035</v>
      </c>
      <c r="D872" t="s">
        <v>20</v>
      </c>
      <c r="E872" t="s">
        <v>3041</v>
      </c>
      <c r="F872" t="s">
        <v>3043</v>
      </c>
      <c r="G872" t="s">
        <v>1355</v>
      </c>
      <c r="H872">
        <v>8137922203</v>
      </c>
      <c r="I872" t="s">
        <v>35</v>
      </c>
      <c r="J872" t="s">
        <v>51</v>
      </c>
      <c r="K872" t="s">
        <v>316</v>
      </c>
      <c r="L872" t="s">
        <v>85</v>
      </c>
      <c r="M872" t="str">
        <f>TRIM(Table2[[#This Row],[Category]])</f>
        <v>Furniture</v>
      </c>
      <c r="N872" t="s">
        <v>486</v>
      </c>
      <c r="O872" t="s">
        <v>1193</v>
      </c>
      <c r="P872">
        <v>19</v>
      </c>
      <c r="Q872">
        <v>20647.11</v>
      </c>
      <c r="R872">
        <v>20</v>
      </c>
      <c r="S872">
        <v>78459.02</v>
      </c>
      <c r="T872">
        <v>313836.07</v>
      </c>
      <c r="U872">
        <f>U871</f>
        <v>-30969</v>
      </c>
    </row>
    <row r="873" spans="1:21" ht="15" customHeight="1" x14ac:dyDescent="0.25">
      <c r="A873" t="s">
        <v>1167</v>
      </c>
      <c r="B873" s="8">
        <v>45045</v>
      </c>
      <c r="C873" s="8">
        <v>45048</v>
      </c>
      <c r="D873" t="s">
        <v>20</v>
      </c>
      <c r="E873" t="s">
        <v>3087</v>
      </c>
      <c r="F873" t="s">
        <v>3040</v>
      </c>
      <c r="G873" t="s">
        <v>1169</v>
      </c>
      <c r="H873">
        <v>7061494355</v>
      </c>
      <c r="I873" t="s">
        <v>24</v>
      </c>
      <c r="J873" t="s">
        <v>51</v>
      </c>
      <c r="K873" t="s">
        <v>223</v>
      </c>
      <c r="L873" t="s">
        <v>27</v>
      </c>
      <c r="M873" t="str">
        <f>TRIM(Table2[[#This Row],[Category]])</f>
        <v>Food &amp; Beverages</v>
      </c>
      <c r="N873" t="s">
        <v>45</v>
      </c>
      <c r="O873" t="s">
        <v>523</v>
      </c>
      <c r="P873">
        <v>13</v>
      </c>
      <c r="Q873">
        <v>1468.15</v>
      </c>
      <c r="R873">
        <v>0</v>
      </c>
      <c r="S873">
        <v>0</v>
      </c>
      <c r="T873">
        <v>19085.95</v>
      </c>
      <c r="U873">
        <v>-1857.5</v>
      </c>
    </row>
    <row r="874" spans="1:21" ht="15" customHeight="1" x14ac:dyDescent="0.25">
      <c r="A874" t="s">
        <v>128</v>
      </c>
      <c r="B874" s="8">
        <v>45050</v>
      </c>
      <c r="C874" s="8">
        <v>45053</v>
      </c>
      <c r="D874" t="s">
        <v>20</v>
      </c>
      <c r="E874" t="s">
        <v>3058</v>
      </c>
      <c r="F874" t="s">
        <v>3054</v>
      </c>
      <c r="G874" t="s">
        <v>130</v>
      </c>
      <c r="H874">
        <v>8146304573</v>
      </c>
      <c r="I874" t="s">
        <v>24</v>
      </c>
      <c r="J874" t="s">
        <v>51</v>
      </c>
      <c r="K874" t="s">
        <v>131</v>
      </c>
      <c r="L874" t="s">
        <v>96</v>
      </c>
      <c r="M874" t="str">
        <f>TRIM(Table2[[#This Row],[Category]])</f>
        <v>Technology</v>
      </c>
      <c r="N874" t="s">
        <v>120</v>
      </c>
      <c r="O874" t="s">
        <v>133</v>
      </c>
      <c r="P874">
        <v>19</v>
      </c>
      <c r="Q874">
        <v>285204.28000000003</v>
      </c>
      <c r="R874">
        <v>0</v>
      </c>
      <c r="S874">
        <v>0</v>
      </c>
      <c r="T874">
        <v>5418881.3200000003</v>
      </c>
      <c r="U874">
        <v>-574637.51</v>
      </c>
    </row>
    <row r="875" spans="1:21" ht="15" customHeight="1" x14ac:dyDescent="0.25">
      <c r="A875" t="s">
        <v>1123</v>
      </c>
      <c r="B875" s="8">
        <v>45051</v>
      </c>
      <c r="C875" s="8">
        <v>45054</v>
      </c>
      <c r="D875" t="s">
        <v>20</v>
      </c>
      <c r="E875" t="s">
        <v>3044</v>
      </c>
      <c r="F875" t="s">
        <v>3069</v>
      </c>
      <c r="G875" t="s">
        <v>1125</v>
      </c>
      <c r="H875">
        <v>8139792431</v>
      </c>
      <c r="I875" t="s">
        <v>35</v>
      </c>
      <c r="J875" t="s">
        <v>69</v>
      </c>
      <c r="K875" t="s">
        <v>119</v>
      </c>
      <c r="L875" t="s">
        <v>108</v>
      </c>
      <c r="M875" t="str">
        <f>TRIM(Table2[[#This Row],[Category]])</f>
        <v>Clothing</v>
      </c>
      <c r="N875" t="s">
        <v>189</v>
      </c>
      <c r="O875" t="s">
        <v>190</v>
      </c>
      <c r="P875">
        <v>11</v>
      </c>
      <c r="Q875">
        <v>28360.69</v>
      </c>
      <c r="R875">
        <v>15</v>
      </c>
      <c r="S875">
        <v>46795.14</v>
      </c>
      <c r="T875" t="s">
        <v>1127</v>
      </c>
      <c r="U875">
        <v>62194.17</v>
      </c>
    </row>
    <row r="876" spans="1:21" ht="15" customHeight="1" x14ac:dyDescent="0.25">
      <c r="A876" t="s">
        <v>449</v>
      </c>
      <c r="B876" s="8">
        <v>45054</v>
      </c>
      <c r="C876" s="8">
        <v>45057</v>
      </c>
      <c r="D876" t="s">
        <v>20</v>
      </c>
      <c r="E876" t="s">
        <v>3065</v>
      </c>
      <c r="F876" t="s">
        <v>3069</v>
      </c>
      <c r="G876" t="s">
        <v>451</v>
      </c>
      <c r="H876">
        <v>8157049927</v>
      </c>
      <c r="I876" t="s">
        <v>35</v>
      </c>
      <c r="J876" t="s">
        <v>51</v>
      </c>
      <c r="K876" t="s">
        <v>3127</v>
      </c>
      <c r="L876" t="s">
        <v>96</v>
      </c>
      <c r="M876" t="str">
        <f>TRIM(Table2[[#This Row],[Category]])</f>
        <v>Technology</v>
      </c>
      <c r="N876" t="s">
        <v>254</v>
      </c>
      <c r="O876" t="s">
        <v>452</v>
      </c>
      <c r="P876">
        <v>17</v>
      </c>
      <c r="Q876">
        <v>235687.55</v>
      </c>
      <c r="R876">
        <v>25</v>
      </c>
      <c r="S876">
        <v>1001672.09</v>
      </c>
      <c r="T876">
        <v>3005016.26</v>
      </c>
      <c r="U876">
        <v>-414089.49</v>
      </c>
    </row>
    <row r="877" spans="1:21" ht="15" customHeight="1" x14ac:dyDescent="0.25">
      <c r="A877" t="s">
        <v>2761</v>
      </c>
      <c r="B877" s="8">
        <v>45060</v>
      </c>
      <c r="C877" s="8">
        <v>45062</v>
      </c>
      <c r="D877" t="s">
        <v>20</v>
      </c>
      <c r="E877" t="s">
        <v>3095</v>
      </c>
      <c r="F877" t="s">
        <v>3062</v>
      </c>
      <c r="G877" t="s">
        <v>2762</v>
      </c>
      <c r="H877">
        <v>9057322454</v>
      </c>
      <c r="I877" t="s">
        <v>35</v>
      </c>
      <c r="J877" t="s">
        <v>69</v>
      </c>
      <c r="K877" t="s">
        <v>70</v>
      </c>
      <c r="L877" t="s">
        <v>96</v>
      </c>
      <c r="M877" t="str">
        <f>TRIM(Table2[[#This Row],[Category]])</f>
        <v>Technology</v>
      </c>
      <c r="N877" t="s">
        <v>120</v>
      </c>
      <c r="O877" t="s">
        <v>1307</v>
      </c>
      <c r="P877">
        <v>1</v>
      </c>
      <c r="Q877">
        <v>50804.959999999999</v>
      </c>
      <c r="R877">
        <v>0</v>
      </c>
      <c r="S877">
        <v>0</v>
      </c>
      <c r="T877">
        <v>50804.959999999999</v>
      </c>
      <c r="U877">
        <v>8851.36</v>
      </c>
    </row>
    <row r="878" spans="1:21" ht="15" customHeight="1" x14ac:dyDescent="0.25">
      <c r="A878" t="s">
        <v>2838</v>
      </c>
      <c r="B878" s="8">
        <v>45062</v>
      </c>
      <c r="C878" s="8">
        <v>45064</v>
      </c>
      <c r="D878" t="s">
        <v>20</v>
      </c>
      <c r="E878" t="s">
        <v>3089</v>
      </c>
      <c r="F878" t="s">
        <v>3075</v>
      </c>
      <c r="G878" t="s">
        <v>2839</v>
      </c>
      <c r="H878">
        <v>8101328330</v>
      </c>
      <c r="I878" t="s">
        <v>43</v>
      </c>
      <c r="J878" t="s">
        <v>25</v>
      </c>
      <c r="K878" t="s">
        <v>126</v>
      </c>
      <c r="L878" t="s">
        <v>63</v>
      </c>
      <c r="M878" t="str">
        <f>TRIM(Table2[[#This Row],[Category]])</f>
        <v>Office Supplies</v>
      </c>
      <c r="N878" t="s">
        <v>194</v>
      </c>
      <c r="O878" t="s">
        <v>195</v>
      </c>
      <c r="P878">
        <v>11</v>
      </c>
      <c r="Q878">
        <v>10783.29</v>
      </c>
      <c r="R878" t="s">
        <v>376</v>
      </c>
      <c r="S878">
        <v>0</v>
      </c>
      <c r="T878">
        <v>118616.19</v>
      </c>
      <c r="U878">
        <v>16441.57</v>
      </c>
    </row>
    <row r="879" spans="1:21" ht="15" customHeight="1" x14ac:dyDescent="0.25">
      <c r="A879" t="s">
        <v>19</v>
      </c>
      <c r="B879" s="8">
        <v>45063</v>
      </c>
      <c r="C879" s="8">
        <v>45065</v>
      </c>
      <c r="D879" t="s">
        <v>20</v>
      </c>
      <c r="E879" t="s">
        <v>3033</v>
      </c>
      <c r="F879" t="s">
        <v>3034</v>
      </c>
      <c r="G879" t="s">
        <v>22</v>
      </c>
      <c r="H879" t="s">
        <v>23</v>
      </c>
      <c r="I879" t="s">
        <v>24</v>
      </c>
      <c r="J879" t="s">
        <v>25</v>
      </c>
      <c r="K879" t="s">
        <v>26</v>
      </c>
      <c r="L879" t="s">
        <v>27</v>
      </c>
      <c r="M879" t="str">
        <f>TRIM(Table2[[#This Row],[Category]])</f>
        <v>Food &amp; Beverages</v>
      </c>
      <c r="N879" t="s">
        <v>28</v>
      </c>
      <c r="O879" t="s">
        <v>29</v>
      </c>
      <c r="P879">
        <v>7</v>
      </c>
      <c r="Q879">
        <v>529.44000000000005</v>
      </c>
      <c r="R879" t="s">
        <v>30</v>
      </c>
      <c r="S879">
        <v>185.3</v>
      </c>
      <c r="T879">
        <v>3520.78</v>
      </c>
      <c r="U879">
        <v>539.42999999999995</v>
      </c>
    </row>
    <row r="880" spans="1:21" ht="15" customHeight="1" x14ac:dyDescent="0.25">
      <c r="A880" t="s">
        <v>2602</v>
      </c>
      <c r="B880" s="8">
        <v>45070</v>
      </c>
      <c r="C880" s="8">
        <v>45069</v>
      </c>
      <c r="D880" t="s">
        <v>20</v>
      </c>
      <c r="E880" t="s">
        <v>3068</v>
      </c>
      <c r="F880" t="s">
        <v>3078</v>
      </c>
      <c r="G880" t="s">
        <v>2603</v>
      </c>
      <c r="H880">
        <v>8165378650</v>
      </c>
      <c r="I880" t="s">
        <v>24</v>
      </c>
      <c r="J880" t="s">
        <v>61</v>
      </c>
      <c r="K880" t="s">
        <v>84</v>
      </c>
      <c r="L880" t="s">
        <v>85</v>
      </c>
      <c r="M880" t="str">
        <f>TRIM(Table2[[#This Row],[Category]])</f>
        <v>Furniture</v>
      </c>
      <c r="N880" t="s">
        <v>218</v>
      </c>
      <c r="O880" t="s">
        <v>1058</v>
      </c>
      <c r="P880">
        <v>14</v>
      </c>
      <c r="Q880">
        <v>12348.8</v>
      </c>
      <c r="R880">
        <v>0</v>
      </c>
      <c r="S880">
        <v>0</v>
      </c>
      <c r="T880">
        <v>172883.20000000001</v>
      </c>
      <c r="U880">
        <v>12305.65</v>
      </c>
    </row>
    <row r="881" spans="1:21" ht="15" customHeight="1" x14ac:dyDescent="0.25">
      <c r="A881" t="s">
        <v>1308</v>
      </c>
      <c r="B881" s="8">
        <v>45077</v>
      </c>
      <c r="C881" s="8">
        <v>45079</v>
      </c>
      <c r="D881" t="s">
        <v>1309</v>
      </c>
      <c r="E881" t="s">
        <v>3063</v>
      </c>
      <c r="F881" t="s">
        <v>3046</v>
      </c>
      <c r="G881" t="s">
        <v>1310</v>
      </c>
      <c r="H881">
        <v>8034637715</v>
      </c>
      <c r="I881" t="s">
        <v>24</v>
      </c>
      <c r="J881" t="s">
        <v>51</v>
      </c>
      <c r="K881" t="s">
        <v>1311</v>
      </c>
      <c r="L881" t="s">
        <v>27</v>
      </c>
      <c r="M881" t="str">
        <f>TRIM(Table2[[#This Row],[Category]])</f>
        <v>Food &amp; Beverages</v>
      </c>
      <c r="N881" t="s">
        <v>79</v>
      </c>
      <c r="O881" t="s">
        <v>145</v>
      </c>
      <c r="P881">
        <v>20</v>
      </c>
      <c r="Q881">
        <v>965.18</v>
      </c>
      <c r="R881">
        <v>0</v>
      </c>
      <c r="S881">
        <v>0</v>
      </c>
      <c r="T881">
        <v>19303.599999999999</v>
      </c>
      <c r="U881">
        <v>1458.87</v>
      </c>
    </row>
    <row r="882" spans="1:21" ht="15" customHeight="1" x14ac:dyDescent="0.25">
      <c r="A882" t="s">
        <v>373</v>
      </c>
      <c r="B882" s="8">
        <v>45084</v>
      </c>
      <c r="C882" s="8">
        <v>45087</v>
      </c>
      <c r="D882" t="s">
        <v>20</v>
      </c>
      <c r="E882" t="s">
        <v>3084</v>
      </c>
      <c r="F882" t="s">
        <v>3069</v>
      </c>
      <c r="G882" t="s">
        <v>375</v>
      </c>
      <c r="H882">
        <v>8062530497</v>
      </c>
      <c r="I882" t="s">
        <v>43</v>
      </c>
      <c r="J882" t="s">
        <v>25</v>
      </c>
      <c r="K882" t="s">
        <v>44</v>
      </c>
      <c r="L882" t="s">
        <v>96</v>
      </c>
      <c r="M882" t="str">
        <f>TRIM(Table2[[#This Row],[Category]])</f>
        <v>Technology</v>
      </c>
      <c r="N882" t="s">
        <v>120</v>
      </c>
      <c r="O882" t="s">
        <v>133</v>
      </c>
      <c r="P882">
        <v>12</v>
      </c>
      <c r="Q882">
        <v>57005.53</v>
      </c>
      <c r="R882" t="s">
        <v>376</v>
      </c>
      <c r="S882">
        <v>0</v>
      </c>
      <c r="T882">
        <v>684066.36</v>
      </c>
      <c r="U882">
        <v>125746.75</v>
      </c>
    </row>
    <row r="883" spans="1:21" ht="15" customHeight="1" x14ac:dyDescent="0.25">
      <c r="A883" t="s">
        <v>2622</v>
      </c>
      <c r="B883" s="8">
        <v>45095</v>
      </c>
      <c r="C883" s="8">
        <v>45098</v>
      </c>
      <c r="D883" t="s">
        <v>20</v>
      </c>
      <c r="E883" t="s">
        <v>3056</v>
      </c>
      <c r="F883" t="s">
        <v>3040</v>
      </c>
      <c r="G883" t="s">
        <v>2624</v>
      </c>
      <c r="H883">
        <v>8141483477</v>
      </c>
      <c r="I883" t="s">
        <v>35</v>
      </c>
      <c r="J883" t="s">
        <v>51</v>
      </c>
      <c r="K883" t="s">
        <v>223</v>
      </c>
      <c r="L883" t="s">
        <v>108</v>
      </c>
      <c r="M883" t="str">
        <f>TRIM(Table2[[#This Row],[Category]])</f>
        <v>Clothing</v>
      </c>
      <c r="N883" t="s">
        <v>189</v>
      </c>
      <c r="O883" t="s">
        <v>205</v>
      </c>
      <c r="P883">
        <v>7</v>
      </c>
      <c r="Q883">
        <v>35110.720000000001</v>
      </c>
      <c r="R883">
        <v>0</v>
      </c>
      <c r="S883">
        <v>0</v>
      </c>
      <c r="T883">
        <v>245775.04</v>
      </c>
      <c r="U883">
        <v>-20247.91</v>
      </c>
    </row>
    <row r="884" spans="1:21" ht="15" customHeight="1" x14ac:dyDescent="0.25">
      <c r="A884" t="s">
        <v>1026</v>
      </c>
      <c r="B884" s="8">
        <v>45097</v>
      </c>
      <c r="C884" s="8">
        <v>45100</v>
      </c>
      <c r="D884" t="s">
        <v>20</v>
      </c>
      <c r="E884" t="s">
        <v>3094</v>
      </c>
      <c r="F884" t="s">
        <v>3039</v>
      </c>
      <c r="G884" t="s">
        <v>1028</v>
      </c>
      <c r="H884">
        <v>9077668174</v>
      </c>
      <c r="I884" t="s">
        <v>43</v>
      </c>
      <c r="J884" t="s">
        <v>25</v>
      </c>
      <c r="K884" t="s">
        <v>126</v>
      </c>
      <c r="L884" t="s">
        <v>85</v>
      </c>
      <c r="M884" t="str">
        <f>TRIM(Table2[[#This Row],[Category]])</f>
        <v>Furniture</v>
      </c>
      <c r="N884" t="s">
        <v>486</v>
      </c>
      <c r="O884" t="s">
        <v>527</v>
      </c>
      <c r="P884">
        <v>16</v>
      </c>
      <c r="Q884">
        <v>142811.60999999999</v>
      </c>
      <c r="R884">
        <v>0</v>
      </c>
      <c r="S884">
        <v>0</v>
      </c>
      <c r="T884">
        <v>2284985.7599999998</v>
      </c>
      <c r="U884">
        <v>164810.95000000001</v>
      </c>
    </row>
    <row r="885" spans="1:21" ht="15" customHeight="1" x14ac:dyDescent="0.25">
      <c r="A885" t="s">
        <v>1471</v>
      </c>
      <c r="B885" s="8">
        <v>45105</v>
      </c>
      <c r="C885" s="8">
        <v>45107</v>
      </c>
      <c r="D885" t="s">
        <v>20</v>
      </c>
      <c r="E885" t="s">
        <v>3093</v>
      </c>
      <c r="F885" t="s">
        <v>3057</v>
      </c>
      <c r="G885" t="s">
        <v>1473</v>
      </c>
      <c r="H885">
        <v>9024789737</v>
      </c>
      <c r="I885" t="s">
        <v>35</v>
      </c>
      <c r="J885" t="s">
        <v>25</v>
      </c>
      <c r="K885" t="s">
        <v>36</v>
      </c>
      <c r="L885" t="s">
        <v>27</v>
      </c>
      <c r="M885" t="str">
        <f>TRIM(Table2[[#This Row],[Category]])</f>
        <v>Food &amp; Beverages</v>
      </c>
      <c r="N885" t="s">
        <v>79</v>
      </c>
      <c r="O885" t="s">
        <v>234</v>
      </c>
      <c r="P885">
        <v>11</v>
      </c>
      <c r="Q885">
        <v>1029.45</v>
      </c>
      <c r="R885">
        <v>10</v>
      </c>
      <c r="S885">
        <v>1132.3900000000001</v>
      </c>
      <c r="T885">
        <v>10191.56</v>
      </c>
      <c r="U885">
        <v>-1117.3800000000001</v>
      </c>
    </row>
    <row r="886" spans="1:21" ht="15" customHeight="1" x14ac:dyDescent="0.25">
      <c r="A886" t="s">
        <v>860</v>
      </c>
      <c r="B886" s="8">
        <v>45125</v>
      </c>
      <c r="C886" s="8">
        <v>45128</v>
      </c>
      <c r="D886" t="s">
        <v>20</v>
      </c>
      <c r="E886" t="s">
        <v>3098</v>
      </c>
      <c r="F886" t="s">
        <v>3086</v>
      </c>
      <c r="G886" t="s">
        <v>862</v>
      </c>
      <c r="H886">
        <v>8145227836</v>
      </c>
      <c r="I886" t="s">
        <v>43</v>
      </c>
      <c r="J886" t="s">
        <v>25</v>
      </c>
      <c r="K886" t="s">
        <v>126</v>
      </c>
      <c r="L886" t="s">
        <v>85</v>
      </c>
      <c r="M886" t="str">
        <f>TRIM(Table2[[#This Row],[Category]])</f>
        <v>Furniture</v>
      </c>
      <c r="N886" t="s">
        <v>486</v>
      </c>
      <c r="O886" t="s">
        <v>543</v>
      </c>
      <c r="P886">
        <v>20</v>
      </c>
      <c r="Q886">
        <v>124477.74</v>
      </c>
      <c r="R886">
        <v>15</v>
      </c>
      <c r="S886">
        <v>373433.22</v>
      </c>
      <c r="T886">
        <v>2116121.58</v>
      </c>
      <c r="U886">
        <v>424689.29</v>
      </c>
    </row>
    <row r="887" spans="1:21" ht="15" customHeight="1" x14ac:dyDescent="0.25">
      <c r="A887" t="s">
        <v>2161</v>
      </c>
      <c r="B887" s="8">
        <v>45127</v>
      </c>
      <c r="C887" s="8">
        <v>45130</v>
      </c>
      <c r="D887" t="s">
        <v>20</v>
      </c>
      <c r="E887" t="s">
        <v>3089</v>
      </c>
      <c r="F887" t="s">
        <v>3054</v>
      </c>
      <c r="G887" t="s">
        <v>1383</v>
      </c>
      <c r="H887">
        <v>9073927545</v>
      </c>
      <c r="I887" t="s">
        <v>35</v>
      </c>
      <c r="J887" t="s">
        <v>25</v>
      </c>
      <c r="K887" t="s">
        <v>168</v>
      </c>
      <c r="L887" t="s">
        <v>85</v>
      </c>
      <c r="M887" t="str">
        <f>TRIM(Table2[[#This Row],[Category]])</f>
        <v>Furniture</v>
      </c>
      <c r="N887" t="s">
        <v>266</v>
      </c>
      <c r="O887" t="s">
        <v>267</v>
      </c>
      <c r="P887">
        <v>2</v>
      </c>
      <c r="Q887">
        <v>48019.66</v>
      </c>
      <c r="R887">
        <v>0</v>
      </c>
      <c r="S887">
        <v>0</v>
      </c>
      <c r="T887">
        <v>96039.32</v>
      </c>
      <c r="U887">
        <v>25034.07</v>
      </c>
    </row>
    <row r="888" spans="1:21" ht="15" customHeight="1" x14ac:dyDescent="0.25">
      <c r="A888" t="s">
        <v>1506</v>
      </c>
      <c r="B888" s="8">
        <v>45139</v>
      </c>
      <c r="C888" s="8">
        <v>45141</v>
      </c>
      <c r="D888" t="s">
        <v>20</v>
      </c>
      <c r="E888" t="s">
        <v>3081</v>
      </c>
      <c r="F888" t="s">
        <v>3066</v>
      </c>
      <c r="G888" t="s">
        <v>1507</v>
      </c>
      <c r="H888" t="s">
        <v>1508</v>
      </c>
      <c r="I888" t="s">
        <v>35</v>
      </c>
      <c r="J888" t="s">
        <v>61</v>
      </c>
      <c r="K888" t="s">
        <v>182</v>
      </c>
      <c r="L888" t="s">
        <v>108</v>
      </c>
      <c r="M888" t="str">
        <f>TRIM(Table2[[#This Row],[Category]])</f>
        <v>Clothing</v>
      </c>
      <c r="N888" t="s">
        <v>189</v>
      </c>
      <c r="O888" t="s">
        <v>190</v>
      </c>
      <c r="P888">
        <v>1</v>
      </c>
      <c r="Q888">
        <v>2891.59</v>
      </c>
      <c r="R888">
        <v>25</v>
      </c>
      <c r="S888">
        <v>722.9</v>
      </c>
      <c r="T888">
        <v>2168.69</v>
      </c>
      <c r="U888">
        <v>516.72</v>
      </c>
    </row>
    <row r="889" spans="1:21" ht="15" customHeight="1" x14ac:dyDescent="0.25">
      <c r="A889" t="s">
        <v>863</v>
      </c>
      <c r="B889" s="8">
        <v>45140</v>
      </c>
      <c r="C889" s="8">
        <v>45143</v>
      </c>
      <c r="D889" t="s">
        <v>20</v>
      </c>
      <c r="E889" t="s">
        <v>3072</v>
      </c>
      <c r="F889" t="s">
        <v>3083</v>
      </c>
      <c r="G889" t="s">
        <v>865</v>
      </c>
      <c r="H889">
        <v>7035638619</v>
      </c>
      <c r="I889" t="s">
        <v>24</v>
      </c>
      <c r="J889" t="s">
        <v>25</v>
      </c>
      <c r="K889" t="s">
        <v>36</v>
      </c>
      <c r="L889" t="s">
        <v>63</v>
      </c>
      <c r="M889" t="str">
        <f>TRIM(Table2[[#This Row],[Category]])</f>
        <v>Office Supplies</v>
      </c>
      <c r="N889" t="s">
        <v>194</v>
      </c>
      <c r="O889" t="s">
        <v>716</v>
      </c>
      <c r="P889">
        <v>10</v>
      </c>
      <c r="Q889">
        <v>6898.1</v>
      </c>
      <c r="R889">
        <v>5</v>
      </c>
      <c r="S889">
        <v>3449.05</v>
      </c>
      <c r="T889">
        <v>65531.95</v>
      </c>
      <c r="U889">
        <v>-3934.7</v>
      </c>
    </row>
    <row r="890" spans="1:21" ht="15" customHeight="1" x14ac:dyDescent="0.25">
      <c r="A890" t="s">
        <v>2523</v>
      </c>
      <c r="B890" s="8">
        <v>45145</v>
      </c>
      <c r="C890" s="8">
        <v>45148</v>
      </c>
      <c r="D890" t="s">
        <v>20</v>
      </c>
      <c r="E890" t="s">
        <v>3072</v>
      </c>
      <c r="F890" t="s">
        <v>3096</v>
      </c>
      <c r="G890" t="s">
        <v>2525</v>
      </c>
      <c r="H890">
        <v>7064391113</v>
      </c>
      <c r="I890" t="s">
        <v>24</v>
      </c>
      <c r="J890" t="s">
        <v>2526</v>
      </c>
      <c r="K890" t="s">
        <v>144</v>
      </c>
      <c r="L890" t="s">
        <v>96</v>
      </c>
      <c r="M890" t="str">
        <f>TRIM(Table2[[#This Row],[Category]])</f>
        <v>Technology</v>
      </c>
      <c r="N890" t="s">
        <v>254</v>
      </c>
      <c r="O890" t="s">
        <v>530</v>
      </c>
      <c r="P890">
        <v>17</v>
      </c>
      <c r="Q890">
        <v>102342.85</v>
      </c>
      <c r="R890">
        <v>0</v>
      </c>
      <c r="S890">
        <v>0</v>
      </c>
      <c r="T890">
        <v>1739828.45</v>
      </c>
      <c r="U890">
        <v>228568.56</v>
      </c>
    </row>
    <row r="891" spans="1:21" ht="15" customHeight="1" x14ac:dyDescent="0.25">
      <c r="A891" t="s">
        <v>2746</v>
      </c>
      <c r="B891" s="8">
        <v>45145</v>
      </c>
      <c r="C891" s="8">
        <v>45148</v>
      </c>
      <c r="D891" t="s">
        <v>20</v>
      </c>
      <c r="E891" t="s">
        <v>3087</v>
      </c>
      <c r="F891" t="s">
        <v>3079</v>
      </c>
      <c r="G891" t="s">
        <v>2747</v>
      </c>
      <c r="H891">
        <v>8149179175</v>
      </c>
      <c r="I891" t="s">
        <v>24</v>
      </c>
      <c r="J891" t="s">
        <v>69</v>
      </c>
      <c r="K891" t="s">
        <v>144</v>
      </c>
      <c r="L891" t="s">
        <v>108</v>
      </c>
      <c r="M891" t="str">
        <f>TRIM(Table2[[#This Row],[Category]])</f>
        <v>Clothing</v>
      </c>
      <c r="N891" t="s">
        <v>189</v>
      </c>
      <c r="O891" t="s">
        <v>287</v>
      </c>
      <c r="P891">
        <v>18</v>
      </c>
      <c r="Q891">
        <v>30651.759999999998</v>
      </c>
      <c r="R891">
        <v>25</v>
      </c>
      <c r="S891">
        <v>137932.92000000001</v>
      </c>
      <c r="T891">
        <v>413798.76</v>
      </c>
      <c r="U891">
        <v>-45363.31</v>
      </c>
    </row>
    <row r="892" spans="1:21" ht="15" customHeight="1" x14ac:dyDescent="0.25">
      <c r="A892" t="s">
        <v>1610</v>
      </c>
      <c r="B892" s="8">
        <v>45164</v>
      </c>
      <c r="C892" s="8">
        <v>45167</v>
      </c>
      <c r="D892" t="s">
        <v>20</v>
      </c>
      <c r="E892" t="s">
        <v>3047</v>
      </c>
      <c r="F892" t="s">
        <v>3079</v>
      </c>
      <c r="G892" t="s">
        <v>1612</v>
      </c>
      <c r="H892">
        <v>8108075907</v>
      </c>
      <c r="I892" t="s">
        <v>43</v>
      </c>
      <c r="J892" t="s">
        <v>51</v>
      </c>
      <c r="K892" t="s">
        <v>223</v>
      </c>
      <c r="L892" t="s">
        <v>96</v>
      </c>
      <c r="M892" t="str">
        <f>TRIM(Table2[[#This Row],[Category]])</f>
        <v>Technology</v>
      </c>
      <c r="N892" t="s">
        <v>97</v>
      </c>
      <c r="O892" t="s">
        <v>1416</v>
      </c>
      <c r="P892">
        <v>16</v>
      </c>
      <c r="Q892">
        <v>108777.93</v>
      </c>
      <c r="R892">
        <v>0</v>
      </c>
      <c r="S892">
        <v>0</v>
      </c>
      <c r="T892">
        <v>1740446.88</v>
      </c>
      <c r="U892">
        <v>-133323.9</v>
      </c>
    </row>
    <row r="893" spans="1:21" ht="15" customHeight="1" x14ac:dyDescent="0.25">
      <c r="A893" t="s">
        <v>1657</v>
      </c>
      <c r="B893" s="8">
        <v>45198</v>
      </c>
      <c r="C893" s="8">
        <v>45200</v>
      </c>
      <c r="D893" t="s">
        <v>20</v>
      </c>
      <c r="E893" t="s">
        <v>3072</v>
      </c>
      <c r="F893" t="s">
        <v>3046</v>
      </c>
      <c r="G893" t="s">
        <v>3126</v>
      </c>
      <c r="H893">
        <v>7061403047</v>
      </c>
      <c r="I893" t="s">
        <v>959</v>
      </c>
      <c r="J893" t="s">
        <v>61</v>
      </c>
      <c r="K893" t="s">
        <v>62</v>
      </c>
      <c r="L893" t="s">
        <v>27</v>
      </c>
      <c r="M893" t="str">
        <f>TRIM(Table2[[#This Row],[Category]])</f>
        <v>Food &amp; Beverages</v>
      </c>
      <c r="N893" t="s">
        <v>45</v>
      </c>
      <c r="O893" t="s">
        <v>838</v>
      </c>
      <c r="P893">
        <v>16</v>
      </c>
      <c r="Q893">
        <v>2203.08</v>
      </c>
      <c r="R893">
        <v>5</v>
      </c>
      <c r="S893">
        <v>1762.46</v>
      </c>
      <c r="T893">
        <v>33486.82</v>
      </c>
      <c r="U893">
        <v>14241.33</v>
      </c>
    </row>
    <row r="894" spans="1:21" ht="15" customHeight="1" x14ac:dyDescent="0.25">
      <c r="A894" t="s">
        <v>1672</v>
      </c>
      <c r="B894" s="8">
        <v>45199</v>
      </c>
      <c r="C894" s="8">
        <v>45201</v>
      </c>
      <c r="D894" t="s">
        <v>20</v>
      </c>
      <c r="E894" t="s">
        <v>3084</v>
      </c>
      <c r="F894" t="s">
        <v>3083</v>
      </c>
      <c r="G894" t="s">
        <v>1673</v>
      </c>
      <c r="H894">
        <v>9056752912</v>
      </c>
      <c r="I894" t="s">
        <v>24</v>
      </c>
      <c r="J894" t="s">
        <v>69</v>
      </c>
      <c r="K894" t="s">
        <v>155</v>
      </c>
      <c r="L894" t="str">
        <f>L893</f>
        <v>Food &amp; Beverages</v>
      </c>
      <c r="M894" t="str">
        <f>TRIM(Table2[[#This Row],[Category]])</f>
        <v>Food &amp; Beverages</v>
      </c>
      <c r="N894" t="s">
        <v>558</v>
      </c>
      <c r="O894" t="s">
        <v>1460</v>
      </c>
      <c r="P894">
        <v>5</v>
      </c>
      <c r="Q894">
        <v>13183.17</v>
      </c>
      <c r="R894">
        <v>0</v>
      </c>
      <c r="S894">
        <v>0</v>
      </c>
      <c r="T894">
        <v>65915.850000000006</v>
      </c>
      <c r="U894">
        <v>-498.82</v>
      </c>
    </row>
    <row r="895" spans="1:21" ht="15" customHeight="1" x14ac:dyDescent="0.25">
      <c r="A895" t="s">
        <v>2816</v>
      </c>
      <c r="B895" s="8">
        <v>45199</v>
      </c>
      <c r="C895" s="8">
        <v>45201</v>
      </c>
      <c r="D895" t="s">
        <v>20</v>
      </c>
      <c r="E895" t="s">
        <v>3060</v>
      </c>
      <c r="F895" t="s">
        <v>3057</v>
      </c>
      <c r="G895" t="s">
        <v>2707</v>
      </c>
      <c r="H895">
        <v>8155991994</v>
      </c>
      <c r="I895" t="s">
        <v>35</v>
      </c>
      <c r="J895" t="s">
        <v>25</v>
      </c>
      <c r="K895" t="s">
        <v>126</v>
      </c>
      <c r="L895" t="s">
        <v>96</v>
      </c>
      <c r="M895" t="str">
        <f>TRIM(Table2[[#This Row],[Category]])</f>
        <v>Technology</v>
      </c>
      <c r="N895" t="s">
        <v>189</v>
      </c>
      <c r="O895" t="s">
        <v>287</v>
      </c>
      <c r="P895">
        <v>14</v>
      </c>
      <c r="Q895">
        <v>150673.10999999999</v>
      </c>
      <c r="R895">
        <v>0</v>
      </c>
      <c r="S895">
        <v>0</v>
      </c>
      <c r="T895">
        <v>2109423.54</v>
      </c>
      <c r="U895">
        <v>516257.17</v>
      </c>
    </row>
    <row r="896" spans="1:21" ht="15" customHeight="1" x14ac:dyDescent="0.25">
      <c r="A896" t="s">
        <v>196</v>
      </c>
      <c r="B896" s="8">
        <v>45216</v>
      </c>
      <c r="C896" s="8">
        <v>45218</v>
      </c>
      <c r="D896" t="s">
        <v>20</v>
      </c>
      <c r="E896" t="s">
        <v>3033</v>
      </c>
      <c r="F896" t="s">
        <v>3054</v>
      </c>
      <c r="G896" t="s">
        <v>198</v>
      </c>
      <c r="H896">
        <v>7063563646</v>
      </c>
      <c r="I896" t="s">
        <v>43</v>
      </c>
      <c r="J896" t="s">
        <v>51</v>
      </c>
      <c r="K896" t="s">
        <v>131</v>
      </c>
      <c r="L896" t="s">
        <v>85</v>
      </c>
      <c r="M896" t="str">
        <f>TRIM(Table2[[#This Row],[Category]])</f>
        <v>Furniture</v>
      </c>
      <c r="N896" t="s">
        <v>86</v>
      </c>
      <c r="O896" t="s">
        <v>199</v>
      </c>
      <c r="P896">
        <v>18</v>
      </c>
      <c r="Q896">
        <v>78107.09</v>
      </c>
      <c r="R896">
        <v>20</v>
      </c>
      <c r="S896">
        <v>281185.52</v>
      </c>
      <c r="T896" t="s">
        <v>200</v>
      </c>
      <c r="U896">
        <v>111871.96</v>
      </c>
    </row>
    <row r="897" spans="1:21" ht="15" customHeight="1" x14ac:dyDescent="0.25">
      <c r="A897" t="s">
        <v>2335</v>
      </c>
      <c r="B897" s="8">
        <v>45216</v>
      </c>
      <c r="C897" s="8">
        <v>45219</v>
      </c>
      <c r="D897" t="s">
        <v>20</v>
      </c>
      <c r="E897" t="s">
        <v>3072</v>
      </c>
      <c r="F897" t="s">
        <v>3069</v>
      </c>
      <c r="G897" t="s">
        <v>2337</v>
      </c>
      <c r="H897">
        <v>8159986330</v>
      </c>
      <c r="I897" t="s">
        <v>43</v>
      </c>
      <c r="J897" t="s">
        <v>51</v>
      </c>
      <c r="K897" t="s">
        <v>131</v>
      </c>
      <c r="L897" t="s">
        <v>27</v>
      </c>
      <c r="M897" t="str">
        <f>TRIM(Table2[[#This Row],[Category]])</f>
        <v>Food &amp; Beverages</v>
      </c>
      <c r="N897" t="s">
        <v>28</v>
      </c>
      <c r="O897" t="s">
        <v>508</v>
      </c>
      <c r="P897">
        <v>16</v>
      </c>
      <c r="Q897" t="s">
        <v>2338</v>
      </c>
      <c r="R897">
        <v>20</v>
      </c>
      <c r="S897">
        <v>22127.17</v>
      </c>
      <c r="T897">
        <v>88508.67</v>
      </c>
      <c r="U897">
        <v>1926.84</v>
      </c>
    </row>
    <row r="898" spans="1:21" ht="15" customHeight="1" x14ac:dyDescent="0.25">
      <c r="A898" t="s">
        <v>2712</v>
      </c>
      <c r="B898" s="8">
        <v>45221</v>
      </c>
      <c r="C898" s="8">
        <v>45223</v>
      </c>
      <c r="D898" t="s">
        <v>20</v>
      </c>
      <c r="E898" t="s">
        <v>3089</v>
      </c>
      <c r="F898" t="s">
        <v>3075</v>
      </c>
      <c r="G898" t="s">
        <v>2427</v>
      </c>
      <c r="H898">
        <v>8038418708</v>
      </c>
      <c r="I898" t="s">
        <v>24</v>
      </c>
      <c r="J898" t="s">
        <v>69</v>
      </c>
      <c r="K898" t="s">
        <v>70</v>
      </c>
      <c r="L898" t="s">
        <v>27</v>
      </c>
      <c r="M898" t="str">
        <f>TRIM(Table2[[#This Row],[Category]])</f>
        <v>Food &amp; Beverages</v>
      </c>
      <c r="N898" t="s">
        <v>354</v>
      </c>
      <c r="O898" t="s">
        <v>494</v>
      </c>
      <c r="P898">
        <v>3</v>
      </c>
      <c r="Q898">
        <v>1412.77</v>
      </c>
      <c r="R898">
        <v>15</v>
      </c>
      <c r="S898">
        <v>635.75</v>
      </c>
      <c r="T898">
        <v>3602.56</v>
      </c>
      <c r="U898">
        <v>-176.42</v>
      </c>
    </row>
    <row r="899" spans="1:21" ht="15" customHeight="1" x14ac:dyDescent="0.25">
      <c r="A899" t="s">
        <v>1211</v>
      </c>
      <c r="B899" s="8">
        <v>45223</v>
      </c>
      <c r="C899" s="8">
        <v>45226</v>
      </c>
      <c r="D899" t="s">
        <v>20</v>
      </c>
      <c r="E899" t="s">
        <v>3098</v>
      </c>
      <c r="F899" t="s">
        <v>3042</v>
      </c>
      <c r="G899" t="s">
        <v>1213</v>
      </c>
      <c r="H899">
        <v>9028169304</v>
      </c>
      <c r="I899" t="s">
        <v>35</v>
      </c>
      <c r="J899" t="s">
        <v>51</v>
      </c>
      <c r="K899" t="s">
        <v>52</v>
      </c>
      <c r="L899" t="s">
        <v>27</v>
      </c>
      <c r="M899" t="str">
        <f>TRIM(Table2[[#This Row],[Category]])</f>
        <v>Food &amp; Beverages</v>
      </c>
      <c r="N899" t="s">
        <v>79</v>
      </c>
      <c r="O899" t="s">
        <v>80</v>
      </c>
      <c r="P899">
        <v>4</v>
      </c>
      <c r="Q899">
        <v>3925.29</v>
      </c>
      <c r="R899">
        <v>10</v>
      </c>
      <c r="S899">
        <v>1570.12</v>
      </c>
      <c r="T899">
        <v>14131.04</v>
      </c>
      <c r="U899">
        <v>671.58</v>
      </c>
    </row>
    <row r="900" spans="1:21" ht="15" customHeight="1" x14ac:dyDescent="0.25">
      <c r="A900" t="s">
        <v>1910</v>
      </c>
      <c r="B900" s="8">
        <v>45226</v>
      </c>
      <c r="C900" s="8">
        <v>45228</v>
      </c>
      <c r="D900" t="s">
        <v>20</v>
      </c>
      <c r="E900" t="s">
        <v>3049</v>
      </c>
      <c r="F900" t="s">
        <v>3042</v>
      </c>
      <c r="G900" t="s">
        <v>1912</v>
      </c>
      <c r="H900">
        <v>8135692416</v>
      </c>
      <c r="I900" t="s">
        <v>43</v>
      </c>
      <c r="J900" t="s">
        <v>51</v>
      </c>
      <c r="K900" t="s">
        <v>131</v>
      </c>
      <c r="L900" t="s">
        <v>85</v>
      </c>
      <c r="M900" t="str">
        <f>TRIM(Table2[[#This Row],[Category]])</f>
        <v>Furniture</v>
      </c>
      <c r="N900" t="s">
        <v>243</v>
      </c>
      <c r="O900" t="s">
        <v>1054</v>
      </c>
      <c r="P900">
        <v>19</v>
      </c>
      <c r="Q900">
        <v>100430.86</v>
      </c>
      <c r="R900">
        <v>0</v>
      </c>
      <c r="S900">
        <v>0</v>
      </c>
      <c r="T900">
        <v>1908186.34</v>
      </c>
      <c r="U900">
        <v>541087.82999999996</v>
      </c>
    </row>
    <row r="901" spans="1:21" ht="15" customHeight="1" x14ac:dyDescent="0.25">
      <c r="A901" t="s">
        <v>1259</v>
      </c>
      <c r="B901" s="8">
        <v>45227</v>
      </c>
      <c r="C901" s="8">
        <v>45230</v>
      </c>
      <c r="D901" t="s">
        <v>20</v>
      </c>
      <c r="E901" t="s">
        <v>3089</v>
      </c>
      <c r="F901" t="s">
        <v>3046</v>
      </c>
      <c r="G901" t="s">
        <v>1261</v>
      </c>
      <c r="H901" t="s">
        <v>23</v>
      </c>
      <c r="I901" t="s">
        <v>24</v>
      </c>
      <c r="J901" t="s">
        <v>69</v>
      </c>
      <c r="K901" t="s">
        <v>119</v>
      </c>
      <c r="L901" t="s">
        <v>63</v>
      </c>
      <c r="M901" t="str">
        <f>TRIM(Table2[[#This Row],[Category]])</f>
        <v>Office Supplies</v>
      </c>
      <c r="N901" t="s">
        <v>64</v>
      </c>
      <c r="O901" t="s">
        <v>104</v>
      </c>
      <c r="P901">
        <v>10</v>
      </c>
      <c r="Q901">
        <v>21221.27</v>
      </c>
      <c r="R901">
        <v>10</v>
      </c>
      <c r="S901">
        <v>21221.27</v>
      </c>
      <c r="T901">
        <v>190991.43</v>
      </c>
      <c r="U901">
        <v>40617.03</v>
      </c>
    </row>
    <row r="902" spans="1:21" ht="15" customHeight="1" x14ac:dyDescent="0.25">
      <c r="A902" t="s">
        <v>1088</v>
      </c>
      <c r="B902" s="8">
        <v>45228</v>
      </c>
      <c r="C902" s="8">
        <v>45231</v>
      </c>
      <c r="D902" t="s">
        <v>20</v>
      </c>
      <c r="E902" t="s">
        <v>3039</v>
      </c>
      <c r="F902" t="s">
        <v>3086</v>
      </c>
      <c r="G902" t="s">
        <v>1090</v>
      </c>
      <c r="H902">
        <v>8158463259</v>
      </c>
      <c r="I902" t="s">
        <v>35</v>
      </c>
      <c r="J902" t="s">
        <v>61</v>
      </c>
      <c r="K902" t="s">
        <v>95</v>
      </c>
      <c r="L902" t="s">
        <v>85</v>
      </c>
      <c r="M902" t="str">
        <f>TRIM(Table2[[#This Row],[Category]])</f>
        <v>Furniture</v>
      </c>
      <c r="N902" t="s">
        <v>266</v>
      </c>
      <c r="O902" t="s">
        <v>803</v>
      </c>
      <c r="P902">
        <v>15</v>
      </c>
      <c r="Q902">
        <v>109622.92</v>
      </c>
      <c r="R902">
        <v>15</v>
      </c>
      <c r="S902">
        <v>246651.57</v>
      </c>
      <c r="T902">
        <v>1397692.23</v>
      </c>
      <c r="U902">
        <v>229327.59</v>
      </c>
    </row>
    <row r="903" spans="1:21" ht="15" customHeight="1" x14ac:dyDescent="0.25">
      <c r="A903" t="s">
        <v>757</v>
      </c>
      <c r="B903" s="8">
        <v>45232</v>
      </c>
      <c r="C903" s="8">
        <v>45234</v>
      </c>
      <c r="D903" t="s">
        <v>20</v>
      </c>
      <c r="E903" t="s">
        <v>3060</v>
      </c>
      <c r="F903" t="s">
        <v>3071</v>
      </c>
      <c r="G903" t="s">
        <v>759</v>
      </c>
      <c r="H903">
        <v>7034366703</v>
      </c>
      <c r="I903" t="s">
        <v>43</v>
      </c>
      <c r="J903" t="s">
        <v>25</v>
      </c>
      <c r="K903" t="s">
        <v>168</v>
      </c>
      <c r="L903" t="s">
        <v>760</v>
      </c>
      <c r="M903" t="str">
        <f>TRIM(Table2[[#This Row],[Category]])</f>
        <v>OFfice Supplies</v>
      </c>
      <c r="N903" t="s">
        <v>312</v>
      </c>
      <c r="O903" t="s">
        <v>761</v>
      </c>
      <c r="P903">
        <v>8</v>
      </c>
      <c r="Q903">
        <v>18619.61</v>
      </c>
      <c r="R903" t="s">
        <v>682</v>
      </c>
      <c r="S903">
        <v>29791.38</v>
      </c>
      <c r="T903">
        <v>119165.5</v>
      </c>
      <c r="U903">
        <v>8456.48</v>
      </c>
    </row>
    <row r="904" spans="1:21" ht="15" customHeight="1" x14ac:dyDescent="0.25">
      <c r="A904" t="s">
        <v>1789</v>
      </c>
      <c r="B904" s="8">
        <v>45238</v>
      </c>
      <c r="C904" s="8">
        <v>45240</v>
      </c>
      <c r="D904" t="s">
        <v>20</v>
      </c>
      <c r="E904" t="s">
        <v>3049</v>
      </c>
      <c r="F904" t="s">
        <v>3071</v>
      </c>
      <c r="G904" t="s">
        <v>1791</v>
      </c>
      <c r="H904">
        <v>9013329735</v>
      </c>
      <c r="I904" t="s">
        <v>35</v>
      </c>
      <c r="J904" t="s">
        <v>69</v>
      </c>
      <c r="K904" t="s">
        <v>155</v>
      </c>
      <c r="L904" t="s">
        <v>96</v>
      </c>
      <c r="M904" t="str">
        <f>TRIM(Table2[[#This Row],[Category]])</f>
        <v>Technology</v>
      </c>
      <c r="N904" t="s">
        <v>254</v>
      </c>
      <c r="O904" t="s">
        <v>756</v>
      </c>
      <c r="P904">
        <v>9</v>
      </c>
      <c r="Q904">
        <v>393017.3</v>
      </c>
      <c r="R904">
        <v>5</v>
      </c>
      <c r="S904">
        <v>176857.79</v>
      </c>
      <c r="T904">
        <v>3360297.91</v>
      </c>
      <c r="U904">
        <v>238775.84</v>
      </c>
    </row>
    <row r="905" spans="1:21" ht="15" customHeight="1" x14ac:dyDescent="0.25">
      <c r="A905" t="s">
        <v>1209</v>
      </c>
      <c r="B905" s="8">
        <v>45240</v>
      </c>
      <c r="C905" s="8">
        <v>45242</v>
      </c>
      <c r="D905" t="s">
        <v>20</v>
      </c>
      <c r="E905" t="s">
        <v>3087</v>
      </c>
      <c r="F905" t="s">
        <v>3038</v>
      </c>
      <c r="G905" t="s">
        <v>1210</v>
      </c>
      <c r="H905">
        <v>8103706755</v>
      </c>
      <c r="I905" t="s">
        <v>35</v>
      </c>
      <c r="J905" t="s">
        <v>25</v>
      </c>
      <c r="K905" t="s">
        <v>126</v>
      </c>
      <c r="L905" t="s">
        <v>63</v>
      </c>
      <c r="M905" t="str">
        <f>TRIM(Table2[[#This Row],[Category]])</f>
        <v>Office Supplies</v>
      </c>
      <c r="N905" t="s">
        <v>312</v>
      </c>
      <c r="O905" t="s">
        <v>686</v>
      </c>
      <c r="P905">
        <v>18</v>
      </c>
      <c r="Q905">
        <v>14520.92</v>
      </c>
      <c r="R905">
        <v>0</v>
      </c>
      <c r="S905">
        <v>0</v>
      </c>
      <c r="T905">
        <v>261376.56</v>
      </c>
      <c r="U905">
        <v>112333.36</v>
      </c>
    </row>
    <row r="906" spans="1:21" ht="15" customHeight="1" x14ac:dyDescent="0.25">
      <c r="A906" t="s">
        <v>1351</v>
      </c>
      <c r="B906" s="8">
        <v>45246</v>
      </c>
      <c r="C906" s="8">
        <v>45249</v>
      </c>
      <c r="D906" t="s">
        <v>20</v>
      </c>
      <c r="E906" t="s">
        <v>3063</v>
      </c>
      <c r="F906" t="s">
        <v>3038</v>
      </c>
      <c r="G906" t="s">
        <v>3126</v>
      </c>
      <c r="H906">
        <v>8153950904</v>
      </c>
      <c r="I906" t="s">
        <v>43</v>
      </c>
      <c r="J906" t="s">
        <v>51</v>
      </c>
      <c r="K906" t="s">
        <v>131</v>
      </c>
      <c r="L906" t="s">
        <v>85</v>
      </c>
      <c r="M906" t="str">
        <f>TRIM(Table2[[#This Row],[Category]])</f>
        <v>Furniture</v>
      </c>
      <c r="N906" t="s">
        <v>86</v>
      </c>
      <c r="O906" t="s">
        <v>199</v>
      </c>
      <c r="P906">
        <v>3</v>
      </c>
      <c r="Q906">
        <v>96563.44</v>
      </c>
      <c r="R906">
        <v>5</v>
      </c>
      <c r="S906">
        <v>14484.52</v>
      </c>
      <c r="T906">
        <v>275205.8</v>
      </c>
      <c r="U906">
        <v>77839.72</v>
      </c>
    </row>
    <row r="907" spans="1:21" ht="15" customHeight="1" x14ac:dyDescent="0.25">
      <c r="A907" t="s">
        <v>2236</v>
      </c>
      <c r="B907" s="8" t="s">
        <v>2237</v>
      </c>
      <c r="C907" s="8">
        <v>45255</v>
      </c>
      <c r="D907" t="s">
        <v>20</v>
      </c>
      <c r="E907" t="s">
        <v>3063</v>
      </c>
      <c r="F907" t="s">
        <v>3074</v>
      </c>
      <c r="G907" t="s">
        <v>2239</v>
      </c>
      <c r="H907">
        <v>8031093478</v>
      </c>
      <c r="I907" t="s">
        <v>43</v>
      </c>
      <c r="J907" t="s">
        <v>69</v>
      </c>
      <c r="K907" t="s">
        <v>144</v>
      </c>
      <c r="L907" t="s">
        <v>63</v>
      </c>
      <c r="M907" t="str">
        <f>TRIM(Table2[[#This Row],[Category]])</f>
        <v>Office Supplies</v>
      </c>
      <c r="N907" t="s">
        <v>469</v>
      </c>
      <c r="O907" t="s">
        <v>1595</v>
      </c>
      <c r="P907">
        <v>16</v>
      </c>
      <c r="Q907">
        <v>18998.43</v>
      </c>
      <c r="R907">
        <v>25</v>
      </c>
      <c r="S907">
        <v>75993.72</v>
      </c>
      <c r="T907">
        <v>227981.16</v>
      </c>
      <c r="U907">
        <v>34171.93</v>
      </c>
    </row>
    <row r="908" spans="1:21" ht="15" customHeight="1" x14ac:dyDescent="0.25">
      <c r="A908" t="s">
        <v>2283</v>
      </c>
      <c r="B908" s="8">
        <v>45253</v>
      </c>
      <c r="C908" s="8">
        <v>45256</v>
      </c>
      <c r="D908" t="s">
        <v>20</v>
      </c>
      <c r="E908" t="str">
        <f>E909</f>
        <v>Kehinde</v>
      </c>
      <c r="F908" t="str">
        <f>F907</f>
        <v>Osei</v>
      </c>
      <c r="G908" t="s">
        <v>2284</v>
      </c>
      <c r="H908">
        <v>8139505390</v>
      </c>
      <c r="I908" t="s">
        <v>43</v>
      </c>
      <c r="J908" t="s">
        <v>69</v>
      </c>
      <c r="K908" t="s">
        <v>119</v>
      </c>
      <c r="L908" t="s">
        <v>96</v>
      </c>
      <c r="M908" t="str">
        <f>TRIM(Table2[[#This Row],[Category]])</f>
        <v>Technology</v>
      </c>
      <c r="N908" t="s">
        <v>189</v>
      </c>
      <c r="O908" t="s">
        <v>478</v>
      </c>
      <c r="P908">
        <v>19</v>
      </c>
      <c r="Q908">
        <v>351721.51</v>
      </c>
      <c r="R908">
        <v>15</v>
      </c>
      <c r="S908">
        <v>1002406.3</v>
      </c>
      <c r="T908">
        <v>5680302.3899999997</v>
      </c>
      <c r="U908">
        <v>1169265.43</v>
      </c>
    </row>
    <row r="909" spans="1:21" ht="15" customHeight="1" x14ac:dyDescent="0.25">
      <c r="A909" t="s">
        <v>1227</v>
      </c>
      <c r="B909" s="8">
        <v>45261</v>
      </c>
      <c r="C909" s="8">
        <v>45264</v>
      </c>
      <c r="D909" t="s">
        <v>20</v>
      </c>
      <c r="E909" t="s">
        <v>3094</v>
      </c>
      <c r="F909" t="s">
        <v>3088</v>
      </c>
      <c r="G909" t="s">
        <v>1229</v>
      </c>
      <c r="H909">
        <v>8033946567</v>
      </c>
      <c r="I909" t="s">
        <v>24</v>
      </c>
      <c r="J909" t="s">
        <v>25</v>
      </c>
      <c r="K909" t="s">
        <v>26</v>
      </c>
      <c r="L909" t="s">
        <v>85</v>
      </c>
      <c r="M909" t="str">
        <f>TRIM(Table2[[#This Row],[Category]])</f>
        <v>Furniture</v>
      </c>
      <c r="N909" t="s">
        <v>243</v>
      </c>
      <c r="O909" t="s">
        <v>404</v>
      </c>
      <c r="P909">
        <v>16</v>
      </c>
      <c r="Q909" t="s">
        <v>1230</v>
      </c>
      <c r="R909">
        <v>20</v>
      </c>
      <c r="S909">
        <v>533222.78</v>
      </c>
      <c r="T909">
        <v>2132891.14</v>
      </c>
      <c r="U909">
        <v>700340.42</v>
      </c>
    </row>
    <row r="910" spans="1:21" ht="15" customHeight="1" x14ac:dyDescent="0.25">
      <c r="A910" t="s">
        <v>2544</v>
      </c>
      <c r="B910" s="8">
        <v>45268</v>
      </c>
      <c r="C910" s="8">
        <v>45271</v>
      </c>
      <c r="D910" t="s">
        <v>1309</v>
      </c>
      <c r="E910" t="s">
        <v>3055</v>
      </c>
      <c r="F910" t="s">
        <v>3054</v>
      </c>
      <c r="G910" t="s">
        <v>571</v>
      </c>
      <c r="H910">
        <v>8157042065</v>
      </c>
      <c r="I910" t="s">
        <v>24</v>
      </c>
      <c r="J910" t="s">
        <v>61</v>
      </c>
      <c r="K910" t="s">
        <v>204</v>
      </c>
      <c r="L910" t="s">
        <v>85</v>
      </c>
      <c r="M910" t="str">
        <f>TRIM(Table2[[#This Row],[Category]])</f>
        <v>Furniture</v>
      </c>
      <c r="N910" t="s">
        <v>218</v>
      </c>
      <c r="O910" t="s">
        <v>1058</v>
      </c>
      <c r="P910">
        <v>6</v>
      </c>
      <c r="Q910">
        <v>117580.03</v>
      </c>
      <c r="R910">
        <v>15</v>
      </c>
      <c r="S910">
        <v>105822.03</v>
      </c>
      <c r="T910">
        <v>599658.15</v>
      </c>
      <c r="U910">
        <v>269536.92</v>
      </c>
    </row>
    <row r="911" spans="1:21" ht="15" customHeight="1" x14ac:dyDescent="0.25">
      <c r="A911" t="s">
        <v>1116</v>
      </c>
      <c r="B911" s="8">
        <v>45273</v>
      </c>
      <c r="C911" s="8">
        <v>45276</v>
      </c>
      <c r="D911" t="s">
        <v>20</v>
      </c>
      <c r="E911" t="s">
        <v>3050</v>
      </c>
      <c r="F911" t="s">
        <v>3046</v>
      </c>
      <c r="G911" t="s">
        <v>422</v>
      </c>
      <c r="H911">
        <v>7033260430</v>
      </c>
      <c r="I911" t="s">
        <v>35</v>
      </c>
      <c r="J911" t="s">
        <v>1118</v>
      </c>
      <c r="K911" t="s">
        <v>204</v>
      </c>
      <c r="L911" t="s">
        <v>1119</v>
      </c>
      <c r="M911" t="str">
        <f>TRIM(Table2[[#This Row],[Category]])</f>
        <v>Office Supplies</v>
      </c>
      <c r="N911" t="s">
        <v>249</v>
      </c>
      <c r="O911" t="s">
        <v>329</v>
      </c>
      <c r="P911">
        <v>18</v>
      </c>
      <c r="Q911">
        <v>17812.34</v>
      </c>
      <c r="R911">
        <v>10</v>
      </c>
      <c r="S911">
        <v>32062.21</v>
      </c>
      <c r="T911">
        <v>288559.90999999997</v>
      </c>
      <c r="U911">
        <v>50682.79</v>
      </c>
    </row>
    <row r="912" spans="1:21" ht="15" customHeight="1" x14ac:dyDescent="0.25">
      <c r="A912" t="s">
        <v>1427</v>
      </c>
      <c r="B912" s="8">
        <v>45274</v>
      </c>
      <c r="C912" s="8">
        <v>45277</v>
      </c>
      <c r="D912" t="s">
        <v>20</v>
      </c>
      <c r="E912" t="s">
        <v>3048</v>
      </c>
      <c r="F912" t="s">
        <v>3086</v>
      </c>
      <c r="G912" t="s">
        <v>1429</v>
      </c>
      <c r="H912">
        <v>8152146505</v>
      </c>
      <c r="I912" t="s">
        <v>35</v>
      </c>
      <c r="J912" t="s">
        <v>25</v>
      </c>
      <c r="K912" t="s">
        <v>26</v>
      </c>
      <c r="L912" t="s">
        <v>96</v>
      </c>
      <c r="M912" t="str">
        <f>TRIM(Table2[[#This Row],[Category]])</f>
        <v>Technology</v>
      </c>
      <c r="N912" t="s">
        <v>254</v>
      </c>
      <c r="O912" t="s">
        <v>756</v>
      </c>
      <c r="P912">
        <v>7</v>
      </c>
      <c r="Q912">
        <v>245044.85</v>
      </c>
      <c r="R912">
        <v>10</v>
      </c>
      <c r="S912">
        <v>171531.39</v>
      </c>
      <c r="T912" t="s">
        <v>1431</v>
      </c>
      <c r="U912">
        <v>-72458.86</v>
      </c>
    </row>
    <row r="913" spans="1:21" ht="15" customHeight="1" x14ac:dyDescent="0.25">
      <c r="A913" t="s">
        <v>2113</v>
      </c>
      <c r="B913" s="8">
        <v>45274</v>
      </c>
      <c r="C913" s="8">
        <v>45277</v>
      </c>
      <c r="D913" t="s">
        <v>20</v>
      </c>
      <c r="E913" t="s">
        <v>3044</v>
      </c>
      <c r="F913" t="s">
        <v>3090</v>
      </c>
      <c r="G913" t="s">
        <v>2115</v>
      </c>
      <c r="H913">
        <v>8033670591</v>
      </c>
      <c r="I913" t="s">
        <v>24</v>
      </c>
      <c r="J913" t="s">
        <v>51</v>
      </c>
      <c r="K913" t="s">
        <v>131</v>
      </c>
      <c r="L913" t="s">
        <v>85</v>
      </c>
      <c r="M913" t="str">
        <f>TRIM(Table2[[#This Row],[Category]])</f>
        <v>Furniture</v>
      </c>
      <c r="N913" t="s">
        <v>86</v>
      </c>
      <c r="O913" t="s">
        <v>584</v>
      </c>
      <c r="P913">
        <v>16</v>
      </c>
      <c r="Q913">
        <v>93902.63</v>
      </c>
      <c r="R913">
        <v>10</v>
      </c>
      <c r="S913">
        <v>150244.21</v>
      </c>
      <c r="T913">
        <v>1352197.87</v>
      </c>
      <c r="U913">
        <v>413698.95</v>
      </c>
    </row>
    <row r="914" spans="1:21" ht="15" customHeight="1" x14ac:dyDescent="0.25">
      <c r="A914" t="s">
        <v>1222</v>
      </c>
      <c r="B914" s="8" t="s">
        <v>1223</v>
      </c>
      <c r="C914" s="8">
        <v>45280</v>
      </c>
      <c r="D914" t="s">
        <v>20</v>
      </c>
      <c r="E914" t="s">
        <v>3049</v>
      </c>
      <c r="F914" t="s">
        <v>3040</v>
      </c>
      <c r="G914" t="s">
        <v>1225</v>
      </c>
      <c r="H914">
        <v>9015724912</v>
      </c>
      <c r="I914" t="s">
        <v>35</v>
      </c>
      <c r="J914" t="s">
        <v>69</v>
      </c>
      <c r="K914" t="s">
        <v>70</v>
      </c>
      <c r="L914" t="s">
        <v>63</v>
      </c>
      <c r="M914" t="str">
        <f>TRIM(Table2[[#This Row],[Category]])</f>
        <v>Office Supplies</v>
      </c>
      <c r="N914" t="s">
        <v>194</v>
      </c>
      <c r="O914" t="s">
        <v>1226</v>
      </c>
      <c r="P914">
        <v>17</v>
      </c>
      <c r="Q914">
        <v>8040.43</v>
      </c>
      <c r="R914">
        <v>25</v>
      </c>
      <c r="S914">
        <v>34171.83</v>
      </c>
      <c r="T914">
        <v>102515.48</v>
      </c>
      <c r="U914">
        <v>4547</v>
      </c>
    </row>
    <row r="915" spans="1:21" ht="15" customHeight="1" x14ac:dyDescent="0.25">
      <c r="A915" t="s">
        <v>2714</v>
      </c>
      <c r="B915" s="8">
        <v>45285</v>
      </c>
      <c r="C915" s="8">
        <v>45288</v>
      </c>
      <c r="D915" t="s">
        <v>20</v>
      </c>
      <c r="E915" t="s">
        <v>3091</v>
      </c>
      <c r="F915" t="s">
        <v>3043</v>
      </c>
      <c r="G915" t="s">
        <v>2715</v>
      </c>
      <c r="H915">
        <v>8137366014</v>
      </c>
      <c r="I915" t="s">
        <v>125</v>
      </c>
      <c r="J915" t="s">
        <v>69</v>
      </c>
      <c r="K915" t="s">
        <v>119</v>
      </c>
      <c r="L915" t="s">
        <v>27</v>
      </c>
      <c r="M915" t="str">
        <f>TRIM(Table2[[#This Row],[Category]])</f>
        <v>Food &amp; Beverages</v>
      </c>
      <c r="N915" t="s">
        <v>28</v>
      </c>
      <c r="O915" t="s">
        <v>29</v>
      </c>
      <c r="P915">
        <v>19</v>
      </c>
      <c r="Q915">
        <v>5585.99</v>
      </c>
      <c r="R915">
        <v>5</v>
      </c>
      <c r="S915">
        <v>5306.69</v>
      </c>
      <c r="T915">
        <v>100827.12</v>
      </c>
      <c r="U915">
        <v>23924.9</v>
      </c>
    </row>
    <row r="916" spans="1:21" ht="15" customHeight="1" x14ac:dyDescent="0.25">
      <c r="A916" t="s">
        <v>2844</v>
      </c>
      <c r="B916" s="8">
        <v>45292</v>
      </c>
      <c r="C916" s="8">
        <v>45295</v>
      </c>
      <c r="D916" t="s">
        <v>20</v>
      </c>
      <c r="E916" t="s">
        <v>3059</v>
      </c>
      <c r="F916" t="s">
        <v>3077</v>
      </c>
      <c r="G916" t="s">
        <v>2846</v>
      </c>
      <c r="H916">
        <v>8144818119</v>
      </c>
      <c r="I916" t="s">
        <v>35</v>
      </c>
      <c r="J916" t="s">
        <v>588</v>
      </c>
      <c r="K916" t="s">
        <v>182</v>
      </c>
      <c r="L916" t="s">
        <v>108</v>
      </c>
      <c r="M916" t="str">
        <f>TRIM(Table2[[#This Row],[Category]])</f>
        <v>Clothing</v>
      </c>
      <c r="N916" t="s">
        <v>189</v>
      </c>
      <c r="O916" t="s">
        <v>287</v>
      </c>
      <c r="P916">
        <v>4</v>
      </c>
      <c r="Q916">
        <v>31658.36</v>
      </c>
      <c r="R916">
        <v>0</v>
      </c>
      <c r="S916">
        <v>0</v>
      </c>
      <c r="T916">
        <v>126633.44</v>
      </c>
      <c r="U916">
        <v>-1420.49</v>
      </c>
    </row>
    <row r="917" spans="1:21" ht="15" customHeight="1" x14ac:dyDescent="0.25">
      <c r="A917" t="s">
        <v>2471</v>
      </c>
      <c r="B917" s="8">
        <v>45307</v>
      </c>
      <c r="C917" s="8">
        <v>45310</v>
      </c>
      <c r="D917" t="s">
        <v>20</v>
      </c>
      <c r="E917" t="s">
        <v>3068</v>
      </c>
      <c r="F917" t="s">
        <v>3039</v>
      </c>
      <c r="G917" t="s">
        <v>1463</v>
      </c>
      <c r="H917">
        <v>8136371304</v>
      </c>
      <c r="I917" t="s">
        <v>43</v>
      </c>
      <c r="J917" t="s">
        <v>69</v>
      </c>
      <c r="K917" t="s">
        <v>155</v>
      </c>
      <c r="L917" t="s">
        <v>27</v>
      </c>
      <c r="M917" t="str">
        <f>TRIM(Table2[[#This Row],[Category]])</f>
        <v>Food &amp; Beverages</v>
      </c>
      <c r="N917" t="s">
        <v>45</v>
      </c>
      <c r="O917" t="s">
        <v>308</v>
      </c>
      <c r="P917">
        <v>5</v>
      </c>
      <c r="Q917">
        <v>7677.3</v>
      </c>
      <c r="R917">
        <v>10</v>
      </c>
      <c r="S917">
        <v>3838.65</v>
      </c>
      <c r="T917">
        <v>34547.85</v>
      </c>
      <c r="U917">
        <v>12643.37</v>
      </c>
    </row>
    <row r="918" spans="1:21" ht="15" customHeight="1" x14ac:dyDescent="0.25">
      <c r="A918" t="s">
        <v>2144</v>
      </c>
      <c r="B918" s="8">
        <v>45313</v>
      </c>
      <c r="C918" s="8">
        <v>45316</v>
      </c>
      <c r="D918" t="s">
        <v>20</v>
      </c>
      <c r="E918" t="s">
        <v>3059</v>
      </c>
      <c r="F918" t="s">
        <v>3075</v>
      </c>
      <c r="G918" t="s">
        <v>2145</v>
      </c>
      <c r="H918">
        <v>7039446412</v>
      </c>
      <c r="I918" t="s">
        <v>43</v>
      </c>
      <c r="J918" t="s">
        <v>51</v>
      </c>
      <c r="K918" t="s">
        <v>131</v>
      </c>
      <c r="L918" t="s">
        <v>96</v>
      </c>
      <c r="M918" t="str">
        <f>TRIM(Table2[[#This Row],[Category]])</f>
        <v>Technology</v>
      </c>
      <c r="N918" t="s">
        <v>120</v>
      </c>
      <c r="O918" t="s">
        <v>367</v>
      </c>
      <c r="P918">
        <v>20</v>
      </c>
      <c r="Q918">
        <v>406685.04</v>
      </c>
      <c r="R918">
        <v>20</v>
      </c>
      <c r="S918">
        <v>1626740.16</v>
      </c>
      <c r="T918">
        <v>6506960.6399999997</v>
      </c>
      <c r="U918">
        <v>116281.39</v>
      </c>
    </row>
    <row r="919" spans="1:21" ht="15" customHeight="1" x14ac:dyDescent="0.25">
      <c r="A919" t="s">
        <v>997</v>
      </c>
      <c r="B919" s="8">
        <v>45318</v>
      </c>
      <c r="C919" s="8">
        <v>45320</v>
      </c>
      <c r="D919" t="s">
        <v>20</v>
      </c>
      <c r="E919" t="str">
        <f>E920</f>
        <v>Chisom</v>
      </c>
      <c r="F919" t="str">
        <f>F918</f>
        <v>Dangote</v>
      </c>
      <c r="G919" t="s">
        <v>998</v>
      </c>
      <c r="H919">
        <v>8157060792</v>
      </c>
      <c r="I919" t="s">
        <v>35</v>
      </c>
      <c r="J919" t="s">
        <v>69</v>
      </c>
      <c r="K919" t="s">
        <v>119</v>
      </c>
      <c r="L919" t="s">
        <v>108</v>
      </c>
      <c r="M919" t="str">
        <f>TRIM(Table2[[#This Row],[Category]])</f>
        <v>Clothing</v>
      </c>
      <c r="N919" t="s">
        <v>183</v>
      </c>
      <c r="O919" t="s">
        <v>869</v>
      </c>
      <c r="P919">
        <v>2</v>
      </c>
      <c r="Q919">
        <v>39906.74</v>
      </c>
      <c r="R919">
        <v>10</v>
      </c>
      <c r="S919">
        <v>7981.35</v>
      </c>
      <c r="T919">
        <v>71832.13</v>
      </c>
      <c r="U919">
        <v>-6325.9</v>
      </c>
    </row>
    <row r="920" spans="1:21" ht="15" customHeight="1" x14ac:dyDescent="0.25">
      <c r="A920" t="s">
        <v>2641</v>
      </c>
      <c r="B920" s="8">
        <v>45322</v>
      </c>
      <c r="C920" s="8">
        <v>45324</v>
      </c>
      <c r="D920" t="s">
        <v>20</v>
      </c>
      <c r="E920" t="s">
        <v>3041</v>
      </c>
      <c r="F920" t="s">
        <v>3034</v>
      </c>
      <c r="G920" t="s">
        <v>2643</v>
      </c>
      <c r="H920">
        <v>7063918610</v>
      </c>
      <c r="I920" t="s">
        <v>35</v>
      </c>
      <c r="J920" t="s">
        <v>69</v>
      </c>
      <c r="K920" t="s">
        <v>155</v>
      </c>
      <c r="L920" t="s">
        <v>27</v>
      </c>
      <c r="M920" t="str">
        <f>TRIM(Table2[[#This Row],[Category]])</f>
        <v>Food &amp; Beverages</v>
      </c>
      <c r="N920" t="s">
        <v>28</v>
      </c>
      <c r="O920" t="s">
        <v>71</v>
      </c>
      <c r="P920">
        <v>12</v>
      </c>
      <c r="Q920">
        <v>3899.63</v>
      </c>
      <c r="R920">
        <v>10</v>
      </c>
      <c r="S920">
        <v>4679.5600000000004</v>
      </c>
      <c r="T920">
        <v>42116</v>
      </c>
      <c r="U920">
        <v>-2586.77</v>
      </c>
    </row>
    <row r="921" spans="1:21" ht="15" customHeight="1" x14ac:dyDescent="0.25">
      <c r="A921" t="s">
        <v>1964</v>
      </c>
      <c r="B921" s="8">
        <v>45327</v>
      </c>
      <c r="C921" s="8">
        <v>45329</v>
      </c>
      <c r="D921" t="s">
        <v>20</v>
      </c>
      <c r="E921" t="s">
        <v>3051</v>
      </c>
      <c r="F921" t="s">
        <v>3075</v>
      </c>
      <c r="G921" t="s">
        <v>1966</v>
      </c>
      <c r="H921">
        <v>8161715977</v>
      </c>
      <c r="I921" t="s">
        <v>43</v>
      </c>
      <c r="J921" t="s">
        <v>61</v>
      </c>
      <c r="K921" t="s">
        <v>204</v>
      </c>
      <c r="L921" t="s">
        <v>27</v>
      </c>
      <c r="M921" t="str">
        <f>TRIM(Table2[[#This Row],[Category]])</f>
        <v>Food &amp; Beverages</v>
      </c>
      <c r="N921" t="s">
        <v>79</v>
      </c>
      <c r="O921" t="s">
        <v>490</v>
      </c>
      <c r="P921">
        <v>18</v>
      </c>
      <c r="Q921">
        <v>5688.04</v>
      </c>
      <c r="R921">
        <v>0</v>
      </c>
      <c r="S921">
        <v>0</v>
      </c>
      <c r="T921">
        <v>102384.72</v>
      </c>
      <c r="U921">
        <f>U920</f>
        <v>-2586.77</v>
      </c>
    </row>
    <row r="922" spans="1:21" ht="15" customHeight="1" x14ac:dyDescent="0.25">
      <c r="A922" t="s">
        <v>2735</v>
      </c>
      <c r="B922" s="8">
        <v>45327</v>
      </c>
      <c r="C922" s="8">
        <v>45329</v>
      </c>
      <c r="D922" t="s">
        <v>20</v>
      </c>
      <c r="E922" t="s">
        <v>3041</v>
      </c>
      <c r="F922" t="s">
        <v>3083</v>
      </c>
      <c r="G922" t="s">
        <v>2737</v>
      </c>
      <c r="H922">
        <v>9021269132</v>
      </c>
      <c r="I922" t="s">
        <v>43</v>
      </c>
      <c r="J922" t="s">
        <v>69</v>
      </c>
      <c r="K922" t="s">
        <v>70</v>
      </c>
      <c r="L922" t="s">
        <v>85</v>
      </c>
      <c r="M922" t="str">
        <f>TRIM(Table2[[#This Row],[Category]])</f>
        <v>Furniture</v>
      </c>
      <c r="N922" t="s">
        <v>486</v>
      </c>
      <c r="O922" t="s">
        <v>1193</v>
      </c>
      <c r="P922">
        <v>19</v>
      </c>
      <c r="Q922">
        <v>85389.75</v>
      </c>
      <c r="R922">
        <v>0</v>
      </c>
      <c r="S922">
        <v>0</v>
      </c>
      <c r="T922">
        <v>1622405.25</v>
      </c>
      <c r="U922">
        <v>388473.24</v>
      </c>
    </row>
    <row r="923" spans="1:21" ht="15" customHeight="1" x14ac:dyDescent="0.25">
      <c r="A923" t="s">
        <v>2874</v>
      </c>
      <c r="B923" s="8">
        <v>45338</v>
      </c>
      <c r="C923" s="8">
        <v>45340</v>
      </c>
      <c r="D923" t="s">
        <v>20</v>
      </c>
      <c r="E923" t="s">
        <v>3092</v>
      </c>
      <c r="F923" t="s">
        <v>3040</v>
      </c>
      <c r="G923" t="s">
        <v>2876</v>
      </c>
      <c r="H923">
        <v>9025901261</v>
      </c>
      <c r="I923" t="s">
        <v>43</v>
      </c>
      <c r="J923" t="s">
        <v>25</v>
      </c>
      <c r="K923" t="s">
        <v>126</v>
      </c>
      <c r="L923" t="s">
        <v>63</v>
      </c>
      <c r="M923" t="str">
        <f>TRIM(Table2[[#This Row],[Category]])</f>
        <v>Office Supplies</v>
      </c>
      <c r="N923" t="s">
        <v>54</v>
      </c>
      <c r="O923" t="s">
        <v>1039</v>
      </c>
      <c r="P923">
        <v>5</v>
      </c>
      <c r="Q923">
        <v>13871.49</v>
      </c>
      <c r="R923">
        <v>25</v>
      </c>
      <c r="S923">
        <v>17339.36</v>
      </c>
      <c r="T923">
        <v>52018.09</v>
      </c>
      <c r="U923">
        <v>7077.95</v>
      </c>
    </row>
    <row r="924" spans="1:21" ht="15" customHeight="1" x14ac:dyDescent="0.25">
      <c r="A924" t="s">
        <v>2207</v>
      </c>
      <c r="B924" s="8">
        <v>45340</v>
      </c>
      <c r="C924" s="8">
        <v>45342</v>
      </c>
      <c r="D924" t="s">
        <v>20</v>
      </c>
      <c r="E924" t="s">
        <v>3097</v>
      </c>
      <c r="F924" t="s">
        <v>3083</v>
      </c>
      <c r="G924" t="s">
        <v>2208</v>
      </c>
      <c r="H924">
        <v>8164890524</v>
      </c>
      <c r="I924" t="s">
        <v>24</v>
      </c>
      <c r="J924" t="s">
        <v>25</v>
      </c>
      <c r="K924" t="s">
        <v>168</v>
      </c>
      <c r="L924" t="s">
        <v>63</v>
      </c>
      <c r="M924" t="str">
        <f>TRIM(Table2[[#This Row],[Category]])</f>
        <v>Office Supplies</v>
      </c>
      <c r="N924" t="s">
        <v>469</v>
      </c>
      <c r="O924" t="s">
        <v>546</v>
      </c>
      <c r="P924">
        <v>13</v>
      </c>
      <c r="Q924">
        <v>12510.44</v>
      </c>
      <c r="R924">
        <v>10</v>
      </c>
      <c r="S924">
        <v>16263.57</v>
      </c>
      <c r="T924">
        <v>146372.15</v>
      </c>
      <c r="U924">
        <v>25768.52</v>
      </c>
    </row>
    <row r="925" spans="1:21" ht="15" customHeight="1" x14ac:dyDescent="0.25">
      <c r="A925" t="s">
        <v>1461</v>
      </c>
      <c r="B925" s="8">
        <v>45341</v>
      </c>
      <c r="C925" s="8">
        <v>45343</v>
      </c>
      <c r="D925" t="s">
        <v>20</v>
      </c>
      <c r="E925" t="s">
        <v>3068</v>
      </c>
      <c r="F925" t="s">
        <v>3039</v>
      </c>
      <c r="G925" t="s">
        <v>1463</v>
      </c>
      <c r="H925">
        <v>7066893320</v>
      </c>
      <c r="I925" t="s">
        <v>35</v>
      </c>
      <c r="J925" t="s">
        <v>51</v>
      </c>
      <c r="K925" t="s">
        <v>227</v>
      </c>
      <c r="L925" t="s">
        <v>96</v>
      </c>
      <c r="M925" t="str">
        <f>TRIM(Table2[[#This Row],[Category]])</f>
        <v>Technology</v>
      </c>
      <c r="N925" t="s">
        <v>385</v>
      </c>
      <c r="O925" t="s">
        <v>781</v>
      </c>
      <c r="P925">
        <v>10</v>
      </c>
      <c r="Q925">
        <v>117060.61</v>
      </c>
      <c r="R925">
        <v>0</v>
      </c>
      <c r="S925">
        <v>0</v>
      </c>
      <c r="T925">
        <v>1170606.1000000001</v>
      </c>
      <c r="U925">
        <v>463833.25</v>
      </c>
    </row>
    <row r="926" spans="1:21" ht="15" customHeight="1" x14ac:dyDescent="0.25">
      <c r="A926" t="s">
        <v>1461</v>
      </c>
      <c r="B926" s="8">
        <v>45341</v>
      </c>
      <c r="C926" s="8">
        <v>45343</v>
      </c>
      <c r="D926" t="s">
        <v>20</v>
      </c>
      <c r="E926" t="s">
        <v>3068</v>
      </c>
      <c r="F926" t="s">
        <v>3102</v>
      </c>
      <c r="G926" t="s">
        <v>1463</v>
      </c>
      <c r="H926">
        <v>7066893320</v>
      </c>
      <c r="I926" t="s">
        <v>35</v>
      </c>
      <c r="J926" t="s">
        <v>51</v>
      </c>
      <c r="K926" t="s">
        <v>227</v>
      </c>
      <c r="L926" t="s">
        <v>96</v>
      </c>
      <c r="M926" t="str">
        <f>TRIM(Table2[[#This Row],[Category]])</f>
        <v>Technology</v>
      </c>
      <c r="N926" t="s">
        <v>385</v>
      </c>
      <c r="O926" t="s">
        <v>781</v>
      </c>
      <c r="P926">
        <v>10</v>
      </c>
      <c r="Q926">
        <v>117060.61</v>
      </c>
      <c r="R926">
        <v>0</v>
      </c>
      <c r="S926">
        <v>0</v>
      </c>
      <c r="T926">
        <v>1170606.1000000001</v>
      </c>
      <c r="U926">
        <v>463833.25</v>
      </c>
    </row>
    <row r="927" spans="1:21" ht="15" customHeight="1" x14ac:dyDescent="0.25">
      <c r="A927" t="s">
        <v>1698</v>
      </c>
      <c r="B927" s="8">
        <v>45345</v>
      </c>
      <c r="C927" s="8">
        <v>45347</v>
      </c>
      <c r="D927" t="s">
        <v>20</v>
      </c>
      <c r="E927" t="s">
        <v>3065</v>
      </c>
      <c r="F927" t="s">
        <v>3071</v>
      </c>
      <c r="G927" t="s">
        <v>1196</v>
      </c>
      <c r="H927">
        <v>8162273196</v>
      </c>
      <c r="I927" t="s">
        <v>43</v>
      </c>
      <c r="J927" t="s">
        <v>51</v>
      </c>
      <c r="K927" t="s">
        <v>316</v>
      </c>
      <c r="L927" t="s">
        <v>63</v>
      </c>
      <c r="M927" t="str">
        <f>TRIM(Table2[[#This Row],[Category]])</f>
        <v>Office Supplies</v>
      </c>
      <c r="N927" t="s">
        <v>249</v>
      </c>
      <c r="O927" t="s">
        <v>1141</v>
      </c>
      <c r="P927">
        <v>17</v>
      </c>
      <c r="Q927">
        <v>21143.78</v>
      </c>
      <c r="R927">
        <v>25</v>
      </c>
      <c r="S927">
        <v>89861.07</v>
      </c>
      <c r="T927">
        <v>269583.19</v>
      </c>
      <c r="U927">
        <v>63673.57</v>
      </c>
    </row>
    <row r="928" spans="1:21" ht="15" customHeight="1" x14ac:dyDescent="0.25">
      <c r="A928" t="s">
        <v>1764</v>
      </c>
      <c r="B928" s="8">
        <v>45348</v>
      </c>
      <c r="C928" s="8">
        <v>45351</v>
      </c>
      <c r="D928" t="s">
        <v>20</v>
      </c>
      <c r="E928" t="s">
        <v>3093</v>
      </c>
      <c r="F928" t="s">
        <v>3040</v>
      </c>
      <c r="G928" t="s">
        <v>1766</v>
      </c>
      <c r="H928">
        <v>7061651407</v>
      </c>
      <c r="I928" t="s">
        <v>24</v>
      </c>
      <c r="J928" t="s">
        <v>69</v>
      </c>
      <c r="K928" t="s">
        <v>70</v>
      </c>
      <c r="L928" t="s">
        <v>96</v>
      </c>
      <c r="M928" t="str">
        <f>TRIM(Table2[[#This Row],[Category]])</f>
        <v>Technology</v>
      </c>
      <c r="N928" t="s">
        <v>189</v>
      </c>
      <c r="O928" t="s">
        <v>205</v>
      </c>
      <c r="P928">
        <v>14</v>
      </c>
      <c r="Q928">
        <v>85627.64</v>
      </c>
      <c r="R928">
        <v>10</v>
      </c>
      <c r="S928">
        <v>119878.7</v>
      </c>
      <c r="T928">
        <v>1078908.26</v>
      </c>
      <c r="U928">
        <v>337441.75</v>
      </c>
    </row>
    <row r="929" spans="1:21" ht="15" customHeight="1" x14ac:dyDescent="0.25">
      <c r="A929" t="s">
        <v>791</v>
      </c>
      <c r="B929" s="8">
        <v>45357</v>
      </c>
      <c r="C929" s="8">
        <v>45360</v>
      </c>
      <c r="D929" t="s">
        <v>20</v>
      </c>
      <c r="E929" t="s">
        <v>3065</v>
      </c>
      <c r="F929" t="s">
        <v>3046</v>
      </c>
      <c r="G929" t="s">
        <v>793</v>
      </c>
      <c r="H929">
        <v>9054674549</v>
      </c>
      <c r="I929" t="s">
        <v>24</v>
      </c>
      <c r="J929" t="s">
        <v>69</v>
      </c>
      <c r="K929" t="s">
        <v>144</v>
      </c>
      <c r="L929" t="s">
        <v>96</v>
      </c>
      <c r="M929" t="str">
        <f>TRIM(Table2[[#This Row],[Category]])</f>
        <v>Technology</v>
      </c>
      <c r="N929" t="s">
        <v>97</v>
      </c>
      <c r="O929" t="s">
        <v>98</v>
      </c>
      <c r="P929">
        <v>16</v>
      </c>
      <c r="Q929">
        <v>366764.44</v>
      </c>
      <c r="R929">
        <v>25</v>
      </c>
      <c r="S929">
        <v>1467057.76</v>
      </c>
      <c r="T929">
        <v>4401173.28</v>
      </c>
      <c r="U929">
        <v>283698.46999999997</v>
      </c>
    </row>
    <row r="930" spans="1:21" ht="15" customHeight="1" x14ac:dyDescent="0.25">
      <c r="A930" t="s">
        <v>1271</v>
      </c>
      <c r="B930" s="8">
        <v>45360</v>
      </c>
      <c r="C930" s="8">
        <v>45363</v>
      </c>
      <c r="D930" t="s">
        <v>20</v>
      </c>
      <c r="E930" t="s">
        <v>3050</v>
      </c>
      <c r="F930" t="s">
        <v>3052</v>
      </c>
      <c r="G930" t="s">
        <v>1249</v>
      </c>
      <c r="H930">
        <v>8166109503</v>
      </c>
      <c r="I930" t="s">
        <v>24</v>
      </c>
      <c r="J930" t="s">
        <v>61</v>
      </c>
      <c r="K930" t="s">
        <v>204</v>
      </c>
      <c r="L930" t="s">
        <v>108</v>
      </c>
      <c r="M930" t="str">
        <f>TRIM(Table2[[#This Row],[Category]])</f>
        <v>Clothing</v>
      </c>
      <c r="N930" t="s">
        <v>38</v>
      </c>
      <c r="O930" t="s">
        <v>519</v>
      </c>
      <c r="P930">
        <v>20</v>
      </c>
      <c r="Q930">
        <v>27057.26</v>
      </c>
      <c r="R930">
        <v>25</v>
      </c>
      <c r="S930">
        <v>135286.29999999999</v>
      </c>
      <c r="T930">
        <v>405858.9</v>
      </c>
      <c r="U930">
        <v>37549.440000000002</v>
      </c>
    </row>
    <row r="931" spans="1:21" ht="15" customHeight="1" x14ac:dyDescent="0.25">
      <c r="A931" t="s">
        <v>740</v>
      </c>
      <c r="B931" s="8">
        <v>45362</v>
      </c>
      <c r="C931" s="8">
        <v>45364</v>
      </c>
      <c r="D931" t="s">
        <v>20</v>
      </c>
      <c r="E931" t="s">
        <v>3093</v>
      </c>
      <c r="F931" t="s">
        <v>3078</v>
      </c>
      <c r="G931" t="s">
        <v>742</v>
      </c>
      <c r="H931">
        <v>9015003671</v>
      </c>
      <c r="I931" t="s">
        <v>24</v>
      </c>
      <c r="J931" t="s">
        <v>61</v>
      </c>
      <c r="K931" t="s">
        <v>62</v>
      </c>
      <c r="L931" t="str">
        <f>L930</f>
        <v>Clothing</v>
      </c>
      <c r="M931" t="str">
        <f>TRIM(Table2[[#This Row],[Category]])</f>
        <v>Clothing</v>
      </c>
      <c r="N931" t="s">
        <v>385</v>
      </c>
      <c r="O931" t="s">
        <v>743</v>
      </c>
      <c r="P931">
        <v>4</v>
      </c>
      <c r="Q931">
        <v>417213.07</v>
      </c>
      <c r="R931">
        <v>20</v>
      </c>
      <c r="S931">
        <v>333770.46000000002</v>
      </c>
      <c r="T931">
        <v>1335081.82</v>
      </c>
      <c r="U931">
        <v>290217.52</v>
      </c>
    </row>
    <row r="932" spans="1:21" ht="15" customHeight="1" x14ac:dyDescent="0.25">
      <c r="A932" t="s">
        <v>2915</v>
      </c>
      <c r="B932" s="8">
        <v>45361</v>
      </c>
      <c r="C932" s="8">
        <v>45364</v>
      </c>
      <c r="D932" t="s">
        <v>20</v>
      </c>
      <c r="E932" t="s">
        <v>3080</v>
      </c>
      <c r="F932" t="s">
        <v>3050</v>
      </c>
      <c r="G932" t="s">
        <v>2916</v>
      </c>
      <c r="H932">
        <v>7063583553</v>
      </c>
      <c r="I932" t="s">
        <v>35</v>
      </c>
      <c r="J932" t="s">
        <v>25</v>
      </c>
      <c r="K932" t="s">
        <v>36</v>
      </c>
      <c r="L932" t="s">
        <v>108</v>
      </c>
      <c r="M932" t="str">
        <f>TRIM(Table2[[#This Row],[Category]])</f>
        <v>Clothing</v>
      </c>
      <c r="N932" t="s">
        <v>114</v>
      </c>
      <c r="O932" t="s">
        <v>482</v>
      </c>
      <c r="P932">
        <v>7</v>
      </c>
      <c r="Q932">
        <v>42433.3</v>
      </c>
      <c r="R932">
        <v>0</v>
      </c>
      <c r="S932">
        <v>0</v>
      </c>
      <c r="T932">
        <v>297033.09999999998</v>
      </c>
      <c r="U932">
        <v>125250.55</v>
      </c>
    </row>
    <row r="933" spans="1:21" ht="15" customHeight="1" x14ac:dyDescent="0.25">
      <c r="A933" t="s">
        <v>1322</v>
      </c>
      <c r="B933" s="8">
        <v>45363</v>
      </c>
      <c r="C933" s="8">
        <v>45365</v>
      </c>
      <c r="D933" t="s">
        <v>20</v>
      </c>
      <c r="E933" t="s">
        <v>3092</v>
      </c>
      <c r="F933" t="s">
        <v>3078</v>
      </c>
      <c r="G933" t="s">
        <v>1324</v>
      </c>
      <c r="H933">
        <v>8148315833</v>
      </c>
      <c r="I933" t="s">
        <v>24</v>
      </c>
      <c r="J933" t="s">
        <v>51</v>
      </c>
      <c r="K933" t="s">
        <v>131</v>
      </c>
      <c r="L933" t="s">
        <v>108</v>
      </c>
      <c r="M933" t="str">
        <f>TRIM(Table2[[#This Row],[Category]])</f>
        <v>Clothing</v>
      </c>
      <c r="N933" t="s">
        <v>114</v>
      </c>
      <c r="O933" t="s">
        <v>891</v>
      </c>
      <c r="P933">
        <v>13</v>
      </c>
      <c r="Q933">
        <v>11711.41</v>
      </c>
      <c r="R933">
        <v>20</v>
      </c>
      <c r="S933">
        <v>30449.67</v>
      </c>
      <c r="T933">
        <v>121798.66</v>
      </c>
      <c r="U933">
        <v>-9412.33</v>
      </c>
    </row>
    <row r="934" spans="1:21" ht="15" customHeight="1" x14ac:dyDescent="0.25">
      <c r="A934" t="s">
        <v>2680</v>
      </c>
      <c r="B934" s="8" t="s">
        <v>2681</v>
      </c>
      <c r="C934" s="8">
        <v>45365</v>
      </c>
      <c r="D934" t="s">
        <v>20</v>
      </c>
      <c r="E934" t="s">
        <v>3080</v>
      </c>
      <c r="F934" t="s">
        <v>3042</v>
      </c>
      <c r="G934" t="s">
        <v>2683</v>
      </c>
      <c r="H934">
        <v>9013136181</v>
      </c>
      <c r="I934" t="s">
        <v>35</v>
      </c>
      <c r="J934" t="s">
        <v>69</v>
      </c>
      <c r="K934" t="s">
        <v>307</v>
      </c>
      <c r="L934" t="s">
        <v>108</v>
      </c>
      <c r="M934" t="str">
        <f>TRIM(Table2[[#This Row],[Category]])</f>
        <v>Clothing</v>
      </c>
      <c r="N934" t="s">
        <v>189</v>
      </c>
      <c r="O934" t="s">
        <v>205</v>
      </c>
      <c r="P934">
        <v>6</v>
      </c>
      <c r="Q934">
        <v>40216</v>
      </c>
      <c r="R934">
        <v>5</v>
      </c>
      <c r="S934">
        <v>12064.8</v>
      </c>
      <c r="T934">
        <v>229231.2</v>
      </c>
      <c r="U934">
        <v>47998.1</v>
      </c>
    </row>
    <row r="935" spans="1:21" ht="15" customHeight="1" x14ac:dyDescent="0.25">
      <c r="A935" t="s">
        <v>1150</v>
      </c>
      <c r="B935" s="8">
        <v>45369</v>
      </c>
      <c r="C935" s="8">
        <v>45371</v>
      </c>
      <c r="D935" t="s">
        <v>20</v>
      </c>
      <c r="E935" t="s">
        <v>3033</v>
      </c>
      <c r="F935" t="s">
        <v>3074</v>
      </c>
      <c r="G935" t="s">
        <v>1152</v>
      </c>
      <c r="H935">
        <v>8141827302</v>
      </c>
      <c r="I935" t="s">
        <v>43</v>
      </c>
      <c r="J935" t="s">
        <v>25</v>
      </c>
      <c r="K935" t="s">
        <v>126</v>
      </c>
      <c r="L935" t="s">
        <v>27</v>
      </c>
      <c r="M935" t="str">
        <f>TRIM(Table2[[#This Row],[Category]])</f>
        <v>Food &amp; Beverages</v>
      </c>
      <c r="N935" t="s">
        <v>28</v>
      </c>
      <c r="O935" t="s">
        <v>71</v>
      </c>
      <c r="P935">
        <v>17</v>
      </c>
      <c r="Q935">
        <v>955.11</v>
      </c>
      <c r="R935">
        <v>15</v>
      </c>
      <c r="S935">
        <v>2435.5300000000002</v>
      </c>
      <c r="T935">
        <v>13801.34</v>
      </c>
      <c r="U935">
        <v>4337.6899999999996</v>
      </c>
    </row>
    <row r="936" spans="1:21" ht="15" customHeight="1" x14ac:dyDescent="0.25">
      <c r="A936" t="s">
        <v>2156</v>
      </c>
      <c r="B936" s="8">
        <v>45370</v>
      </c>
      <c r="C936" s="8">
        <v>45372</v>
      </c>
      <c r="D936" t="s">
        <v>20</v>
      </c>
      <c r="E936" t="s">
        <v>3085</v>
      </c>
      <c r="F936" t="s">
        <v>3036</v>
      </c>
      <c r="G936" t="s">
        <v>2157</v>
      </c>
      <c r="H936">
        <v>8165202915</v>
      </c>
      <c r="I936" t="s">
        <v>43</v>
      </c>
      <c r="J936" t="s">
        <v>61</v>
      </c>
      <c r="K936" t="s">
        <v>84</v>
      </c>
      <c r="L936" t="str">
        <f>L935</f>
        <v>Food &amp; Beverages</v>
      </c>
      <c r="M936" t="str">
        <f>TRIM(Table2[[#This Row],[Category]])</f>
        <v>Food &amp; Beverages</v>
      </c>
      <c r="N936" t="s">
        <v>79</v>
      </c>
      <c r="O936" t="s">
        <v>145</v>
      </c>
      <c r="P936">
        <v>11</v>
      </c>
      <c r="Q936">
        <v>2663.09</v>
      </c>
      <c r="R936">
        <v>10</v>
      </c>
      <c r="S936">
        <v>2929.4</v>
      </c>
      <c r="T936">
        <v>26364.59</v>
      </c>
      <c r="U936">
        <v>9453.17</v>
      </c>
    </row>
    <row r="937" spans="1:21" ht="15" customHeight="1" x14ac:dyDescent="0.25">
      <c r="A937" t="s">
        <v>2788</v>
      </c>
      <c r="B937" s="8">
        <v>45370</v>
      </c>
      <c r="C937" s="8">
        <v>45373</v>
      </c>
      <c r="D937" t="s">
        <v>20</v>
      </c>
      <c r="E937" t="s">
        <v>3049</v>
      </c>
      <c r="F937" t="s">
        <v>3075</v>
      </c>
      <c r="G937" t="s">
        <v>2789</v>
      </c>
      <c r="H937">
        <v>8034721202</v>
      </c>
      <c r="I937" t="s">
        <v>35</v>
      </c>
      <c r="J937" t="s">
        <v>51</v>
      </c>
      <c r="K937" t="s">
        <v>52</v>
      </c>
      <c r="L937" t="s">
        <v>108</v>
      </c>
      <c r="M937" t="str">
        <f>TRIM(Table2[[#This Row],[Category]])</f>
        <v>Clothing</v>
      </c>
      <c r="N937" t="s">
        <v>109</v>
      </c>
      <c r="O937" t="s">
        <v>690</v>
      </c>
      <c r="P937">
        <v>2</v>
      </c>
      <c r="Q937">
        <v>2096.77</v>
      </c>
      <c r="R937">
        <v>0</v>
      </c>
      <c r="S937">
        <v>0</v>
      </c>
      <c r="T937">
        <v>4193.54</v>
      </c>
      <c r="U937">
        <v>1389.88</v>
      </c>
    </row>
    <row r="938" spans="1:21" ht="15" customHeight="1" x14ac:dyDescent="0.25">
      <c r="A938" t="s">
        <v>829</v>
      </c>
      <c r="B938" s="8">
        <v>45376</v>
      </c>
      <c r="C938" s="8">
        <v>45379</v>
      </c>
      <c r="D938" t="s">
        <v>20</v>
      </c>
      <c r="E938" t="s">
        <v>3089</v>
      </c>
      <c r="F938" t="s">
        <v>3069</v>
      </c>
      <c r="G938" t="s">
        <v>831</v>
      </c>
      <c r="H938">
        <v>8067501626</v>
      </c>
      <c r="I938" t="s">
        <v>35</v>
      </c>
      <c r="J938" t="s">
        <v>25</v>
      </c>
      <c r="K938" t="s">
        <v>168</v>
      </c>
      <c r="L938" t="s">
        <v>85</v>
      </c>
      <c r="M938" t="str">
        <f>TRIM(Table2[[#This Row],[Category]])</f>
        <v>Furniture</v>
      </c>
      <c r="N938" t="s">
        <v>243</v>
      </c>
      <c r="O938" t="s">
        <v>439</v>
      </c>
      <c r="P938">
        <v>15</v>
      </c>
      <c r="Q938">
        <v>71537.09</v>
      </c>
      <c r="R938">
        <v>0</v>
      </c>
      <c r="S938">
        <v>0</v>
      </c>
      <c r="T938">
        <v>1073056.3500000001</v>
      </c>
      <c r="U938">
        <v>8560.39</v>
      </c>
    </row>
    <row r="939" spans="1:21" ht="15" customHeight="1" x14ac:dyDescent="0.25">
      <c r="A939" t="s">
        <v>1029</v>
      </c>
      <c r="B939" s="8" t="s">
        <v>1030</v>
      </c>
      <c r="C939" s="8">
        <v>45379</v>
      </c>
      <c r="D939" t="s">
        <v>20</v>
      </c>
      <c r="E939" t="s">
        <v>3056</v>
      </c>
      <c r="F939" t="s">
        <v>3034</v>
      </c>
      <c r="G939" t="s">
        <v>1032</v>
      </c>
      <c r="H939">
        <v>8143714471</v>
      </c>
      <c r="I939" t="s">
        <v>43</v>
      </c>
      <c r="J939" t="s">
        <v>69</v>
      </c>
      <c r="K939" t="s">
        <v>144</v>
      </c>
      <c r="L939" t="s">
        <v>96</v>
      </c>
      <c r="M939" t="str">
        <f>TRIM(Table2[[#This Row],[Category]])</f>
        <v>Technology</v>
      </c>
      <c r="N939" t="s">
        <v>385</v>
      </c>
      <c r="O939" t="s">
        <v>1010</v>
      </c>
      <c r="P939">
        <v>11</v>
      </c>
      <c r="Q939">
        <v>189243.99</v>
      </c>
      <c r="R939">
        <v>25</v>
      </c>
      <c r="S939">
        <v>520420.97</v>
      </c>
      <c r="T939">
        <v>1561262.92</v>
      </c>
      <c r="U939">
        <v>341003.58</v>
      </c>
    </row>
    <row r="940" spans="1:21" ht="15" customHeight="1" x14ac:dyDescent="0.25">
      <c r="A940" t="s">
        <v>475</v>
      </c>
      <c r="B940" s="8">
        <v>45377</v>
      </c>
      <c r="C940" s="8">
        <v>45380</v>
      </c>
      <c r="D940" t="s">
        <v>20</v>
      </c>
      <c r="E940" t="s">
        <v>3091</v>
      </c>
      <c r="F940" t="s">
        <v>3043</v>
      </c>
      <c r="G940" t="s">
        <v>477</v>
      </c>
      <c r="H940">
        <v>8034121368</v>
      </c>
      <c r="I940" t="s">
        <v>35</v>
      </c>
      <c r="J940" t="s">
        <v>25</v>
      </c>
      <c r="K940" t="s">
        <v>36</v>
      </c>
      <c r="L940" t="s">
        <v>108</v>
      </c>
      <c r="M940" t="str">
        <f>TRIM(Table2[[#This Row],[Category]])</f>
        <v>Clothing</v>
      </c>
      <c r="N940" t="s">
        <v>189</v>
      </c>
      <c r="O940" t="s">
        <v>478</v>
      </c>
      <c r="P940">
        <v>4</v>
      </c>
      <c r="Q940">
        <v>41282.33</v>
      </c>
      <c r="R940">
        <v>10</v>
      </c>
      <c r="S940">
        <v>16512.93</v>
      </c>
      <c r="T940">
        <v>148616.39000000001</v>
      </c>
      <c r="U940">
        <f>U939</f>
        <v>341003.58</v>
      </c>
    </row>
    <row r="941" spans="1:21" ht="15" customHeight="1" x14ac:dyDescent="0.25">
      <c r="A941" t="s">
        <v>1325</v>
      </c>
      <c r="B941" s="8">
        <v>45382</v>
      </c>
      <c r="C941" s="8">
        <v>45384</v>
      </c>
      <c r="D941" t="s">
        <v>20</v>
      </c>
      <c r="E941" t="s">
        <v>3081</v>
      </c>
      <c r="F941" t="s">
        <v>3039</v>
      </c>
      <c r="G941" t="s">
        <v>1326</v>
      </c>
      <c r="H941">
        <v>8068711468</v>
      </c>
      <c r="I941" t="s">
        <v>24</v>
      </c>
      <c r="J941" t="s">
        <v>51</v>
      </c>
      <c r="K941" t="s">
        <v>223</v>
      </c>
      <c r="L941" t="s">
        <v>63</v>
      </c>
      <c r="M941" t="str">
        <f>TRIM(Table2[[#This Row],[Category]])</f>
        <v>Office Supplies</v>
      </c>
      <c r="N941" t="s">
        <v>469</v>
      </c>
      <c r="O941" t="s">
        <v>1327</v>
      </c>
      <c r="P941">
        <v>2</v>
      </c>
      <c r="Q941">
        <v>4827.1499999999996</v>
      </c>
      <c r="R941">
        <v>15</v>
      </c>
      <c r="S941">
        <v>1448.14</v>
      </c>
      <c r="T941">
        <v>8206.16</v>
      </c>
      <c r="U941">
        <v>2022.33</v>
      </c>
    </row>
    <row r="942" spans="1:21" ht="15" customHeight="1" x14ac:dyDescent="0.25">
      <c r="A942" t="s">
        <v>1692</v>
      </c>
      <c r="B942" s="8">
        <v>45383</v>
      </c>
      <c r="C942" s="8">
        <v>45385</v>
      </c>
      <c r="D942" t="s">
        <v>20</v>
      </c>
      <c r="E942" t="s">
        <v>3082</v>
      </c>
      <c r="F942" t="s">
        <v>3043</v>
      </c>
      <c r="G942" t="s">
        <v>1694</v>
      </c>
      <c r="H942">
        <v>8144932320</v>
      </c>
      <c r="I942" t="s">
        <v>43</v>
      </c>
      <c r="J942" t="s">
        <v>69</v>
      </c>
      <c r="K942" t="s">
        <v>70</v>
      </c>
      <c r="L942" t="s">
        <v>108</v>
      </c>
      <c r="M942" t="str">
        <f>TRIM(Table2[[#This Row],[Category]])</f>
        <v>Clothing</v>
      </c>
      <c r="N942" t="s">
        <v>109</v>
      </c>
      <c r="O942" t="s">
        <v>157</v>
      </c>
      <c r="P942">
        <v>13</v>
      </c>
      <c r="Q942">
        <v>20275.98</v>
      </c>
      <c r="R942">
        <v>0</v>
      </c>
      <c r="S942">
        <v>0</v>
      </c>
      <c r="T942">
        <v>263587.74</v>
      </c>
      <c r="U942">
        <v>108413.46</v>
      </c>
    </row>
    <row r="943" spans="1:21" ht="15" customHeight="1" x14ac:dyDescent="0.25">
      <c r="A943" t="s">
        <v>1622</v>
      </c>
      <c r="B943" s="8">
        <v>45384</v>
      </c>
      <c r="C943" s="8">
        <v>45386</v>
      </c>
      <c r="D943" t="s">
        <v>20</v>
      </c>
      <c r="E943" t="s">
        <v>3089</v>
      </c>
      <c r="F943" t="s">
        <v>3086</v>
      </c>
      <c r="G943" t="s">
        <v>1624</v>
      </c>
      <c r="H943">
        <v>7038331935</v>
      </c>
      <c r="I943" t="s">
        <v>24</v>
      </c>
      <c r="J943" t="s">
        <v>69</v>
      </c>
      <c r="K943" t="s">
        <v>307</v>
      </c>
      <c r="L943" t="s">
        <v>85</v>
      </c>
      <c r="M943" t="str">
        <f>TRIM(Table2[[#This Row],[Category]])</f>
        <v>Furniture</v>
      </c>
      <c r="N943" t="s">
        <v>486</v>
      </c>
      <c r="O943" t="s">
        <v>487</v>
      </c>
      <c r="P943">
        <v>11</v>
      </c>
      <c r="Q943">
        <v>155859.53</v>
      </c>
      <c r="R943">
        <v>15</v>
      </c>
      <c r="S943">
        <v>257168.22</v>
      </c>
      <c r="T943">
        <v>1457286.61</v>
      </c>
      <c r="U943">
        <v>6276.06</v>
      </c>
    </row>
    <row r="944" spans="1:21" ht="15" customHeight="1" x14ac:dyDescent="0.25">
      <c r="A944" t="s">
        <v>2771</v>
      </c>
      <c r="B944" s="8">
        <v>45383</v>
      </c>
      <c r="C944" s="8">
        <v>45386</v>
      </c>
      <c r="D944" t="s">
        <v>20</v>
      </c>
      <c r="E944" t="s">
        <v>3059</v>
      </c>
      <c r="F944" t="s">
        <v>3079</v>
      </c>
      <c r="G944" t="s">
        <v>2772</v>
      </c>
      <c r="H944">
        <v>9076479600</v>
      </c>
      <c r="I944" t="s">
        <v>43</v>
      </c>
      <c r="J944" t="s">
        <v>51</v>
      </c>
      <c r="K944" t="s">
        <v>227</v>
      </c>
      <c r="L944" t="s">
        <v>85</v>
      </c>
      <c r="M944" t="str">
        <f>TRIM(Table2[[#This Row],[Category]])</f>
        <v>Furniture</v>
      </c>
      <c r="N944" t="s">
        <v>218</v>
      </c>
      <c r="O944" t="s">
        <v>219</v>
      </c>
      <c r="P944">
        <v>5</v>
      </c>
      <c r="Q944">
        <v>33580</v>
      </c>
      <c r="R944">
        <v>0</v>
      </c>
      <c r="S944">
        <v>0</v>
      </c>
      <c r="T944">
        <v>167900</v>
      </c>
      <c r="U944">
        <v>-17180.89</v>
      </c>
    </row>
    <row r="945" spans="1:21" ht="15" customHeight="1" x14ac:dyDescent="0.25">
      <c r="A945" t="s">
        <v>1949</v>
      </c>
      <c r="B945" s="8">
        <v>45391</v>
      </c>
      <c r="C945" s="8">
        <v>45394</v>
      </c>
      <c r="D945" t="s">
        <v>20</v>
      </c>
      <c r="E945" t="s">
        <v>3048</v>
      </c>
      <c r="F945" t="s">
        <v>3090</v>
      </c>
      <c r="G945" t="s">
        <v>1950</v>
      </c>
      <c r="H945">
        <v>9078117262</v>
      </c>
      <c r="I945" t="s">
        <v>43</v>
      </c>
      <c r="J945" t="s">
        <v>25</v>
      </c>
      <c r="K945" t="s">
        <v>168</v>
      </c>
      <c r="L945" t="s">
        <v>85</v>
      </c>
      <c r="M945" t="str">
        <f>TRIM(Table2[[#This Row],[Category]])</f>
        <v>Furniture</v>
      </c>
      <c r="N945" t="s">
        <v>243</v>
      </c>
      <c r="O945" t="s">
        <v>1054</v>
      </c>
      <c r="P945">
        <v>12</v>
      </c>
      <c r="Q945">
        <v>25956.81</v>
      </c>
      <c r="R945">
        <v>10</v>
      </c>
      <c r="S945">
        <v>31148.17</v>
      </c>
      <c r="T945">
        <v>280333.55</v>
      </c>
      <c r="U945">
        <v>-37332.21</v>
      </c>
    </row>
    <row r="946" spans="1:21" ht="15" customHeight="1" x14ac:dyDescent="0.25">
      <c r="A946" t="s">
        <v>1268</v>
      </c>
      <c r="B946" s="8">
        <v>45393</v>
      </c>
      <c r="C946" s="8">
        <v>45395</v>
      </c>
      <c r="D946" t="s">
        <v>20</v>
      </c>
      <c r="E946" t="s">
        <v>3080</v>
      </c>
      <c r="F946" t="s">
        <v>3038</v>
      </c>
      <c r="G946" t="s">
        <v>1270</v>
      </c>
      <c r="H946">
        <v>7039292896</v>
      </c>
      <c r="I946" t="s">
        <v>35</v>
      </c>
      <c r="J946" t="s">
        <v>25</v>
      </c>
      <c r="K946" t="s">
        <v>168</v>
      </c>
      <c r="L946" t="s">
        <v>96</v>
      </c>
      <c r="M946" t="str">
        <f>TRIM(Table2[[#This Row],[Category]])</f>
        <v>Technology</v>
      </c>
      <c r="N946" t="s">
        <v>120</v>
      </c>
      <c r="O946" t="s">
        <v>359</v>
      </c>
      <c r="P946">
        <v>19</v>
      </c>
      <c r="Q946">
        <v>370409.61</v>
      </c>
      <c r="R946">
        <v>0</v>
      </c>
      <c r="S946">
        <v>0</v>
      </c>
      <c r="T946">
        <v>7037782.5899999999</v>
      </c>
      <c r="U946">
        <v>2141221.64</v>
      </c>
    </row>
    <row r="947" spans="1:21" ht="15" customHeight="1" x14ac:dyDescent="0.25">
      <c r="A947" t="s">
        <v>2968</v>
      </c>
      <c r="B947" s="8">
        <v>45398</v>
      </c>
      <c r="C947" s="8">
        <v>45400</v>
      </c>
      <c r="D947" t="s">
        <v>20</v>
      </c>
      <c r="E947" t="s">
        <v>3095</v>
      </c>
      <c r="F947" t="s">
        <v>3043</v>
      </c>
      <c r="G947" t="s">
        <v>1708</v>
      </c>
      <c r="H947">
        <v>9011384511</v>
      </c>
      <c r="I947" t="s">
        <v>35</v>
      </c>
      <c r="J947" t="s">
        <v>25</v>
      </c>
      <c r="K947" t="s">
        <v>36</v>
      </c>
      <c r="L947" t="s">
        <v>108</v>
      </c>
      <c r="M947" t="str">
        <f>TRIM(Table2[[#This Row],[Category]])</f>
        <v>Clothing</v>
      </c>
      <c r="N947" t="s">
        <v>189</v>
      </c>
      <c r="O947" t="s">
        <v>205</v>
      </c>
      <c r="P947">
        <v>14</v>
      </c>
      <c r="Q947">
        <v>32924.870000000003</v>
      </c>
      <c r="R947">
        <v>15</v>
      </c>
      <c r="S947">
        <v>69142.23</v>
      </c>
      <c r="T947">
        <v>391805.95</v>
      </c>
      <c r="U947">
        <v>101261.15</v>
      </c>
    </row>
    <row r="948" spans="1:21" ht="15" customHeight="1" x14ac:dyDescent="0.25">
      <c r="A948" t="s">
        <v>1722</v>
      </c>
      <c r="B948" s="8">
        <v>45401</v>
      </c>
      <c r="C948" s="8">
        <v>45404</v>
      </c>
      <c r="D948" t="s">
        <v>20</v>
      </c>
      <c r="E948" t="s">
        <v>3048</v>
      </c>
      <c r="F948" t="s">
        <v>3036</v>
      </c>
      <c r="G948" t="s">
        <v>1723</v>
      </c>
      <c r="H948">
        <v>8151748853</v>
      </c>
      <c r="I948" t="s">
        <v>24</v>
      </c>
      <c r="J948" t="s">
        <v>25</v>
      </c>
      <c r="K948" t="s">
        <v>26</v>
      </c>
      <c r="L948" t="s">
        <v>156</v>
      </c>
      <c r="M948" t="str">
        <f>TRIM(Table2[[#This Row],[Category]])</f>
        <v>cLOTHING</v>
      </c>
      <c r="N948" t="s">
        <v>114</v>
      </c>
      <c r="O948" t="s">
        <v>291</v>
      </c>
      <c r="P948">
        <v>15</v>
      </c>
      <c r="Q948">
        <v>29471.26</v>
      </c>
      <c r="R948">
        <v>15</v>
      </c>
      <c r="S948">
        <v>66310.33</v>
      </c>
      <c r="T948">
        <v>375758.57</v>
      </c>
      <c r="U948">
        <v>21115.61</v>
      </c>
    </row>
    <row r="949" spans="1:21" ht="15" customHeight="1" x14ac:dyDescent="0.25">
      <c r="A949" t="s">
        <v>843</v>
      </c>
      <c r="B949" s="8">
        <v>45403</v>
      </c>
      <c r="C949" s="8">
        <v>45406</v>
      </c>
      <c r="D949" t="s">
        <v>20</v>
      </c>
      <c r="E949" t="str">
        <f>E950</f>
        <v>Chisom</v>
      </c>
      <c r="F949" t="str">
        <f>F948</f>
        <v>Chukwu</v>
      </c>
      <c r="G949" t="s">
        <v>844</v>
      </c>
      <c r="H949">
        <v>9058936405</v>
      </c>
      <c r="I949" t="s">
        <v>24</v>
      </c>
      <c r="J949" t="s">
        <v>25</v>
      </c>
      <c r="K949" t="s">
        <v>44</v>
      </c>
      <c r="L949" t="s">
        <v>96</v>
      </c>
      <c r="M949" t="str">
        <f>TRIM(Table2[[#This Row],[Category]])</f>
        <v>Technology</v>
      </c>
      <c r="N949" t="s">
        <v>385</v>
      </c>
      <c r="O949" t="s">
        <v>386</v>
      </c>
      <c r="P949">
        <v>20</v>
      </c>
      <c r="Q949">
        <v>190293.67</v>
      </c>
      <c r="R949">
        <v>15</v>
      </c>
      <c r="S949">
        <v>570881.01</v>
      </c>
      <c r="T949">
        <v>3234992.39</v>
      </c>
      <c r="U949">
        <v>-409972.14</v>
      </c>
    </row>
    <row r="950" spans="1:21" ht="15" customHeight="1" x14ac:dyDescent="0.25">
      <c r="A950" t="s">
        <v>1137</v>
      </c>
      <c r="B950" s="8">
        <v>45406</v>
      </c>
      <c r="C950" s="8">
        <v>45409</v>
      </c>
      <c r="D950" t="s">
        <v>20</v>
      </c>
      <c r="E950" t="s">
        <v>3041</v>
      </c>
      <c r="F950" t="s">
        <v>3088</v>
      </c>
      <c r="G950" t="s">
        <v>655</v>
      </c>
      <c r="H950">
        <v>9054589118</v>
      </c>
      <c r="I950" t="s">
        <v>43</v>
      </c>
      <c r="J950" t="s">
        <v>51</v>
      </c>
      <c r="K950" t="s">
        <v>227</v>
      </c>
      <c r="L950" t="s">
        <v>108</v>
      </c>
      <c r="M950" t="str">
        <f>TRIM(Table2[[#This Row],[Category]])</f>
        <v>Clothing</v>
      </c>
      <c r="N950" t="s">
        <v>189</v>
      </c>
      <c r="O950" t="s">
        <v>325</v>
      </c>
      <c r="P950">
        <f>P949</f>
        <v>20</v>
      </c>
      <c r="Q950">
        <v>17480.37</v>
      </c>
      <c r="R950">
        <v>20</v>
      </c>
      <c r="S950">
        <v>52441.11</v>
      </c>
      <c r="T950">
        <v>209764.44</v>
      </c>
      <c r="U950">
        <v>89337.55</v>
      </c>
    </row>
    <row r="951" spans="1:21" ht="15" customHeight="1" x14ac:dyDescent="0.25">
      <c r="A951" t="s">
        <v>709</v>
      </c>
      <c r="B951" s="8">
        <v>45410</v>
      </c>
      <c r="C951" s="8">
        <v>45413</v>
      </c>
      <c r="D951" t="s">
        <v>20</v>
      </c>
      <c r="E951" t="s">
        <v>3053</v>
      </c>
      <c r="F951" t="s">
        <v>3050</v>
      </c>
      <c r="G951" t="s">
        <v>711</v>
      </c>
      <c r="H951">
        <v>7069650558</v>
      </c>
      <c r="I951" t="s">
        <v>35</v>
      </c>
      <c r="J951" t="s">
        <v>69</v>
      </c>
      <c r="K951" t="s">
        <v>70</v>
      </c>
      <c r="L951" t="s">
        <v>63</v>
      </c>
      <c r="M951" t="str">
        <f>TRIM(Table2[[#This Row],[Category]])</f>
        <v>Office Supplies</v>
      </c>
      <c r="N951" t="s">
        <v>469</v>
      </c>
      <c r="O951" t="s">
        <v>712</v>
      </c>
      <c r="P951">
        <v>16</v>
      </c>
      <c r="Q951">
        <v>11640.04</v>
      </c>
      <c r="R951">
        <v>10</v>
      </c>
      <c r="S951">
        <v>18624.060000000001</v>
      </c>
      <c r="T951">
        <v>167616.57999999999</v>
      </c>
      <c r="U951">
        <v>33384.75</v>
      </c>
    </row>
    <row r="952" spans="1:21" ht="15" customHeight="1" x14ac:dyDescent="0.25">
      <c r="A952" t="s">
        <v>2451</v>
      </c>
      <c r="B952" s="8">
        <v>45421</v>
      </c>
      <c r="C952" s="8">
        <v>45424</v>
      </c>
      <c r="D952" t="s">
        <v>20</v>
      </c>
      <c r="E952" t="s">
        <v>3097</v>
      </c>
      <c r="F952" t="s">
        <v>3050</v>
      </c>
      <c r="G952" t="s">
        <v>2452</v>
      </c>
      <c r="H952" t="s">
        <v>1508</v>
      </c>
      <c r="I952" t="s">
        <v>24</v>
      </c>
      <c r="J952" t="s">
        <v>51</v>
      </c>
      <c r="K952" t="s">
        <v>223</v>
      </c>
      <c r="L952" t="s">
        <v>85</v>
      </c>
      <c r="M952" t="str">
        <f>TRIM(Table2[[#This Row],[Category]])</f>
        <v>Furniture</v>
      </c>
      <c r="N952" t="s">
        <v>266</v>
      </c>
      <c r="O952" t="s">
        <v>952</v>
      </c>
      <c r="P952">
        <v>14</v>
      </c>
      <c r="Q952">
        <v>46078.76</v>
      </c>
      <c r="R952">
        <v>10</v>
      </c>
      <c r="S952">
        <v>64510.26</v>
      </c>
      <c r="T952">
        <v>580592.38</v>
      </c>
      <c r="U952">
        <v>-50871.93</v>
      </c>
    </row>
    <row r="953" spans="1:21" ht="15" customHeight="1" x14ac:dyDescent="0.25">
      <c r="A953" t="s">
        <v>1655</v>
      </c>
      <c r="B953" s="8">
        <v>45422</v>
      </c>
      <c r="C953" s="8">
        <v>45425</v>
      </c>
      <c r="D953" t="s">
        <v>20</v>
      </c>
      <c r="E953" t="s">
        <v>3041</v>
      </c>
      <c r="F953" t="s">
        <v>3046</v>
      </c>
      <c r="G953" t="s">
        <v>3126</v>
      </c>
      <c r="H953">
        <v>8136615431</v>
      </c>
      <c r="I953" t="s">
        <v>35</v>
      </c>
      <c r="J953" t="s">
        <v>25</v>
      </c>
      <c r="K953" t="s">
        <v>126</v>
      </c>
      <c r="L953" t="s">
        <v>96</v>
      </c>
      <c r="M953" t="str">
        <f>TRIM(Table2[[#This Row],[Category]])</f>
        <v>Technology</v>
      </c>
      <c r="N953" t="s">
        <v>254</v>
      </c>
      <c r="O953" t="s">
        <v>756</v>
      </c>
      <c r="P953">
        <v>8</v>
      </c>
      <c r="Q953">
        <v>445765.12</v>
      </c>
      <c r="R953">
        <v>15</v>
      </c>
      <c r="S953">
        <v>534918.14</v>
      </c>
      <c r="T953">
        <v>3031202.82</v>
      </c>
      <c r="U953">
        <v>1287246.99</v>
      </c>
    </row>
    <row r="954" spans="1:21" ht="15" customHeight="1" x14ac:dyDescent="0.25">
      <c r="A954" t="s">
        <v>377</v>
      </c>
      <c r="B954" s="8">
        <v>45428</v>
      </c>
      <c r="C954" s="8">
        <v>45430</v>
      </c>
      <c r="D954" t="s">
        <v>20</v>
      </c>
      <c r="E954" t="s">
        <v>3076</v>
      </c>
      <c r="F954" t="s">
        <v>3088</v>
      </c>
      <c r="G954" t="s">
        <v>379</v>
      </c>
      <c r="H954">
        <v>7032738129</v>
      </c>
      <c r="I954" t="s">
        <v>43</v>
      </c>
      <c r="J954" t="s">
        <v>51</v>
      </c>
      <c r="K954" t="s">
        <v>52</v>
      </c>
      <c r="L954" t="s">
        <v>27</v>
      </c>
      <c r="M954" t="str">
        <f>TRIM(Table2[[#This Row],[Category]])</f>
        <v>Food &amp; Beverages</v>
      </c>
      <c r="N954" t="s">
        <v>173</v>
      </c>
      <c r="O954" t="s">
        <v>380</v>
      </c>
      <c r="P954">
        <v>16</v>
      </c>
      <c r="Q954">
        <v>1491.42</v>
      </c>
      <c r="R954">
        <v>5</v>
      </c>
      <c r="S954">
        <v>1193.1400000000001</v>
      </c>
      <c r="T954">
        <v>22669.58</v>
      </c>
      <c r="U954">
        <v>8123.98</v>
      </c>
    </row>
    <row r="955" spans="1:21" ht="15" customHeight="1" x14ac:dyDescent="0.25">
      <c r="A955" t="s">
        <v>2292</v>
      </c>
      <c r="B955" s="8">
        <v>45431</v>
      </c>
      <c r="C955" s="8">
        <v>45434</v>
      </c>
      <c r="D955" t="s">
        <v>1309</v>
      </c>
      <c r="E955" t="s">
        <v>3037</v>
      </c>
      <c r="F955" t="s">
        <v>3050</v>
      </c>
      <c r="G955" t="s">
        <v>2294</v>
      </c>
      <c r="H955">
        <v>8141451244</v>
      </c>
      <c r="I955" t="s">
        <v>43</v>
      </c>
      <c r="J955" t="s">
        <v>61</v>
      </c>
      <c r="K955" t="s">
        <v>204</v>
      </c>
      <c r="L955" t="s">
        <v>85</v>
      </c>
      <c r="M955" t="str">
        <f>TRIM(Table2[[#This Row],[Category]])</f>
        <v>Furniture</v>
      </c>
      <c r="N955" t="s">
        <v>266</v>
      </c>
      <c r="O955" t="s">
        <v>803</v>
      </c>
      <c r="P955">
        <v>12</v>
      </c>
      <c r="Q955">
        <v>140069.16</v>
      </c>
      <c r="R955">
        <v>10</v>
      </c>
      <c r="S955">
        <v>168082.99</v>
      </c>
      <c r="T955">
        <v>1512746.93</v>
      </c>
      <c r="U955">
        <v>81553.05</v>
      </c>
    </row>
    <row r="956" spans="1:21" ht="15" customHeight="1" x14ac:dyDescent="0.25">
      <c r="A956" t="s">
        <v>2840</v>
      </c>
      <c r="B956" s="8">
        <v>45432</v>
      </c>
      <c r="C956" s="8">
        <v>45435</v>
      </c>
      <c r="D956" t="s">
        <v>20</v>
      </c>
      <c r="E956" t="s">
        <v>3091</v>
      </c>
      <c r="F956" t="s">
        <v>3057</v>
      </c>
      <c r="G956" t="s">
        <v>2842</v>
      </c>
      <c r="H956">
        <v>9077743663</v>
      </c>
      <c r="I956" t="s">
        <v>24</v>
      </c>
      <c r="J956" t="s">
        <v>61</v>
      </c>
      <c r="K956" t="s">
        <v>95</v>
      </c>
      <c r="L956" t="s">
        <v>27</v>
      </c>
      <c r="M956" t="str">
        <f>TRIM(Table2[[#This Row],[Category]])</f>
        <v>Food &amp; Beverages</v>
      </c>
      <c r="N956" t="s">
        <v>173</v>
      </c>
      <c r="O956" t="s">
        <v>2843</v>
      </c>
      <c r="P956">
        <v>13</v>
      </c>
      <c r="Q956">
        <v>3048.03</v>
      </c>
      <c r="R956">
        <v>20</v>
      </c>
      <c r="S956">
        <v>7924.88</v>
      </c>
      <c r="T956">
        <v>31699.51</v>
      </c>
      <c r="U956">
        <v>7125.15</v>
      </c>
    </row>
    <row r="957" spans="1:21" ht="15" customHeight="1" x14ac:dyDescent="0.25">
      <c r="A957" t="s">
        <v>1883</v>
      </c>
      <c r="B957" s="8" t="s">
        <v>1884</v>
      </c>
      <c r="C957" s="8">
        <v>45437</v>
      </c>
      <c r="D957" t="s">
        <v>20</v>
      </c>
      <c r="E957" t="s">
        <v>3087</v>
      </c>
      <c r="F957" t="s">
        <v>3075</v>
      </c>
      <c r="G957" t="s">
        <v>1886</v>
      </c>
      <c r="H957">
        <v>9071866635</v>
      </c>
      <c r="I957" t="s">
        <v>35</v>
      </c>
      <c r="J957" t="s">
        <v>51</v>
      </c>
      <c r="K957" t="s">
        <v>131</v>
      </c>
      <c r="L957" t="s">
        <v>1887</v>
      </c>
      <c r="M957" t="str">
        <f>TRIM(Table2[[#This Row],[Category]])</f>
        <v>Office Supply</v>
      </c>
      <c r="N957" t="s">
        <v>249</v>
      </c>
      <c r="O957" t="s">
        <v>1141</v>
      </c>
      <c r="P957">
        <v>12</v>
      </c>
      <c r="Q957">
        <v>9407.6200000000008</v>
      </c>
      <c r="R957">
        <v>15</v>
      </c>
      <c r="S957">
        <v>16933.72</v>
      </c>
      <c r="T957">
        <f>T956</f>
        <v>31699.51</v>
      </c>
      <c r="U957">
        <v>-174.53</v>
      </c>
    </row>
    <row r="958" spans="1:21" ht="15" customHeight="1" x14ac:dyDescent="0.25">
      <c r="A958" t="s">
        <v>701</v>
      </c>
      <c r="B958" s="8">
        <v>45438</v>
      </c>
      <c r="C958" s="8">
        <v>45440</v>
      </c>
      <c r="D958" t="s">
        <v>20</v>
      </c>
      <c r="E958" t="s">
        <v>3085</v>
      </c>
      <c r="F958" t="s">
        <v>3054</v>
      </c>
      <c r="G958" t="s">
        <v>703</v>
      </c>
      <c r="H958">
        <v>8034471922</v>
      </c>
      <c r="I958" t="s">
        <v>35</v>
      </c>
      <c r="J958" t="s">
        <v>25</v>
      </c>
      <c r="K958" t="s">
        <v>126</v>
      </c>
      <c r="L958" t="s">
        <v>96</v>
      </c>
      <c r="M958" t="str">
        <f>TRIM(Table2[[#This Row],[Category]])</f>
        <v>Technology</v>
      </c>
      <c r="N958" t="s">
        <v>254</v>
      </c>
      <c r="O958" t="s">
        <v>455</v>
      </c>
      <c r="P958">
        <v>20</v>
      </c>
      <c r="Q958">
        <v>246542.15</v>
      </c>
      <c r="R958">
        <v>25</v>
      </c>
      <c r="S958">
        <v>1232710.75</v>
      </c>
      <c r="T958" t="s">
        <v>704</v>
      </c>
      <c r="U958">
        <f>U957</f>
        <v>-174.53</v>
      </c>
    </row>
    <row r="959" spans="1:21" ht="15" customHeight="1" x14ac:dyDescent="0.25">
      <c r="A959" t="s">
        <v>747</v>
      </c>
      <c r="B959" s="8">
        <v>45441</v>
      </c>
      <c r="C959" s="8">
        <v>45444</v>
      </c>
      <c r="D959" t="s">
        <v>20</v>
      </c>
      <c r="E959" t="s">
        <v>3070</v>
      </c>
      <c r="F959" t="s">
        <v>3050</v>
      </c>
      <c r="G959" t="s">
        <v>749</v>
      </c>
      <c r="H959">
        <v>9012293020</v>
      </c>
      <c r="I959" t="s">
        <v>35</v>
      </c>
      <c r="J959" t="s">
        <v>51</v>
      </c>
      <c r="K959" t="s">
        <v>52</v>
      </c>
      <c r="L959" t="s">
        <v>108</v>
      </c>
      <c r="M959" t="str">
        <f>TRIM(Table2[[#This Row],[Category]])</f>
        <v>Clothing</v>
      </c>
      <c r="N959" t="s">
        <v>183</v>
      </c>
      <c r="O959" t="s">
        <v>184</v>
      </c>
      <c r="P959">
        <v>16</v>
      </c>
      <c r="Q959">
        <v>17485.330000000002</v>
      </c>
      <c r="R959">
        <v>0</v>
      </c>
      <c r="S959">
        <v>0</v>
      </c>
      <c r="T959">
        <v>279765.28000000003</v>
      </c>
      <c r="U959">
        <v>19754.97</v>
      </c>
    </row>
    <row r="960" spans="1:21" ht="15" customHeight="1" x14ac:dyDescent="0.25">
      <c r="A960" t="s">
        <v>318</v>
      </c>
      <c r="B960" s="8">
        <v>45444</v>
      </c>
      <c r="C960" s="8">
        <v>45446</v>
      </c>
      <c r="D960" t="s">
        <v>20</v>
      </c>
      <c r="E960" t="s">
        <v>3059</v>
      </c>
      <c r="F960" t="s">
        <v>3075</v>
      </c>
      <c r="G960" t="s">
        <v>320</v>
      </c>
      <c r="H960">
        <v>9054020853</v>
      </c>
      <c r="I960" t="s">
        <v>43</v>
      </c>
      <c r="J960" t="s">
        <v>25</v>
      </c>
      <c r="K960" t="s">
        <v>44</v>
      </c>
      <c r="L960" t="s">
        <v>85</v>
      </c>
      <c r="M960" t="str">
        <f>TRIM(Table2[[#This Row],[Category]])</f>
        <v>Furniture</v>
      </c>
      <c r="N960" t="s">
        <v>218</v>
      </c>
      <c r="O960" t="s">
        <v>321</v>
      </c>
      <c r="P960">
        <v>13</v>
      </c>
      <c r="Q960">
        <v>112832.59</v>
      </c>
      <c r="R960">
        <v>5</v>
      </c>
      <c r="S960">
        <v>73341.179999999993</v>
      </c>
      <c r="T960">
        <v>1393482.49</v>
      </c>
      <c r="U960">
        <v>207071.99</v>
      </c>
    </row>
    <row r="961" spans="1:21" ht="15" customHeight="1" x14ac:dyDescent="0.25">
      <c r="A961" t="s">
        <v>2644</v>
      </c>
      <c r="B961" s="8">
        <v>45446</v>
      </c>
      <c r="C961" s="8">
        <v>45448</v>
      </c>
      <c r="D961" t="s">
        <v>20</v>
      </c>
      <c r="E961" t="s">
        <v>3080</v>
      </c>
      <c r="F961" t="s">
        <v>3036</v>
      </c>
      <c r="G961" t="s">
        <v>2645</v>
      </c>
      <c r="H961">
        <v>7037017462</v>
      </c>
      <c r="I961" t="s">
        <v>43</v>
      </c>
      <c r="J961" t="s">
        <v>69</v>
      </c>
      <c r="K961" t="s">
        <v>155</v>
      </c>
      <c r="L961" t="s">
        <v>108</v>
      </c>
      <c r="M961" t="str">
        <f>TRIM(Table2[[#This Row],[Category]])</f>
        <v>Clothing</v>
      </c>
      <c r="N961" t="s">
        <v>183</v>
      </c>
      <c r="O961" t="s">
        <v>184</v>
      </c>
      <c r="P961">
        <v>6</v>
      </c>
      <c r="Q961">
        <v>39057.4</v>
      </c>
      <c r="R961">
        <v>0</v>
      </c>
      <c r="S961">
        <v>0</v>
      </c>
      <c r="T961">
        <v>234344.4</v>
      </c>
      <c r="U961">
        <v>13140.22</v>
      </c>
    </row>
    <row r="962" spans="1:21" ht="15" customHeight="1" x14ac:dyDescent="0.25">
      <c r="A962" t="s">
        <v>1826</v>
      </c>
      <c r="B962" s="8">
        <v>45450</v>
      </c>
      <c r="C962" s="8">
        <v>45452</v>
      </c>
      <c r="D962" t="s">
        <v>20</v>
      </c>
      <c r="E962" t="s">
        <v>3058</v>
      </c>
      <c r="F962" t="s">
        <v>3043</v>
      </c>
      <c r="G962" t="s">
        <v>1828</v>
      </c>
      <c r="H962">
        <v>8065040883</v>
      </c>
      <c r="I962" t="s">
        <v>24</v>
      </c>
      <c r="J962" t="s">
        <v>25</v>
      </c>
      <c r="K962" t="s">
        <v>36</v>
      </c>
      <c r="L962" t="s">
        <v>108</v>
      </c>
      <c r="M962" t="str">
        <f>TRIM(Table2[[#This Row],[Category]])</f>
        <v>Clothing</v>
      </c>
      <c r="N962" t="s">
        <v>183</v>
      </c>
      <c r="O962" t="s">
        <v>1829</v>
      </c>
      <c r="P962">
        <v>6</v>
      </c>
      <c r="Q962">
        <v>31583.32</v>
      </c>
      <c r="R962">
        <v>15</v>
      </c>
      <c r="S962">
        <v>28424.99</v>
      </c>
      <c r="T962">
        <v>161074.93</v>
      </c>
      <c r="U962">
        <v>50820.73</v>
      </c>
    </row>
    <row r="963" spans="1:21" ht="15" customHeight="1" x14ac:dyDescent="0.25">
      <c r="A963" t="s">
        <v>76</v>
      </c>
      <c r="B963" s="8">
        <v>45452</v>
      </c>
      <c r="C963" s="8">
        <v>45454</v>
      </c>
      <c r="D963" t="s">
        <v>20</v>
      </c>
      <c r="E963" t="s">
        <v>3039</v>
      </c>
      <c r="F963" t="s">
        <v>3046</v>
      </c>
      <c r="G963" t="s">
        <v>78</v>
      </c>
      <c r="H963">
        <v>8153997281</v>
      </c>
      <c r="I963" t="s">
        <v>35</v>
      </c>
      <c r="J963" t="s">
        <v>51</v>
      </c>
      <c r="K963" t="s">
        <v>3127</v>
      </c>
      <c r="L963" t="s">
        <v>27</v>
      </c>
      <c r="M963" t="str">
        <f>TRIM(Table2[[#This Row],[Category]])</f>
        <v>Food &amp; Beverages</v>
      </c>
      <c r="N963" t="s">
        <v>79</v>
      </c>
      <c r="O963" t="s">
        <v>80</v>
      </c>
      <c r="P963">
        <v>17</v>
      </c>
      <c r="Q963">
        <v>6780.85</v>
      </c>
      <c r="R963">
        <v>5</v>
      </c>
      <c r="S963">
        <v>5763.72</v>
      </c>
      <c r="T963">
        <v>109510.73</v>
      </c>
      <c r="U963">
        <v>-6384.09</v>
      </c>
    </row>
    <row r="964" spans="1:21" ht="15" customHeight="1" x14ac:dyDescent="0.25">
      <c r="A964" t="s">
        <v>1047</v>
      </c>
      <c r="B964" s="8">
        <v>45468</v>
      </c>
      <c r="C964" s="8">
        <v>45471</v>
      </c>
      <c r="D964" t="s">
        <v>20</v>
      </c>
      <c r="E964" t="s">
        <v>3094</v>
      </c>
      <c r="F964" t="s">
        <v>3083</v>
      </c>
      <c r="G964" t="s">
        <v>1049</v>
      </c>
      <c r="H964">
        <v>9026698561</v>
      </c>
      <c r="I964" t="s">
        <v>43</v>
      </c>
      <c r="J964" t="s">
        <v>25</v>
      </c>
      <c r="K964" t="s">
        <v>36</v>
      </c>
      <c r="L964" t="s">
        <v>108</v>
      </c>
      <c r="M964" t="str">
        <f>TRIM(Table2[[#This Row],[Category]])</f>
        <v>Clothing</v>
      </c>
      <c r="N964" t="s">
        <v>183</v>
      </c>
      <c r="O964" t="s">
        <v>184</v>
      </c>
      <c r="P964">
        <v>16</v>
      </c>
      <c r="Q964">
        <v>39067</v>
      </c>
      <c r="R964">
        <v>0</v>
      </c>
      <c r="S964">
        <v>0</v>
      </c>
      <c r="T964" t="s">
        <v>1050</v>
      </c>
      <c r="U964">
        <v>2932.75</v>
      </c>
    </row>
    <row r="965" spans="1:21" ht="15" customHeight="1" x14ac:dyDescent="0.25">
      <c r="A965" t="s">
        <v>1200</v>
      </c>
      <c r="B965" s="8">
        <v>45475</v>
      </c>
      <c r="C965" s="8">
        <v>45478</v>
      </c>
      <c r="D965" t="s">
        <v>20</v>
      </c>
      <c r="E965" t="s">
        <v>3065</v>
      </c>
      <c r="F965" t="s">
        <v>3038</v>
      </c>
      <c r="G965" t="s">
        <v>1202</v>
      </c>
      <c r="H965">
        <v>8131059272</v>
      </c>
      <c r="I965" t="s">
        <v>43</v>
      </c>
      <c r="J965" t="s">
        <v>25</v>
      </c>
      <c r="K965" t="s">
        <v>168</v>
      </c>
      <c r="L965" t="s">
        <v>27</v>
      </c>
      <c r="M965" t="str">
        <f>TRIM(Table2[[#This Row],[Category]])</f>
        <v>Food &amp; Beverages</v>
      </c>
      <c r="N965" t="s">
        <v>45</v>
      </c>
      <c r="O965" t="s">
        <v>308</v>
      </c>
      <c r="P965">
        <v>16</v>
      </c>
      <c r="Q965">
        <v>3831.55</v>
      </c>
      <c r="R965">
        <v>25</v>
      </c>
      <c r="S965">
        <v>15326.2</v>
      </c>
      <c r="T965">
        <v>45978.6</v>
      </c>
      <c r="U965">
        <v>15378.59</v>
      </c>
    </row>
    <row r="966" spans="1:21" ht="15" customHeight="1" x14ac:dyDescent="0.25">
      <c r="A966" t="s">
        <v>1955</v>
      </c>
      <c r="B966" s="8">
        <v>45478</v>
      </c>
      <c r="C966" s="8">
        <v>45480</v>
      </c>
      <c r="D966" t="s">
        <v>20</v>
      </c>
      <c r="E966" t="s">
        <v>3095</v>
      </c>
      <c r="F966" t="s">
        <v>3064</v>
      </c>
      <c r="G966" t="s">
        <v>1956</v>
      </c>
      <c r="H966">
        <v>9058229326</v>
      </c>
      <c r="I966" t="s">
        <v>24</v>
      </c>
      <c r="J966" t="s">
        <v>61</v>
      </c>
      <c r="K966" t="s">
        <v>62</v>
      </c>
      <c r="L966" t="s">
        <v>96</v>
      </c>
      <c r="M966" t="str">
        <f>TRIM(Table2[[#This Row],[Category]])</f>
        <v>Technology</v>
      </c>
      <c r="N966" t="s">
        <v>189</v>
      </c>
      <c r="O966" t="s">
        <v>190</v>
      </c>
      <c r="P966">
        <v>20</v>
      </c>
      <c r="Q966">
        <v>105836.98</v>
      </c>
      <c r="R966">
        <v>0</v>
      </c>
      <c r="S966">
        <v>0</v>
      </c>
      <c r="T966">
        <v>2116739.6</v>
      </c>
      <c r="U966">
        <v>899210.86</v>
      </c>
    </row>
    <row r="967" spans="1:21" ht="15" customHeight="1" x14ac:dyDescent="0.25">
      <c r="A967" t="s">
        <v>505</v>
      </c>
      <c r="B967" s="8">
        <v>45482</v>
      </c>
      <c r="C967" s="8">
        <v>45484</v>
      </c>
      <c r="D967" t="s">
        <v>20</v>
      </c>
      <c r="E967" t="s">
        <v>3084</v>
      </c>
      <c r="F967" t="s">
        <v>3038</v>
      </c>
      <c r="G967" t="s">
        <v>507</v>
      </c>
      <c r="H967">
        <v>8167444964</v>
      </c>
      <c r="I967" t="s">
        <v>35</v>
      </c>
      <c r="J967" t="s">
        <v>61</v>
      </c>
      <c r="K967" t="s">
        <v>204</v>
      </c>
      <c r="L967" t="s">
        <v>27</v>
      </c>
      <c r="M967" t="str">
        <f>TRIM(Table2[[#This Row],[Category]])</f>
        <v>Food &amp; Beverages</v>
      </c>
      <c r="N967" t="s">
        <v>28</v>
      </c>
      <c r="O967" t="s">
        <v>508</v>
      </c>
      <c r="P967">
        <v>6</v>
      </c>
      <c r="Q967">
        <v>7712.68</v>
      </c>
      <c r="R967">
        <v>10</v>
      </c>
      <c r="S967">
        <v>4627.6099999999997</v>
      </c>
      <c r="T967">
        <v>41648.47</v>
      </c>
      <c r="U967">
        <v>17086.32</v>
      </c>
    </row>
    <row r="968" spans="1:21" ht="15" customHeight="1" x14ac:dyDescent="0.25">
      <c r="A968" t="s">
        <v>637</v>
      </c>
      <c r="B968" s="8">
        <v>45484</v>
      </c>
      <c r="C968" s="8">
        <v>45487</v>
      </c>
      <c r="D968" t="s">
        <v>20</v>
      </c>
      <c r="E968" t="s">
        <v>3067</v>
      </c>
      <c r="F968" t="s">
        <v>3039</v>
      </c>
      <c r="G968" t="s">
        <v>639</v>
      </c>
      <c r="H968">
        <v>7064116163</v>
      </c>
      <c r="I968" t="s">
        <v>24</v>
      </c>
      <c r="J968" t="s">
        <v>51</v>
      </c>
      <c r="K968" t="s">
        <v>52</v>
      </c>
      <c r="L968" t="s">
        <v>27</v>
      </c>
      <c r="M968" t="str">
        <f>TRIM(Table2[[#This Row],[Category]])</f>
        <v>Food &amp; Beverages</v>
      </c>
      <c r="N968" t="s">
        <v>28</v>
      </c>
      <c r="O968" t="s">
        <v>29</v>
      </c>
      <c r="P968">
        <v>10</v>
      </c>
      <c r="Q968">
        <v>6245.69</v>
      </c>
      <c r="R968">
        <v>5</v>
      </c>
      <c r="S968">
        <v>3122.84</v>
      </c>
      <c r="T968">
        <v>59334.06</v>
      </c>
      <c r="U968">
        <v>16486.87</v>
      </c>
    </row>
    <row r="969" spans="1:21" ht="15" customHeight="1" x14ac:dyDescent="0.25">
      <c r="A969" t="s">
        <v>691</v>
      </c>
      <c r="B969" s="8">
        <v>45485</v>
      </c>
      <c r="C969" s="8">
        <v>45487</v>
      </c>
      <c r="D969" t="s">
        <v>20</v>
      </c>
      <c r="E969" t="s">
        <v>3097</v>
      </c>
      <c r="F969" t="s">
        <v>3046</v>
      </c>
      <c r="G969" t="s">
        <v>692</v>
      </c>
      <c r="H969">
        <v>8104273712</v>
      </c>
      <c r="I969" t="s">
        <v>35</v>
      </c>
      <c r="J969" t="s">
        <v>588</v>
      </c>
      <c r="K969" t="s">
        <v>131</v>
      </c>
      <c r="L969" t="s">
        <v>108</v>
      </c>
      <c r="M969" t="str">
        <f>TRIM(Table2[[#This Row],[Category]])</f>
        <v>Clothing</v>
      </c>
      <c r="N969" t="s">
        <v>189</v>
      </c>
      <c r="O969" t="s">
        <v>205</v>
      </c>
      <c r="P969">
        <v>14</v>
      </c>
      <c r="Q969">
        <v>30082</v>
      </c>
      <c r="R969">
        <v>20</v>
      </c>
      <c r="S969">
        <v>84229.6</v>
      </c>
      <c r="T969">
        <v>336918.4</v>
      </c>
      <c r="U969">
        <v>33482.36</v>
      </c>
    </row>
    <row r="970" spans="1:21" ht="15" customHeight="1" x14ac:dyDescent="0.25">
      <c r="A970" t="s">
        <v>1194</v>
      </c>
      <c r="B970" s="8">
        <v>45485</v>
      </c>
      <c r="C970" s="8">
        <v>45487</v>
      </c>
      <c r="D970" t="s">
        <v>20</v>
      </c>
      <c r="E970" t="s">
        <v>3065</v>
      </c>
      <c r="F970" t="s">
        <v>3071</v>
      </c>
      <c r="G970" t="s">
        <v>1196</v>
      </c>
      <c r="H970">
        <v>8142512963</v>
      </c>
      <c r="I970" t="s">
        <v>43</v>
      </c>
      <c r="J970" t="s">
        <v>61</v>
      </c>
      <c r="K970" t="s">
        <v>204</v>
      </c>
      <c r="L970" t="s">
        <v>63</v>
      </c>
      <c r="M970" t="str">
        <f>TRIM(Table2[[#This Row],[Category]])</f>
        <v>Office Supplies</v>
      </c>
      <c r="N970" t="s">
        <v>558</v>
      </c>
      <c r="O970" t="s">
        <v>680</v>
      </c>
      <c r="P970">
        <v>4</v>
      </c>
      <c r="Q970">
        <v>18100.18</v>
      </c>
      <c r="R970">
        <v>0</v>
      </c>
      <c r="S970">
        <v>0</v>
      </c>
      <c r="T970">
        <v>72400.72</v>
      </c>
      <c r="U970">
        <v>-5900.73</v>
      </c>
    </row>
    <row r="971" spans="1:21" ht="15" customHeight="1" x14ac:dyDescent="0.25">
      <c r="A971" t="s">
        <v>2071</v>
      </c>
      <c r="B971" s="8">
        <v>45488</v>
      </c>
      <c r="C971" s="8">
        <v>45491</v>
      </c>
      <c r="D971" t="s">
        <v>20</v>
      </c>
      <c r="E971" t="s">
        <v>3097</v>
      </c>
      <c r="F971" t="s">
        <v>3077</v>
      </c>
      <c r="G971" t="s">
        <v>2073</v>
      </c>
      <c r="H971">
        <v>9079162003</v>
      </c>
      <c r="I971" t="s">
        <v>24</v>
      </c>
      <c r="J971" t="s">
        <v>25</v>
      </c>
      <c r="K971" t="s">
        <v>44</v>
      </c>
      <c r="L971" t="s">
        <v>53</v>
      </c>
      <c r="M971" t="str">
        <f>TRIM(Table2[[#This Row],[Category]])</f>
        <v>office supplies</v>
      </c>
      <c r="N971" t="s">
        <v>558</v>
      </c>
      <c r="O971" t="s">
        <v>559</v>
      </c>
      <c r="P971">
        <f>P970</f>
        <v>4</v>
      </c>
      <c r="Q971">
        <v>832.25</v>
      </c>
      <c r="R971">
        <v>10</v>
      </c>
      <c r="S971">
        <v>998.7</v>
      </c>
      <c r="T971">
        <v>8988.2999999999993</v>
      </c>
      <c r="U971">
        <v>2481.62</v>
      </c>
    </row>
    <row r="972" spans="1:21" ht="15" customHeight="1" x14ac:dyDescent="0.25">
      <c r="A972" t="s">
        <v>2438</v>
      </c>
      <c r="B972" s="8">
        <v>45488</v>
      </c>
      <c r="C972" s="8">
        <v>45491</v>
      </c>
      <c r="D972" t="s">
        <v>20</v>
      </c>
      <c r="E972" t="str">
        <f>E973</f>
        <v>Nike</v>
      </c>
      <c r="F972" t="str">
        <f>F971</f>
        <v>Otedola</v>
      </c>
      <c r="G972" t="s">
        <v>2439</v>
      </c>
      <c r="H972">
        <v>7069571557</v>
      </c>
      <c r="I972" t="s">
        <v>43</v>
      </c>
      <c r="J972" t="s">
        <v>51</v>
      </c>
      <c r="K972" t="s">
        <v>131</v>
      </c>
      <c r="L972" t="s">
        <v>85</v>
      </c>
      <c r="M972" t="str">
        <f>TRIM(Table2[[#This Row],[Category]])</f>
        <v>Furniture</v>
      </c>
      <c r="N972" t="s">
        <v>218</v>
      </c>
      <c r="O972" t="s">
        <v>708</v>
      </c>
      <c r="P972">
        <v>7</v>
      </c>
      <c r="Q972">
        <v>141456.75</v>
      </c>
      <c r="R972">
        <v>10</v>
      </c>
      <c r="S972">
        <v>99019.73</v>
      </c>
      <c r="T972">
        <v>891177.52</v>
      </c>
      <c r="U972">
        <v>147351.57999999999</v>
      </c>
    </row>
    <row r="973" spans="1:21" ht="15" customHeight="1" x14ac:dyDescent="0.25">
      <c r="A973" t="s">
        <v>2722</v>
      </c>
      <c r="B973" s="8">
        <v>45489</v>
      </c>
      <c r="C973" s="8">
        <v>45491</v>
      </c>
      <c r="D973" t="s">
        <v>20</v>
      </c>
      <c r="E973" t="s">
        <v>3076</v>
      </c>
      <c r="F973" t="s">
        <v>3054</v>
      </c>
      <c r="G973" t="s">
        <v>2724</v>
      </c>
      <c r="H973">
        <v>8164120898</v>
      </c>
      <c r="I973" t="s">
        <v>35</v>
      </c>
      <c r="J973" t="s">
        <v>25</v>
      </c>
      <c r="K973" t="s">
        <v>44</v>
      </c>
      <c r="L973" t="s">
        <v>85</v>
      </c>
      <c r="M973" t="str">
        <f>TRIM(Table2[[#This Row],[Category]])</f>
        <v>Furniture</v>
      </c>
      <c r="N973" t="s">
        <v>486</v>
      </c>
      <c r="O973" t="s">
        <v>543</v>
      </c>
      <c r="P973">
        <v>3</v>
      </c>
      <c r="Q973">
        <v>36660.15</v>
      </c>
      <c r="R973">
        <v>5</v>
      </c>
      <c r="S973">
        <v>5499.02</v>
      </c>
      <c r="T973">
        <v>104481.43</v>
      </c>
      <c r="U973">
        <v>38980.57</v>
      </c>
    </row>
    <row r="974" spans="1:21" ht="15" customHeight="1" x14ac:dyDescent="0.25">
      <c r="A974" t="s">
        <v>368</v>
      </c>
      <c r="B974" s="8">
        <v>45491</v>
      </c>
      <c r="C974" s="8">
        <v>45494</v>
      </c>
      <c r="D974" t="s">
        <v>20</v>
      </c>
      <c r="E974" t="s">
        <v>3072</v>
      </c>
      <c r="F974" t="s">
        <v>3079</v>
      </c>
      <c r="G974" t="s">
        <v>370</v>
      </c>
      <c r="H974">
        <v>8034607488</v>
      </c>
      <c r="I974" t="s">
        <v>24</v>
      </c>
      <c r="J974" t="s">
        <v>371</v>
      </c>
      <c r="K974" t="s">
        <v>316</v>
      </c>
      <c r="L974" t="s">
        <v>108</v>
      </c>
      <c r="M974" t="str">
        <f>TRIM(Table2[[#This Row],[Category]])</f>
        <v>Clothing</v>
      </c>
      <c r="N974" t="s">
        <v>183</v>
      </c>
      <c r="O974" t="s">
        <v>372</v>
      </c>
      <c r="P974">
        <v>15</v>
      </c>
      <c r="Q974">
        <v>19793.98</v>
      </c>
      <c r="R974">
        <v>15</v>
      </c>
      <c r="S974">
        <v>44536.46</v>
      </c>
      <c r="T974">
        <v>252373.24</v>
      </c>
      <c r="U974">
        <v>25134.81</v>
      </c>
    </row>
    <row r="975" spans="1:21" ht="15" customHeight="1" x14ac:dyDescent="0.25">
      <c r="A975" t="s">
        <v>2569</v>
      </c>
      <c r="B975" s="8">
        <v>45500</v>
      </c>
      <c r="C975" s="8">
        <v>45502</v>
      </c>
      <c r="D975" t="s">
        <v>20</v>
      </c>
      <c r="E975" t="s">
        <v>3095</v>
      </c>
      <c r="F975" t="s">
        <v>3077</v>
      </c>
      <c r="G975" t="s">
        <v>2571</v>
      </c>
      <c r="H975">
        <v>8101179145</v>
      </c>
      <c r="I975" t="s">
        <v>35</v>
      </c>
      <c r="J975" t="s">
        <v>69</v>
      </c>
      <c r="K975" t="s">
        <v>3127</v>
      </c>
      <c r="L975" t="s">
        <v>27</v>
      </c>
      <c r="M975" t="str">
        <f>TRIM(Table2[[#This Row],[Category]])</f>
        <v>Food &amp; Beverages</v>
      </c>
      <c r="N975" t="s">
        <v>79</v>
      </c>
      <c r="O975" t="s">
        <v>80</v>
      </c>
      <c r="P975">
        <v>16</v>
      </c>
      <c r="Q975">
        <v>3231.17</v>
      </c>
      <c r="R975">
        <v>15</v>
      </c>
      <c r="S975">
        <v>7754.81</v>
      </c>
      <c r="T975">
        <v>43943.91</v>
      </c>
      <c r="U975">
        <v>3649.03</v>
      </c>
    </row>
    <row r="976" spans="1:21" ht="15" customHeight="1" x14ac:dyDescent="0.25">
      <c r="A976" t="s">
        <v>1136</v>
      </c>
      <c r="B976" s="8">
        <v>45501</v>
      </c>
      <c r="C976" s="8">
        <v>45504</v>
      </c>
      <c r="D976" t="s">
        <v>20</v>
      </c>
      <c r="E976" t="s">
        <v>3072</v>
      </c>
      <c r="F976" t="s">
        <v>3062</v>
      </c>
      <c r="G976" t="s">
        <v>565</v>
      </c>
      <c r="H976">
        <v>8157737011</v>
      </c>
      <c r="I976" t="s">
        <v>24</v>
      </c>
      <c r="J976" t="s">
        <v>69</v>
      </c>
      <c r="K976" t="s">
        <v>307</v>
      </c>
      <c r="L976" t="s">
        <v>27</v>
      </c>
      <c r="M976" t="str">
        <f>TRIM(Table2[[#This Row],[Category]])</f>
        <v>Food &amp; Beverages</v>
      </c>
      <c r="N976" t="s">
        <v>45</v>
      </c>
      <c r="O976" t="s">
        <v>523</v>
      </c>
      <c r="P976">
        <v>20</v>
      </c>
      <c r="Q976">
        <v>4411.03</v>
      </c>
      <c r="R976">
        <v>20</v>
      </c>
      <c r="S976">
        <v>17644.12</v>
      </c>
      <c r="T976">
        <v>70576.479999999996</v>
      </c>
      <c r="U976">
        <v>28944.26</v>
      </c>
    </row>
    <row r="977" spans="1:21" ht="15" customHeight="1" x14ac:dyDescent="0.25">
      <c r="A977" t="s">
        <v>2110</v>
      </c>
      <c r="B977" s="8">
        <v>45503</v>
      </c>
      <c r="C977" s="8">
        <v>45505</v>
      </c>
      <c r="D977" t="s">
        <v>20</v>
      </c>
      <c r="E977" t="s">
        <v>3091</v>
      </c>
      <c r="F977" t="s">
        <v>3079</v>
      </c>
      <c r="G977" t="s">
        <v>2112</v>
      </c>
      <c r="H977">
        <v>7062144375</v>
      </c>
      <c r="I977" t="s">
        <v>43</v>
      </c>
      <c r="J977" t="s">
        <v>61</v>
      </c>
      <c r="K977" t="s">
        <v>62</v>
      </c>
      <c r="L977" t="s">
        <v>108</v>
      </c>
      <c r="M977" t="str">
        <f>TRIM(Table2[[#This Row],[Category]])</f>
        <v>Clothing</v>
      </c>
      <c r="N977" t="s">
        <v>183</v>
      </c>
      <c r="O977" t="s">
        <v>869</v>
      </c>
      <c r="P977">
        <v>6</v>
      </c>
      <c r="Q977">
        <v>28051.200000000001</v>
      </c>
      <c r="R977">
        <v>25</v>
      </c>
      <c r="S977">
        <v>42076.800000000003</v>
      </c>
      <c r="T977">
        <v>126230.39999999999</v>
      </c>
      <c r="U977">
        <v>39792.720000000001</v>
      </c>
    </row>
    <row r="978" spans="1:21" ht="15" customHeight="1" x14ac:dyDescent="0.25">
      <c r="A978" t="s">
        <v>322</v>
      </c>
      <c r="B978" s="8">
        <v>45503</v>
      </c>
      <c r="C978" s="8">
        <v>45506</v>
      </c>
      <c r="D978" t="s">
        <v>20</v>
      </c>
      <c r="E978" t="s">
        <v>3049</v>
      </c>
      <c r="F978" t="s">
        <v>3079</v>
      </c>
      <c r="G978" t="s">
        <v>324</v>
      </c>
      <c r="H978">
        <v>8163650391</v>
      </c>
      <c r="I978" t="s">
        <v>43</v>
      </c>
      <c r="J978" t="s">
        <v>61</v>
      </c>
      <c r="K978" t="s">
        <v>62</v>
      </c>
      <c r="L978" t="s">
        <v>96</v>
      </c>
      <c r="M978" t="str">
        <f>TRIM(Table2[[#This Row],[Category]])</f>
        <v>Technology</v>
      </c>
      <c r="N978" t="s">
        <v>189</v>
      </c>
      <c r="O978" t="s">
        <v>325</v>
      </c>
      <c r="P978">
        <v>10</v>
      </c>
      <c r="Q978">
        <v>444628.49</v>
      </c>
      <c r="R978">
        <v>15</v>
      </c>
      <c r="S978">
        <v>666942.74</v>
      </c>
      <c r="T978">
        <v>3779342.16</v>
      </c>
      <c r="U978">
        <v>998457.25</v>
      </c>
    </row>
    <row r="979" spans="1:21" ht="15" customHeight="1" x14ac:dyDescent="0.25">
      <c r="A979" t="s">
        <v>1187</v>
      </c>
      <c r="B979" s="8">
        <v>45506</v>
      </c>
      <c r="C979" s="8">
        <v>45508</v>
      </c>
      <c r="D979" t="s">
        <v>20</v>
      </c>
      <c r="E979" t="s">
        <v>3068</v>
      </c>
      <c r="F979" t="s">
        <v>3064</v>
      </c>
      <c r="G979" t="s">
        <v>1189</v>
      </c>
      <c r="H979">
        <v>9019673311</v>
      </c>
      <c r="I979" t="s">
        <v>43</v>
      </c>
      <c r="J979" t="s">
        <v>69</v>
      </c>
      <c r="K979" t="s">
        <v>70</v>
      </c>
      <c r="L979" t="s">
        <v>85</v>
      </c>
      <c r="M979" t="str">
        <f>TRIM(Table2[[#This Row],[Category]])</f>
        <v>Furniture</v>
      </c>
      <c r="N979" t="s">
        <v>486</v>
      </c>
      <c r="O979" t="s">
        <v>1018</v>
      </c>
      <c r="P979">
        <v>17</v>
      </c>
      <c r="Q979">
        <v>23555.82</v>
      </c>
      <c r="R979">
        <v>0</v>
      </c>
      <c r="S979">
        <v>0</v>
      </c>
      <c r="T979">
        <v>400448.94</v>
      </c>
      <c r="U979">
        <v>-16873.78</v>
      </c>
    </row>
    <row r="980" spans="1:21" ht="15" customHeight="1" x14ac:dyDescent="0.25">
      <c r="A980" t="s">
        <v>2323</v>
      </c>
      <c r="B980" s="8">
        <v>45505</v>
      </c>
      <c r="C980" s="8">
        <v>45508</v>
      </c>
      <c r="D980" t="s">
        <v>20</v>
      </c>
      <c r="E980" t="s">
        <v>3080</v>
      </c>
      <c r="F980" t="s">
        <v>3074</v>
      </c>
      <c r="G980" t="s">
        <v>2325</v>
      </c>
      <c r="H980">
        <v>8141210843</v>
      </c>
      <c r="I980" t="s">
        <v>24</v>
      </c>
      <c r="J980" t="s">
        <v>61</v>
      </c>
      <c r="K980" t="s">
        <v>95</v>
      </c>
      <c r="L980" t="s">
        <v>63</v>
      </c>
      <c r="M980" t="str">
        <f>TRIM(Table2[[#This Row],[Category]])</f>
        <v>Office Supplies</v>
      </c>
      <c r="N980" t="s">
        <v>558</v>
      </c>
      <c r="O980" t="s">
        <v>1380</v>
      </c>
      <c r="P980">
        <v>15</v>
      </c>
      <c r="Q980">
        <v>8985.9699999999993</v>
      </c>
      <c r="R980">
        <v>0</v>
      </c>
      <c r="S980">
        <v>0</v>
      </c>
      <c r="T980">
        <v>134789.54999999999</v>
      </c>
      <c r="U980">
        <v>17140.990000000002</v>
      </c>
    </row>
    <row r="981" spans="1:21" ht="15" customHeight="1" x14ac:dyDescent="0.25">
      <c r="A981" t="s">
        <v>175</v>
      </c>
      <c r="B981" s="8">
        <v>45514</v>
      </c>
      <c r="C981" s="8">
        <v>45517</v>
      </c>
      <c r="D981" t="s">
        <v>20</v>
      </c>
      <c r="E981" t="s">
        <v>3053</v>
      </c>
      <c r="F981" t="s">
        <v>3069</v>
      </c>
      <c r="G981" t="s">
        <v>177</v>
      </c>
      <c r="H981">
        <v>8158938746</v>
      </c>
      <c r="I981" t="s">
        <v>24</v>
      </c>
      <c r="J981" t="s">
        <v>69</v>
      </c>
      <c r="K981" t="s">
        <v>155</v>
      </c>
      <c r="L981" t="s">
        <v>85</v>
      </c>
      <c r="M981" t="str">
        <f>TRIM(Table2[[#This Row],[Category]])</f>
        <v>Furniture</v>
      </c>
      <c r="N981" t="s">
        <v>86</v>
      </c>
      <c r="O981" t="s">
        <v>178</v>
      </c>
      <c r="P981">
        <v>20</v>
      </c>
      <c r="Q981">
        <v>96657.75</v>
      </c>
      <c r="R981">
        <v>10</v>
      </c>
      <c r="S981">
        <v>193315.5</v>
      </c>
      <c r="T981">
        <v>1739839.5</v>
      </c>
      <c r="U981">
        <v>-163488.68</v>
      </c>
    </row>
    <row r="982" spans="1:21" ht="15" customHeight="1" x14ac:dyDescent="0.25">
      <c r="A982" t="s">
        <v>2555</v>
      </c>
      <c r="B982" s="8">
        <v>45521</v>
      </c>
      <c r="C982" s="8">
        <v>45523</v>
      </c>
      <c r="D982" t="s">
        <v>20</v>
      </c>
      <c r="E982" t="s">
        <v>3033</v>
      </c>
      <c r="F982" t="s">
        <v>3096</v>
      </c>
      <c r="G982" t="s">
        <v>707</v>
      </c>
      <c r="H982">
        <v>7039901791</v>
      </c>
      <c r="I982" t="s">
        <v>43</v>
      </c>
      <c r="J982" t="s">
        <v>61</v>
      </c>
      <c r="K982" t="s">
        <v>62</v>
      </c>
      <c r="L982" t="s">
        <v>96</v>
      </c>
      <c r="M982" t="str">
        <f>TRIM(Table2[[#This Row],[Category]])</f>
        <v>Technology</v>
      </c>
      <c r="N982" t="s">
        <v>120</v>
      </c>
      <c r="O982" t="s">
        <v>1307</v>
      </c>
      <c r="P982">
        <v>1</v>
      </c>
      <c r="Q982">
        <v>52301.279999999999</v>
      </c>
      <c r="R982">
        <v>0</v>
      </c>
      <c r="S982">
        <v>0</v>
      </c>
      <c r="T982">
        <v>52301.279999999999</v>
      </c>
      <c r="U982">
        <v>2557.8000000000002</v>
      </c>
    </row>
    <row r="983" spans="1:21" ht="15" customHeight="1" x14ac:dyDescent="0.25">
      <c r="A983" t="s">
        <v>2382</v>
      </c>
      <c r="B983" s="8">
        <v>45528</v>
      </c>
      <c r="C983" s="8">
        <v>45531</v>
      </c>
      <c r="D983" t="s">
        <v>20</v>
      </c>
      <c r="E983" t="s">
        <v>3073</v>
      </c>
      <c r="F983" t="s">
        <v>3054</v>
      </c>
      <c r="G983" t="s">
        <v>2383</v>
      </c>
      <c r="H983">
        <v>7036938019</v>
      </c>
      <c r="I983" t="s">
        <v>35</v>
      </c>
      <c r="J983" t="s">
        <v>69</v>
      </c>
      <c r="K983" t="s">
        <v>144</v>
      </c>
      <c r="L983" t="s">
        <v>63</v>
      </c>
      <c r="M983" t="str">
        <f>TRIM(Table2[[#This Row],[Category]])</f>
        <v>Office Supplies</v>
      </c>
      <c r="N983" t="s">
        <v>64</v>
      </c>
      <c r="O983" t="s">
        <v>65</v>
      </c>
      <c r="P983">
        <v>13</v>
      </c>
      <c r="Q983">
        <v>10919.8</v>
      </c>
      <c r="R983">
        <v>15</v>
      </c>
      <c r="S983">
        <v>21293.61</v>
      </c>
      <c r="T983">
        <v>120663.79</v>
      </c>
      <c r="U983">
        <v>-17688.89</v>
      </c>
    </row>
    <row r="984" spans="1:21" ht="15" customHeight="1" x14ac:dyDescent="0.25">
      <c r="A984" t="s">
        <v>1936</v>
      </c>
      <c r="B984" s="8">
        <v>45532</v>
      </c>
      <c r="C984" s="8">
        <v>45534</v>
      </c>
      <c r="D984" t="s">
        <v>20</v>
      </c>
      <c r="E984" t="s">
        <v>3056</v>
      </c>
      <c r="F984" t="s">
        <v>3090</v>
      </c>
      <c r="G984" t="s">
        <v>1394</v>
      </c>
      <c r="H984">
        <v>7033337892</v>
      </c>
      <c r="I984" t="s">
        <v>35</v>
      </c>
      <c r="J984" t="s">
        <v>25</v>
      </c>
      <c r="K984" t="s">
        <v>126</v>
      </c>
      <c r="L984" t="s">
        <v>63</v>
      </c>
      <c r="M984" t="str">
        <f>TRIM(Table2[[#This Row],[Category]])</f>
        <v>Office Supplies</v>
      </c>
      <c r="N984" t="s">
        <v>64</v>
      </c>
      <c r="O984" t="s">
        <v>501</v>
      </c>
      <c r="P984">
        <v>18</v>
      </c>
      <c r="Q984">
        <v>20963.68</v>
      </c>
      <c r="R984">
        <v>15</v>
      </c>
      <c r="S984">
        <v>56601.94</v>
      </c>
      <c r="T984">
        <v>320744.3</v>
      </c>
      <c r="U984">
        <v>-1443.85</v>
      </c>
    </row>
    <row r="985" spans="1:21" ht="15" customHeight="1" x14ac:dyDescent="0.25">
      <c r="A985" t="s">
        <v>524</v>
      </c>
      <c r="B985" s="8">
        <v>45532</v>
      </c>
      <c r="C985" s="8">
        <v>45535</v>
      </c>
      <c r="D985" t="s">
        <v>20</v>
      </c>
      <c r="E985" t="s">
        <v>3084</v>
      </c>
      <c r="F985" t="s">
        <v>3088</v>
      </c>
      <c r="G985" t="s">
        <v>526</v>
      </c>
      <c r="H985">
        <v>7036344047</v>
      </c>
      <c r="I985" t="s">
        <v>35</v>
      </c>
      <c r="J985" t="s">
        <v>25</v>
      </c>
      <c r="K985" t="s">
        <v>26</v>
      </c>
      <c r="L985" t="s">
        <v>85</v>
      </c>
      <c r="M985" t="str">
        <f>TRIM(Table2[[#This Row],[Category]])</f>
        <v>Furniture</v>
      </c>
      <c r="N985" t="s">
        <v>486</v>
      </c>
      <c r="O985" t="s">
        <v>527</v>
      </c>
      <c r="P985">
        <v>10</v>
      </c>
      <c r="Q985">
        <v>135162.93</v>
      </c>
      <c r="R985">
        <v>10</v>
      </c>
      <c r="S985">
        <v>135162.93</v>
      </c>
      <c r="T985">
        <v>1216466.3700000001</v>
      </c>
      <c r="U985">
        <v>187809.02</v>
      </c>
    </row>
    <row r="986" spans="1:21" ht="15" customHeight="1" x14ac:dyDescent="0.25">
      <c r="A986" t="s">
        <v>1075</v>
      </c>
      <c r="B986" s="8">
        <v>45537</v>
      </c>
      <c r="C986" s="8">
        <v>45539</v>
      </c>
      <c r="D986" t="s">
        <v>20</v>
      </c>
      <c r="E986" t="s">
        <v>3053</v>
      </c>
      <c r="F986" t="s">
        <v>3034</v>
      </c>
      <c r="G986" t="s">
        <v>3126</v>
      </c>
      <c r="H986">
        <v>8167055937</v>
      </c>
      <c r="I986" t="s">
        <v>35</v>
      </c>
      <c r="J986" t="s">
        <v>61</v>
      </c>
      <c r="K986" t="s">
        <v>95</v>
      </c>
      <c r="L986" t="s">
        <v>63</v>
      </c>
      <c r="M986" t="str">
        <f>TRIM(Table2[[#This Row],[Category]])</f>
        <v>Office Supplies</v>
      </c>
      <c r="N986" t="s">
        <v>312</v>
      </c>
      <c r="O986" t="s">
        <v>686</v>
      </c>
      <c r="P986">
        <v>9</v>
      </c>
      <c r="Q986">
        <v>23330.19</v>
      </c>
      <c r="R986">
        <v>10</v>
      </c>
      <c r="S986">
        <v>20997.17</v>
      </c>
      <c r="T986">
        <v>188974.54</v>
      </c>
      <c r="U986">
        <v>-26097.16</v>
      </c>
    </row>
    <row r="987" spans="1:21" ht="15" customHeight="1" x14ac:dyDescent="0.25">
      <c r="A987" t="s">
        <v>2607</v>
      </c>
      <c r="B987" s="8" t="s">
        <v>2608</v>
      </c>
      <c r="C987" s="8">
        <v>45542</v>
      </c>
      <c r="D987" t="s">
        <v>20</v>
      </c>
      <c r="E987" t="s">
        <v>3084</v>
      </c>
      <c r="F987" t="s">
        <v>3074</v>
      </c>
      <c r="G987" t="s">
        <v>2609</v>
      </c>
      <c r="H987">
        <v>8151427236</v>
      </c>
      <c r="I987" t="s">
        <v>35</v>
      </c>
      <c r="J987" t="s">
        <v>25</v>
      </c>
      <c r="K987" t="s">
        <v>26</v>
      </c>
      <c r="L987" t="s">
        <v>108</v>
      </c>
      <c r="M987" t="str">
        <f>TRIM(Table2[[#This Row],[Category]])</f>
        <v>Clothing</v>
      </c>
      <c r="N987" t="s">
        <v>38</v>
      </c>
      <c r="O987" t="s">
        <v>213</v>
      </c>
      <c r="P987">
        <v>20</v>
      </c>
      <c r="Q987">
        <v>9653.93</v>
      </c>
      <c r="R987">
        <v>0</v>
      </c>
      <c r="S987">
        <v>0</v>
      </c>
      <c r="T987">
        <v>193078.6</v>
      </c>
      <c r="U987">
        <v>45599.87</v>
      </c>
    </row>
    <row r="988" spans="1:21" ht="15" customHeight="1" x14ac:dyDescent="0.25">
      <c r="A988" t="s">
        <v>1924</v>
      </c>
      <c r="B988" s="8">
        <v>45542</v>
      </c>
      <c r="C988" s="8">
        <v>45544</v>
      </c>
      <c r="D988" t="s">
        <v>20</v>
      </c>
      <c r="E988" t="s">
        <v>3059</v>
      </c>
      <c r="F988" t="s">
        <v>3090</v>
      </c>
      <c r="G988" t="s">
        <v>1925</v>
      </c>
      <c r="H988">
        <v>9073064864</v>
      </c>
      <c r="I988" t="s">
        <v>43</v>
      </c>
      <c r="J988" t="s">
        <v>69</v>
      </c>
      <c r="K988" t="s">
        <v>119</v>
      </c>
      <c r="L988" t="s">
        <v>96</v>
      </c>
      <c r="M988" t="str">
        <f>TRIM(Table2[[#This Row],[Category]])</f>
        <v>Technology</v>
      </c>
      <c r="N988" t="s">
        <v>120</v>
      </c>
      <c r="O988" t="s">
        <v>1307</v>
      </c>
      <c r="P988">
        <v>4</v>
      </c>
      <c r="Q988">
        <v>251919.31</v>
      </c>
      <c r="R988">
        <v>25</v>
      </c>
      <c r="S988">
        <v>251919.31</v>
      </c>
      <c r="T988">
        <v>755757.93</v>
      </c>
      <c r="U988">
        <v>288604.40000000002</v>
      </c>
    </row>
    <row r="989" spans="1:21" ht="15" customHeight="1" x14ac:dyDescent="0.25">
      <c r="A989" t="s">
        <v>1412</v>
      </c>
      <c r="B989" s="8">
        <v>45546</v>
      </c>
      <c r="C989" s="8">
        <v>45549</v>
      </c>
      <c r="D989" t="s">
        <v>20</v>
      </c>
      <c r="E989" t="s">
        <v>3061</v>
      </c>
      <c r="F989" t="s">
        <v>3040</v>
      </c>
      <c r="G989" t="s">
        <v>1414</v>
      </c>
      <c r="H989">
        <v>9013006281</v>
      </c>
      <c r="I989" t="s">
        <v>35</v>
      </c>
      <c r="J989" t="s">
        <v>588</v>
      </c>
      <c r="K989" t="s">
        <v>316</v>
      </c>
      <c r="L989" t="s">
        <v>63</v>
      </c>
      <c r="M989" t="str">
        <f>TRIM(Table2[[#This Row],[Category]])</f>
        <v>Office Supplies</v>
      </c>
      <c r="N989" t="s">
        <v>312</v>
      </c>
      <c r="O989" t="s">
        <v>686</v>
      </c>
      <c r="P989">
        <v>9</v>
      </c>
      <c r="Q989">
        <v>929.85</v>
      </c>
      <c r="R989">
        <v>0</v>
      </c>
      <c r="S989">
        <v>0</v>
      </c>
      <c r="T989">
        <v>8368.65</v>
      </c>
      <c r="U989">
        <v>1665.3</v>
      </c>
    </row>
    <row r="990" spans="1:21" ht="15" customHeight="1" x14ac:dyDescent="0.25">
      <c r="A990" t="s">
        <v>2599</v>
      </c>
      <c r="B990" s="8">
        <v>45550</v>
      </c>
      <c r="C990" s="8">
        <v>45552</v>
      </c>
      <c r="D990" t="s">
        <v>20</v>
      </c>
      <c r="E990" t="s">
        <v>3091</v>
      </c>
      <c r="F990" t="s">
        <v>3103</v>
      </c>
      <c r="G990" t="s">
        <v>2601</v>
      </c>
      <c r="H990">
        <v>7039997791</v>
      </c>
      <c r="I990" t="s">
        <v>43</v>
      </c>
      <c r="J990" t="s">
        <v>61</v>
      </c>
      <c r="K990" t="s">
        <v>95</v>
      </c>
      <c r="L990" t="s">
        <v>85</v>
      </c>
      <c r="M990" t="str">
        <f>TRIM(Table2[[#This Row],[Category]])</f>
        <v>Furniture</v>
      </c>
      <c r="N990" t="s">
        <v>218</v>
      </c>
      <c r="O990" t="s">
        <v>842</v>
      </c>
      <c r="P990">
        <v>10</v>
      </c>
      <c r="Q990">
        <v>112074</v>
      </c>
      <c r="R990">
        <v>0</v>
      </c>
      <c r="S990">
        <v>0</v>
      </c>
      <c r="T990">
        <v>1120740</v>
      </c>
      <c r="U990">
        <v>326468.12</v>
      </c>
    </row>
    <row r="991" spans="1:21" ht="15" customHeight="1" x14ac:dyDescent="0.25">
      <c r="A991" t="s">
        <v>1527</v>
      </c>
      <c r="B991" s="8">
        <v>45555</v>
      </c>
      <c r="C991" s="8">
        <v>45558</v>
      </c>
      <c r="D991" t="s">
        <v>20</v>
      </c>
      <c r="E991" t="str">
        <f>E992</f>
        <v>Olumide</v>
      </c>
      <c r="F991" t="str">
        <f>F990</f>
        <v>Osei!!</v>
      </c>
      <c r="G991" t="s">
        <v>1528</v>
      </c>
      <c r="H991">
        <v>8066865386</v>
      </c>
      <c r="I991" t="s">
        <v>43</v>
      </c>
      <c r="J991" t="s">
        <v>69</v>
      </c>
      <c r="K991" t="s">
        <v>307</v>
      </c>
      <c r="L991" t="s">
        <v>96</v>
      </c>
      <c r="M991" t="str">
        <f>TRIM(Table2[[#This Row],[Category]])</f>
        <v>Technology</v>
      </c>
      <c r="N991" t="s">
        <v>385</v>
      </c>
      <c r="O991" t="s">
        <v>386</v>
      </c>
      <c r="P991">
        <v>6</v>
      </c>
      <c r="Q991">
        <v>93584.91</v>
      </c>
      <c r="R991">
        <v>25</v>
      </c>
      <c r="S991">
        <v>140377.35999999999</v>
      </c>
      <c r="T991">
        <v>421132.1</v>
      </c>
      <c r="U991">
        <v>144677.01</v>
      </c>
    </row>
    <row r="992" spans="1:21" ht="15" customHeight="1" x14ac:dyDescent="0.25">
      <c r="A992" t="s">
        <v>1329</v>
      </c>
      <c r="B992" s="8">
        <v>45558</v>
      </c>
      <c r="C992" s="8">
        <v>45560</v>
      </c>
      <c r="D992" t="s">
        <v>20</v>
      </c>
      <c r="E992" t="s">
        <v>3053</v>
      </c>
      <c r="F992" t="s">
        <v>3034</v>
      </c>
      <c r="G992" t="s">
        <v>1330</v>
      </c>
      <c r="H992">
        <v>8101598917</v>
      </c>
      <c r="I992" t="s">
        <v>35</v>
      </c>
      <c r="J992" t="s">
        <v>51</v>
      </c>
      <c r="K992" t="s">
        <v>316</v>
      </c>
      <c r="L992" t="s">
        <v>85</v>
      </c>
      <c r="M992" t="str">
        <f>TRIM(Table2[[#This Row],[Category]])</f>
        <v>Furniture</v>
      </c>
      <c r="N992" t="s">
        <v>86</v>
      </c>
      <c r="O992" t="s">
        <v>238</v>
      </c>
      <c r="P992">
        <v>13</v>
      </c>
      <c r="Q992">
        <v>49019.44</v>
      </c>
      <c r="R992">
        <v>0</v>
      </c>
      <c r="S992">
        <v>0</v>
      </c>
      <c r="T992">
        <v>637252.72</v>
      </c>
      <c r="U992">
        <v>207517.21</v>
      </c>
    </row>
    <row r="993" spans="1:21" ht="15" customHeight="1" x14ac:dyDescent="0.25">
      <c r="A993" t="s">
        <v>2647</v>
      </c>
      <c r="B993" s="8">
        <v>45563</v>
      </c>
      <c r="C993" s="8">
        <v>45565</v>
      </c>
      <c r="D993" t="s">
        <v>20</v>
      </c>
      <c r="E993" t="s">
        <v>3041</v>
      </c>
      <c r="F993" t="s">
        <v>3034</v>
      </c>
      <c r="G993" t="s">
        <v>2643</v>
      </c>
      <c r="H993">
        <v>8157626337</v>
      </c>
      <c r="I993" t="s">
        <v>24</v>
      </c>
      <c r="J993" t="s">
        <v>61</v>
      </c>
      <c r="K993" t="s">
        <v>62</v>
      </c>
      <c r="L993" t="s">
        <v>27</v>
      </c>
      <c r="M993" t="str">
        <f>TRIM(Table2[[#This Row],[Category]])</f>
        <v>Food &amp; Beverages</v>
      </c>
      <c r="N993" t="s">
        <v>28</v>
      </c>
      <c r="O993" t="s">
        <v>508</v>
      </c>
      <c r="P993">
        <v>14</v>
      </c>
      <c r="Q993">
        <v>4743.05</v>
      </c>
      <c r="R993">
        <v>0</v>
      </c>
      <c r="S993">
        <v>0</v>
      </c>
      <c r="T993">
        <v>66402.7</v>
      </c>
      <c r="U993">
        <v>-963.58</v>
      </c>
    </row>
    <row r="994" spans="1:21" ht="15" customHeight="1" x14ac:dyDescent="0.25">
      <c r="A994" t="s">
        <v>927</v>
      </c>
      <c r="B994" s="8">
        <v>45564</v>
      </c>
      <c r="C994" s="8">
        <v>45566</v>
      </c>
      <c r="D994" t="s">
        <v>20</v>
      </c>
      <c r="E994" t="s">
        <v>3070</v>
      </c>
      <c r="F994" t="s">
        <v>3039</v>
      </c>
      <c r="G994" t="s">
        <v>929</v>
      </c>
      <c r="H994">
        <v>8155547530</v>
      </c>
      <c r="I994" t="s">
        <v>35</v>
      </c>
      <c r="J994" t="s">
        <v>25</v>
      </c>
      <c r="K994" t="s">
        <v>26</v>
      </c>
      <c r="L994" t="s">
        <v>27</v>
      </c>
      <c r="M994" t="str">
        <f>TRIM(Table2[[#This Row],[Category]])</f>
        <v>Food &amp; Beverages</v>
      </c>
      <c r="N994" t="s">
        <v>79</v>
      </c>
      <c r="O994" t="s">
        <v>145</v>
      </c>
      <c r="P994">
        <v>13</v>
      </c>
      <c r="Q994">
        <v>1614.76</v>
      </c>
      <c r="R994">
        <v>0</v>
      </c>
      <c r="S994">
        <v>0</v>
      </c>
      <c r="T994">
        <v>20991.88</v>
      </c>
      <c r="U994">
        <v>1198.71</v>
      </c>
    </row>
    <row r="995" spans="1:21" ht="15" customHeight="1" x14ac:dyDescent="0.25">
      <c r="A995" t="s">
        <v>2584</v>
      </c>
      <c r="B995" s="8">
        <v>45563</v>
      </c>
      <c r="C995" s="8">
        <v>45566</v>
      </c>
      <c r="D995" t="s">
        <v>20</v>
      </c>
      <c r="E995" t="s">
        <v>3037</v>
      </c>
      <c r="F995" t="s">
        <v>3034</v>
      </c>
      <c r="G995" t="s">
        <v>3126</v>
      </c>
      <c r="H995">
        <v>8133861403</v>
      </c>
      <c r="I995" t="s">
        <v>43</v>
      </c>
      <c r="J995" t="s">
        <v>69</v>
      </c>
      <c r="K995" t="s">
        <v>144</v>
      </c>
      <c r="L995" t="s">
        <v>96</v>
      </c>
      <c r="M995" t="str">
        <f>TRIM(Table2[[#This Row],[Category]])</f>
        <v>Technology</v>
      </c>
      <c r="N995" t="s">
        <v>97</v>
      </c>
      <c r="O995" t="s">
        <v>230</v>
      </c>
      <c r="P995">
        <v>15</v>
      </c>
      <c r="Q995">
        <v>217251</v>
      </c>
      <c r="R995">
        <v>10</v>
      </c>
      <c r="S995">
        <v>325876.5</v>
      </c>
      <c r="T995">
        <v>2932888.5</v>
      </c>
      <c r="U995">
        <v>1185085.25</v>
      </c>
    </row>
    <row r="996" spans="1:21" ht="15" customHeight="1" x14ac:dyDescent="0.25">
      <c r="A996" t="s">
        <v>479</v>
      </c>
      <c r="B996" s="8">
        <v>45567</v>
      </c>
      <c r="C996" s="8">
        <v>45569</v>
      </c>
      <c r="D996" t="s">
        <v>20</v>
      </c>
      <c r="E996" t="s">
        <v>3056</v>
      </c>
      <c r="F996" t="s">
        <v>3054</v>
      </c>
      <c r="G996" t="s">
        <v>481</v>
      </c>
      <c r="H996">
        <v>8143896693</v>
      </c>
      <c r="I996" t="s">
        <v>24</v>
      </c>
      <c r="J996" t="s">
        <v>69</v>
      </c>
      <c r="K996" t="s">
        <v>119</v>
      </c>
      <c r="L996" t="s">
        <v>108</v>
      </c>
      <c r="M996" t="str">
        <f>TRIM(Table2[[#This Row],[Category]])</f>
        <v>Clothing</v>
      </c>
      <c r="N996" t="s">
        <v>114</v>
      </c>
      <c r="O996" t="s">
        <v>482</v>
      </c>
      <c r="P996">
        <v>3</v>
      </c>
      <c r="Q996">
        <v>30717.11</v>
      </c>
      <c r="R996">
        <v>25</v>
      </c>
      <c r="S996">
        <v>23037.83</v>
      </c>
      <c r="T996">
        <v>69113.5</v>
      </c>
      <c r="U996">
        <v>12115.79</v>
      </c>
    </row>
    <row r="997" spans="1:21" ht="15" customHeight="1" x14ac:dyDescent="0.25">
      <c r="A997" t="s">
        <v>1534</v>
      </c>
      <c r="B997" s="8" t="s">
        <v>1535</v>
      </c>
      <c r="C997" s="8">
        <v>45570</v>
      </c>
      <c r="D997" t="s">
        <v>20</v>
      </c>
      <c r="E997" t="s">
        <v>3093</v>
      </c>
      <c r="F997" t="s">
        <v>3069</v>
      </c>
      <c r="G997" t="s">
        <v>1537</v>
      </c>
      <c r="H997">
        <v>7032612483</v>
      </c>
      <c r="I997" t="s">
        <v>35</v>
      </c>
      <c r="J997" t="s">
        <v>51</v>
      </c>
      <c r="K997" t="s">
        <v>131</v>
      </c>
      <c r="L997" t="s">
        <v>63</v>
      </c>
      <c r="M997" t="str">
        <f>TRIM(Table2[[#This Row],[Category]])</f>
        <v>Office Supplies</v>
      </c>
      <c r="N997" t="s">
        <v>312</v>
      </c>
      <c r="O997" t="s">
        <v>736</v>
      </c>
      <c r="P997">
        <v>13</v>
      </c>
      <c r="Q997">
        <v>12495.76</v>
      </c>
      <c r="R997">
        <v>20</v>
      </c>
      <c r="S997">
        <v>32488.98</v>
      </c>
      <c r="T997">
        <v>129955.9</v>
      </c>
      <c r="U997">
        <v>1440.9</v>
      </c>
    </row>
    <row r="998" spans="1:21" ht="15" customHeight="1" x14ac:dyDescent="0.25">
      <c r="A998" t="s">
        <v>2616</v>
      </c>
      <c r="B998" s="8">
        <v>45570</v>
      </c>
      <c r="C998" s="8">
        <v>45572</v>
      </c>
      <c r="D998" t="s">
        <v>20</v>
      </c>
      <c r="E998" t="s">
        <v>3051</v>
      </c>
      <c r="F998" t="s">
        <v>3077</v>
      </c>
      <c r="G998" t="s">
        <v>2618</v>
      </c>
      <c r="H998">
        <v>8034357530</v>
      </c>
      <c r="I998" t="s">
        <v>24</v>
      </c>
      <c r="J998" t="s">
        <v>69</v>
      </c>
      <c r="K998" t="s">
        <v>307</v>
      </c>
      <c r="L998" t="s">
        <v>27</v>
      </c>
      <c r="M998" t="str">
        <f>TRIM(Table2[[#This Row],[Category]])</f>
        <v>Food &amp; Beverages</v>
      </c>
      <c r="N998" t="s">
        <v>79</v>
      </c>
      <c r="O998" t="s">
        <v>490</v>
      </c>
      <c r="P998">
        <v>16</v>
      </c>
      <c r="Q998">
        <v>2067.1999999999998</v>
      </c>
      <c r="R998">
        <v>0</v>
      </c>
      <c r="S998">
        <v>0</v>
      </c>
      <c r="T998">
        <v>33075.199999999997</v>
      </c>
      <c r="U998">
        <v>1972.24</v>
      </c>
    </row>
    <row r="999" spans="1:21" ht="15" customHeight="1" x14ac:dyDescent="0.25">
      <c r="A999" t="s">
        <v>2063</v>
      </c>
      <c r="B999" s="8">
        <v>45576</v>
      </c>
      <c r="C999" s="8">
        <v>45578</v>
      </c>
      <c r="D999" t="s">
        <v>20</v>
      </c>
      <c r="E999" t="s">
        <v>3048</v>
      </c>
      <c r="F999" t="s">
        <v>3079</v>
      </c>
      <c r="G999" t="s">
        <v>2064</v>
      </c>
      <c r="H999">
        <v>7035831713</v>
      </c>
      <c r="I999" t="s">
        <v>24</v>
      </c>
      <c r="J999" t="s">
        <v>25</v>
      </c>
      <c r="K999" t="s">
        <v>126</v>
      </c>
      <c r="L999" t="s">
        <v>27</v>
      </c>
      <c r="M999" t="str">
        <f>TRIM(Table2[[#This Row],[Category]])</f>
        <v>Food &amp; Beverages</v>
      </c>
      <c r="N999" t="s">
        <v>45</v>
      </c>
      <c r="O999" t="s">
        <v>308</v>
      </c>
      <c r="P999">
        <v>17</v>
      </c>
      <c r="Q999">
        <v>1025.67</v>
      </c>
      <c r="R999">
        <v>20</v>
      </c>
      <c r="S999">
        <v>3487.28</v>
      </c>
      <c r="T999">
        <v>13949.11</v>
      </c>
      <c r="U999">
        <v>4093.43</v>
      </c>
    </row>
    <row r="1000" spans="1:21" ht="15" customHeight="1" x14ac:dyDescent="0.25">
      <c r="A1000" t="s">
        <v>1988</v>
      </c>
      <c r="B1000" s="8">
        <v>45590</v>
      </c>
      <c r="C1000" s="8">
        <v>45592</v>
      </c>
      <c r="D1000" t="s">
        <v>20</v>
      </c>
      <c r="E1000" t="s">
        <v>3089</v>
      </c>
      <c r="F1000" t="s">
        <v>3040</v>
      </c>
      <c r="G1000" t="s">
        <v>1989</v>
      </c>
      <c r="H1000">
        <v>7067885148</v>
      </c>
      <c r="I1000" t="s">
        <v>43</v>
      </c>
      <c r="J1000" t="s">
        <v>51</v>
      </c>
      <c r="K1000" t="s">
        <v>52</v>
      </c>
      <c r="L1000" t="s">
        <v>63</v>
      </c>
      <c r="M1000" t="str">
        <f>TRIM(Table2[[#This Row],[Category]])</f>
        <v>Office Supplies</v>
      </c>
      <c r="N1000" t="s">
        <v>558</v>
      </c>
      <c r="O1000" t="s">
        <v>1990</v>
      </c>
      <c r="P1000">
        <v>11</v>
      </c>
      <c r="Q1000">
        <v>10933.31</v>
      </c>
      <c r="R1000">
        <v>0</v>
      </c>
      <c r="S1000">
        <v>0</v>
      </c>
      <c r="T1000">
        <v>120266.41</v>
      </c>
      <c r="U1000">
        <v>48805.23</v>
      </c>
    </row>
    <row r="1001" spans="1:21" ht="15" customHeight="1" x14ac:dyDescent="0.25">
      <c r="A1001" t="s">
        <v>936</v>
      </c>
      <c r="B1001" s="8">
        <v>45594</v>
      </c>
      <c r="C1001" s="8">
        <v>45597</v>
      </c>
      <c r="D1001" t="s">
        <v>20</v>
      </c>
      <c r="E1001" t="s">
        <v>3051</v>
      </c>
      <c r="F1001" t="s">
        <v>3088</v>
      </c>
      <c r="G1001" t="s">
        <v>689</v>
      </c>
      <c r="H1001">
        <v>8167675150</v>
      </c>
      <c r="I1001" t="s">
        <v>43</v>
      </c>
      <c r="J1001" t="s">
        <v>61</v>
      </c>
      <c r="K1001" t="s">
        <v>95</v>
      </c>
      <c r="L1001" t="s">
        <v>63</v>
      </c>
      <c r="M1001" t="str">
        <f>TRIM(Table2[[#This Row],[Category]])</f>
        <v>Office Supplies</v>
      </c>
      <c r="N1001" t="s">
        <v>558</v>
      </c>
      <c r="O1001" t="s">
        <v>559</v>
      </c>
      <c r="P1001">
        <v>5</v>
      </c>
      <c r="Q1001">
        <v>20217.52</v>
      </c>
      <c r="R1001">
        <v>15</v>
      </c>
      <c r="S1001">
        <v>15163.14</v>
      </c>
      <c r="T1001">
        <v>85924.46</v>
      </c>
      <c r="U1001">
        <v>18174.28</v>
      </c>
    </row>
    <row r="1002" spans="1:21" x14ac:dyDescent="0.25">
      <c r="A1002" t="s">
        <v>2176</v>
      </c>
      <c r="B1002" s="8">
        <v>45597</v>
      </c>
      <c r="C1002" s="8">
        <v>45599</v>
      </c>
      <c r="D1002" t="s">
        <v>20</v>
      </c>
      <c r="E1002" t="s">
        <v>3073</v>
      </c>
      <c r="F1002" t="s">
        <v>3040</v>
      </c>
      <c r="G1002" t="s">
        <v>2178</v>
      </c>
      <c r="H1002">
        <v>9054864628</v>
      </c>
      <c r="I1002" t="s">
        <v>35</v>
      </c>
      <c r="J1002" t="s">
        <v>69</v>
      </c>
      <c r="K1002" t="s">
        <v>144</v>
      </c>
      <c r="L1002" t="s">
        <v>108</v>
      </c>
      <c r="M1002" t="str">
        <f>TRIM(Table2[[#This Row],[Category]])</f>
        <v>Clothing</v>
      </c>
      <c r="N1002" t="s">
        <v>183</v>
      </c>
      <c r="O1002" t="s">
        <v>372</v>
      </c>
      <c r="P1002">
        <v>5</v>
      </c>
      <c r="Q1002">
        <v>26481.72</v>
      </c>
      <c r="R1002">
        <v>25</v>
      </c>
      <c r="S1002">
        <v>33102.15</v>
      </c>
      <c r="T1002">
        <v>99306.45</v>
      </c>
      <c r="U1002">
        <v>-301.26</v>
      </c>
    </row>
    <row r="1003" spans="1:21" x14ac:dyDescent="0.25">
      <c r="A1003" t="s">
        <v>2572</v>
      </c>
      <c r="B1003" s="8">
        <v>45611</v>
      </c>
      <c r="C1003" s="8">
        <v>45614</v>
      </c>
      <c r="D1003" t="s">
        <v>20</v>
      </c>
      <c r="E1003" t="s">
        <v>3051</v>
      </c>
      <c r="F1003" t="s">
        <v>3078</v>
      </c>
      <c r="G1003" t="s">
        <v>2573</v>
      </c>
      <c r="H1003">
        <v>8106808928</v>
      </c>
      <c r="I1003" t="s">
        <v>43</v>
      </c>
      <c r="J1003" t="s">
        <v>51</v>
      </c>
      <c r="K1003" t="s">
        <v>316</v>
      </c>
      <c r="L1003" t="s">
        <v>63</v>
      </c>
      <c r="M1003" t="str">
        <f>TRIM(Table2[[#This Row],[Category]])</f>
        <v>Office Supplies</v>
      </c>
      <c r="N1003" t="s">
        <v>312</v>
      </c>
      <c r="O1003" t="s">
        <v>736</v>
      </c>
      <c r="P1003">
        <v>9</v>
      </c>
      <c r="Q1003">
        <v>12476.35</v>
      </c>
      <c r="R1003">
        <v>0</v>
      </c>
      <c r="S1003">
        <v>0</v>
      </c>
      <c r="T1003">
        <v>112287.15</v>
      </c>
      <c r="U1003">
        <v>44691.9</v>
      </c>
    </row>
    <row r="1004" spans="1:21" x14ac:dyDescent="0.25">
      <c r="A1004" t="s">
        <v>2316</v>
      </c>
      <c r="B1004" s="8">
        <v>45614</v>
      </c>
      <c r="C1004" s="8">
        <v>45616</v>
      </c>
      <c r="D1004" t="s">
        <v>20</v>
      </c>
      <c r="E1004" t="s">
        <v>3087</v>
      </c>
      <c r="F1004" t="s">
        <v>3039</v>
      </c>
      <c r="G1004" t="s">
        <v>2318</v>
      </c>
      <c r="H1004">
        <v>8138330731</v>
      </c>
      <c r="I1004" t="s">
        <v>43</v>
      </c>
      <c r="J1004" t="s">
        <v>61</v>
      </c>
      <c r="K1004" t="s">
        <v>84</v>
      </c>
      <c r="L1004" t="s">
        <v>63</v>
      </c>
      <c r="M1004" t="str">
        <f>TRIM(Table2[[#This Row],[Category]])</f>
        <v>Office Supplies</v>
      </c>
      <c r="N1004" t="s">
        <v>469</v>
      </c>
      <c r="O1004" t="s">
        <v>1595</v>
      </c>
      <c r="P1004">
        <v>2</v>
      </c>
      <c r="Q1004">
        <v>7282.92</v>
      </c>
      <c r="R1004">
        <v>15</v>
      </c>
      <c r="S1004">
        <v>2184.88</v>
      </c>
      <c r="T1004" t="s">
        <v>2319</v>
      </c>
      <c r="U1004">
        <v>4900.9799999999996</v>
      </c>
    </row>
    <row r="1005" spans="1:21" x14ac:dyDescent="0.25">
      <c r="A1005" t="s">
        <v>705</v>
      </c>
      <c r="B1005" s="8">
        <v>45615</v>
      </c>
      <c r="C1005" s="8">
        <v>45617</v>
      </c>
      <c r="D1005" t="s">
        <v>20</v>
      </c>
      <c r="E1005" t="s">
        <v>3033</v>
      </c>
      <c r="F1005" t="s">
        <v>3096</v>
      </c>
      <c r="G1005" t="s">
        <v>707</v>
      </c>
      <c r="H1005">
        <v>8035652716</v>
      </c>
      <c r="I1005" t="s">
        <v>24</v>
      </c>
      <c r="J1005" t="s">
        <v>51</v>
      </c>
      <c r="K1005" t="s">
        <v>223</v>
      </c>
      <c r="L1005" t="s">
        <v>85</v>
      </c>
      <c r="M1005" t="str">
        <f>TRIM(Table2[[#This Row],[Category]])</f>
        <v>Furniture</v>
      </c>
      <c r="N1005" t="s">
        <v>218</v>
      </c>
      <c r="O1005" t="s">
        <v>708</v>
      </c>
      <c r="P1005">
        <v>11</v>
      </c>
      <c r="Q1005">
        <v>33153.870000000003</v>
      </c>
      <c r="R1005">
        <v>5</v>
      </c>
      <c r="S1005">
        <v>18234.63</v>
      </c>
      <c r="T1005">
        <v>346457.94</v>
      </c>
      <c r="U1005">
        <v>106322.45</v>
      </c>
    </row>
    <row r="1006" spans="1:21" x14ac:dyDescent="0.25">
      <c r="A1006" t="s">
        <v>839</v>
      </c>
      <c r="B1006" s="8">
        <v>45626</v>
      </c>
      <c r="C1006" s="8">
        <v>45629</v>
      </c>
      <c r="D1006" t="s">
        <v>20</v>
      </c>
      <c r="E1006" t="s">
        <v>3049</v>
      </c>
      <c r="F1006" t="s">
        <v>3079</v>
      </c>
      <c r="G1006" t="s">
        <v>324</v>
      </c>
      <c r="H1006">
        <v>8067953189</v>
      </c>
      <c r="I1006" t="s">
        <v>43</v>
      </c>
      <c r="J1006" t="s">
        <v>69</v>
      </c>
      <c r="K1006" t="s">
        <v>155</v>
      </c>
      <c r="L1006" t="s">
        <v>841</v>
      </c>
      <c r="M1006" t="str">
        <f>TRIM(Table2[[#This Row],[Category]])</f>
        <v>fURNITURE</v>
      </c>
      <c r="N1006" t="s">
        <v>218</v>
      </c>
      <c r="O1006" t="s">
        <v>842</v>
      </c>
      <c r="P1006">
        <v>4</v>
      </c>
      <c r="Q1006">
        <v>109124.67</v>
      </c>
      <c r="R1006">
        <v>0</v>
      </c>
      <c r="S1006">
        <v>0</v>
      </c>
      <c r="T1006">
        <v>436498.68</v>
      </c>
      <c r="U1006">
        <v>81891.63</v>
      </c>
    </row>
    <row r="1007" spans="1:21" x14ac:dyDescent="0.25">
      <c r="A1007" t="s">
        <v>1147</v>
      </c>
      <c r="B1007" s="8">
        <v>45635</v>
      </c>
      <c r="C1007" s="8">
        <v>45637</v>
      </c>
      <c r="D1007" t="s">
        <v>20</v>
      </c>
      <c r="E1007" t="s">
        <v>3041</v>
      </c>
      <c r="F1007" t="s">
        <v>3077</v>
      </c>
      <c r="G1007" t="s">
        <v>1149</v>
      </c>
      <c r="H1007">
        <v>7039428900</v>
      </c>
      <c r="I1007" t="s">
        <v>35</v>
      </c>
      <c r="J1007" t="s">
        <v>25</v>
      </c>
      <c r="K1007" t="s">
        <v>168</v>
      </c>
      <c r="L1007" t="s">
        <v>85</v>
      </c>
      <c r="M1007" t="str">
        <f>TRIM(Table2[[#This Row],[Category]])</f>
        <v>Furniture</v>
      </c>
      <c r="N1007" t="s">
        <v>218</v>
      </c>
      <c r="O1007" t="s">
        <v>321</v>
      </c>
      <c r="P1007">
        <v>13</v>
      </c>
      <c r="Q1007">
        <v>123865.26</v>
      </c>
      <c r="R1007">
        <v>20</v>
      </c>
      <c r="S1007">
        <v>322049.68</v>
      </c>
      <c r="T1007">
        <v>1288198.7</v>
      </c>
      <c r="U1007">
        <v>388654.86</v>
      </c>
    </row>
    <row r="1008" spans="1:21" x14ac:dyDescent="0.25">
      <c r="A1008" t="s">
        <v>2285</v>
      </c>
      <c r="B1008" s="8">
        <v>45635</v>
      </c>
      <c r="C1008" s="8">
        <v>45637</v>
      </c>
      <c r="D1008" t="s">
        <v>20</v>
      </c>
      <c r="E1008" t="s">
        <v>3094</v>
      </c>
      <c r="F1008" t="s">
        <v>3096</v>
      </c>
      <c r="G1008" t="s">
        <v>1407</v>
      </c>
      <c r="H1008">
        <v>8106589281</v>
      </c>
      <c r="I1008" t="s">
        <v>35</v>
      </c>
      <c r="J1008" t="s">
        <v>61</v>
      </c>
      <c r="K1008" t="s">
        <v>84</v>
      </c>
      <c r="L1008" t="s">
        <v>96</v>
      </c>
      <c r="M1008" t="str">
        <f>TRIM(Table2[[#This Row],[Category]])</f>
        <v>Technology</v>
      </c>
      <c r="N1008" t="s">
        <v>120</v>
      </c>
      <c r="O1008" t="s">
        <v>367</v>
      </c>
      <c r="P1008">
        <v>5</v>
      </c>
      <c r="Q1008">
        <v>359895.6</v>
      </c>
      <c r="R1008">
        <v>10</v>
      </c>
      <c r="S1008">
        <v>179947.8</v>
      </c>
      <c r="T1008">
        <v>1619530.2</v>
      </c>
      <c r="U1008">
        <v>202810.71</v>
      </c>
    </row>
    <row r="1009" spans="1:21" x14ac:dyDescent="0.25">
      <c r="A1009" t="s">
        <v>1302</v>
      </c>
      <c r="B1009" s="8">
        <v>45647</v>
      </c>
      <c r="C1009" s="8">
        <v>45649</v>
      </c>
      <c r="D1009" t="s">
        <v>20</v>
      </c>
      <c r="E1009" t="s">
        <v>3072</v>
      </c>
      <c r="F1009" t="s">
        <v>3077</v>
      </c>
      <c r="G1009" t="s">
        <v>1304</v>
      </c>
      <c r="H1009">
        <v>8038244164</v>
      </c>
      <c r="I1009" t="s">
        <v>24</v>
      </c>
      <c r="J1009" t="s">
        <v>69</v>
      </c>
      <c r="K1009" t="s">
        <v>70</v>
      </c>
      <c r="L1009" t="s">
        <v>27</v>
      </c>
      <c r="M1009" t="str">
        <f>TRIM(Table2[[#This Row],[Category]])</f>
        <v>Food &amp; Beverages</v>
      </c>
      <c r="N1009" t="s">
        <v>45</v>
      </c>
      <c r="O1009" t="s">
        <v>838</v>
      </c>
      <c r="P1009">
        <v>4</v>
      </c>
      <c r="Q1009">
        <v>2381.5100000000002</v>
      </c>
      <c r="R1009">
        <v>10</v>
      </c>
      <c r="S1009">
        <v>952.6</v>
      </c>
      <c r="T1009">
        <v>8573.44</v>
      </c>
      <c r="U1009">
        <v>2079.9699999999998</v>
      </c>
    </row>
    <row r="1010" spans="1:21" x14ac:dyDescent="0.25">
      <c r="A1010" t="s">
        <v>1286</v>
      </c>
      <c r="B1010" s="8">
        <v>45657</v>
      </c>
      <c r="C1010" s="8">
        <v>45659</v>
      </c>
      <c r="D1010" t="s">
        <v>20</v>
      </c>
      <c r="E1010" t="s">
        <v>3055</v>
      </c>
      <c r="F1010" t="s">
        <v>3071</v>
      </c>
      <c r="G1010" t="s">
        <v>1288</v>
      </c>
      <c r="H1010">
        <v>9056561881</v>
      </c>
      <c r="I1010" t="s">
        <v>35</v>
      </c>
      <c r="J1010" t="s">
        <v>51</v>
      </c>
      <c r="K1010" t="s">
        <v>227</v>
      </c>
      <c r="L1010" t="s">
        <v>108</v>
      </c>
      <c r="M1010" t="str">
        <f>TRIM(Table2[[#This Row],[Category]])</f>
        <v>Clothing</v>
      </c>
      <c r="N1010" t="s">
        <v>38</v>
      </c>
      <c r="O1010" t="s">
        <v>39</v>
      </c>
      <c r="P1010">
        <v>2</v>
      </c>
      <c r="Q1010">
        <v>14435.96</v>
      </c>
      <c r="R1010">
        <v>10</v>
      </c>
      <c r="S1010">
        <v>2887.19</v>
      </c>
      <c r="T1010">
        <v>25984.73</v>
      </c>
      <c r="U1010">
        <v>7436.39</v>
      </c>
    </row>
    <row r="1011" spans="1:21" x14ac:dyDescent="0.25">
      <c r="A1011" t="s">
        <v>622</v>
      </c>
      <c r="B1011" s="8">
        <v>45287</v>
      </c>
      <c r="C1011" s="8">
        <f>C1010</f>
        <v>45659</v>
      </c>
      <c r="D1011" t="s">
        <v>20</v>
      </c>
      <c r="E1011" t="s">
        <v>3058</v>
      </c>
      <c r="F1011" t="s">
        <v>3050</v>
      </c>
      <c r="G1011" t="s">
        <v>624</v>
      </c>
      <c r="H1011">
        <v>7068700704</v>
      </c>
      <c r="I1011" t="s">
        <v>35</v>
      </c>
      <c r="J1011" t="s">
        <v>61</v>
      </c>
      <c r="K1011" t="s">
        <v>62</v>
      </c>
      <c r="L1011" t="s">
        <v>27</v>
      </c>
      <c r="M1011" t="str">
        <f>TRIM(Table2[[#This Row],[Category]])</f>
        <v>Food &amp; Beverages</v>
      </c>
      <c r="N1011" t="s">
        <v>354</v>
      </c>
      <c r="O1011" t="s">
        <v>625</v>
      </c>
      <c r="P1011">
        <v>3</v>
      </c>
      <c r="Q1011">
        <v>2609.8000000000002</v>
      </c>
      <c r="R1011">
        <v>0</v>
      </c>
      <c r="S1011">
        <v>0</v>
      </c>
      <c r="T1011">
        <v>7829.4</v>
      </c>
      <c r="U1011">
        <v>-735.18</v>
      </c>
    </row>
    <row r="1012" spans="1:21" x14ac:dyDescent="0.25">
      <c r="A1012" t="str">
        <f t="shared" ref="A1012:L1021" si="4">A1011</f>
        <v>ORD-10140</v>
      </c>
      <c r="B1012" s="8">
        <f t="shared" si="4"/>
        <v>45287</v>
      </c>
      <c r="C1012" s="8">
        <f t="shared" si="4"/>
        <v>45659</v>
      </c>
      <c r="D1012" t="str">
        <f t="shared" si="4"/>
        <v>First Class</v>
      </c>
      <c r="E1012" t="str">
        <f t="shared" si="4"/>
        <v>Ikenna</v>
      </c>
      <c r="F1012" t="str">
        <f t="shared" si="4"/>
        <v>Musa</v>
      </c>
      <c r="G1012" t="str">
        <f t="shared" si="4"/>
        <v>ikenna.musa@outlook.com</v>
      </c>
      <c r="H1012">
        <f t="shared" si="4"/>
        <v>7068700704</v>
      </c>
      <c r="I1012" t="str">
        <f t="shared" si="4"/>
        <v>Consumer</v>
      </c>
      <c r="J1012" t="str">
        <f t="shared" si="4"/>
        <v>South</v>
      </c>
      <c r="K1012" t="str">
        <f t="shared" si="4"/>
        <v>Ibadan</v>
      </c>
      <c r="L1012" t="str">
        <f t="shared" si="4"/>
        <v>Food &amp; Beverages</v>
      </c>
      <c r="M1012" t="str">
        <f>TRIM(Table2[[#This Row],[Category]])</f>
        <v>Food &amp; Beverages</v>
      </c>
      <c r="N1012" t="str">
        <f t="shared" ref="N1012:U1021" si="5">N1011</f>
        <v>Snacks</v>
      </c>
      <c r="O1012" t="str">
        <f t="shared" si="5"/>
        <v>Pringles Multipack</v>
      </c>
      <c r="P1012">
        <f t="shared" si="5"/>
        <v>3</v>
      </c>
      <c r="Q1012">
        <f t="shared" si="5"/>
        <v>2609.8000000000002</v>
      </c>
      <c r="R1012">
        <f t="shared" si="5"/>
        <v>0</v>
      </c>
      <c r="S1012">
        <f t="shared" si="5"/>
        <v>0</v>
      </c>
      <c r="T1012">
        <f t="shared" si="5"/>
        <v>7829.4</v>
      </c>
      <c r="U1012">
        <f t="shared" si="5"/>
        <v>-735.18</v>
      </c>
    </row>
    <row r="1013" spans="1:21" x14ac:dyDescent="0.25">
      <c r="A1013" t="str">
        <f t="shared" si="4"/>
        <v>ORD-10140</v>
      </c>
      <c r="B1013" s="8">
        <f t="shared" si="4"/>
        <v>45287</v>
      </c>
      <c r="C1013" s="8">
        <f t="shared" si="4"/>
        <v>45659</v>
      </c>
      <c r="D1013" t="str">
        <f t="shared" si="4"/>
        <v>First Class</v>
      </c>
      <c r="E1013" t="str">
        <f t="shared" si="4"/>
        <v>Ikenna</v>
      </c>
      <c r="F1013" t="str">
        <f t="shared" si="4"/>
        <v>Musa</v>
      </c>
      <c r="G1013" t="str">
        <f t="shared" si="4"/>
        <v>ikenna.musa@outlook.com</v>
      </c>
      <c r="H1013">
        <f t="shared" si="4"/>
        <v>7068700704</v>
      </c>
      <c r="I1013" t="str">
        <f t="shared" si="4"/>
        <v>Consumer</v>
      </c>
      <c r="J1013" t="str">
        <f t="shared" si="4"/>
        <v>South</v>
      </c>
      <c r="K1013" t="str">
        <f t="shared" si="4"/>
        <v>Ibadan</v>
      </c>
      <c r="L1013" t="str">
        <f t="shared" si="4"/>
        <v>Food &amp; Beverages</v>
      </c>
      <c r="M1013" t="str">
        <f>TRIM(Table2[[#This Row],[Category]])</f>
        <v>Food &amp; Beverages</v>
      </c>
      <c r="N1013" t="str">
        <f t="shared" si="5"/>
        <v>Snacks</v>
      </c>
      <c r="O1013" t="str">
        <f t="shared" si="5"/>
        <v>Pringles Multipack</v>
      </c>
      <c r="P1013">
        <f t="shared" si="5"/>
        <v>3</v>
      </c>
      <c r="Q1013">
        <f t="shared" si="5"/>
        <v>2609.8000000000002</v>
      </c>
      <c r="R1013">
        <f t="shared" si="5"/>
        <v>0</v>
      </c>
      <c r="S1013">
        <f t="shared" si="5"/>
        <v>0</v>
      </c>
      <c r="T1013">
        <f t="shared" si="5"/>
        <v>7829.4</v>
      </c>
      <c r="U1013">
        <f t="shared" si="5"/>
        <v>-735.18</v>
      </c>
    </row>
    <row r="1014" spans="1:21" x14ac:dyDescent="0.25">
      <c r="A1014" t="str">
        <f t="shared" si="4"/>
        <v>ORD-10140</v>
      </c>
      <c r="B1014" s="8">
        <f t="shared" si="4"/>
        <v>45287</v>
      </c>
      <c r="C1014" s="8">
        <f t="shared" si="4"/>
        <v>45659</v>
      </c>
      <c r="D1014" t="str">
        <f t="shared" si="4"/>
        <v>First Class</v>
      </c>
      <c r="E1014" t="str">
        <f t="shared" si="4"/>
        <v>Ikenna</v>
      </c>
      <c r="F1014" t="str">
        <f t="shared" si="4"/>
        <v>Musa</v>
      </c>
      <c r="G1014" t="str">
        <f t="shared" si="4"/>
        <v>ikenna.musa@outlook.com</v>
      </c>
      <c r="H1014">
        <f t="shared" si="4"/>
        <v>7068700704</v>
      </c>
      <c r="I1014" t="str">
        <f t="shared" si="4"/>
        <v>Consumer</v>
      </c>
      <c r="J1014" t="str">
        <f t="shared" si="4"/>
        <v>South</v>
      </c>
      <c r="K1014" t="str">
        <f t="shared" si="4"/>
        <v>Ibadan</v>
      </c>
      <c r="L1014" t="str">
        <f t="shared" si="4"/>
        <v>Food &amp; Beverages</v>
      </c>
      <c r="M1014" t="str">
        <f>TRIM(Table2[[#This Row],[Category]])</f>
        <v>Food &amp; Beverages</v>
      </c>
      <c r="N1014" t="str">
        <f t="shared" si="5"/>
        <v>Snacks</v>
      </c>
      <c r="O1014" t="str">
        <f t="shared" si="5"/>
        <v>Pringles Multipack</v>
      </c>
      <c r="P1014">
        <f t="shared" si="5"/>
        <v>3</v>
      </c>
      <c r="Q1014">
        <f t="shared" si="5"/>
        <v>2609.8000000000002</v>
      </c>
      <c r="R1014">
        <f t="shared" si="5"/>
        <v>0</v>
      </c>
      <c r="S1014">
        <f t="shared" si="5"/>
        <v>0</v>
      </c>
      <c r="T1014">
        <f t="shared" si="5"/>
        <v>7829.4</v>
      </c>
      <c r="U1014">
        <f t="shared" si="5"/>
        <v>-735.18</v>
      </c>
    </row>
    <row r="1015" spans="1:21" x14ac:dyDescent="0.25">
      <c r="A1015" t="str">
        <f t="shared" si="4"/>
        <v>ORD-10140</v>
      </c>
      <c r="B1015" s="8">
        <f t="shared" si="4"/>
        <v>45287</v>
      </c>
      <c r="C1015" s="8">
        <f t="shared" si="4"/>
        <v>45659</v>
      </c>
      <c r="D1015" t="str">
        <f t="shared" si="4"/>
        <v>First Class</v>
      </c>
      <c r="E1015" t="str">
        <f t="shared" si="4"/>
        <v>Ikenna</v>
      </c>
      <c r="F1015" t="str">
        <f t="shared" si="4"/>
        <v>Musa</v>
      </c>
      <c r="G1015" t="str">
        <f t="shared" si="4"/>
        <v>ikenna.musa@outlook.com</v>
      </c>
      <c r="H1015">
        <f t="shared" si="4"/>
        <v>7068700704</v>
      </c>
      <c r="I1015" t="str">
        <f t="shared" si="4"/>
        <v>Consumer</v>
      </c>
      <c r="J1015" t="str">
        <f t="shared" si="4"/>
        <v>South</v>
      </c>
      <c r="K1015" t="str">
        <f t="shared" si="4"/>
        <v>Ibadan</v>
      </c>
      <c r="L1015" t="str">
        <f t="shared" si="4"/>
        <v>Food &amp; Beverages</v>
      </c>
      <c r="M1015" t="str">
        <f>TRIM(Table2[[#This Row],[Category]])</f>
        <v>Food &amp; Beverages</v>
      </c>
      <c r="N1015" t="str">
        <f t="shared" si="5"/>
        <v>Snacks</v>
      </c>
      <c r="O1015" t="str">
        <f t="shared" si="5"/>
        <v>Pringles Multipack</v>
      </c>
      <c r="P1015">
        <f t="shared" si="5"/>
        <v>3</v>
      </c>
      <c r="Q1015">
        <f t="shared" si="5"/>
        <v>2609.8000000000002</v>
      </c>
      <c r="R1015">
        <f t="shared" si="5"/>
        <v>0</v>
      </c>
      <c r="S1015">
        <f t="shared" si="5"/>
        <v>0</v>
      </c>
      <c r="T1015">
        <f t="shared" si="5"/>
        <v>7829.4</v>
      </c>
      <c r="U1015">
        <f t="shared" si="5"/>
        <v>-735.18</v>
      </c>
    </row>
    <row r="1016" spans="1:21" x14ac:dyDescent="0.25">
      <c r="A1016" t="str">
        <f t="shared" si="4"/>
        <v>ORD-10140</v>
      </c>
      <c r="B1016" s="8">
        <f t="shared" si="4"/>
        <v>45287</v>
      </c>
      <c r="C1016" s="8">
        <f t="shared" si="4"/>
        <v>45659</v>
      </c>
      <c r="D1016" t="str">
        <f t="shared" si="4"/>
        <v>First Class</v>
      </c>
      <c r="E1016" t="str">
        <f t="shared" si="4"/>
        <v>Ikenna</v>
      </c>
      <c r="F1016" t="str">
        <f t="shared" si="4"/>
        <v>Musa</v>
      </c>
      <c r="G1016" t="str">
        <f t="shared" si="4"/>
        <v>ikenna.musa@outlook.com</v>
      </c>
      <c r="H1016">
        <f t="shared" si="4"/>
        <v>7068700704</v>
      </c>
      <c r="I1016" t="str">
        <f t="shared" si="4"/>
        <v>Consumer</v>
      </c>
      <c r="J1016" t="str">
        <f t="shared" si="4"/>
        <v>South</v>
      </c>
      <c r="K1016" t="str">
        <f t="shared" si="4"/>
        <v>Ibadan</v>
      </c>
      <c r="L1016" t="str">
        <f t="shared" si="4"/>
        <v>Food &amp; Beverages</v>
      </c>
      <c r="M1016" t="str">
        <f>TRIM(Table2[[#This Row],[Category]])</f>
        <v>Food &amp; Beverages</v>
      </c>
      <c r="N1016" t="str">
        <f t="shared" si="5"/>
        <v>Snacks</v>
      </c>
      <c r="O1016" t="str">
        <f t="shared" si="5"/>
        <v>Pringles Multipack</v>
      </c>
      <c r="P1016">
        <f t="shared" si="5"/>
        <v>3</v>
      </c>
      <c r="Q1016">
        <f t="shared" si="5"/>
        <v>2609.8000000000002</v>
      </c>
      <c r="R1016">
        <f t="shared" si="5"/>
        <v>0</v>
      </c>
      <c r="S1016">
        <f t="shared" si="5"/>
        <v>0</v>
      </c>
      <c r="T1016">
        <f t="shared" si="5"/>
        <v>7829.4</v>
      </c>
      <c r="U1016">
        <f t="shared" si="5"/>
        <v>-735.18</v>
      </c>
    </row>
    <row r="1017" spans="1:21" x14ac:dyDescent="0.25">
      <c r="A1017" t="str">
        <f t="shared" si="4"/>
        <v>ORD-10140</v>
      </c>
      <c r="B1017" s="8">
        <f t="shared" si="4"/>
        <v>45287</v>
      </c>
      <c r="C1017" s="8">
        <f t="shared" si="4"/>
        <v>45659</v>
      </c>
      <c r="D1017" t="str">
        <f t="shared" si="4"/>
        <v>First Class</v>
      </c>
      <c r="E1017" t="str">
        <f t="shared" si="4"/>
        <v>Ikenna</v>
      </c>
      <c r="F1017" t="str">
        <f t="shared" si="4"/>
        <v>Musa</v>
      </c>
      <c r="G1017" t="str">
        <f t="shared" si="4"/>
        <v>ikenna.musa@outlook.com</v>
      </c>
      <c r="H1017">
        <f t="shared" si="4"/>
        <v>7068700704</v>
      </c>
      <c r="I1017" t="str">
        <f t="shared" si="4"/>
        <v>Consumer</v>
      </c>
      <c r="J1017" t="str">
        <f t="shared" si="4"/>
        <v>South</v>
      </c>
      <c r="K1017" t="str">
        <f t="shared" si="4"/>
        <v>Ibadan</v>
      </c>
      <c r="L1017" t="str">
        <f t="shared" si="4"/>
        <v>Food &amp; Beverages</v>
      </c>
      <c r="M1017" t="str">
        <f>TRIM(Table2[[#This Row],[Category]])</f>
        <v>Food &amp; Beverages</v>
      </c>
      <c r="N1017" t="str">
        <f t="shared" si="5"/>
        <v>Snacks</v>
      </c>
      <c r="O1017" t="str">
        <f t="shared" si="5"/>
        <v>Pringles Multipack</v>
      </c>
      <c r="P1017">
        <f t="shared" si="5"/>
        <v>3</v>
      </c>
      <c r="Q1017">
        <f t="shared" si="5"/>
        <v>2609.8000000000002</v>
      </c>
      <c r="R1017">
        <f t="shared" si="5"/>
        <v>0</v>
      </c>
      <c r="S1017">
        <f t="shared" si="5"/>
        <v>0</v>
      </c>
      <c r="T1017">
        <f t="shared" si="5"/>
        <v>7829.4</v>
      </c>
      <c r="U1017">
        <f t="shared" si="5"/>
        <v>-735.18</v>
      </c>
    </row>
    <row r="1018" spans="1:21" x14ac:dyDescent="0.25">
      <c r="A1018" t="str">
        <f t="shared" si="4"/>
        <v>ORD-10140</v>
      </c>
      <c r="B1018" s="8">
        <f t="shared" si="4"/>
        <v>45287</v>
      </c>
      <c r="C1018" s="8">
        <f t="shared" si="4"/>
        <v>45659</v>
      </c>
      <c r="D1018" t="str">
        <f t="shared" si="4"/>
        <v>First Class</v>
      </c>
      <c r="E1018" t="str">
        <f t="shared" si="4"/>
        <v>Ikenna</v>
      </c>
      <c r="F1018" t="str">
        <f t="shared" si="4"/>
        <v>Musa</v>
      </c>
      <c r="G1018" t="str">
        <f t="shared" si="4"/>
        <v>ikenna.musa@outlook.com</v>
      </c>
      <c r="H1018">
        <f t="shared" si="4"/>
        <v>7068700704</v>
      </c>
      <c r="I1018" t="str">
        <f t="shared" si="4"/>
        <v>Consumer</v>
      </c>
      <c r="J1018" t="str">
        <f t="shared" si="4"/>
        <v>South</v>
      </c>
      <c r="K1018" t="str">
        <f t="shared" si="4"/>
        <v>Ibadan</v>
      </c>
      <c r="L1018" t="str">
        <f t="shared" si="4"/>
        <v>Food &amp; Beverages</v>
      </c>
      <c r="M1018" t="str">
        <f>TRIM(Table2[[#This Row],[Category]])</f>
        <v>Food &amp; Beverages</v>
      </c>
      <c r="N1018" t="str">
        <f t="shared" si="5"/>
        <v>Snacks</v>
      </c>
      <c r="O1018" t="str">
        <f t="shared" si="5"/>
        <v>Pringles Multipack</v>
      </c>
      <c r="P1018">
        <f t="shared" si="5"/>
        <v>3</v>
      </c>
      <c r="Q1018">
        <f t="shared" si="5"/>
        <v>2609.8000000000002</v>
      </c>
      <c r="R1018">
        <f t="shared" si="5"/>
        <v>0</v>
      </c>
      <c r="S1018">
        <f t="shared" si="5"/>
        <v>0</v>
      </c>
      <c r="T1018">
        <f t="shared" si="5"/>
        <v>7829.4</v>
      </c>
      <c r="U1018">
        <f t="shared" si="5"/>
        <v>-735.18</v>
      </c>
    </row>
    <row r="1019" spans="1:21" x14ac:dyDescent="0.25">
      <c r="A1019" t="str">
        <f t="shared" si="4"/>
        <v>ORD-10140</v>
      </c>
      <c r="B1019" s="8">
        <f t="shared" si="4"/>
        <v>45287</v>
      </c>
      <c r="C1019" s="8">
        <f t="shared" si="4"/>
        <v>45659</v>
      </c>
      <c r="D1019" t="str">
        <f t="shared" si="4"/>
        <v>First Class</v>
      </c>
      <c r="E1019" t="str">
        <f t="shared" si="4"/>
        <v>Ikenna</v>
      </c>
      <c r="F1019" t="str">
        <f t="shared" si="4"/>
        <v>Musa</v>
      </c>
      <c r="G1019" t="str">
        <f t="shared" si="4"/>
        <v>ikenna.musa@outlook.com</v>
      </c>
      <c r="H1019">
        <f t="shared" si="4"/>
        <v>7068700704</v>
      </c>
      <c r="I1019" t="str">
        <f t="shared" si="4"/>
        <v>Consumer</v>
      </c>
      <c r="J1019" t="str">
        <f t="shared" si="4"/>
        <v>South</v>
      </c>
      <c r="K1019" t="str">
        <f t="shared" si="4"/>
        <v>Ibadan</v>
      </c>
      <c r="L1019" t="str">
        <f t="shared" si="4"/>
        <v>Food &amp; Beverages</v>
      </c>
      <c r="M1019" t="str">
        <f>TRIM(Table2[[#This Row],[Category]])</f>
        <v>Food &amp; Beverages</v>
      </c>
      <c r="N1019" t="str">
        <f t="shared" si="5"/>
        <v>Snacks</v>
      </c>
      <c r="O1019" t="str">
        <f t="shared" si="5"/>
        <v>Pringles Multipack</v>
      </c>
      <c r="P1019">
        <f t="shared" si="5"/>
        <v>3</v>
      </c>
      <c r="Q1019">
        <f t="shared" si="5"/>
        <v>2609.8000000000002</v>
      </c>
      <c r="R1019">
        <f t="shared" si="5"/>
        <v>0</v>
      </c>
      <c r="S1019">
        <f t="shared" si="5"/>
        <v>0</v>
      </c>
      <c r="T1019">
        <f t="shared" si="5"/>
        <v>7829.4</v>
      </c>
      <c r="U1019">
        <f t="shared" si="5"/>
        <v>-735.18</v>
      </c>
    </row>
    <row r="1020" spans="1:21" x14ac:dyDescent="0.25">
      <c r="A1020" t="str">
        <f t="shared" si="4"/>
        <v>ORD-10140</v>
      </c>
      <c r="B1020" s="8">
        <f t="shared" si="4"/>
        <v>45287</v>
      </c>
      <c r="C1020" s="8">
        <f t="shared" si="4"/>
        <v>45659</v>
      </c>
      <c r="D1020" t="str">
        <f t="shared" si="4"/>
        <v>First Class</v>
      </c>
      <c r="E1020" t="str">
        <f t="shared" si="4"/>
        <v>Ikenna</v>
      </c>
      <c r="F1020" t="str">
        <f t="shared" si="4"/>
        <v>Musa</v>
      </c>
      <c r="G1020" t="str">
        <f t="shared" si="4"/>
        <v>ikenna.musa@outlook.com</v>
      </c>
      <c r="H1020">
        <f t="shared" si="4"/>
        <v>7068700704</v>
      </c>
      <c r="I1020" t="str">
        <f t="shared" si="4"/>
        <v>Consumer</v>
      </c>
      <c r="J1020" t="str">
        <f t="shared" si="4"/>
        <v>South</v>
      </c>
      <c r="K1020" t="str">
        <f t="shared" si="4"/>
        <v>Ibadan</v>
      </c>
      <c r="L1020" t="str">
        <f t="shared" si="4"/>
        <v>Food &amp; Beverages</v>
      </c>
      <c r="M1020" t="str">
        <f>TRIM(Table2[[#This Row],[Category]])</f>
        <v>Food &amp; Beverages</v>
      </c>
      <c r="N1020" t="str">
        <f t="shared" si="5"/>
        <v>Snacks</v>
      </c>
      <c r="O1020" t="str">
        <f t="shared" si="5"/>
        <v>Pringles Multipack</v>
      </c>
      <c r="P1020">
        <f t="shared" si="5"/>
        <v>3</v>
      </c>
      <c r="Q1020">
        <f t="shared" si="5"/>
        <v>2609.8000000000002</v>
      </c>
      <c r="R1020">
        <f t="shared" si="5"/>
        <v>0</v>
      </c>
      <c r="S1020">
        <f t="shared" si="5"/>
        <v>0</v>
      </c>
      <c r="T1020">
        <f t="shared" si="5"/>
        <v>7829.4</v>
      </c>
      <c r="U1020">
        <f t="shared" si="5"/>
        <v>-735.18</v>
      </c>
    </row>
    <row r="1021" spans="1:21" x14ac:dyDescent="0.25">
      <c r="A1021" t="str">
        <f t="shared" si="4"/>
        <v>ORD-10140</v>
      </c>
      <c r="B1021" s="8">
        <f t="shared" si="4"/>
        <v>45287</v>
      </c>
      <c r="C1021" s="8">
        <f t="shared" si="4"/>
        <v>45659</v>
      </c>
      <c r="D1021" t="str">
        <f t="shared" si="4"/>
        <v>First Class</v>
      </c>
      <c r="E1021" t="str">
        <f t="shared" si="4"/>
        <v>Ikenna</v>
      </c>
      <c r="F1021" t="str">
        <f t="shared" si="4"/>
        <v>Musa</v>
      </c>
      <c r="G1021" t="str">
        <f t="shared" si="4"/>
        <v>ikenna.musa@outlook.com</v>
      </c>
      <c r="H1021">
        <f t="shared" si="4"/>
        <v>7068700704</v>
      </c>
      <c r="I1021" t="str">
        <f t="shared" si="4"/>
        <v>Consumer</v>
      </c>
      <c r="J1021" t="str">
        <f t="shared" si="4"/>
        <v>South</v>
      </c>
      <c r="K1021" t="str">
        <f t="shared" si="4"/>
        <v>Ibadan</v>
      </c>
      <c r="L1021" t="str">
        <f t="shared" si="4"/>
        <v>Food &amp; Beverages</v>
      </c>
      <c r="M1021" t="str">
        <f>TRIM(Table2[[#This Row],[Category]])</f>
        <v>Food &amp; Beverages</v>
      </c>
      <c r="N1021" t="str">
        <f t="shared" si="5"/>
        <v>Snacks</v>
      </c>
      <c r="O1021" t="str">
        <f t="shared" si="5"/>
        <v>Pringles Multipack</v>
      </c>
      <c r="P1021">
        <f t="shared" si="5"/>
        <v>3</v>
      </c>
      <c r="Q1021">
        <f t="shared" si="5"/>
        <v>2609.8000000000002</v>
      </c>
      <c r="R1021">
        <f t="shared" si="5"/>
        <v>0</v>
      </c>
      <c r="S1021">
        <f t="shared" si="5"/>
        <v>0</v>
      </c>
      <c r="T1021">
        <f t="shared" si="5"/>
        <v>7829.4</v>
      </c>
      <c r="U1021">
        <f t="shared" si="5"/>
        <v>-735.18</v>
      </c>
    </row>
  </sheetData>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80E0F-BA04-418B-AA32-6F3EC34303FF}">
  <sheetPr>
    <tabColor rgb="FF0F2044"/>
  </sheetPr>
  <dimension ref="A1:Y1011"/>
  <sheetViews>
    <sheetView zoomScale="85" zoomScaleNormal="85" workbookViewId="0">
      <pane xSplit="1" ySplit="1" topLeftCell="B2" activePane="bottomRight" state="frozen"/>
      <selection pane="topRight" activeCell="B1" sqref="B1"/>
      <selection pane="bottomLeft" activeCell="A2" sqref="A2"/>
      <selection pane="bottomRight" activeCell="C6" sqref="C6"/>
    </sheetView>
  </sheetViews>
  <sheetFormatPr defaultColWidth="8.7109375" defaultRowHeight="15" x14ac:dyDescent="0.25"/>
  <cols>
    <col min="1" max="1" width="14" customWidth="1"/>
    <col min="2" max="2" width="21.42578125" style="8" customWidth="1"/>
    <col min="3" max="3" width="22.28515625" style="8" customWidth="1"/>
    <col min="4" max="4" width="20.7109375" customWidth="1"/>
    <col min="5" max="6" width="22" customWidth="1"/>
    <col min="7" max="7" width="30.42578125" bestFit="1" customWidth="1"/>
    <col min="8" max="8" width="20" customWidth="1"/>
    <col min="9" max="9" width="14" customWidth="1"/>
    <col min="10" max="10" width="10" customWidth="1"/>
    <col min="11" max="13" width="16" customWidth="1"/>
    <col min="14" max="14" width="28" customWidth="1"/>
    <col min="15" max="15" width="14.42578125" customWidth="1"/>
    <col min="16" max="16" width="16" customWidth="1"/>
    <col min="17" max="17" width="13.7109375" customWidth="1"/>
    <col min="18" max="18" width="21.28515625" style="39" customWidth="1"/>
    <col min="19" max="20" width="14" style="39" customWidth="1"/>
    <col min="21" max="21" width="17.140625" hidden="1" customWidth="1"/>
    <col min="22" max="22" width="18.140625" hidden="1" customWidth="1"/>
    <col min="23" max="23" width="21.42578125" customWidth="1"/>
    <col min="24" max="24" width="19.7109375" customWidth="1"/>
    <col min="25" max="25" width="20.28515625" customWidth="1"/>
  </cols>
  <sheetData>
    <row r="1" spans="1:25" ht="34.5" customHeight="1" x14ac:dyDescent="0.25">
      <c r="A1" t="s">
        <v>0</v>
      </c>
      <c r="B1" s="8" t="s">
        <v>1</v>
      </c>
      <c r="C1" s="8" t="s">
        <v>2</v>
      </c>
      <c r="D1" t="s">
        <v>3</v>
      </c>
      <c r="E1" t="s">
        <v>3104</v>
      </c>
      <c r="F1" t="s">
        <v>3105</v>
      </c>
      <c r="G1" t="s">
        <v>5</v>
      </c>
      <c r="H1" t="s">
        <v>6</v>
      </c>
      <c r="I1" t="s">
        <v>7</v>
      </c>
      <c r="J1" t="s">
        <v>8</v>
      </c>
      <c r="K1" t="s">
        <v>9</v>
      </c>
      <c r="L1" t="s">
        <v>10</v>
      </c>
      <c r="M1" t="s">
        <v>11</v>
      </c>
      <c r="N1" t="s">
        <v>12</v>
      </c>
      <c r="O1" t="s">
        <v>13</v>
      </c>
      <c r="P1" t="s">
        <v>14</v>
      </c>
      <c r="Q1" t="s">
        <v>15</v>
      </c>
      <c r="R1" s="39" t="s">
        <v>16</v>
      </c>
      <c r="S1" s="39" t="s">
        <v>17</v>
      </c>
      <c r="T1" s="39" t="s">
        <v>18</v>
      </c>
      <c r="U1" t="s">
        <v>3153</v>
      </c>
      <c r="V1" t="s">
        <v>3154</v>
      </c>
      <c r="W1" t="s">
        <v>3178</v>
      </c>
      <c r="X1" t="s">
        <v>3190</v>
      </c>
      <c r="Y1" t="s">
        <v>3202</v>
      </c>
    </row>
    <row r="2" spans="1:25" ht="15" customHeight="1" x14ac:dyDescent="0.25">
      <c r="A2" t="s">
        <v>2629</v>
      </c>
      <c r="B2" s="8">
        <v>44562</v>
      </c>
      <c r="C2" s="8">
        <v>44567</v>
      </c>
      <c r="D2" t="s">
        <v>48</v>
      </c>
      <c r="E2" t="s">
        <v>3085</v>
      </c>
      <c r="F2" t="s">
        <v>3090</v>
      </c>
      <c r="G2" t="s">
        <v>2631</v>
      </c>
      <c r="H2">
        <v>8161000159</v>
      </c>
      <c r="I2" t="s">
        <v>35</v>
      </c>
      <c r="J2" t="s">
        <v>51</v>
      </c>
      <c r="K2" t="s">
        <v>131</v>
      </c>
      <c r="L2" t="s">
        <v>63</v>
      </c>
      <c r="M2" t="s">
        <v>64</v>
      </c>
      <c r="N2" t="s">
        <v>104</v>
      </c>
      <c r="O2">
        <v>6</v>
      </c>
      <c r="P2">
        <v>18354.330000000002</v>
      </c>
      <c r="Q2">
        <v>0</v>
      </c>
      <c r="R2" s="39">
        <v>0</v>
      </c>
      <c r="S2" s="39">
        <v>110125.98</v>
      </c>
      <c r="T2" s="39">
        <v>-12981.35</v>
      </c>
      <c r="U2" t="str">
        <f t="shared" ref="U2:U65" si="0">PROPER(L2)</f>
        <v>Office Supplies</v>
      </c>
      <c r="V2">
        <f>ABS(T2)</f>
        <v>12981.35</v>
      </c>
      <c r="W2" t="str">
        <f>IF(Sales[[#This Row],[Quantity]]&gt;=15, "Large","Small")</f>
        <v>Small</v>
      </c>
      <c r="X2" t="str">
        <f>IF(Sales[[#This Row],[Quantity]]&gt;=15,"Large",IF(Sales[[#This Row],[Quantity]]=14,"Medium","Small"))</f>
        <v>Small</v>
      </c>
      <c r="Y2" t="str">
        <f>IF(AND(Sales[[#This Row],[Unit Price (₦)]]&gt;68000,Sales[[#This Row],[Quantity]]&gt;15),"Offer Discount", "No Discount")</f>
        <v>No Discount</v>
      </c>
    </row>
    <row r="3" spans="1:25" ht="15" customHeight="1" x14ac:dyDescent="0.25">
      <c r="A3" t="s">
        <v>1552</v>
      </c>
      <c r="B3" s="8">
        <v>44573</v>
      </c>
      <c r="C3" s="8">
        <v>44581</v>
      </c>
      <c r="D3" t="s">
        <v>48</v>
      </c>
      <c r="E3" t="s">
        <v>3056</v>
      </c>
      <c r="F3" t="s">
        <v>3046</v>
      </c>
      <c r="G3" t="s">
        <v>1553</v>
      </c>
      <c r="H3">
        <v>9079004743</v>
      </c>
      <c r="I3" t="s">
        <v>43</v>
      </c>
      <c r="J3" t="s">
        <v>51</v>
      </c>
      <c r="K3" t="s">
        <v>52</v>
      </c>
      <c r="L3" t="s">
        <v>108</v>
      </c>
      <c r="M3" t="s">
        <v>183</v>
      </c>
      <c r="N3" t="s">
        <v>184</v>
      </c>
      <c r="O3">
        <v>10</v>
      </c>
      <c r="P3">
        <v>33214.19</v>
      </c>
      <c r="Q3">
        <v>10</v>
      </c>
      <c r="R3" s="39">
        <v>33214.19</v>
      </c>
      <c r="S3" s="39">
        <v>298927.71000000002</v>
      </c>
      <c r="T3" s="39">
        <v>79035.7</v>
      </c>
      <c r="U3" t="str">
        <f t="shared" si="0"/>
        <v>Clothing</v>
      </c>
      <c r="V3">
        <f t="shared" ref="V3:V66" si="1">ABS(T3)</f>
        <v>79035.7</v>
      </c>
      <c r="W3" t="str">
        <f>IF(Sales[[#This Row],[Quantity]]&gt;=15, "Large","Small")</f>
        <v>Small</v>
      </c>
      <c r="X3" t="str">
        <f>IF(Sales[[#This Row],[Quantity]]&gt;=15,"Large",IF(Sales[[#This Row],[Quantity]]=14,"Medium","Small"))</f>
        <v>Small</v>
      </c>
      <c r="Y3" t="str">
        <f>IF(AND(Sales[[#This Row],[Unit Price (₦)]]&gt;68000,Sales[[#This Row],[Quantity]]&gt;15),"Offer Discount", "No Discount")</f>
        <v>No Discount</v>
      </c>
    </row>
    <row r="4" spans="1:25" ht="15" customHeight="1" x14ac:dyDescent="0.25">
      <c r="A4" t="s">
        <v>1724</v>
      </c>
      <c r="B4" s="8">
        <v>44583</v>
      </c>
      <c r="C4" s="8">
        <v>44590</v>
      </c>
      <c r="D4" t="s">
        <v>48</v>
      </c>
      <c r="E4" t="s">
        <v>3056</v>
      </c>
      <c r="F4" t="s">
        <v>3078</v>
      </c>
      <c r="G4" t="s">
        <v>1726</v>
      </c>
      <c r="H4">
        <v>7038788747</v>
      </c>
      <c r="I4" t="s">
        <v>43</v>
      </c>
      <c r="J4" t="s">
        <v>69</v>
      </c>
      <c r="K4" t="s">
        <v>119</v>
      </c>
      <c r="L4" t="s">
        <v>108</v>
      </c>
      <c r="M4" t="s">
        <v>183</v>
      </c>
      <c r="N4" t="s">
        <v>719</v>
      </c>
      <c r="O4">
        <v>8</v>
      </c>
      <c r="P4">
        <v>5549.59</v>
      </c>
      <c r="Q4">
        <v>20</v>
      </c>
      <c r="R4" s="39">
        <v>8879.34</v>
      </c>
      <c r="S4" s="39">
        <v>35517.379999999997</v>
      </c>
      <c r="T4" s="39">
        <v>-2338.6999999999998</v>
      </c>
      <c r="U4" t="str">
        <f t="shared" si="0"/>
        <v>Clothing</v>
      </c>
      <c r="V4">
        <f t="shared" si="1"/>
        <v>2338.6999999999998</v>
      </c>
      <c r="W4" t="str">
        <f>IF(Sales[[#This Row],[Quantity]]&gt;=15, "Large","Small")</f>
        <v>Small</v>
      </c>
      <c r="X4" t="str">
        <f>IF(Sales[[#This Row],[Quantity]]&gt;=15,"Large",IF(Sales[[#This Row],[Quantity]]=14,"Medium","Small"))</f>
        <v>Small</v>
      </c>
      <c r="Y4" t="str">
        <f>IF(AND(Sales[[#This Row],[Unit Price (₦)]]&gt;68000,Sales[[#This Row],[Quantity]]&gt;15),"Offer Discount", "No Discount")</f>
        <v>No Discount</v>
      </c>
    </row>
    <row r="5" spans="1:25" ht="15" customHeight="1" x14ac:dyDescent="0.25">
      <c r="A5" t="s">
        <v>1384</v>
      </c>
      <c r="B5" s="8">
        <v>44607</v>
      </c>
      <c r="C5" s="8">
        <v>44613</v>
      </c>
      <c r="D5" t="s">
        <v>48</v>
      </c>
      <c r="E5" t="s">
        <v>3070</v>
      </c>
      <c r="F5" t="s">
        <v>3040</v>
      </c>
      <c r="G5" t="s">
        <v>1386</v>
      </c>
      <c r="H5">
        <v>7066751103</v>
      </c>
      <c r="I5" t="s">
        <v>35</v>
      </c>
      <c r="J5" t="s">
        <v>25</v>
      </c>
      <c r="K5" t="s">
        <v>44</v>
      </c>
      <c r="L5" t="s">
        <v>63</v>
      </c>
      <c r="M5" t="s">
        <v>64</v>
      </c>
      <c r="N5" t="s">
        <v>777</v>
      </c>
      <c r="O5">
        <v>17</v>
      </c>
      <c r="P5">
        <v>16813.46</v>
      </c>
      <c r="Q5">
        <v>25</v>
      </c>
      <c r="R5" s="39">
        <v>71457.210000000006</v>
      </c>
      <c r="S5" s="39">
        <v>214371.61</v>
      </c>
      <c r="T5" s="39">
        <v>25114.44</v>
      </c>
      <c r="U5" t="str">
        <f t="shared" si="0"/>
        <v>Office Supplies</v>
      </c>
      <c r="V5">
        <f t="shared" si="1"/>
        <v>25114.44</v>
      </c>
      <c r="W5" t="str">
        <f>IF(Sales[[#This Row],[Quantity]]&gt;=15, "Large","Small")</f>
        <v>Large</v>
      </c>
      <c r="X5" t="str">
        <f>IF(Sales[[#This Row],[Quantity]]&gt;=15,"Large",IF(Sales[[#This Row],[Quantity]]=14,"Medium","Small"))</f>
        <v>Large</v>
      </c>
      <c r="Y5" t="str">
        <f>IF(AND(Sales[[#This Row],[Unit Price (₦)]]&gt;68000,Sales[[#This Row],[Quantity]]&gt;15),"Offer Discount", "No Discount")</f>
        <v>No Discount</v>
      </c>
    </row>
    <row r="6" spans="1:25" ht="15" customHeight="1" x14ac:dyDescent="0.25">
      <c r="A6" t="s">
        <v>1464</v>
      </c>
      <c r="B6" s="8">
        <v>44609</v>
      </c>
      <c r="C6" s="8">
        <v>44615</v>
      </c>
      <c r="D6" t="s">
        <v>48</v>
      </c>
      <c r="E6" t="s">
        <v>3072</v>
      </c>
      <c r="F6" t="s">
        <v>3043</v>
      </c>
      <c r="G6" t="s">
        <v>1466</v>
      </c>
      <c r="H6">
        <v>8107264416</v>
      </c>
      <c r="I6" t="s">
        <v>24</v>
      </c>
      <c r="J6" t="s">
        <v>69</v>
      </c>
      <c r="K6" t="s">
        <v>44</v>
      </c>
      <c r="L6" t="s">
        <v>96</v>
      </c>
      <c r="M6" t="s">
        <v>385</v>
      </c>
      <c r="N6" t="s">
        <v>1010</v>
      </c>
      <c r="O6">
        <v>3</v>
      </c>
      <c r="P6">
        <v>363633.82</v>
      </c>
      <c r="Q6">
        <v>0</v>
      </c>
      <c r="R6" s="39">
        <v>0</v>
      </c>
      <c r="S6" s="39">
        <v>1090901.46</v>
      </c>
      <c r="T6" s="39">
        <v>-157322.01</v>
      </c>
      <c r="U6" t="str">
        <f t="shared" si="0"/>
        <v>Technology</v>
      </c>
      <c r="V6">
        <f t="shared" si="1"/>
        <v>157322.01</v>
      </c>
      <c r="W6" t="str">
        <f>IF(Sales[[#This Row],[Quantity]]&gt;=15, "Large","Small")</f>
        <v>Small</v>
      </c>
      <c r="X6" t="str">
        <f>IF(Sales[[#This Row],[Quantity]]&gt;=15,"Large",IF(Sales[[#This Row],[Quantity]]=14,"Medium","Small"))</f>
        <v>Small</v>
      </c>
      <c r="Y6" t="str">
        <f>IF(AND(Sales[[#This Row],[Unit Price (₦)]]&gt;68000,Sales[[#This Row],[Quantity]]&gt;15),"Offer Discount", "No Discount")</f>
        <v>No Discount</v>
      </c>
    </row>
    <row r="7" spans="1:25" ht="15" customHeight="1" x14ac:dyDescent="0.25">
      <c r="A7" t="s">
        <v>2614</v>
      </c>
      <c r="B7" s="8">
        <v>44611</v>
      </c>
      <c r="C7" s="8">
        <v>44616</v>
      </c>
      <c r="D7" t="s">
        <v>48</v>
      </c>
      <c r="E7" t="s">
        <v>3067</v>
      </c>
      <c r="F7" t="s">
        <v>3083</v>
      </c>
      <c r="G7" t="s">
        <v>2615</v>
      </c>
      <c r="H7">
        <v>8034674225</v>
      </c>
      <c r="I7" t="s">
        <v>35</v>
      </c>
      <c r="J7" t="s">
        <v>51</v>
      </c>
      <c r="K7" t="s">
        <v>131</v>
      </c>
      <c r="L7" t="s">
        <v>85</v>
      </c>
      <c r="M7" t="s">
        <v>218</v>
      </c>
      <c r="N7" t="s">
        <v>708</v>
      </c>
      <c r="O7">
        <v>11</v>
      </c>
      <c r="P7">
        <v>94100.43</v>
      </c>
      <c r="Q7">
        <v>15</v>
      </c>
      <c r="R7" s="39">
        <v>155265.71</v>
      </c>
      <c r="S7" s="39">
        <v>879839.02</v>
      </c>
      <c r="T7" s="39">
        <v>267099.63</v>
      </c>
      <c r="U7" t="str">
        <f t="shared" si="0"/>
        <v>Furniture</v>
      </c>
      <c r="V7">
        <f t="shared" si="1"/>
        <v>267099.63</v>
      </c>
      <c r="W7" t="str">
        <f>IF(Sales[[#This Row],[Quantity]]&gt;=15, "Large","Small")</f>
        <v>Small</v>
      </c>
      <c r="X7" t="str">
        <f>IF(Sales[[#This Row],[Quantity]]&gt;=15,"Large",IF(Sales[[#This Row],[Quantity]]=14,"Medium","Small"))</f>
        <v>Small</v>
      </c>
      <c r="Y7" t="str">
        <f>IF(AND(Sales[[#This Row],[Unit Price (₦)]]&gt;68000,Sales[[#This Row],[Quantity]]&gt;15),"Offer Discount", "No Discount")</f>
        <v>No Discount</v>
      </c>
    </row>
    <row r="8" spans="1:25" ht="15" customHeight="1" x14ac:dyDescent="0.25">
      <c r="A8" t="s">
        <v>2872</v>
      </c>
      <c r="B8" s="8">
        <v>44624</v>
      </c>
      <c r="C8" s="8">
        <v>44629</v>
      </c>
      <c r="D8" t="s">
        <v>48</v>
      </c>
      <c r="E8" t="s">
        <v>3041</v>
      </c>
      <c r="F8" t="s">
        <v>3062</v>
      </c>
      <c r="G8" t="s">
        <v>2873</v>
      </c>
      <c r="H8">
        <v>8064194751</v>
      </c>
      <c r="I8" t="s">
        <v>24</v>
      </c>
      <c r="J8" t="s">
        <v>25</v>
      </c>
      <c r="K8" t="s">
        <v>26</v>
      </c>
      <c r="L8" t="s">
        <v>108</v>
      </c>
      <c r="M8" t="s">
        <v>114</v>
      </c>
      <c r="N8" t="s">
        <v>115</v>
      </c>
      <c r="O8">
        <v>18</v>
      </c>
      <c r="P8">
        <v>35696.94</v>
      </c>
      <c r="Q8">
        <v>10</v>
      </c>
      <c r="R8" s="39">
        <v>64254.49</v>
      </c>
      <c r="S8" s="39">
        <v>578290.43000000005</v>
      </c>
      <c r="T8" s="39">
        <v>-66880.13</v>
      </c>
      <c r="U8" t="str">
        <f t="shared" si="0"/>
        <v>Clothing</v>
      </c>
      <c r="V8">
        <f t="shared" si="1"/>
        <v>66880.13</v>
      </c>
      <c r="W8" t="str">
        <f>IF(Sales[[#This Row],[Quantity]]&gt;=15, "Large","Small")</f>
        <v>Large</v>
      </c>
      <c r="X8" t="str">
        <f>IF(Sales[[#This Row],[Quantity]]&gt;=15,"Large",IF(Sales[[#This Row],[Quantity]]=14,"Medium","Small"))</f>
        <v>Large</v>
      </c>
      <c r="Y8" t="str">
        <f>IF(AND(Sales[[#This Row],[Unit Price (₦)]]&gt;68000,Sales[[#This Row],[Quantity]]&gt;15),"Offer Discount", "No Discount")</f>
        <v>No Discount</v>
      </c>
    </row>
    <row r="9" spans="1:25" ht="15" customHeight="1" x14ac:dyDescent="0.25">
      <c r="A9" t="s">
        <v>693</v>
      </c>
      <c r="B9" s="8">
        <v>44625</v>
      </c>
      <c r="C9" s="8">
        <v>44631</v>
      </c>
      <c r="D9" t="s">
        <v>48</v>
      </c>
      <c r="E9" t="s">
        <v>3076</v>
      </c>
      <c r="F9" t="s">
        <v>3090</v>
      </c>
      <c r="G9" s="10" t="s">
        <v>695</v>
      </c>
      <c r="H9">
        <v>8135843084</v>
      </c>
      <c r="I9" t="s">
        <v>35</v>
      </c>
      <c r="J9" t="s">
        <v>69</v>
      </c>
      <c r="K9" t="s">
        <v>70</v>
      </c>
      <c r="L9" t="s">
        <v>85</v>
      </c>
      <c r="M9" t="s">
        <v>486</v>
      </c>
      <c r="N9" t="s">
        <v>527</v>
      </c>
      <c r="O9">
        <v>16</v>
      </c>
      <c r="P9">
        <v>135713.14000000001</v>
      </c>
      <c r="Q9">
        <v>25</v>
      </c>
      <c r="R9" s="39">
        <v>542852.56000000006</v>
      </c>
      <c r="S9" s="39">
        <v>1628557.68</v>
      </c>
      <c r="T9" s="39">
        <v>254842.55</v>
      </c>
      <c r="U9" t="str">
        <f t="shared" si="0"/>
        <v>Furniture</v>
      </c>
      <c r="V9">
        <f t="shared" si="1"/>
        <v>254842.55</v>
      </c>
      <c r="W9" t="str">
        <f>IF(Sales[[#This Row],[Quantity]]&gt;=15, "Large","Small")</f>
        <v>Large</v>
      </c>
      <c r="X9" t="str">
        <f>IF(Sales[[#This Row],[Quantity]]&gt;=15,"Large",IF(Sales[[#This Row],[Quantity]]=14,"Medium","Small"))</f>
        <v>Large</v>
      </c>
      <c r="Y9" t="str">
        <f>IF(AND(Sales[[#This Row],[Unit Price (₦)]]&gt;68000,Sales[[#This Row],[Quantity]]&gt;15),"Offer Discount", "No Discount")</f>
        <v>Offer Discount</v>
      </c>
    </row>
    <row r="10" spans="1:25" ht="15" customHeight="1" x14ac:dyDescent="0.25">
      <c r="A10" t="s">
        <v>1334</v>
      </c>
      <c r="B10" s="8">
        <v>44637</v>
      </c>
      <c r="C10" s="8">
        <v>44643</v>
      </c>
      <c r="D10" t="s">
        <v>48</v>
      </c>
      <c r="E10" t="s">
        <v>3089</v>
      </c>
      <c r="F10" t="s">
        <v>3040</v>
      </c>
      <c r="G10" t="s">
        <v>1336</v>
      </c>
      <c r="H10">
        <v>8141768424</v>
      </c>
      <c r="I10" t="s">
        <v>35</v>
      </c>
      <c r="J10" t="s">
        <v>61</v>
      </c>
      <c r="K10" t="s">
        <v>84</v>
      </c>
      <c r="L10" t="s">
        <v>85</v>
      </c>
      <c r="M10" t="s">
        <v>218</v>
      </c>
      <c r="N10" t="s">
        <v>321</v>
      </c>
      <c r="O10">
        <v>2</v>
      </c>
      <c r="P10">
        <v>37626.83</v>
      </c>
      <c r="Q10">
        <v>10</v>
      </c>
      <c r="R10" s="39">
        <v>7525.37</v>
      </c>
      <c r="S10" s="39">
        <v>67728.289999999994</v>
      </c>
      <c r="T10" s="39">
        <v>23193.11</v>
      </c>
      <c r="U10" t="str">
        <f t="shared" si="0"/>
        <v>Furniture</v>
      </c>
      <c r="V10">
        <f t="shared" si="1"/>
        <v>23193.11</v>
      </c>
      <c r="W10" t="str">
        <f>IF(Sales[[#This Row],[Quantity]]&gt;=15, "Large","Small")</f>
        <v>Small</v>
      </c>
      <c r="X10" t="str">
        <f>IF(Sales[[#This Row],[Quantity]]&gt;=15,"Large",IF(Sales[[#This Row],[Quantity]]=14,"Medium","Small"))</f>
        <v>Small</v>
      </c>
      <c r="Y10" t="str">
        <f>IF(AND(Sales[[#This Row],[Unit Price (₦)]]&gt;68000,Sales[[#This Row],[Quantity]]&gt;15),"Offer Discount", "No Discount")</f>
        <v>No Discount</v>
      </c>
    </row>
    <row r="11" spans="1:25" ht="15" customHeight="1" x14ac:dyDescent="0.25">
      <c r="A11" t="s">
        <v>214</v>
      </c>
      <c r="B11" s="8">
        <v>44644</v>
      </c>
      <c r="C11" s="8">
        <v>44649</v>
      </c>
      <c r="D11" t="s">
        <v>48</v>
      </c>
      <c r="E11" t="s">
        <v>3059</v>
      </c>
      <c r="F11" t="s">
        <v>3052</v>
      </c>
      <c r="G11" t="s">
        <v>217</v>
      </c>
      <c r="H11">
        <v>9053556551</v>
      </c>
      <c r="I11" t="s">
        <v>35</v>
      </c>
      <c r="J11" t="s">
        <v>25</v>
      </c>
      <c r="K11" t="s">
        <v>44</v>
      </c>
      <c r="L11" t="s">
        <v>85</v>
      </c>
      <c r="M11" t="s">
        <v>218</v>
      </c>
      <c r="N11" t="s">
        <v>219</v>
      </c>
      <c r="O11">
        <v>19</v>
      </c>
      <c r="P11">
        <v>123146.92</v>
      </c>
      <c r="Q11">
        <v>5</v>
      </c>
      <c r="R11" s="39">
        <v>116989.57</v>
      </c>
      <c r="S11" s="39">
        <v>2222801.91</v>
      </c>
      <c r="T11" s="39">
        <v>286786.77</v>
      </c>
      <c r="U11" t="str">
        <f t="shared" si="0"/>
        <v>Furniture</v>
      </c>
      <c r="V11">
        <f t="shared" si="1"/>
        <v>286786.77</v>
      </c>
      <c r="W11" t="str">
        <f>IF(Sales[[#This Row],[Quantity]]&gt;=15, "Large","Small")</f>
        <v>Large</v>
      </c>
      <c r="X11" t="str">
        <f>IF(Sales[[#This Row],[Quantity]]&gt;=15,"Large",IF(Sales[[#This Row],[Quantity]]=14,"Medium","Small"))</f>
        <v>Large</v>
      </c>
      <c r="Y11" t="str">
        <f>IF(AND(Sales[[#This Row],[Unit Price (₦)]]&gt;68000,Sales[[#This Row],[Quantity]]&gt;15),"Offer Discount", "No Discount")</f>
        <v>Offer Discount</v>
      </c>
    </row>
    <row r="12" spans="1:25" ht="15" customHeight="1" x14ac:dyDescent="0.25">
      <c r="A12" t="s">
        <v>1128</v>
      </c>
      <c r="B12" s="8">
        <v>44651</v>
      </c>
      <c r="C12" s="8">
        <v>44657</v>
      </c>
      <c r="D12" t="s">
        <v>48</v>
      </c>
      <c r="E12" t="s">
        <v>3065</v>
      </c>
      <c r="F12" t="s">
        <v>3086</v>
      </c>
      <c r="G12" t="s">
        <v>1084</v>
      </c>
      <c r="H12">
        <v>8132796087</v>
      </c>
      <c r="I12" t="s">
        <v>24</v>
      </c>
      <c r="J12" t="s">
        <v>25</v>
      </c>
      <c r="K12" t="s">
        <v>26</v>
      </c>
      <c r="L12" t="s">
        <v>108</v>
      </c>
      <c r="M12" t="s">
        <v>109</v>
      </c>
      <c r="N12" t="s">
        <v>110</v>
      </c>
      <c r="O12">
        <v>13</v>
      </c>
      <c r="P12">
        <v>3368.14</v>
      </c>
      <c r="Q12">
        <v>20</v>
      </c>
      <c r="R12" s="39">
        <v>8757.16</v>
      </c>
      <c r="S12" s="39">
        <v>35028.660000000003</v>
      </c>
      <c r="T12" s="39">
        <v>5796.99</v>
      </c>
      <c r="U12" t="str">
        <f t="shared" si="0"/>
        <v>Clothing</v>
      </c>
      <c r="V12">
        <f t="shared" si="1"/>
        <v>5796.99</v>
      </c>
      <c r="W12" t="str">
        <f>IF(Sales[[#This Row],[Quantity]]&gt;=15, "Large","Small")</f>
        <v>Small</v>
      </c>
      <c r="X12" t="str">
        <f>IF(Sales[[#This Row],[Quantity]]&gt;=15,"Large",IF(Sales[[#This Row],[Quantity]]=14,"Medium","Small"))</f>
        <v>Small</v>
      </c>
      <c r="Y12" t="str">
        <f>IF(AND(Sales[[#This Row],[Unit Price (₦)]]&gt;68000,Sales[[#This Row],[Quantity]]&gt;15),"Offer Discount", "No Discount")</f>
        <v>No Discount</v>
      </c>
    </row>
    <row r="13" spans="1:25" ht="15" customHeight="1" x14ac:dyDescent="0.25">
      <c r="A13" t="s">
        <v>717</v>
      </c>
      <c r="B13" s="8">
        <v>44656</v>
      </c>
      <c r="C13" s="8">
        <v>44661</v>
      </c>
      <c r="D13" t="s">
        <v>48</v>
      </c>
      <c r="E13" t="s">
        <v>3039</v>
      </c>
      <c r="F13" t="s">
        <v>3046</v>
      </c>
      <c r="G13" t="s">
        <v>718</v>
      </c>
      <c r="H13">
        <v>8033650523</v>
      </c>
      <c r="I13" t="s">
        <v>24</v>
      </c>
      <c r="J13" t="s">
        <v>69</v>
      </c>
      <c r="K13" t="s">
        <v>144</v>
      </c>
      <c r="L13" t="s">
        <v>108</v>
      </c>
      <c r="M13" t="s">
        <v>183</v>
      </c>
      <c r="N13" t="s">
        <v>719</v>
      </c>
      <c r="O13">
        <v>14</v>
      </c>
      <c r="P13">
        <v>44649.04</v>
      </c>
      <c r="Q13">
        <v>5</v>
      </c>
      <c r="R13" s="39">
        <v>31254.33</v>
      </c>
      <c r="S13" s="39">
        <v>593832.23</v>
      </c>
      <c r="T13" s="39">
        <v>265690.3</v>
      </c>
      <c r="U13" t="str">
        <f t="shared" si="0"/>
        <v>Clothing</v>
      </c>
      <c r="V13">
        <f t="shared" si="1"/>
        <v>265690.3</v>
      </c>
      <c r="W13" t="str">
        <f>IF(Sales[[#This Row],[Quantity]]&gt;=15, "Large","Small")</f>
        <v>Small</v>
      </c>
      <c r="X13" t="str">
        <f>IF(Sales[[#This Row],[Quantity]]&gt;=15,"Large",IF(Sales[[#This Row],[Quantity]]=14,"Medium","Small"))</f>
        <v>Medium</v>
      </c>
      <c r="Y13" t="str">
        <f>IF(AND(Sales[[#This Row],[Unit Price (₦)]]&gt;68000,Sales[[#This Row],[Quantity]]&gt;15),"Offer Discount", "No Discount")</f>
        <v>No Discount</v>
      </c>
    </row>
    <row r="14" spans="1:25" ht="15" customHeight="1" x14ac:dyDescent="0.25">
      <c r="A14" t="s">
        <v>447</v>
      </c>
      <c r="B14" s="8">
        <v>44659</v>
      </c>
      <c r="C14" s="8">
        <v>44665</v>
      </c>
      <c r="D14" t="s">
        <v>48</v>
      </c>
      <c r="E14" t="str">
        <f>E15</f>
        <v>Amara</v>
      </c>
      <c r="F14" t="str">
        <f>F13</f>
        <v>Okonkwo</v>
      </c>
      <c r="G14" t="s">
        <v>448</v>
      </c>
      <c r="H14">
        <v>8062859886</v>
      </c>
      <c r="I14" t="s">
        <v>43</v>
      </c>
      <c r="J14" t="s">
        <v>51</v>
      </c>
      <c r="K14" t="s">
        <v>131</v>
      </c>
      <c r="L14" t="s">
        <v>108</v>
      </c>
      <c r="M14" t="s">
        <v>189</v>
      </c>
      <c r="N14" t="s">
        <v>205</v>
      </c>
      <c r="O14">
        <v>17</v>
      </c>
      <c r="P14">
        <v>2706.72</v>
      </c>
      <c r="Q14">
        <v>5</v>
      </c>
      <c r="R14" s="39">
        <v>2300.71</v>
      </c>
      <c r="S14" s="39">
        <v>43713.53</v>
      </c>
      <c r="T14" s="39">
        <v>12289.04</v>
      </c>
      <c r="U14" t="str">
        <f t="shared" si="0"/>
        <v>Clothing</v>
      </c>
      <c r="V14">
        <f t="shared" si="1"/>
        <v>12289.04</v>
      </c>
      <c r="W14" t="str">
        <f>IF(Sales[[#This Row],[Quantity]]&gt;=15, "Large","Small")</f>
        <v>Large</v>
      </c>
      <c r="X14" t="str">
        <f>IF(Sales[[#This Row],[Quantity]]&gt;=15,"Large",IF(Sales[[#This Row],[Quantity]]=14,"Medium","Small"))</f>
        <v>Large</v>
      </c>
      <c r="Y14" t="str">
        <f>IF(AND(Sales[[#This Row],[Unit Price (₦)]]&gt;68000,Sales[[#This Row],[Quantity]]&gt;15),"Offer Discount", "No Discount")</f>
        <v>No Discount</v>
      </c>
    </row>
    <row r="15" spans="1:25" ht="15" customHeight="1" x14ac:dyDescent="0.25">
      <c r="A15" t="s">
        <v>889</v>
      </c>
      <c r="B15" s="8">
        <v>44660</v>
      </c>
      <c r="C15" s="8">
        <v>44665</v>
      </c>
      <c r="D15" t="s">
        <v>48</v>
      </c>
      <c r="E15" t="s">
        <v>3047</v>
      </c>
      <c r="F15" t="s">
        <v>3090</v>
      </c>
      <c r="G15" t="s">
        <v>422</v>
      </c>
      <c r="H15">
        <v>7068454356</v>
      </c>
      <c r="I15" t="s">
        <v>24</v>
      </c>
      <c r="J15" t="s">
        <v>51</v>
      </c>
      <c r="K15" t="s">
        <v>227</v>
      </c>
      <c r="L15" t="s">
        <v>108</v>
      </c>
      <c r="M15" t="s">
        <v>114</v>
      </c>
      <c r="N15" t="s">
        <v>891</v>
      </c>
      <c r="O15">
        <v>5</v>
      </c>
      <c r="P15">
        <v>12867.75</v>
      </c>
      <c r="Q15">
        <v>5</v>
      </c>
      <c r="R15" s="39">
        <v>3216.94</v>
      </c>
      <c r="S15" s="39">
        <v>61121.81</v>
      </c>
      <c r="T15" s="39">
        <v>16326.57</v>
      </c>
      <c r="U15" t="str">
        <f t="shared" si="0"/>
        <v>Clothing</v>
      </c>
      <c r="V15">
        <f t="shared" si="1"/>
        <v>16326.57</v>
      </c>
      <c r="W15" t="str">
        <f>IF(Sales[[#This Row],[Quantity]]&gt;=15, "Large","Small")</f>
        <v>Small</v>
      </c>
      <c r="X15" t="str">
        <f>IF(Sales[[#This Row],[Quantity]]&gt;=15,"Large",IF(Sales[[#This Row],[Quantity]]=14,"Medium","Small"))</f>
        <v>Small</v>
      </c>
      <c r="Y15" t="str">
        <f>IF(AND(Sales[[#This Row],[Unit Price (₦)]]&gt;68000,Sales[[#This Row],[Quantity]]&gt;15),"Offer Discount", "No Discount")</f>
        <v>No Discount</v>
      </c>
    </row>
    <row r="16" spans="1:25" ht="15" customHeight="1" x14ac:dyDescent="0.25">
      <c r="A16" t="s">
        <v>2900</v>
      </c>
      <c r="B16" s="8">
        <v>44660</v>
      </c>
      <c r="C16" s="8">
        <v>44666</v>
      </c>
      <c r="D16" t="s">
        <v>48</v>
      </c>
      <c r="E16" t="s">
        <v>3059</v>
      </c>
      <c r="F16" t="s">
        <v>3057</v>
      </c>
      <c r="G16" t="s">
        <v>2901</v>
      </c>
      <c r="H16">
        <v>9074321723</v>
      </c>
      <c r="I16" t="s">
        <v>43</v>
      </c>
      <c r="J16" t="s">
        <v>69</v>
      </c>
      <c r="K16" t="s">
        <v>155</v>
      </c>
      <c r="L16" t="s">
        <v>108</v>
      </c>
      <c r="M16" t="s">
        <v>109</v>
      </c>
      <c r="N16" t="s">
        <v>1258</v>
      </c>
      <c r="O16">
        <v>11</v>
      </c>
      <c r="P16">
        <v>19414.759999999998</v>
      </c>
      <c r="Q16">
        <v>5</v>
      </c>
      <c r="R16" s="39">
        <v>10678.12</v>
      </c>
      <c r="S16" s="39">
        <v>202884.24</v>
      </c>
      <c r="T16" s="39">
        <v>-25659.439999999999</v>
      </c>
      <c r="U16" t="str">
        <f t="shared" si="0"/>
        <v>Clothing</v>
      </c>
      <c r="V16">
        <f t="shared" si="1"/>
        <v>25659.439999999999</v>
      </c>
      <c r="W16" t="str">
        <f>IF(Sales[[#This Row],[Quantity]]&gt;=15, "Large","Small")</f>
        <v>Small</v>
      </c>
      <c r="X16" t="str">
        <f>IF(Sales[[#This Row],[Quantity]]&gt;=15,"Large",IF(Sales[[#This Row],[Quantity]]=14,"Medium","Small"))</f>
        <v>Small</v>
      </c>
      <c r="Y16" t="str">
        <f>IF(AND(Sales[[#This Row],[Unit Price (₦)]]&gt;68000,Sales[[#This Row],[Quantity]]&gt;15),"Offer Discount", "No Discount")</f>
        <v>No Discount</v>
      </c>
    </row>
    <row r="17" spans="1:25" ht="15" customHeight="1" x14ac:dyDescent="0.25">
      <c r="A17" t="s">
        <v>1888</v>
      </c>
      <c r="B17" s="8">
        <v>44668</v>
      </c>
      <c r="C17" s="8">
        <v>44675</v>
      </c>
      <c r="D17" t="s">
        <v>48</v>
      </c>
      <c r="E17" t="s">
        <v>3082</v>
      </c>
      <c r="F17" t="s">
        <v>3064</v>
      </c>
      <c r="G17" t="s">
        <v>1891</v>
      </c>
      <c r="H17">
        <v>8162690500</v>
      </c>
      <c r="I17" t="s">
        <v>35</v>
      </c>
      <c r="J17" t="s">
        <v>25</v>
      </c>
      <c r="K17" t="s">
        <v>126</v>
      </c>
      <c r="L17" t="s">
        <v>108</v>
      </c>
      <c r="M17" t="s">
        <v>109</v>
      </c>
      <c r="N17" t="s">
        <v>157</v>
      </c>
      <c r="O17">
        <v>12</v>
      </c>
      <c r="P17">
        <v>42778.11</v>
      </c>
      <c r="Q17">
        <v>10</v>
      </c>
      <c r="R17" s="39">
        <v>51333.73</v>
      </c>
      <c r="S17" s="39">
        <v>462003.59</v>
      </c>
      <c r="T17" s="39">
        <v>15067.79</v>
      </c>
      <c r="U17" t="str">
        <f t="shared" si="0"/>
        <v>Clothing</v>
      </c>
      <c r="V17">
        <f t="shared" si="1"/>
        <v>15067.79</v>
      </c>
      <c r="W17" t="str">
        <f>IF(Sales[[#This Row],[Quantity]]&gt;=15, "Large","Small")</f>
        <v>Small</v>
      </c>
      <c r="X17" t="str">
        <f>IF(Sales[[#This Row],[Quantity]]&gt;=15,"Large",IF(Sales[[#This Row],[Quantity]]=14,"Medium","Small"))</f>
        <v>Small</v>
      </c>
      <c r="Y17" t="str">
        <f>IF(AND(Sales[[#This Row],[Unit Price (₦)]]&gt;68000,Sales[[#This Row],[Quantity]]&gt;15),"Offer Discount", "No Discount")</f>
        <v>No Discount</v>
      </c>
    </row>
    <row r="18" spans="1:25" ht="15" customHeight="1" x14ac:dyDescent="0.25">
      <c r="A18" t="s">
        <v>2037</v>
      </c>
      <c r="B18" s="8">
        <v>44669</v>
      </c>
      <c r="C18" s="8">
        <v>44676</v>
      </c>
      <c r="D18" t="s">
        <v>48</v>
      </c>
      <c r="E18" t="s">
        <v>3063</v>
      </c>
      <c r="F18" t="s">
        <v>3038</v>
      </c>
      <c r="G18" t="s">
        <v>2038</v>
      </c>
      <c r="H18">
        <v>8162258998</v>
      </c>
      <c r="I18" t="s">
        <v>24</v>
      </c>
      <c r="J18" t="s">
        <v>61</v>
      </c>
      <c r="K18" t="s">
        <v>182</v>
      </c>
      <c r="L18" t="s">
        <v>63</v>
      </c>
      <c r="M18" t="s">
        <v>558</v>
      </c>
      <c r="N18" t="s">
        <v>1990</v>
      </c>
      <c r="O18">
        <v>13</v>
      </c>
      <c r="P18">
        <v>19894.88</v>
      </c>
      <c r="Q18">
        <v>10</v>
      </c>
      <c r="R18" s="39">
        <v>25863.34</v>
      </c>
      <c r="S18" s="39">
        <v>232770.1</v>
      </c>
      <c r="T18" s="39">
        <v>62661.45</v>
      </c>
      <c r="U18" t="str">
        <f t="shared" si="0"/>
        <v>Office Supplies</v>
      </c>
      <c r="V18">
        <f t="shared" si="1"/>
        <v>62661.45</v>
      </c>
      <c r="W18" t="str">
        <f>IF(Sales[[#This Row],[Quantity]]&gt;=15, "Large","Small")</f>
        <v>Small</v>
      </c>
      <c r="X18" t="str">
        <f>IF(Sales[[#This Row],[Quantity]]&gt;=15,"Large",IF(Sales[[#This Row],[Quantity]]=14,"Medium","Small"))</f>
        <v>Small</v>
      </c>
      <c r="Y18" t="str">
        <f>IF(AND(Sales[[#This Row],[Unit Price (₦)]]&gt;68000,Sales[[#This Row],[Quantity]]&gt;15),"Offer Discount", "No Discount")</f>
        <v>No Discount</v>
      </c>
    </row>
    <row r="19" spans="1:25" ht="15" customHeight="1" x14ac:dyDescent="0.25">
      <c r="A19" t="s">
        <v>578</v>
      </c>
      <c r="B19" s="8">
        <v>44685</v>
      </c>
      <c r="C19" s="8">
        <v>44690</v>
      </c>
      <c r="D19" t="s">
        <v>48</v>
      </c>
      <c r="E19" t="s">
        <v>3055</v>
      </c>
      <c r="F19" t="s">
        <v>3090</v>
      </c>
      <c r="G19" t="s">
        <v>580</v>
      </c>
      <c r="H19">
        <v>7064019585</v>
      </c>
      <c r="I19" t="s">
        <v>43</v>
      </c>
      <c r="J19" t="s">
        <v>25</v>
      </c>
      <c r="K19" t="s">
        <v>168</v>
      </c>
      <c r="L19" t="s">
        <v>85</v>
      </c>
      <c r="M19" t="s">
        <v>486</v>
      </c>
      <c r="N19" t="s">
        <v>543</v>
      </c>
      <c r="O19">
        <v>13</v>
      </c>
      <c r="P19">
        <v>178771.33</v>
      </c>
      <c r="Q19">
        <v>20</v>
      </c>
      <c r="R19" s="39">
        <v>464805.46</v>
      </c>
      <c r="S19" s="39">
        <v>1859221.83</v>
      </c>
      <c r="T19" s="39">
        <v>691206.94</v>
      </c>
      <c r="U19" t="str">
        <f t="shared" si="0"/>
        <v>Furniture</v>
      </c>
      <c r="V19">
        <f t="shared" si="1"/>
        <v>691206.94</v>
      </c>
      <c r="W19" t="str">
        <f>IF(Sales[[#This Row],[Quantity]]&gt;=15, "Large","Small")</f>
        <v>Small</v>
      </c>
      <c r="X19" t="str">
        <f>IF(Sales[[#This Row],[Quantity]]&gt;=15,"Large",IF(Sales[[#This Row],[Quantity]]=14,"Medium","Small"))</f>
        <v>Small</v>
      </c>
      <c r="Y19" t="str">
        <f>IF(AND(Sales[[#This Row],[Unit Price (₦)]]&gt;68000,Sales[[#This Row],[Quantity]]&gt;15),"Offer Discount", "No Discount")</f>
        <v>No Discount</v>
      </c>
    </row>
    <row r="20" spans="1:25" ht="15" customHeight="1" x14ac:dyDescent="0.25">
      <c r="A20" t="s">
        <v>1596</v>
      </c>
      <c r="B20" s="8">
        <v>44684</v>
      </c>
      <c r="C20" s="8">
        <v>44691</v>
      </c>
      <c r="D20" t="s">
        <v>48</v>
      </c>
      <c r="E20" t="s">
        <v>3061</v>
      </c>
      <c r="F20" t="s">
        <v>3040</v>
      </c>
      <c r="G20" t="s">
        <v>1597</v>
      </c>
      <c r="H20">
        <v>8061800824</v>
      </c>
      <c r="I20" t="s">
        <v>24</v>
      </c>
      <c r="J20" t="s">
        <v>51</v>
      </c>
      <c r="K20" t="s">
        <v>3127</v>
      </c>
      <c r="L20" t="s">
        <v>96</v>
      </c>
      <c r="M20" t="s">
        <v>189</v>
      </c>
      <c r="N20" t="s">
        <v>325</v>
      </c>
      <c r="O20">
        <v>1</v>
      </c>
      <c r="P20">
        <v>264009.34999999998</v>
      </c>
      <c r="Q20">
        <v>20</v>
      </c>
      <c r="R20" s="39">
        <v>52801.87</v>
      </c>
      <c r="S20" s="39">
        <v>211207.48</v>
      </c>
      <c r="T20" s="39">
        <v>11275.98</v>
      </c>
      <c r="U20" t="str">
        <f t="shared" si="0"/>
        <v>Technology</v>
      </c>
      <c r="V20">
        <f t="shared" si="1"/>
        <v>11275.98</v>
      </c>
      <c r="W20" t="str">
        <f>IF(Sales[[#This Row],[Quantity]]&gt;=15, "Large","Small")</f>
        <v>Small</v>
      </c>
      <c r="X20" t="str">
        <f>IF(Sales[[#This Row],[Quantity]]&gt;=15,"Large",IF(Sales[[#This Row],[Quantity]]=14,"Medium","Small"))</f>
        <v>Small</v>
      </c>
      <c r="Y20" t="str">
        <f>IF(AND(Sales[[#This Row],[Unit Price (₦)]]&gt;68000,Sales[[#This Row],[Quantity]]&gt;15),"Offer Discount", "No Discount")</f>
        <v>No Discount</v>
      </c>
    </row>
    <row r="21" spans="1:25" ht="15" customHeight="1" x14ac:dyDescent="0.25">
      <c r="A21" t="s">
        <v>2446</v>
      </c>
      <c r="B21" s="8">
        <v>44683</v>
      </c>
      <c r="C21" s="8">
        <v>44691</v>
      </c>
      <c r="D21" t="s">
        <v>48</v>
      </c>
      <c r="E21" t="s">
        <v>3033</v>
      </c>
      <c r="F21" t="s">
        <v>3054</v>
      </c>
      <c r="G21" t="s">
        <v>2447</v>
      </c>
      <c r="H21">
        <v>8033688598</v>
      </c>
      <c r="I21" t="s">
        <v>24</v>
      </c>
      <c r="J21" t="s">
        <v>61</v>
      </c>
      <c r="K21" t="s">
        <v>84</v>
      </c>
      <c r="L21" t="s">
        <v>85</v>
      </c>
      <c r="M21" t="s">
        <v>486</v>
      </c>
      <c r="N21" t="s">
        <v>1193</v>
      </c>
      <c r="O21">
        <v>13</v>
      </c>
      <c r="P21">
        <v>119126.56</v>
      </c>
      <c r="Q21">
        <v>5</v>
      </c>
      <c r="R21" s="39">
        <v>77432.259999999995</v>
      </c>
      <c r="S21" s="39">
        <v>1471213.02</v>
      </c>
      <c r="T21" s="39">
        <v>-1259.3900000000001</v>
      </c>
      <c r="U21" t="str">
        <f t="shared" si="0"/>
        <v>Furniture</v>
      </c>
      <c r="V21">
        <f t="shared" si="1"/>
        <v>1259.3900000000001</v>
      </c>
      <c r="W21" t="str">
        <f>IF(Sales[[#This Row],[Quantity]]&gt;=15, "Large","Small")</f>
        <v>Small</v>
      </c>
      <c r="X21" t="str">
        <f>IF(Sales[[#This Row],[Quantity]]&gt;=15,"Large",IF(Sales[[#This Row],[Quantity]]=14,"Medium","Small"))</f>
        <v>Small</v>
      </c>
      <c r="Y21" t="str">
        <f>IF(AND(Sales[[#This Row],[Unit Price (₦)]]&gt;68000,Sales[[#This Row],[Quantity]]&gt;15),"Offer Discount", "No Discount")</f>
        <v>No Discount</v>
      </c>
    </row>
    <row r="22" spans="1:25" ht="15" customHeight="1" x14ac:dyDescent="0.25">
      <c r="A22" t="s">
        <v>1901</v>
      </c>
      <c r="B22" s="8">
        <v>44686</v>
      </c>
      <c r="C22" s="8">
        <v>44692</v>
      </c>
      <c r="D22" t="s">
        <v>48</v>
      </c>
      <c r="E22" t="s">
        <v>3058</v>
      </c>
      <c r="F22" t="s">
        <v>3083</v>
      </c>
      <c r="G22" t="s">
        <v>1903</v>
      </c>
      <c r="H22">
        <v>8108344141</v>
      </c>
      <c r="I22" t="s">
        <v>43</v>
      </c>
      <c r="J22" t="s">
        <v>51</v>
      </c>
      <c r="K22" t="s">
        <v>131</v>
      </c>
      <c r="L22" t="s">
        <v>27</v>
      </c>
      <c r="M22" t="s">
        <v>28</v>
      </c>
      <c r="N22" t="s">
        <v>347</v>
      </c>
      <c r="O22">
        <v>-1</v>
      </c>
      <c r="P22">
        <v>6301.17</v>
      </c>
      <c r="Q22">
        <v>10</v>
      </c>
      <c r="R22" s="39">
        <v>8191.52</v>
      </c>
      <c r="S22" s="39">
        <v>73723.69</v>
      </c>
      <c r="T22" s="39">
        <v>-1905.41</v>
      </c>
      <c r="U22" t="str">
        <f t="shared" si="0"/>
        <v>Food &amp; Beverages</v>
      </c>
      <c r="V22">
        <f t="shared" si="1"/>
        <v>1905.41</v>
      </c>
      <c r="W22" t="str">
        <f>IF(Sales[[#This Row],[Quantity]]&gt;=15, "Large","Small")</f>
        <v>Small</v>
      </c>
      <c r="X22" t="str">
        <f>IF(Sales[[#This Row],[Quantity]]&gt;=15,"Large",IF(Sales[[#This Row],[Quantity]]=14,"Medium","Small"))</f>
        <v>Small</v>
      </c>
      <c r="Y22" t="str">
        <f>IF(AND(Sales[[#This Row],[Unit Price (₦)]]&gt;68000,Sales[[#This Row],[Quantity]]&gt;15),"Offer Discount", "No Discount")</f>
        <v>No Discount</v>
      </c>
    </row>
    <row r="23" spans="1:25" ht="15" customHeight="1" x14ac:dyDescent="0.25">
      <c r="A23" t="s">
        <v>737</v>
      </c>
      <c r="B23" s="8">
        <v>44685</v>
      </c>
      <c r="C23" s="8">
        <v>44693</v>
      </c>
      <c r="D23" t="s">
        <v>48</v>
      </c>
      <c r="E23" t="s">
        <v>3092</v>
      </c>
      <c r="F23" t="s">
        <v>3064</v>
      </c>
      <c r="G23" t="s">
        <v>739</v>
      </c>
      <c r="H23">
        <v>7067749095</v>
      </c>
      <c r="I23" t="s">
        <v>35</v>
      </c>
      <c r="J23" t="s">
        <v>25</v>
      </c>
      <c r="K23" t="s">
        <v>44</v>
      </c>
      <c r="L23" t="s">
        <v>96</v>
      </c>
      <c r="M23" t="s">
        <v>254</v>
      </c>
      <c r="N23" t="s">
        <v>452</v>
      </c>
      <c r="O23">
        <v>9</v>
      </c>
      <c r="P23">
        <v>282980.46999999997</v>
      </c>
      <c r="Q23">
        <v>0</v>
      </c>
      <c r="R23" s="39">
        <v>0</v>
      </c>
      <c r="S23" s="39">
        <v>2546824.23</v>
      </c>
      <c r="T23" s="39">
        <v>91543.38</v>
      </c>
      <c r="U23" t="str">
        <f t="shared" si="0"/>
        <v>Technology</v>
      </c>
      <c r="V23">
        <f t="shared" si="1"/>
        <v>91543.38</v>
      </c>
      <c r="W23" t="str">
        <f>IF(Sales[[#This Row],[Quantity]]&gt;=15, "Large","Small")</f>
        <v>Small</v>
      </c>
      <c r="X23" t="str">
        <f>IF(Sales[[#This Row],[Quantity]]&gt;=15,"Large",IF(Sales[[#This Row],[Quantity]]=14,"Medium","Small"))</f>
        <v>Small</v>
      </c>
      <c r="Y23" t="str">
        <f>IF(AND(Sales[[#This Row],[Unit Price (₦)]]&gt;68000,Sales[[#This Row],[Quantity]]&gt;15),"Offer Discount", "No Discount")</f>
        <v>No Discount</v>
      </c>
    </row>
    <row r="24" spans="1:25" ht="15" customHeight="1" x14ac:dyDescent="0.25">
      <c r="A24" t="s">
        <v>364</v>
      </c>
      <c r="B24" s="8">
        <v>44686</v>
      </c>
      <c r="C24" s="8">
        <v>44694</v>
      </c>
      <c r="D24" t="s">
        <v>48</v>
      </c>
      <c r="E24" t="s">
        <v>3058</v>
      </c>
      <c r="F24" t="s">
        <v>3066</v>
      </c>
      <c r="G24" t="s">
        <v>366</v>
      </c>
      <c r="H24">
        <v>8148441741</v>
      </c>
      <c r="I24" t="s">
        <v>24</v>
      </c>
      <c r="J24" t="s">
        <v>51</v>
      </c>
      <c r="K24" t="s">
        <v>316</v>
      </c>
      <c r="L24" t="s">
        <v>96</v>
      </c>
      <c r="M24" t="s">
        <v>120</v>
      </c>
      <c r="N24" t="s">
        <v>367</v>
      </c>
      <c r="O24">
        <v>3</v>
      </c>
      <c r="P24">
        <v>279609.38</v>
      </c>
      <c r="Q24">
        <v>0</v>
      </c>
      <c r="R24" s="39">
        <v>0</v>
      </c>
      <c r="S24" s="39">
        <v>838828.14</v>
      </c>
      <c r="T24" s="39">
        <v>12590.47</v>
      </c>
      <c r="U24" t="str">
        <f t="shared" si="0"/>
        <v>Technology</v>
      </c>
      <c r="V24">
        <f t="shared" si="1"/>
        <v>12590.47</v>
      </c>
      <c r="W24" t="str">
        <f>IF(Sales[[#This Row],[Quantity]]&gt;=15, "Large","Small")</f>
        <v>Small</v>
      </c>
      <c r="X24" t="str">
        <f>IF(Sales[[#This Row],[Quantity]]&gt;=15,"Large",IF(Sales[[#This Row],[Quantity]]=14,"Medium","Small"))</f>
        <v>Small</v>
      </c>
      <c r="Y24" t="str">
        <f>IF(AND(Sales[[#This Row],[Unit Price (₦)]]&gt;68000,Sales[[#This Row],[Quantity]]&gt;15),"Offer Discount", "No Discount")</f>
        <v>No Discount</v>
      </c>
    </row>
    <row r="25" spans="1:25" ht="15" customHeight="1" x14ac:dyDescent="0.25">
      <c r="A25" t="s">
        <v>1951</v>
      </c>
      <c r="B25" s="8">
        <v>44695</v>
      </c>
      <c r="C25" s="8">
        <v>44701</v>
      </c>
      <c r="D25" t="s">
        <v>48</v>
      </c>
      <c r="E25" t="s">
        <v>3080</v>
      </c>
      <c r="F25" t="s">
        <v>3046</v>
      </c>
      <c r="G25" t="s">
        <v>1952</v>
      </c>
      <c r="H25">
        <v>8134384399</v>
      </c>
      <c r="I25" t="s">
        <v>24</v>
      </c>
      <c r="J25" t="s">
        <v>51</v>
      </c>
      <c r="K25" t="s">
        <v>131</v>
      </c>
      <c r="L25" t="s">
        <v>96</v>
      </c>
      <c r="M25" t="s">
        <v>385</v>
      </c>
      <c r="N25" t="s">
        <v>386</v>
      </c>
      <c r="O25">
        <v>19</v>
      </c>
      <c r="P25">
        <v>51992.12</v>
      </c>
      <c r="Q25">
        <v>0</v>
      </c>
      <c r="R25" s="39">
        <v>0</v>
      </c>
      <c r="S25" s="39">
        <v>987850.28</v>
      </c>
      <c r="T25" s="39">
        <v>185956.49</v>
      </c>
      <c r="U25" t="str">
        <f t="shared" si="0"/>
        <v>Technology</v>
      </c>
      <c r="V25">
        <f t="shared" si="1"/>
        <v>185956.49</v>
      </c>
      <c r="W25" t="str">
        <f>IF(Sales[[#This Row],[Quantity]]&gt;=15, "Large","Small")</f>
        <v>Large</v>
      </c>
      <c r="X25" t="str">
        <f>IF(Sales[[#This Row],[Quantity]]&gt;=15,"Large",IF(Sales[[#This Row],[Quantity]]=14,"Medium","Small"))</f>
        <v>Large</v>
      </c>
      <c r="Y25" t="str">
        <f>IF(AND(Sales[[#This Row],[Unit Price (₦)]]&gt;68000,Sales[[#This Row],[Quantity]]&gt;15),"Offer Discount", "No Discount")</f>
        <v>No Discount</v>
      </c>
    </row>
    <row r="26" spans="1:25" ht="15" customHeight="1" x14ac:dyDescent="0.25">
      <c r="A26" t="s">
        <v>2696</v>
      </c>
      <c r="B26" s="8">
        <v>44698</v>
      </c>
      <c r="C26" s="8">
        <v>44704</v>
      </c>
      <c r="D26" t="s">
        <v>48</v>
      </c>
      <c r="E26" t="s">
        <v>3061</v>
      </c>
      <c r="F26" t="s">
        <v>3083</v>
      </c>
      <c r="G26" t="s">
        <v>2698</v>
      </c>
      <c r="H26">
        <v>8155648826</v>
      </c>
      <c r="I26" t="s">
        <v>43</v>
      </c>
      <c r="J26" t="s">
        <v>69</v>
      </c>
      <c r="K26" t="s">
        <v>155</v>
      </c>
      <c r="L26" t="s">
        <v>27</v>
      </c>
      <c r="M26" t="s">
        <v>173</v>
      </c>
      <c r="N26" t="s">
        <v>662</v>
      </c>
      <c r="O26">
        <v>2</v>
      </c>
      <c r="P26">
        <v>1833.76</v>
      </c>
      <c r="Q26">
        <v>15</v>
      </c>
      <c r="R26" s="39">
        <v>550.13</v>
      </c>
      <c r="S26" s="39">
        <v>3117.39</v>
      </c>
      <c r="T26" s="39">
        <v>707.23</v>
      </c>
      <c r="U26" t="str">
        <f t="shared" si="0"/>
        <v>Food &amp; Beverages</v>
      </c>
      <c r="V26">
        <f t="shared" si="1"/>
        <v>707.23</v>
      </c>
      <c r="W26" t="str">
        <f>IF(Sales[[#This Row],[Quantity]]&gt;=15, "Large","Small")</f>
        <v>Small</v>
      </c>
      <c r="X26" t="str">
        <f>IF(Sales[[#This Row],[Quantity]]&gt;=15,"Large",IF(Sales[[#This Row],[Quantity]]=14,"Medium","Small"))</f>
        <v>Small</v>
      </c>
      <c r="Y26" t="str">
        <f>IF(AND(Sales[[#This Row],[Unit Price (₦)]]&gt;68000,Sales[[#This Row],[Quantity]]&gt;15),"Offer Discount", "No Discount")</f>
        <v>No Discount</v>
      </c>
    </row>
    <row r="27" spans="1:25" ht="15" customHeight="1" x14ac:dyDescent="0.25">
      <c r="A27" t="s">
        <v>314</v>
      </c>
      <c r="B27" s="8">
        <v>44702</v>
      </c>
      <c r="C27" s="8">
        <v>44708</v>
      </c>
      <c r="D27" t="s">
        <v>48</v>
      </c>
      <c r="E27" t="s">
        <v>3076</v>
      </c>
      <c r="F27" t="s">
        <v>3043</v>
      </c>
      <c r="G27" t="s">
        <v>315</v>
      </c>
      <c r="H27">
        <v>7062651601</v>
      </c>
      <c r="I27" t="s">
        <v>24</v>
      </c>
      <c r="J27" t="s">
        <v>51</v>
      </c>
      <c r="K27" t="s">
        <v>316</v>
      </c>
      <c r="L27" t="s">
        <v>96</v>
      </c>
      <c r="M27" t="s">
        <v>189</v>
      </c>
      <c r="N27" t="s">
        <v>190</v>
      </c>
      <c r="O27">
        <v>1</v>
      </c>
      <c r="P27">
        <v>316890.51</v>
      </c>
      <c r="Q27">
        <v>0</v>
      </c>
      <c r="R27" s="39">
        <v>0</v>
      </c>
      <c r="S27" s="39">
        <v>316890.51</v>
      </c>
      <c r="T27" s="39">
        <v>14141.18</v>
      </c>
      <c r="U27" t="str">
        <f t="shared" si="0"/>
        <v>Technology</v>
      </c>
      <c r="V27">
        <f t="shared" si="1"/>
        <v>14141.18</v>
      </c>
      <c r="W27" t="str">
        <f>IF(Sales[[#This Row],[Quantity]]&gt;=15, "Large","Small")</f>
        <v>Small</v>
      </c>
      <c r="X27" t="str">
        <f>IF(Sales[[#This Row],[Quantity]]&gt;=15,"Large",IF(Sales[[#This Row],[Quantity]]=14,"Medium","Small"))</f>
        <v>Small</v>
      </c>
      <c r="Y27" t="str">
        <f>IF(AND(Sales[[#This Row],[Unit Price (₦)]]&gt;68000,Sales[[#This Row],[Quantity]]&gt;15),"Offer Discount", "No Discount")</f>
        <v>No Discount</v>
      </c>
    </row>
    <row r="28" spans="1:25" ht="15" customHeight="1" x14ac:dyDescent="0.25">
      <c r="A28" t="s">
        <v>1132</v>
      </c>
      <c r="B28" s="8">
        <v>44706</v>
      </c>
      <c r="C28" s="8">
        <v>44713</v>
      </c>
      <c r="D28" t="s">
        <v>48</v>
      </c>
      <c r="E28" t="s">
        <v>3044</v>
      </c>
      <c r="F28" t="s">
        <v>3052</v>
      </c>
      <c r="G28" t="s">
        <v>1133</v>
      </c>
      <c r="H28">
        <v>8064875838</v>
      </c>
      <c r="I28" t="s">
        <v>43</v>
      </c>
      <c r="J28" t="s">
        <v>25</v>
      </c>
      <c r="K28" t="s">
        <v>1134</v>
      </c>
      <c r="L28" t="s">
        <v>27</v>
      </c>
      <c r="M28" t="s">
        <v>28</v>
      </c>
      <c r="N28" t="s">
        <v>508</v>
      </c>
      <c r="O28">
        <v>8</v>
      </c>
      <c r="P28">
        <v>1787.02</v>
      </c>
      <c r="Q28">
        <v>0</v>
      </c>
      <c r="R28" s="39">
        <v>0</v>
      </c>
      <c r="S28" s="39">
        <v>14296.16</v>
      </c>
      <c r="T28" s="39">
        <v>2645.56</v>
      </c>
      <c r="U28" t="str">
        <f t="shared" si="0"/>
        <v>Food &amp; Beverages</v>
      </c>
      <c r="V28">
        <f t="shared" si="1"/>
        <v>2645.56</v>
      </c>
      <c r="W28" t="str">
        <f>IF(Sales[[#This Row],[Quantity]]&gt;=15, "Large","Small")</f>
        <v>Small</v>
      </c>
      <c r="X28" t="str">
        <f>IF(Sales[[#This Row],[Quantity]]&gt;=15,"Large",IF(Sales[[#This Row],[Quantity]]=14,"Medium","Small"))</f>
        <v>Small</v>
      </c>
      <c r="Y28" t="str">
        <f>IF(AND(Sales[[#This Row],[Unit Price (₦)]]&gt;68000,Sales[[#This Row],[Quantity]]&gt;15),"Offer Discount", "No Discount")</f>
        <v>No Discount</v>
      </c>
    </row>
    <row r="29" spans="1:25" ht="15" customHeight="1" x14ac:dyDescent="0.25">
      <c r="A29" t="s">
        <v>1777</v>
      </c>
      <c r="B29" s="8">
        <v>44705</v>
      </c>
      <c r="C29" s="8">
        <v>44713</v>
      </c>
      <c r="D29" t="s">
        <v>48</v>
      </c>
      <c r="E29" t="s">
        <v>3070</v>
      </c>
      <c r="F29" t="s">
        <v>3066</v>
      </c>
      <c r="G29" t="s">
        <v>1779</v>
      </c>
      <c r="H29">
        <v>9018230134</v>
      </c>
      <c r="I29" t="s">
        <v>35</v>
      </c>
      <c r="J29" t="s">
        <v>61</v>
      </c>
      <c r="K29" t="s">
        <v>204</v>
      </c>
      <c r="L29" t="s">
        <v>85</v>
      </c>
      <c r="M29" t="s">
        <v>218</v>
      </c>
      <c r="N29" t="s">
        <v>1058</v>
      </c>
      <c r="O29">
        <v>5</v>
      </c>
      <c r="P29">
        <v>40060.81</v>
      </c>
      <c r="Q29">
        <v>5</v>
      </c>
      <c r="R29" s="39">
        <v>10015.200000000001</v>
      </c>
      <c r="S29" s="39">
        <v>190288.85</v>
      </c>
      <c r="T29" s="39">
        <v>26998.71</v>
      </c>
      <c r="U29" t="str">
        <f t="shared" si="0"/>
        <v>Furniture</v>
      </c>
      <c r="V29">
        <f t="shared" si="1"/>
        <v>26998.71</v>
      </c>
      <c r="W29" t="str">
        <f>IF(Sales[[#This Row],[Quantity]]&gt;=15, "Large","Small")</f>
        <v>Small</v>
      </c>
      <c r="X29" t="str">
        <f>IF(Sales[[#This Row],[Quantity]]&gt;=15,"Large",IF(Sales[[#This Row],[Quantity]]=14,"Medium","Small"))</f>
        <v>Small</v>
      </c>
      <c r="Y29" t="str">
        <f>IF(AND(Sales[[#This Row],[Unit Price (₦)]]&gt;68000,Sales[[#This Row],[Quantity]]&gt;15),"Offer Discount", "No Discount")</f>
        <v>No Discount</v>
      </c>
    </row>
    <row r="30" spans="1:25" ht="15" customHeight="1" x14ac:dyDescent="0.25">
      <c r="A30" t="s">
        <v>1533</v>
      </c>
      <c r="B30" s="8">
        <v>44706</v>
      </c>
      <c r="C30" s="8">
        <v>44714</v>
      </c>
      <c r="D30" t="s">
        <v>48</v>
      </c>
      <c r="E30" t="s">
        <v>3081</v>
      </c>
      <c r="F30" t="s">
        <v>3045</v>
      </c>
      <c r="G30" t="s">
        <v>1192</v>
      </c>
      <c r="H30">
        <v>8105027876</v>
      </c>
      <c r="I30" t="s">
        <v>43</v>
      </c>
      <c r="J30" t="s">
        <v>25</v>
      </c>
      <c r="K30" t="s">
        <v>44</v>
      </c>
      <c r="L30" t="s">
        <v>108</v>
      </c>
      <c r="M30" t="s">
        <v>114</v>
      </c>
      <c r="N30" t="s">
        <v>291</v>
      </c>
      <c r="O30">
        <v>6</v>
      </c>
      <c r="P30">
        <v>38650.870000000003</v>
      </c>
      <c r="Q30">
        <v>15</v>
      </c>
      <c r="R30" s="39">
        <v>34785.78</v>
      </c>
      <c r="S30" s="39">
        <v>197119.44</v>
      </c>
      <c r="T30" s="39">
        <v>62623.96</v>
      </c>
      <c r="U30" t="str">
        <f t="shared" si="0"/>
        <v>Clothing</v>
      </c>
      <c r="V30">
        <f t="shared" si="1"/>
        <v>62623.96</v>
      </c>
      <c r="W30" t="str">
        <f>IF(Sales[[#This Row],[Quantity]]&gt;=15, "Large","Small")</f>
        <v>Small</v>
      </c>
      <c r="X30" t="str">
        <f>IF(Sales[[#This Row],[Quantity]]&gt;=15,"Large",IF(Sales[[#This Row],[Quantity]]=14,"Medium","Small"))</f>
        <v>Small</v>
      </c>
      <c r="Y30" t="str">
        <f>IF(AND(Sales[[#This Row],[Unit Price (₦)]]&gt;68000,Sales[[#This Row],[Quantity]]&gt;15),"Offer Discount", "No Discount")</f>
        <v>No Discount</v>
      </c>
    </row>
    <row r="31" spans="1:25" ht="15" customHeight="1" x14ac:dyDescent="0.25">
      <c r="A31" t="s">
        <v>1699</v>
      </c>
      <c r="B31" s="8">
        <v>44708</v>
      </c>
      <c r="C31" s="8">
        <v>44715</v>
      </c>
      <c r="D31" t="s">
        <v>48</v>
      </c>
      <c r="E31" t="s">
        <v>3063</v>
      </c>
      <c r="F31" t="s">
        <v>3077</v>
      </c>
      <c r="G31" t="s">
        <v>885</v>
      </c>
      <c r="H31">
        <v>7034299177</v>
      </c>
      <c r="I31" t="s">
        <v>35</v>
      </c>
      <c r="J31" t="s">
        <v>51</v>
      </c>
      <c r="K31" t="s">
        <v>131</v>
      </c>
      <c r="L31" t="s">
        <v>63</v>
      </c>
      <c r="M31" t="s">
        <v>558</v>
      </c>
      <c r="N31" t="s">
        <v>1380</v>
      </c>
      <c r="O31">
        <v>9</v>
      </c>
      <c r="P31">
        <v>18757.68</v>
      </c>
      <c r="Q31">
        <v>5</v>
      </c>
      <c r="R31" s="39">
        <v>8440.9599999999991</v>
      </c>
      <c r="S31" s="39">
        <v>160378.16</v>
      </c>
      <c r="T31" s="39">
        <v>43845.08</v>
      </c>
      <c r="U31" t="str">
        <f t="shared" si="0"/>
        <v>Office Supplies</v>
      </c>
      <c r="V31">
        <f t="shared" si="1"/>
        <v>43845.08</v>
      </c>
      <c r="W31" t="str">
        <f>IF(Sales[[#This Row],[Quantity]]&gt;=15, "Large","Small")</f>
        <v>Small</v>
      </c>
      <c r="X31" t="str">
        <f>IF(Sales[[#This Row],[Quantity]]&gt;=15,"Large",IF(Sales[[#This Row],[Quantity]]=14,"Medium","Small"))</f>
        <v>Small</v>
      </c>
      <c r="Y31" t="str">
        <f>IF(AND(Sales[[#This Row],[Unit Price (₦)]]&gt;68000,Sales[[#This Row],[Quantity]]&gt;15),"Offer Discount", "No Discount")</f>
        <v>No Discount</v>
      </c>
    </row>
    <row r="32" spans="1:25" ht="15" customHeight="1" x14ac:dyDescent="0.25">
      <c r="A32" t="s">
        <v>1059</v>
      </c>
      <c r="B32" s="8">
        <v>44722</v>
      </c>
      <c r="C32" s="8">
        <v>44730</v>
      </c>
      <c r="D32" t="s">
        <v>48</v>
      </c>
      <c r="E32" t="s">
        <v>3085</v>
      </c>
      <c r="F32" t="s">
        <v>3046</v>
      </c>
      <c r="G32" t="s">
        <v>1061</v>
      </c>
      <c r="H32">
        <v>8039091518</v>
      </c>
      <c r="I32" t="s">
        <v>35</v>
      </c>
      <c r="J32" t="s">
        <v>51</v>
      </c>
      <c r="K32" t="s">
        <v>131</v>
      </c>
      <c r="L32" t="s">
        <v>63</v>
      </c>
      <c r="M32" t="s">
        <v>312</v>
      </c>
      <c r="N32" t="s">
        <v>761</v>
      </c>
      <c r="O32">
        <v>19</v>
      </c>
      <c r="P32">
        <v>12562.34</v>
      </c>
      <c r="Q32">
        <v>10</v>
      </c>
      <c r="R32" s="39">
        <v>23868.45</v>
      </c>
      <c r="S32" s="39">
        <v>214816.01</v>
      </c>
      <c r="T32" s="39">
        <v>31037.31</v>
      </c>
      <c r="U32" t="str">
        <f t="shared" si="0"/>
        <v>Office Supplies</v>
      </c>
      <c r="V32">
        <f t="shared" si="1"/>
        <v>31037.31</v>
      </c>
      <c r="W32" t="str">
        <f>IF(Sales[[#This Row],[Quantity]]&gt;=15, "Large","Small")</f>
        <v>Large</v>
      </c>
      <c r="X32" t="str">
        <f>IF(Sales[[#This Row],[Quantity]]&gt;=15,"Large",IF(Sales[[#This Row],[Quantity]]=14,"Medium","Small"))</f>
        <v>Large</v>
      </c>
      <c r="Y32" t="str">
        <f>IF(AND(Sales[[#This Row],[Unit Price (₦)]]&gt;68000,Sales[[#This Row],[Quantity]]&gt;15),"Offer Discount", "No Discount")</f>
        <v>No Discount</v>
      </c>
    </row>
    <row r="33" spans="1:25" ht="15" customHeight="1" x14ac:dyDescent="0.25">
      <c r="A33" t="s">
        <v>1484</v>
      </c>
      <c r="B33" s="8">
        <v>44733</v>
      </c>
      <c r="C33" s="8">
        <v>44730</v>
      </c>
      <c r="D33" t="s">
        <v>48</v>
      </c>
      <c r="E33" t="s">
        <v>3080</v>
      </c>
      <c r="F33" t="s">
        <v>3064</v>
      </c>
      <c r="G33" t="s">
        <v>1486</v>
      </c>
      <c r="H33">
        <v>7067097414</v>
      </c>
      <c r="I33" t="s">
        <v>35</v>
      </c>
      <c r="J33" t="s">
        <v>25</v>
      </c>
      <c r="K33" t="s">
        <v>168</v>
      </c>
      <c r="L33" t="s">
        <v>96</v>
      </c>
      <c r="M33" t="s">
        <v>189</v>
      </c>
      <c r="N33" t="s">
        <v>190</v>
      </c>
      <c r="O33">
        <v>19</v>
      </c>
      <c r="P33">
        <v>117677.9</v>
      </c>
      <c r="Q33">
        <v>25</v>
      </c>
      <c r="R33" s="39">
        <v>558970.03</v>
      </c>
      <c r="S33" s="39">
        <v>1676910.07</v>
      </c>
      <c r="T33" s="39">
        <v>687132.8</v>
      </c>
      <c r="U33" t="str">
        <f t="shared" si="0"/>
        <v>Technology</v>
      </c>
      <c r="V33">
        <f t="shared" si="1"/>
        <v>687132.8</v>
      </c>
      <c r="W33" t="str">
        <f>IF(Sales[[#This Row],[Quantity]]&gt;=15, "Large","Small")</f>
        <v>Large</v>
      </c>
      <c r="X33" t="str">
        <f>IF(Sales[[#This Row],[Quantity]]&gt;=15,"Large",IF(Sales[[#This Row],[Quantity]]=14,"Medium","Small"))</f>
        <v>Large</v>
      </c>
      <c r="Y33" t="str">
        <f>IF(AND(Sales[[#This Row],[Unit Price (₦)]]&gt;68000,Sales[[#This Row],[Quantity]]&gt;15),"Offer Discount", "No Discount")</f>
        <v>Offer Discount</v>
      </c>
    </row>
    <row r="34" spans="1:25" ht="15" customHeight="1" x14ac:dyDescent="0.25">
      <c r="A34" t="s">
        <v>2577</v>
      </c>
      <c r="B34" s="8">
        <v>44724</v>
      </c>
      <c r="C34" s="8">
        <v>44730</v>
      </c>
      <c r="D34" t="s">
        <v>48</v>
      </c>
      <c r="E34" t="s">
        <v>3050</v>
      </c>
      <c r="F34" t="s">
        <v>3036</v>
      </c>
      <c r="G34" t="s">
        <v>2017</v>
      </c>
      <c r="H34">
        <v>8154176691</v>
      </c>
      <c r="I34" t="s">
        <v>35</v>
      </c>
      <c r="J34" t="s">
        <v>25</v>
      </c>
      <c r="K34" t="s">
        <v>168</v>
      </c>
      <c r="L34" t="s">
        <v>96</v>
      </c>
      <c r="M34" t="s">
        <v>120</v>
      </c>
      <c r="N34" t="s">
        <v>359</v>
      </c>
      <c r="O34">
        <v>11</v>
      </c>
      <c r="P34">
        <v>96365.9</v>
      </c>
      <c r="Q34">
        <v>5</v>
      </c>
      <c r="R34" s="39">
        <v>53001.25</v>
      </c>
      <c r="S34" s="39">
        <v>1007023.65</v>
      </c>
      <c r="T34" s="39">
        <v>-52914.92</v>
      </c>
      <c r="U34" t="str">
        <f t="shared" si="0"/>
        <v>Technology</v>
      </c>
      <c r="V34">
        <f t="shared" si="1"/>
        <v>52914.92</v>
      </c>
      <c r="W34" t="str">
        <f>IF(Sales[[#This Row],[Quantity]]&gt;=15, "Large","Small")</f>
        <v>Small</v>
      </c>
      <c r="X34" t="str">
        <f>IF(Sales[[#This Row],[Quantity]]&gt;=15,"Large",IF(Sales[[#This Row],[Quantity]]=14,"Medium","Small"))</f>
        <v>Small</v>
      </c>
      <c r="Y34" t="str">
        <f>IF(AND(Sales[[#This Row],[Unit Price (₦)]]&gt;68000,Sales[[#This Row],[Quantity]]&gt;15),"Offer Discount", "No Discount")</f>
        <v>No Discount</v>
      </c>
    </row>
    <row r="35" spans="1:25" ht="15" customHeight="1" x14ac:dyDescent="0.25">
      <c r="A35" t="s">
        <v>2766</v>
      </c>
      <c r="B35" s="8">
        <v>44730</v>
      </c>
      <c r="C35" s="8">
        <v>44735</v>
      </c>
      <c r="D35" t="s">
        <v>48</v>
      </c>
      <c r="E35" t="s">
        <v>3085</v>
      </c>
      <c r="F35" t="s">
        <v>3046</v>
      </c>
      <c r="G35" t="s">
        <v>2767</v>
      </c>
      <c r="H35">
        <v>9023851025</v>
      </c>
      <c r="I35" t="s">
        <v>35</v>
      </c>
      <c r="J35" t="s">
        <v>51</v>
      </c>
      <c r="K35" t="s">
        <v>223</v>
      </c>
      <c r="L35" t="s">
        <v>108</v>
      </c>
      <c r="M35" t="s">
        <v>183</v>
      </c>
      <c r="N35" t="s">
        <v>719</v>
      </c>
      <c r="O35">
        <v>10</v>
      </c>
      <c r="P35">
        <v>13495.2</v>
      </c>
      <c r="Q35">
        <v>25</v>
      </c>
      <c r="R35" s="39">
        <v>33738</v>
      </c>
      <c r="S35" s="39">
        <v>101214</v>
      </c>
      <c r="T35" s="39">
        <v>-10828.89</v>
      </c>
      <c r="U35" t="str">
        <f t="shared" si="0"/>
        <v>Clothing</v>
      </c>
      <c r="V35">
        <f t="shared" si="1"/>
        <v>10828.89</v>
      </c>
      <c r="W35" t="str">
        <f>IF(Sales[[#This Row],[Quantity]]&gt;=15, "Large","Small")</f>
        <v>Small</v>
      </c>
      <c r="X35" t="str">
        <f>IF(Sales[[#This Row],[Quantity]]&gt;=15,"Large",IF(Sales[[#This Row],[Quantity]]=14,"Medium","Small"))</f>
        <v>Small</v>
      </c>
      <c r="Y35" t="str">
        <f>IF(AND(Sales[[#This Row],[Unit Price (₦)]]&gt;68000,Sales[[#This Row],[Quantity]]&gt;15),"Offer Discount", "No Discount")</f>
        <v>No Discount</v>
      </c>
    </row>
    <row r="36" spans="1:25" ht="15" customHeight="1" x14ac:dyDescent="0.25">
      <c r="A36" t="s">
        <v>389</v>
      </c>
      <c r="B36" s="8">
        <v>44729</v>
      </c>
      <c r="C36" s="8">
        <v>44736</v>
      </c>
      <c r="D36" t="s">
        <v>48</v>
      </c>
      <c r="E36" t="s">
        <v>3053</v>
      </c>
      <c r="F36" t="s">
        <v>3069</v>
      </c>
      <c r="G36" t="s">
        <v>390</v>
      </c>
      <c r="H36">
        <v>8148416270</v>
      </c>
      <c r="I36" t="s">
        <v>391</v>
      </c>
      <c r="J36" t="s">
        <v>61</v>
      </c>
      <c r="K36" t="s">
        <v>62</v>
      </c>
      <c r="L36" t="s">
        <v>108</v>
      </c>
      <c r="M36" t="s">
        <v>38</v>
      </c>
      <c r="N36" t="s">
        <v>303</v>
      </c>
      <c r="O36">
        <v>4</v>
      </c>
      <c r="P36">
        <v>34462.559999999998</v>
      </c>
      <c r="Q36">
        <v>10</v>
      </c>
      <c r="R36" s="39">
        <v>13785.02</v>
      </c>
      <c r="S36" s="39">
        <v>124065.22</v>
      </c>
      <c r="T36" s="39">
        <v>13392.61</v>
      </c>
      <c r="U36" t="str">
        <f t="shared" si="0"/>
        <v>Clothing</v>
      </c>
      <c r="V36">
        <f t="shared" si="1"/>
        <v>13392.61</v>
      </c>
      <c r="W36" t="str">
        <f>IF(Sales[[#This Row],[Quantity]]&gt;=15, "Large","Small")</f>
        <v>Small</v>
      </c>
      <c r="X36" t="str">
        <f>IF(Sales[[#This Row],[Quantity]]&gt;=15,"Large",IF(Sales[[#This Row],[Quantity]]=14,"Medium","Small"))</f>
        <v>Small</v>
      </c>
      <c r="Y36" t="str">
        <f>IF(AND(Sales[[#This Row],[Unit Price (₦)]]&gt;68000,Sales[[#This Row],[Quantity]]&gt;15),"Offer Discount", "No Discount")</f>
        <v>No Discount</v>
      </c>
    </row>
    <row r="37" spans="1:25" ht="15" customHeight="1" x14ac:dyDescent="0.25">
      <c r="A37" t="s">
        <v>1532</v>
      </c>
      <c r="B37" s="8">
        <v>44728</v>
      </c>
      <c r="C37" s="8">
        <v>44736</v>
      </c>
      <c r="D37" t="s">
        <v>48</v>
      </c>
      <c r="E37" t="s">
        <v>3055</v>
      </c>
      <c r="F37" t="s">
        <v>3071</v>
      </c>
      <c r="G37" t="s">
        <v>193</v>
      </c>
      <c r="H37">
        <v>9051097397</v>
      </c>
      <c r="I37" t="s">
        <v>35</v>
      </c>
      <c r="J37" t="s">
        <v>25</v>
      </c>
      <c r="K37" t="s">
        <v>44</v>
      </c>
      <c r="L37" t="s">
        <v>63</v>
      </c>
      <c r="M37" t="s">
        <v>249</v>
      </c>
      <c r="N37" t="s">
        <v>250</v>
      </c>
      <c r="O37">
        <v>11</v>
      </c>
      <c r="P37">
        <v>23796.95</v>
      </c>
      <c r="Q37">
        <v>0</v>
      </c>
      <c r="R37" s="39">
        <v>0</v>
      </c>
      <c r="S37" s="39">
        <v>261766.45</v>
      </c>
      <c r="T37" s="39">
        <v>-6067.72</v>
      </c>
      <c r="U37" t="str">
        <f t="shared" si="0"/>
        <v>Office Supplies</v>
      </c>
      <c r="V37">
        <f t="shared" si="1"/>
        <v>6067.72</v>
      </c>
      <c r="W37" t="str">
        <f>IF(Sales[[#This Row],[Quantity]]&gt;=15, "Large","Small")</f>
        <v>Small</v>
      </c>
      <c r="X37" t="str">
        <f>IF(Sales[[#This Row],[Quantity]]&gt;=15,"Large",IF(Sales[[#This Row],[Quantity]]=14,"Medium","Small"))</f>
        <v>Small</v>
      </c>
      <c r="Y37" t="str">
        <f>IF(AND(Sales[[#This Row],[Unit Price (₦)]]&gt;68000,Sales[[#This Row],[Quantity]]&gt;15),"Offer Discount", "No Discount")</f>
        <v>No Discount</v>
      </c>
    </row>
    <row r="38" spans="1:25" ht="15" customHeight="1" x14ac:dyDescent="0.25">
      <c r="A38" t="s">
        <v>2902</v>
      </c>
      <c r="B38" s="8">
        <v>44733</v>
      </c>
      <c r="C38" s="8">
        <v>44741</v>
      </c>
      <c r="D38" t="s">
        <v>48</v>
      </c>
      <c r="E38" t="s">
        <v>3041</v>
      </c>
      <c r="F38" t="s">
        <v>3045</v>
      </c>
      <c r="G38" t="s">
        <v>966</v>
      </c>
      <c r="H38">
        <v>8149400075</v>
      </c>
      <c r="I38" t="s">
        <v>24</v>
      </c>
      <c r="J38" t="s">
        <v>69</v>
      </c>
      <c r="K38" t="s">
        <v>307</v>
      </c>
      <c r="L38" t="s">
        <v>108</v>
      </c>
      <c r="M38" t="s">
        <v>189</v>
      </c>
      <c r="N38" t="s">
        <v>205</v>
      </c>
      <c r="O38">
        <v>1</v>
      </c>
      <c r="P38">
        <v>40348.43</v>
      </c>
      <c r="Q38">
        <v>0</v>
      </c>
      <c r="R38" s="39">
        <v>0</v>
      </c>
      <c r="S38" s="39">
        <v>40348.43</v>
      </c>
      <c r="T38" s="39">
        <v>-999.75</v>
      </c>
      <c r="U38" t="str">
        <f t="shared" si="0"/>
        <v>Clothing</v>
      </c>
      <c r="V38">
        <f t="shared" si="1"/>
        <v>999.75</v>
      </c>
      <c r="W38" t="str">
        <f>IF(Sales[[#This Row],[Quantity]]&gt;=15, "Large","Small")</f>
        <v>Small</v>
      </c>
      <c r="X38" t="str">
        <f>IF(Sales[[#This Row],[Quantity]]&gt;=15,"Large",IF(Sales[[#This Row],[Quantity]]=14,"Medium","Small"))</f>
        <v>Small</v>
      </c>
      <c r="Y38" t="str">
        <f>IF(AND(Sales[[#This Row],[Unit Price (₦)]]&gt;68000,Sales[[#This Row],[Quantity]]&gt;15),"Offer Discount", "No Discount")</f>
        <v>No Discount</v>
      </c>
    </row>
    <row r="39" spans="1:25" ht="15" customHeight="1" x14ac:dyDescent="0.25">
      <c r="A39" t="s">
        <v>1033</v>
      </c>
      <c r="B39" s="8">
        <v>44748</v>
      </c>
      <c r="C39" s="8">
        <v>44754</v>
      </c>
      <c r="D39" t="s">
        <v>48</v>
      </c>
      <c r="E39" t="s">
        <v>1034</v>
      </c>
      <c r="F39" t="str">
        <f t="shared" ref="F39:F40" si="2">F38</f>
        <v>Olawale</v>
      </c>
      <c r="G39" t="s">
        <v>1035</v>
      </c>
      <c r="H39">
        <v>8062075091</v>
      </c>
      <c r="I39" t="s">
        <v>43</v>
      </c>
      <c r="J39" t="s">
        <v>25</v>
      </c>
      <c r="K39" t="s">
        <v>126</v>
      </c>
      <c r="L39" t="s">
        <v>53</v>
      </c>
      <c r="M39" t="s">
        <v>54</v>
      </c>
      <c r="N39" t="s">
        <v>55</v>
      </c>
      <c r="O39">
        <v>2</v>
      </c>
      <c r="P39">
        <v>2460.9699999999998</v>
      </c>
      <c r="Q39">
        <v>15</v>
      </c>
      <c r="R39" s="39">
        <v>738.29</v>
      </c>
      <c r="S39" s="39">
        <v>4183.6499999999996</v>
      </c>
      <c r="T39" s="39">
        <v>1708.65</v>
      </c>
      <c r="U39" t="str">
        <f t="shared" si="0"/>
        <v>Office Supplies</v>
      </c>
      <c r="V39">
        <f t="shared" si="1"/>
        <v>1708.65</v>
      </c>
      <c r="W39" t="str">
        <f>IF(Sales[[#This Row],[Quantity]]&gt;=15, "Large","Small")</f>
        <v>Small</v>
      </c>
      <c r="X39" t="str">
        <f>IF(Sales[[#This Row],[Quantity]]&gt;=15,"Large",IF(Sales[[#This Row],[Quantity]]=14,"Medium","Small"))</f>
        <v>Small</v>
      </c>
      <c r="Y39" t="str">
        <f>IF(AND(Sales[[#This Row],[Unit Price (₦)]]&gt;68000,Sales[[#This Row],[Quantity]]&gt;15),"Offer Discount", "No Discount")</f>
        <v>No Discount</v>
      </c>
    </row>
    <row r="40" spans="1:25" ht="15" customHeight="1" x14ac:dyDescent="0.25">
      <c r="A40" t="s">
        <v>1717</v>
      </c>
      <c r="B40" s="8">
        <v>44748</v>
      </c>
      <c r="C40" s="8">
        <v>44755</v>
      </c>
      <c r="D40" t="s">
        <v>48</v>
      </c>
      <c r="E40" t="str">
        <f>E41</f>
        <v>Yemi</v>
      </c>
      <c r="F40" t="str">
        <f t="shared" si="2"/>
        <v>Olawale</v>
      </c>
      <c r="G40" t="s">
        <v>1718</v>
      </c>
      <c r="H40">
        <v>7063938131</v>
      </c>
      <c r="I40" t="s">
        <v>43</v>
      </c>
      <c r="J40" t="s">
        <v>69</v>
      </c>
      <c r="K40" t="s">
        <v>70</v>
      </c>
      <c r="L40" t="s">
        <v>108</v>
      </c>
      <c r="M40" t="s">
        <v>109</v>
      </c>
      <c r="N40" t="s">
        <v>1258</v>
      </c>
      <c r="O40">
        <v>14</v>
      </c>
      <c r="P40">
        <v>40698.480000000003</v>
      </c>
      <c r="Q40">
        <v>20</v>
      </c>
      <c r="R40" s="39">
        <v>113955.74</v>
      </c>
      <c r="S40" s="39">
        <v>455822.98</v>
      </c>
      <c r="T40" s="39">
        <v>36830.04</v>
      </c>
      <c r="U40" t="str">
        <f t="shared" si="0"/>
        <v>Clothing</v>
      </c>
      <c r="V40">
        <f t="shared" si="1"/>
        <v>36830.04</v>
      </c>
      <c r="W40" t="str">
        <f>IF(Sales[[#This Row],[Quantity]]&gt;=15, "Large","Small")</f>
        <v>Small</v>
      </c>
      <c r="X40" t="str">
        <f>IF(Sales[[#This Row],[Quantity]]&gt;=15,"Large",IF(Sales[[#This Row],[Quantity]]=14,"Medium","Small"))</f>
        <v>Medium</v>
      </c>
      <c r="Y40" t="str">
        <f>IF(AND(Sales[[#This Row],[Unit Price (₦)]]&gt;68000,Sales[[#This Row],[Quantity]]&gt;15),"Offer Discount", "No Discount")</f>
        <v>No Discount</v>
      </c>
    </row>
    <row r="41" spans="1:25" ht="15" customHeight="1" x14ac:dyDescent="0.25">
      <c r="A41" t="s">
        <v>2817</v>
      </c>
      <c r="B41" s="8">
        <v>44755</v>
      </c>
      <c r="C41" s="8">
        <v>44760</v>
      </c>
      <c r="D41" t="s">
        <v>48</v>
      </c>
      <c r="E41" t="s">
        <v>3072</v>
      </c>
      <c r="F41" t="s">
        <v>3083</v>
      </c>
      <c r="G41" t="s">
        <v>865</v>
      </c>
      <c r="H41">
        <v>8147058725</v>
      </c>
      <c r="I41" t="s">
        <v>35</v>
      </c>
      <c r="J41" t="s">
        <v>51</v>
      </c>
      <c r="K41" t="s">
        <v>52</v>
      </c>
      <c r="L41" t="s">
        <v>108</v>
      </c>
      <c r="M41" t="s">
        <v>189</v>
      </c>
      <c r="N41" t="s">
        <v>287</v>
      </c>
      <c r="O41">
        <v>19</v>
      </c>
      <c r="P41">
        <v>13364.14</v>
      </c>
      <c r="Q41">
        <v>25</v>
      </c>
      <c r="R41" s="39">
        <v>63479.66</v>
      </c>
      <c r="S41" s="39">
        <v>190439</v>
      </c>
      <c r="T41" s="39">
        <v>73702.69</v>
      </c>
      <c r="U41" t="str">
        <f t="shared" si="0"/>
        <v>Clothing</v>
      </c>
      <c r="V41">
        <f t="shared" si="1"/>
        <v>73702.69</v>
      </c>
      <c r="W41" t="str">
        <f>IF(Sales[[#This Row],[Quantity]]&gt;=15, "Large","Small")</f>
        <v>Large</v>
      </c>
      <c r="X41" t="str">
        <f>IF(Sales[[#This Row],[Quantity]]&gt;=15,"Large",IF(Sales[[#This Row],[Quantity]]=14,"Medium","Small"))</f>
        <v>Large</v>
      </c>
      <c r="Y41" t="str">
        <f>IF(AND(Sales[[#This Row],[Unit Price (₦)]]&gt;68000,Sales[[#This Row],[Quantity]]&gt;15),"Offer Discount", "No Discount")</f>
        <v>No Discount</v>
      </c>
    </row>
    <row r="42" spans="1:25" ht="15" customHeight="1" x14ac:dyDescent="0.25">
      <c r="A42" t="s">
        <v>902</v>
      </c>
      <c r="B42" s="8">
        <v>44756</v>
      </c>
      <c r="C42" s="8">
        <v>44761</v>
      </c>
      <c r="D42" t="s">
        <v>48</v>
      </c>
      <c r="E42" t="s">
        <v>3049</v>
      </c>
      <c r="F42" t="s">
        <v>3086</v>
      </c>
      <c r="G42" t="s">
        <v>904</v>
      </c>
      <c r="H42">
        <v>9073860721</v>
      </c>
      <c r="I42" t="s">
        <v>24</v>
      </c>
      <c r="J42" t="s">
        <v>51</v>
      </c>
      <c r="K42" t="s">
        <v>316</v>
      </c>
      <c r="L42" t="s">
        <v>63</v>
      </c>
      <c r="M42" t="s">
        <v>558</v>
      </c>
      <c r="N42" t="s">
        <v>905</v>
      </c>
      <c r="O42">
        <v>9</v>
      </c>
      <c r="P42">
        <v>23899.68</v>
      </c>
      <c r="Q42">
        <v>0</v>
      </c>
      <c r="R42" s="39">
        <v>0</v>
      </c>
      <c r="S42" s="39">
        <v>215097.12</v>
      </c>
      <c r="T42" s="39">
        <v>15825.4</v>
      </c>
      <c r="U42" t="str">
        <f t="shared" si="0"/>
        <v>Office Supplies</v>
      </c>
      <c r="V42">
        <f t="shared" si="1"/>
        <v>15825.4</v>
      </c>
      <c r="W42" t="str">
        <f>IF(Sales[[#This Row],[Quantity]]&gt;=15, "Large","Small")</f>
        <v>Small</v>
      </c>
      <c r="X42" t="str">
        <f>IF(Sales[[#This Row],[Quantity]]&gt;=15,"Large",IF(Sales[[#This Row],[Quantity]]=14,"Medium","Small"))</f>
        <v>Small</v>
      </c>
      <c r="Y42" t="str">
        <f>IF(AND(Sales[[#This Row],[Unit Price (₦)]]&gt;68000,Sales[[#This Row],[Quantity]]&gt;15),"Offer Discount", "No Discount")</f>
        <v>No Discount</v>
      </c>
    </row>
    <row r="43" spans="1:25" ht="15" customHeight="1" x14ac:dyDescent="0.25">
      <c r="A43" t="s">
        <v>344</v>
      </c>
      <c r="B43" s="8">
        <v>45126</v>
      </c>
      <c r="C43" s="8">
        <v>44767</v>
      </c>
      <c r="D43" t="s">
        <v>48</v>
      </c>
      <c r="E43" t="s">
        <v>3037</v>
      </c>
      <c r="F43" t="s">
        <v>3054</v>
      </c>
      <c r="G43" t="s">
        <v>3126</v>
      </c>
      <c r="H43">
        <v>8147224540</v>
      </c>
      <c r="I43" t="s">
        <v>43</v>
      </c>
      <c r="J43" t="s">
        <v>25</v>
      </c>
      <c r="K43" t="s">
        <v>44</v>
      </c>
      <c r="L43" t="s">
        <v>27</v>
      </c>
      <c r="M43" t="s">
        <v>28</v>
      </c>
      <c r="N43" t="s">
        <v>347</v>
      </c>
      <c r="O43">
        <v>5</v>
      </c>
      <c r="P43">
        <v>6015.47</v>
      </c>
      <c r="Q43">
        <v>15</v>
      </c>
      <c r="R43" s="39">
        <v>4511.6000000000004</v>
      </c>
      <c r="S43" s="39">
        <v>25565.75</v>
      </c>
      <c r="T43" s="39">
        <v>6211.28</v>
      </c>
      <c r="U43" t="str">
        <f t="shared" si="0"/>
        <v>Food &amp; Beverages</v>
      </c>
      <c r="V43">
        <f t="shared" si="1"/>
        <v>6211.28</v>
      </c>
      <c r="W43" t="str">
        <f>IF(Sales[[#This Row],[Quantity]]&gt;=15, "Large","Small")</f>
        <v>Small</v>
      </c>
      <c r="X43" t="str">
        <f>IF(Sales[[#This Row],[Quantity]]&gt;=15,"Large",IF(Sales[[#This Row],[Quantity]]=14,"Medium","Small"))</f>
        <v>Small</v>
      </c>
      <c r="Y43" t="str">
        <f>IF(AND(Sales[[#This Row],[Unit Price (₦)]]&gt;68000,Sales[[#This Row],[Quantity]]&gt;15),"Offer Discount", "No Discount")</f>
        <v>No Discount</v>
      </c>
    </row>
    <row r="44" spans="1:25" ht="15" customHeight="1" x14ac:dyDescent="0.25">
      <c r="A44" t="s">
        <v>1727</v>
      </c>
      <c r="B44" s="8">
        <v>44767</v>
      </c>
      <c r="C44" s="8">
        <v>44773</v>
      </c>
      <c r="D44" t="s">
        <v>48</v>
      </c>
      <c r="E44" t="s">
        <v>3076</v>
      </c>
      <c r="F44" t="s">
        <v>3038</v>
      </c>
      <c r="G44" t="s">
        <v>1729</v>
      </c>
      <c r="H44">
        <v>8102301665</v>
      </c>
      <c r="I44" t="s">
        <v>35</v>
      </c>
      <c r="J44" t="s">
        <v>51</v>
      </c>
      <c r="K44" t="s">
        <v>131</v>
      </c>
      <c r="L44" t="s">
        <v>96</v>
      </c>
      <c r="M44" t="s">
        <v>97</v>
      </c>
      <c r="N44" t="s">
        <v>443</v>
      </c>
      <c r="O44">
        <v>6</v>
      </c>
      <c r="P44">
        <v>206686.23</v>
      </c>
      <c r="Q44">
        <v>5</v>
      </c>
      <c r="R44" s="39">
        <v>62005.87</v>
      </c>
      <c r="S44" s="39">
        <v>1178111.51</v>
      </c>
      <c r="T44" s="39">
        <v>328277.67</v>
      </c>
      <c r="U44" t="str">
        <f t="shared" si="0"/>
        <v>Technology</v>
      </c>
      <c r="V44">
        <f t="shared" si="1"/>
        <v>328277.67</v>
      </c>
      <c r="W44" t="str">
        <f>IF(Sales[[#This Row],[Quantity]]&gt;=15, "Large","Small")</f>
        <v>Small</v>
      </c>
      <c r="X44" t="str">
        <f>IF(Sales[[#This Row],[Quantity]]&gt;=15,"Large",IF(Sales[[#This Row],[Quantity]]=14,"Medium","Small"))</f>
        <v>Small</v>
      </c>
      <c r="Y44" t="str">
        <f>IF(AND(Sales[[#This Row],[Unit Price (₦)]]&gt;68000,Sales[[#This Row],[Quantity]]&gt;15),"Offer Discount", "No Discount")</f>
        <v>No Discount</v>
      </c>
    </row>
    <row r="45" spans="1:25" ht="15" customHeight="1" x14ac:dyDescent="0.25">
      <c r="A45" t="s">
        <v>899</v>
      </c>
      <c r="B45" s="8">
        <v>44769</v>
      </c>
      <c r="C45" s="8">
        <v>44776</v>
      </c>
      <c r="D45" t="s">
        <v>48</v>
      </c>
      <c r="E45" t="s">
        <v>3067</v>
      </c>
      <c r="F45" t="s">
        <v>3071</v>
      </c>
      <c r="G45" t="s">
        <v>901</v>
      </c>
      <c r="H45">
        <v>8168789281</v>
      </c>
      <c r="I45" t="s">
        <v>35</v>
      </c>
      <c r="J45" t="s">
        <v>69</v>
      </c>
      <c r="K45" t="s">
        <v>119</v>
      </c>
      <c r="L45" t="s">
        <v>96</v>
      </c>
      <c r="M45" t="s">
        <v>120</v>
      </c>
      <c r="N45" t="s">
        <v>359</v>
      </c>
      <c r="O45">
        <v>10</v>
      </c>
      <c r="P45">
        <v>395251.1</v>
      </c>
      <c r="Q45">
        <v>10</v>
      </c>
      <c r="R45" s="39">
        <v>395251.1</v>
      </c>
      <c r="S45" s="39">
        <v>3557259.9</v>
      </c>
      <c r="T45" s="39">
        <v>1177302.42</v>
      </c>
      <c r="U45" t="str">
        <f t="shared" si="0"/>
        <v>Technology</v>
      </c>
      <c r="V45">
        <f t="shared" si="1"/>
        <v>1177302.42</v>
      </c>
      <c r="W45" t="str">
        <f>IF(Sales[[#This Row],[Quantity]]&gt;=15, "Large","Small")</f>
        <v>Small</v>
      </c>
      <c r="X45" t="str">
        <f>IF(Sales[[#This Row],[Quantity]]&gt;=15,"Large",IF(Sales[[#This Row],[Quantity]]=14,"Medium","Small"))</f>
        <v>Small</v>
      </c>
      <c r="Y45" t="str">
        <f>IF(AND(Sales[[#This Row],[Unit Price (₦)]]&gt;68000,Sales[[#This Row],[Quantity]]&gt;15),"Offer Discount", "No Discount")</f>
        <v>No Discount</v>
      </c>
    </row>
    <row r="46" spans="1:25" ht="15" customHeight="1" x14ac:dyDescent="0.25">
      <c r="A46" t="s">
        <v>2006</v>
      </c>
      <c r="B46" s="8">
        <v>44773</v>
      </c>
      <c r="C46" s="8">
        <v>44778</v>
      </c>
      <c r="D46" t="s">
        <v>48</v>
      </c>
      <c r="E46" t="s">
        <v>3039</v>
      </c>
      <c r="F46" t="s">
        <v>3088</v>
      </c>
      <c r="G46" t="s">
        <v>2008</v>
      </c>
      <c r="H46">
        <v>8063379602</v>
      </c>
      <c r="I46" t="s">
        <v>35</v>
      </c>
      <c r="J46" t="s">
        <v>51</v>
      </c>
      <c r="K46" t="s">
        <v>52</v>
      </c>
      <c r="L46" t="s">
        <v>63</v>
      </c>
      <c r="M46" t="s">
        <v>558</v>
      </c>
      <c r="N46" t="s">
        <v>680</v>
      </c>
      <c r="O46">
        <v>16</v>
      </c>
      <c r="P46">
        <v>2773.04</v>
      </c>
      <c r="Q46">
        <v>10</v>
      </c>
      <c r="R46" s="39">
        <v>4436.8599999999997</v>
      </c>
      <c r="S46" s="39">
        <v>39931.78</v>
      </c>
      <c r="T46" s="39">
        <v>15878.13</v>
      </c>
      <c r="U46" t="str">
        <f t="shared" si="0"/>
        <v>Office Supplies</v>
      </c>
      <c r="V46">
        <f t="shared" si="1"/>
        <v>15878.13</v>
      </c>
      <c r="W46" t="str">
        <f>IF(Sales[[#This Row],[Quantity]]&gt;=15, "Large","Small")</f>
        <v>Large</v>
      </c>
      <c r="X46" t="str">
        <f>IF(Sales[[#This Row],[Quantity]]&gt;=15,"Large",IF(Sales[[#This Row],[Quantity]]=14,"Medium","Small"))</f>
        <v>Large</v>
      </c>
      <c r="Y46" t="str">
        <f>IF(AND(Sales[[#This Row],[Unit Price (₦)]]&gt;68000,Sales[[#This Row],[Quantity]]&gt;15),"Offer Discount", "No Discount")</f>
        <v>No Discount</v>
      </c>
    </row>
    <row r="47" spans="1:25" ht="15" customHeight="1" x14ac:dyDescent="0.25">
      <c r="A47" t="s">
        <v>726</v>
      </c>
      <c r="B47" s="8">
        <v>44773</v>
      </c>
      <c r="C47" s="8">
        <v>44780</v>
      </c>
      <c r="D47" t="s">
        <v>48</v>
      </c>
      <c r="E47" t="s">
        <v>3073</v>
      </c>
      <c r="F47" t="s">
        <v>3064</v>
      </c>
      <c r="G47" t="s">
        <v>3126</v>
      </c>
      <c r="H47">
        <v>7063233823</v>
      </c>
      <c r="I47" t="s">
        <v>35</v>
      </c>
      <c r="J47" t="s">
        <v>61</v>
      </c>
      <c r="K47" t="s">
        <v>204</v>
      </c>
      <c r="L47" t="s">
        <v>85</v>
      </c>
      <c r="M47" t="s">
        <v>86</v>
      </c>
      <c r="N47" t="s">
        <v>238</v>
      </c>
      <c r="O47">
        <v>20</v>
      </c>
      <c r="P47">
        <v>104886.09</v>
      </c>
      <c r="Q47">
        <v>0</v>
      </c>
      <c r="R47" s="39">
        <v>0</v>
      </c>
      <c r="S47" s="39">
        <v>2097721.7999999998</v>
      </c>
      <c r="T47" s="39">
        <v>239265.42</v>
      </c>
      <c r="U47" t="str">
        <f t="shared" si="0"/>
        <v>Furniture</v>
      </c>
      <c r="V47">
        <f t="shared" si="1"/>
        <v>239265.42</v>
      </c>
      <c r="W47" t="str">
        <f>IF(Sales[[#This Row],[Quantity]]&gt;=15, "Large","Small")</f>
        <v>Large</v>
      </c>
      <c r="X47" t="str">
        <f>IF(Sales[[#This Row],[Quantity]]&gt;=15,"Large",IF(Sales[[#This Row],[Quantity]]=14,"Medium","Small"))</f>
        <v>Large</v>
      </c>
      <c r="Y47" t="str">
        <f>IF(AND(Sales[[#This Row],[Unit Price (₦)]]&gt;68000,Sales[[#This Row],[Quantity]]&gt;15),"Offer Discount", "No Discount")</f>
        <v>Offer Discount</v>
      </c>
    </row>
    <row r="48" spans="1:25" ht="15" customHeight="1" x14ac:dyDescent="0.25">
      <c r="A48" t="s">
        <v>1558</v>
      </c>
      <c r="B48" s="8">
        <v>44772</v>
      </c>
      <c r="C48" s="8">
        <v>44780</v>
      </c>
      <c r="D48" t="s">
        <v>48</v>
      </c>
      <c r="E48" t="s">
        <v>3051</v>
      </c>
      <c r="F48" t="s">
        <v>3086</v>
      </c>
      <c r="G48" t="s">
        <v>1560</v>
      </c>
      <c r="H48">
        <v>9015878387</v>
      </c>
      <c r="I48" t="s">
        <v>43</v>
      </c>
      <c r="J48" t="s">
        <v>69</v>
      </c>
      <c r="K48" t="s">
        <v>307</v>
      </c>
      <c r="L48" t="s">
        <v>96</v>
      </c>
      <c r="M48" t="s">
        <v>189</v>
      </c>
      <c r="N48" t="s">
        <v>478</v>
      </c>
      <c r="O48">
        <v>19</v>
      </c>
      <c r="P48">
        <v>226453.92</v>
      </c>
      <c r="Q48">
        <v>20</v>
      </c>
      <c r="R48" s="39">
        <v>860524.9</v>
      </c>
      <c r="S48" s="39">
        <v>3442099.58</v>
      </c>
      <c r="T48" s="39">
        <v>-37369.25</v>
      </c>
      <c r="U48" t="str">
        <f t="shared" si="0"/>
        <v>Technology</v>
      </c>
      <c r="V48">
        <f t="shared" si="1"/>
        <v>37369.25</v>
      </c>
      <c r="W48" t="str">
        <f>IF(Sales[[#This Row],[Quantity]]&gt;=15, "Large","Small")</f>
        <v>Large</v>
      </c>
      <c r="X48" t="str">
        <f>IF(Sales[[#This Row],[Quantity]]&gt;=15,"Large",IF(Sales[[#This Row],[Quantity]]=14,"Medium","Small"))</f>
        <v>Large</v>
      </c>
      <c r="Y48" t="str">
        <f>IF(AND(Sales[[#This Row],[Unit Price (₦)]]&gt;68000,Sales[[#This Row],[Quantity]]&gt;15),"Offer Discount", "No Discount")</f>
        <v>Offer Discount</v>
      </c>
    </row>
    <row r="49" spans="1:25" ht="15" customHeight="1" x14ac:dyDescent="0.25">
      <c r="A49" t="s">
        <v>1293</v>
      </c>
      <c r="B49" s="8">
        <v>44790</v>
      </c>
      <c r="C49" s="8">
        <v>44796</v>
      </c>
      <c r="D49" t="s">
        <v>48</v>
      </c>
      <c r="E49" t="s">
        <v>3035</v>
      </c>
      <c r="F49" t="s">
        <v>3034</v>
      </c>
      <c r="G49" t="s">
        <v>1295</v>
      </c>
      <c r="H49">
        <v>9078493596</v>
      </c>
      <c r="I49" t="s">
        <v>43</v>
      </c>
      <c r="J49" t="s">
        <v>51</v>
      </c>
      <c r="K49" t="s">
        <v>223</v>
      </c>
      <c r="L49" t="s">
        <v>63</v>
      </c>
      <c r="M49" t="s">
        <v>194</v>
      </c>
      <c r="N49" t="s">
        <v>336</v>
      </c>
      <c r="O49">
        <v>8</v>
      </c>
      <c r="P49">
        <v>6900.69</v>
      </c>
      <c r="Q49">
        <v>20</v>
      </c>
      <c r="R49" s="39">
        <v>11041.1</v>
      </c>
      <c r="S49" s="39">
        <v>44164.42</v>
      </c>
      <c r="T49" s="39">
        <v>-1833.46</v>
      </c>
      <c r="U49" t="str">
        <f t="shared" si="0"/>
        <v>Office Supplies</v>
      </c>
      <c r="V49">
        <f t="shared" si="1"/>
        <v>1833.46</v>
      </c>
      <c r="W49" t="str">
        <f>IF(Sales[[#This Row],[Quantity]]&gt;=15, "Large","Small")</f>
        <v>Small</v>
      </c>
      <c r="X49" t="str">
        <f>IF(Sales[[#This Row],[Quantity]]&gt;=15,"Large",IF(Sales[[#This Row],[Quantity]]=14,"Medium","Small"))</f>
        <v>Small</v>
      </c>
      <c r="Y49" t="str">
        <f>IF(AND(Sales[[#This Row],[Unit Price (₦)]]&gt;68000,Sales[[#This Row],[Quantity]]&gt;15),"Offer Discount", "No Discount")</f>
        <v>No Discount</v>
      </c>
    </row>
    <row r="50" spans="1:25" ht="15" customHeight="1" x14ac:dyDescent="0.25">
      <c r="A50" t="s">
        <v>2130</v>
      </c>
      <c r="B50" s="8">
        <v>44789</v>
      </c>
      <c r="C50" s="8">
        <v>44797</v>
      </c>
      <c r="D50" t="s">
        <v>48</v>
      </c>
      <c r="E50" t="s">
        <v>3061</v>
      </c>
      <c r="F50" t="s">
        <v>3040</v>
      </c>
      <c r="G50" t="s">
        <v>2131</v>
      </c>
      <c r="H50">
        <v>8036671458</v>
      </c>
      <c r="I50" t="s">
        <v>24</v>
      </c>
      <c r="J50" t="s">
        <v>51</v>
      </c>
      <c r="K50" t="s">
        <v>316</v>
      </c>
      <c r="L50" t="s">
        <v>63</v>
      </c>
      <c r="M50" t="s">
        <v>38</v>
      </c>
      <c r="N50" t="s">
        <v>303</v>
      </c>
      <c r="O50">
        <v>2</v>
      </c>
      <c r="P50">
        <v>16385.27</v>
      </c>
      <c r="Q50">
        <v>0</v>
      </c>
      <c r="R50" s="39">
        <v>0</v>
      </c>
      <c r="S50" s="39">
        <v>32770.54</v>
      </c>
      <c r="T50" s="39">
        <v>-899.88</v>
      </c>
      <c r="U50" t="str">
        <f t="shared" si="0"/>
        <v>Office Supplies</v>
      </c>
      <c r="V50">
        <f t="shared" si="1"/>
        <v>899.88</v>
      </c>
      <c r="W50" t="str">
        <f>IF(Sales[[#This Row],[Quantity]]&gt;=15, "Large","Small")</f>
        <v>Small</v>
      </c>
      <c r="X50" t="str">
        <f>IF(Sales[[#This Row],[Quantity]]&gt;=15,"Large",IF(Sales[[#This Row],[Quantity]]=14,"Medium","Small"))</f>
        <v>Small</v>
      </c>
      <c r="Y50" t="str">
        <f>IF(AND(Sales[[#This Row],[Unit Price (₦)]]&gt;68000,Sales[[#This Row],[Quantity]]&gt;15),"Offer Discount", "No Discount")</f>
        <v>No Discount</v>
      </c>
    </row>
    <row r="51" spans="1:25" ht="15" customHeight="1" x14ac:dyDescent="0.25">
      <c r="A51" t="s">
        <v>2634</v>
      </c>
      <c r="B51" s="8">
        <v>44792</v>
      </c>
      <c r="C51" s="8">
        <v>44797</v>
      </c>
      <c r="D51" t="s">
        <v>48</v>
      </c>
      <c r="E51" t="s">
        <v>3059</v>
      </c>
      <c r="F51" t="s">
        <v>3071</v>
      </c>
      <c r="G51" t="s">
        <v>2636</v>
      </c>
      <c r="H51">
        <v>8161378476</v>
      </c>
      <c r="I51" t="s">
        <v>35</v>
      </c>
      <c r="J51" t="s">
        <v>25</v>
      </c>
      <c r="K51" t="s">
        <v>168</v>
      </c>
      <c r="L51" t="s">
        <v>27</v>
      </c>
      <c r="M51" t="s">
        <v>28</v>
      </c>
      <c r="N51" t="s">
        <v>29</v>
      </c>
      <c r="O51">
        <v>5</v>
      </c>
      <c r="P51">
        <v>5932.04</v>
      </c>
      <c r="Q51">
        <v>5</v>
      </c>
      <c r="R51" s="39">
        <v>1483.01</v>
      </c>
      <c r="S51" s="39">
        <v>28177.19</v>
      </c>
      <c r="T51" s="39">
        <v>-3125</v>
      </c>
      <c r="U51" t="str">
        <f t="shared" si="0"/>
        <v>Food &amp; Beverages</v>
      </c>
      <c r="V51">
        <f t="shared" si="1"/>
        <v>3125</v>
      </c>
      <c r="W51" t="str">
        <f>IF(Sales[[#This Row],[Quantity]]&gt;=15, "Large","Small")</f>
        <v>Small</v>
      </c>
      <c r="X51" t="str">
        <f>IF(Sales[[#This Row],[Quantity]]&gt;=15,"Large",IF(Sales[[#This Row],[Quantity]]=14,"Medium","Small"))</f>
        <v>Small</v>
      </c>
      <c r="Y51" t="str">
        <f>IF(AND(Sales[[#This Row],[Unit Price (₦)]]&gt;68000,Sales[[#This Row],[Quantity]]&gt;15),"Offer Discount", "No Discount")</f>
        <v>No Discount</v>
      </c>
    </row>
    <row r="52" spans="1:25" ht="15" customHeight="1" x14ac:dyDescent="0.25">
      <c r="A52" t="s">
        <v>2401</v>
      </c>
      <c r="B52" s="8">
        <v>44792</v>
      </c>
      <c r="C52" s="8">
        <v>44798</v>
      </c>
      <c r="D52" t="s">
        <v>48</v>
      </c>
      <c r="E52" t="s">
        <v>3092</v>
      </c>
      <c r="F52" t="s">
        <v>3086</v>
      </c>
      <c r="G52" t="s">
        <v>493</v>
      </c>
      <c r="H52">
        <v>9058859233</v>
      </c>
      <c r="I52" t="s">
        <v>24</v>
      </c>
      <c r="J52" t="s">
        <v>25</v>
      </c>
      <c r="K52" t="s">
        <v>26</v>
      </c>
      <c r="L52" t="s">
        <v>27</v>
      </c>
      <c r="M52" t="s">
        <v>354</v>
      </c>
      <c r="N52" t="s">
        <v>355</v>
      </c>
      <c r="O52">
        <v>14</v>
      </c>
      <c r="P52">
        <v>6206.79</v>
      </c>
      <c r="Q52">
        <v>10</v>
      </c>
      <c r="R52" s="39">
        <v>8689.51</v>
      </c>
      <c r="S52" s="39">
        <v>78205.55</v>
      </c>
      <c r="T52" s="39">
        <v>10122.07</v>
      </c>
      <c r="U52" t="str">
        <f t="shared" si="0"/>
        <v>Food &amp; Beverages</v>
      </c>
      <c r="V52">
        <f t="shared" si="1"/>
        <v>10122.07</v>
      </c>
      <c r="W52" t="str">
        <f>IF(Sales[[#This Row],[Quantity]]&gt;=15, "Large","Small")</f>
        <v>Small</v>
      </c>
      <c r="X52" t="str">
        <f>IF(Sales[[#This Row],[Quantity]]&gt;=15,"Large",IF(Sales[[#This Row],[Quantity]]=14,"Medium","Small"))</f>
        <v>Medium</v>
      </c>
      <c r="Y52" t="str">
        <f>IF(AND(Sales[[#This Row],[Unit Price (₦)]]&gt;68000,Sales[[#This Row],[Quantity]]&gt;15),"Offer Discount", "No Discount")</f>
        <v>No Discount</v>
      </c>
    </row>
    <row r="53" spans="1:25" ht="15" customHeight="1" x14ac:dyDescent="0.25">
      <c r="A53" t="s">
        <v>2866</v>
      </c>
      <c r="B53" s="8">
        <v>44798</v>
      </c>
      <c r="C53" s="8">
        <v>44804</v>
      </c>
      <c r="D53" t="s">
        <v>48</v>
      </c>
      <c r="E53" t="s">
        <v>3087</v>
      </c>
      <c r="F53" t="s">
        <v>3043</v>
      </c>
      <c r="G53" t="s">
        <v>2868</v>
      </c>
      <c r="H53">
        <v>8159041683</v>
      </c>
      <c r="I53" t="s">
        <v>43</v>
      </c>
      <c r="J53" t="s">
        <v>69</v>
      </c>
      <c r="K53" t="s">
        <v>155</v>
      </c>
      <c r="L53" t="s">
        <v>108</v>
      </c>
      <c r="M53" t="s">
        <v>189</v>
      </c>
      <c r="N53" t="s">
        <v>190</v>
      </c>
      <c r="O53">
        <v>6</v>
      </c>
      <c r="P53">
        <v>4271.76</v>
      </c>
      <c r="Q53">
        <v>25</v>
      </c>
      <c r="R53" s="39">
        <v>6407.64</v>
      </c>
      <c r="S53" s="39">
        <v>19222.919999999998</v>
      </c>
      <c r="T53" s="39">
        <v>7217.81</v>
      </c>
      <c r="U53" t="str">
        <f t="shared" si="0"/>
        <v>Clothing</v>
      </c>
      <c r="V53">
        <f t="shared" si="1"/>
        <v>7217.81</v>
      </c>
      <c r="W53" t="str">
        <f>IF(Sales[[#This Row],[Quantity]]&gt;=15, "Large","Small")</f>
        <v>Small</v>
      </c>
      <c r="X53" t="str">
        <f>IF(Sales[[#This Row],[Quantity]]&gt;=15,"Large",IF(Sales[[#This Row],[Quantity]]=14,"Medium","Small"))</f>
        <v>Small</v>
      </c>
      <c r="Y53" t="str">
        <f>IF(AND(Sales[[#This Row],[Unit Price (₦)]]&gt;68000,Sales[[#This Row],[Quantity]]&gt;15),"Offer Discount", "No Discount")</f>
        <v>No Discount</v>
      </c>
    </row>
    <row r="54" spans="1:25" ht="15" customHeight="1" x14ac:dyDescent="0.25">
      <c r="A54" t="s">
        <v>162</v>
      </c>
      <c r="B54" s="8">
        <v>44798</v>
      </c>
      <c r="C54" s="8">
        <v>44805</v>
      </c>
      <c r="D54" t="s">
        <v>48</v>
      </c>
      <c r="E54" t="s">
        <v>3065</v>
      </c>
      <c r="F54" t="s">
        <v>3057</v>
      </c>
      <c r="G54" t="s">
        <v>164</v>
      </c>
      <c r="H54">
        <v>8032818692</v>
      </c>
      <c r="I54" t="s">
        <v>43</v>
      </c>
      <c r="J54" t="s">
        <v>69</v>
      </c>
      <c r="K54" t="s">
        <v>155</v>
      </c>
      <c r="L54" t="s">
        <v>27</v>
      </c>
      <c r="M54" t="s">
        <v>28</v>
      </c>
      <c r="N54" t="s">
        <v>71</v>
      </c>
      <c r="O54">
        <v>11</v>
      </c>
      <c r="P54">
        <v>5909.8</v>
      </c>
      <c r="Q54">
        <v>15</v>
      </c>
      <c r="R54" s="39">
        <v>9751.17</v>
      </c>
      <c r="S54" s="39">
        <v>55256.63</v>
      </c>
      <c r="T54" s="39">
        <v>11809.74</v>
      </c>
      <c r="U54" t="str">
        <f t="shared" si="0"/>
        <v>Food &amp; Beverages</v>
      </c>
      <c r="V54">
        <f t="shared" si="1"/>
        <v>11809.74</v>
      </c>
      <c r="W54" t="str">
        <f>IF(Sales[[#This Row],[Quantity]]&gt;=15, "Large","Small")</f>
        <v>Small</v>
      </c>
      <c r="X54" t="str">
        <f>IF(Sales[[#This Row],[Quantity]]&gt;=15,"Large",IF(Sales[[#This Row],[Quantity]]=14,"Medium","Small"))</f>
        <v>Small</v>
      </c>
      <c r="Y54" t="str">
        <f>IF(AND(Sales[[#This Row],[Unit Price (₦)]]&gt;68000,Sales[[#This Row],[Quantity]]&gt;15),"Offer Discount", "No Discount")</f>
        <v>No Discount</v>
      </c>
    </row>
    <row r="55" spans="1:25" ht="15" customHeight="1" x14ac:dyDescent="0.25">
      <c r="A55" t="s">
        <v>2920</v>
      </c>
      <c r="B55" s="8">
        <v>44799</v>
      </c>
      <c r="C55" s="8">
        <v>44805</v>
      </c>
      <c r="D55" t="s">
        <v>48</v>
      </c>
      <c r="E55" t="s">
        <v>3093</v>
      </c>
      <c r="F55" t="s">
        <v>3077</v>
      </c>
      <c r="G55" t="s">
        <v>2921</v>
      </c>
      <c r="H55">
        <v>9029855180</v>
      </c>
      <c r="I55" t="s">
        <v>24</v>
      </c>
      <c r="J55" t="s">
        <v>51</v>
      </c>
      <c r="K55" t="s">
        <v>223</v>
      </c>
      <c r="L55" t="s">
        <v>108</v>
      </c>
      <c r="M55" t="s">
        <v>109</v>
      </c>
      <c r="N55" t="s">
        <v>157</v>
      </c>
      <c r="O55">
        <v>16</v>
      </c>
      <c r="P55">
        <v>14832.93</v>
      </c>
      <c r="Q55">
        <v>25</v>
      </c>
      <c r="R55" s="39">
        <v>59331.72</v>
      </c>
      <c r="S55" s="39">
        <v>177995.16</v>
      </c>
      <c r="T55" s="39">
        <v>51973.67</v>
      </c>
      <c r="U55" t="str">
        <f t="shared" si="0"/>
        <v>Clothing</v>
      </c>
      <c r="V55">
        <f t="shared" si="1"/>
        <v>51973.67</v>
      </c>
      <c r="W55" t="str">
        <f>IF(Sales[[#This Row],[Quantity]]&gt;=15, "Large","Small")</f>
        <v>Large</v>
      </c>
      <c r="X55" t="str">
        <f>IF(Sales[[#This Row],[Quantity]]&gt;=15,"Large",IF(Sales[[#This Row],[Quantity]]=14,"Medium","Small"))</f>
        <v>Large</v>
      </c>
      <c r="Y55" t="str">
        <f>IF(AND(Sales[[#This Row],[Unit Price (₦)]]&gt;68000,Sales[[#This Row],[Quantity]]&gt;15),"Offer Discount", "No Discount")</f>
        <v>No Discount</v>
      </c>
    </row>
    <row r="56" spans="1:25" ht="15" customHeight="1" x14ac:dyDescent="0.25">
      <c r="A56" t="s">
        <v>2010</v>
      </c>
      <c r="B56" s="8">
        <v>44802</v>
      </c>
      <c r="C56" s="8">
        <v>44809</v>
      </c>
      <c r="D56" t="s">
        <v>48</v>
      </c>
      <c r="E56" t="s">
        <v>3097</v>
      </c>
      <c r="F56" t="s">
        <v>3083</v>
      </c>
      <c r="G56" t="s">
        <v>2012</v>
      </c>
      <c r="H56">
        <v>8109753488</v>
      </c>
      <c r="I56" t="s">
        <v>24</v>
      </c>
      <c r="J56" t="s">
        <v>61</v>
      </c>
      <c r="K56" t="s">
        <v>84</v>
      </c>
      <c r="L56" t="s">
        <v>1441</v>
      </c>
      <c r="M56" t="s">
        <v>249</v>
      </c>
      <c r="N56" t="s">
        <v>2013</v>
      </c>
      <c r="O56">
        <v>18</v>
      </c>
      <c r="P56">
        <v>15349.71</v>
      </c>
      <c r="Q56">
        <v>0</v>
      </c>
      <c r="R56" s="39">
        <v>0</v>
      </c>
      <c r="S56" s="39">
        <v>276294.78000000003</v>
      </c>
      <c r="T56" s="39">
        <v>44427.360000000001</v>
      </c>
      <c r="U56" t="str">
        <f t="shared" si="0"/>
        <v>Office Supplies</v>
      </c>
      <c r="V56">
        <f t="shared" si="1"/>
        <v>44427.360000000001</v>
      </c>
      <c r="W56" t="str">
        <f>IF(Sales[[#This Row],[Quantity]]&gt;=15, "Large","Small")</f>
        <v>Large</v>
      </c>
      <c r="X56" t="str">
        <f>IF(Sales[[#This Row],[Quantity]]&gt;=15,"Large",IF(Sales[[#This Row],[Quantity]]=14,"Medium","Small"))</f>
        <v>Large</v>
      </c>
      <c r="Y56" t="str">
        <f>IF(AND(Sales[[#This Row],[Unit Price (₦)]]&gt;68000,Sales[[#This Row],[Quantity]]&gt;15),"Offer Discount", "No Discount")</f>
        <v>No Discount</v>
      </c>
    </row>
    <row r="57" spans="1:25" ht="15" customHeight="1" x14ac:dyDescent="0.25">
      <c r="A57" t="s">
        <v>2497</v>
      </c>
      <c r="B57" s="8">
        <v>44808</v>
      </c>
      <c r="C57" s="8">
        <v>44815</v>
      </c>
      <c r="D57" t="s">
        <v>48</v>
      </c>
      <c r="E57" t="s">
        <v>3076</v>
      </c>
      <c r="F57" t="s">
        <v>3038</v>
      </c>
      <c r="G57" t="s">
        <v>2498</v>
      </c>
      <c r="H57">
        <v>9074026890</v>
      </c>
      <c r="I57" t="s">
        <v>24</v>
      </c>
      <c r="J57" t="s">
        <v>69</v>
      </c>
      <c r="K57" t="s">
        <v>307</v>
      </c>
      <c r="L57" t="s">
        <v>27</v>
      </c>
      <c r="M57" t="s">
        <v>173</v>
      </c>
      <c r="N57" t="s">
        <v>380</v>
      </c>
      <c r="O57">
        <v>16</v>
      </c>
      <c r="P57">
        <v>7231.78</v>
      </c>
      <c r="Q57">
        <v>5</v>
      </c>
      <c r="R57" s="39">
        <v>5785.42</v>
      </c>
      <c r="S57" s="39">
        <v>109923.06</v>
      </c>
      <c r="T57" s="39">
        <v>23314.9</v>
      </c>
      <c r="U57" t="str">
        <f t="shared" si="0"/>
        <v>Food &amp; Beverages</v>
      </c>
      <c r="V57">
        <f t="shared" si="1"/>
        <v>23314.9</v>
      </c>
      <c r="W57" t="str">
        <f>IF(Sales[[#This Row],[Quantity]]&gt;=15, "Large","Small")</f>
        <v>Large</v>
      </c>
      <c r="X57" t="str">
        <f>IF(Sales[[#This Row],[Quantity]]&gt;=15,"Large",IF(Sales[[#This Row],[Quantity]]=14,"Medium","Small"))</f>
        <v>Large</v>
      </c>
      <c r="Y57" t="str">
        <f>IF(AND(Sales[[#This Row],[Unit Price (₦)]]&gt;68000,Sales[[#This Row],[Quantity]]&gt;15),"Offer Discount", "No Discount")</f>
        <v>No Discount</v>
      </c>
    </row>
    <row r="58" spans="1:25" ht="15" customHeight="1" x14ac:dyDescent="0.25">
      <c r="A58" t="s">
        <v>2310</v>
      </c>
      <c r="B58" s="8">
        <v>44820</v>
      </c>
      <c r="C58" s="8">
        <v>44826</v>
      </c>
      <c r="D58" t="s">
        <v>48</v>
      </c>
      <c r="E58" t="s">
        <v>3089</v>
      </c>
      <c r="F58" t="s">
        <v>3066</v>
      </c>
      <c r="G58" t="s">
        <v>2312</v>
      </c>
      <c r="H58">
        <v>7038684482</v>
      </c>
      <c r="I58" t="s">
        <v>35</v>
      </c>
      <c r="J58" t="s">
        <v>61</v>
      </c>
      <c r="K58" t="s">
        <v>62</v>
      </c>
      <c r="L58" t="s">
        <v>27</v>
      </c>
      <c r="M58" t="s">
        <v>354</v>
      </c>
      <c r="N58" t="s">
        <v>789</v>
      </c>
      <c r="O58">
        <v>2</v>
      </c>
      <c r="P58">
        <v>4681.83</v>
      </c>
      <c r="Q58">
        <v>0</v>
      </c>
      <c r="R58" s="39">
        <v>0</v>
      </c>
      <c r="S58" s="39">
        <v>9363.66</v>
      </c>
      <c r="T58" s="39">
        <v>430.29</v>
      </c>
      <c r="U58" t="str">
        <f t="shared" si="0"/>
        <v>Food &amp; Beverages</v>
      </c>
      <c r="V58">
        <f t="shared" si="1"/>
        <v>430.29</v>
      </c>
      <c r="W58" t="str">
        <f>IF(Sales[[#This Row],[Quantity]]&gt;=15, "Large","Small")</f>
        <v>Small</v>
      </c>
      <c r="X58" t="str">
        <f>IF(Sales[[#This Row],[Quantity]]&gt;=15,"Large",IF(Sales[[#This Row],[Quantity]]=14,"Medium","Small"))</f>
        <v>Small</v>
      </c>
      <c r="Y58" t="str">
        <f>IF(AND(Sales[[#This Row],[Unit Price (₦)]]&gt;68000,Sales[[#This Row],[Quantity]]&gt;15),"Offer Discount", "No Discount")</f>
        <v>No Discount</v>
      </c>
    </row>
    <row r="59" spans="1:25" ht="15" customHeight="1" x14ac:dyDescent="0.25">
      <c r="A59" t="s">
        <v>2039</v>
      </c>
      <c r="B59" s="8">
        <v>44820</v>
      </c>
      <c r="C59" s="8">
        <v>44827</v>
      </c>
      <c r="D59" t="s">
        <v>48</v>
      </c>
      <c r="E59" t="s">
        <v>3084</v>
      </c>
      <c r="F59" t="s">
        <v>3096</v>
      </c>
      <c r="G59" t="s">
        <v>2041</v>
      </c>
      <c r="H59">
        <v>9078495720</v>
      </c>
      <c r="I59" t="s">
        <v>43</v>
      </c>
      <c r="J59" t="s">
        <v>61</v>
      </c>
      <c r="K59" t="s">
        <v>84</v>
      </c>
      <c r="L59" t="s">
        <v>96</v>
      </c>
      <c r="M59" t="s">
        <v>254</v>
      </c>
      <c r="N59" t="s">
        <v>452</v>
      </c>
      <c r="O59">
        <v>16</v>
      </c>
      <c r="P59">
        <v>119627.7</v>
      </c>
      <c r="Q59">
        <v>20</v>
      </c>
      <c r="R59" s="39">
        <v>382808.64</v>
      </c>
      <c r="S59" s="39">
        <v>1531234.56</v>
      </c>
      <c r="T59" s="39">
        <v>667326.82999999996</v>
      </c>
      <c r="U59" t="str">
        <f t="shared" si="0"/>
        <v>Technology</v>
      </c>
      <c r="V59">
        <f t="shared" si="1"/>
        <v>667326.82999999996</v>
      </c>
      <c r="W59" t="str">
        <f>IF(Sales[[#This Row],[Quantity]]&gt;=15, "Large","Small")</f>
        <v>Large</v>
      </c>
      <c r="X59" t="str">
        <f>IF(Sales[[#This Row],[Quantity]]&gt;=15,"Large",IF(Sales[[#This Row],[Quantity]]=14,"Medium","Small"))</f>
        <v>Large</v>
      </c>
      <c r="Y59" t="str">
        <f>IF(AND(Sales[[#This Row],[Unit Price (₦)]]&gt;68000,Sales[[#This Row],[Quantity]]&gt;15),"Offer Discount", "No Discount")</f>
        <v>Offer Discount</v>
      </c>
    </row>
    <row r="60" spans="1:25" ht="15" customHeight="1" x14ac:dyDescent="0.25">
      <c r="A60" t="s">
        <v>2407</v>
      </c>
      <c r="B60" s="8">
        <v>44822</v>
      </c>
      <c r="C60" s="8">
        <v>44829</v>
      </c>
      <c r="D60" t="s">
        <v>48</v>
      </c>
      <c r="E60" t="s">
        <v>3044</v>
      </c>
      <c r="F60" t="s">
        <v>3074</v>
      </c>
      <c r="G60" t="s">
        <v>1972</v>
      </c>
      <c r="H60">
        <v>8134503204</v>
      </c>
      <c r="I60" t="s">
        <v>24</v>
      </c>
      <c r="J60" t="s">
        <v>25</v>
      </c>
      <c r="K60" t="s">
        <v>36</v>
      </c>
      <c r="L60" t="s">
        <v>85</v>
      </c>
      <c r="M60" t="s">
        <v>243</v>
      </c>
      <c r="N60" t="s">
        <v>613</v>
      </c>
      <c r="O60">
        <v>9</v>
      </c>
      <c r="P60">
        <v>80976.789999999994</v>
      </c>
      <c r="Q60">
        <v>5</v>
      </c>
      <c r="R60" s="39">
        <v>36439.56</v>
      </c>
      <c r="S60" s="39">
        <v>692351.55</v>
      </c>
      <c r="T60" s="39">
        <v>285097.46000000002</v>
      </c>
      <c r="U60" t="str">
        <f t="shared" si="0"/>
        <v>Furniture</v>
      </c>
      <c r="V60">
        <f t="shared" si="1"/>
        <v>285097.46000000002</v>
      </c>
      <c r="W60" t="str">
        <f>IF(Sales[[#This Row],[Quantity]]&gt;=15, "Large","Small")</f>
        <v>Small</v>
      </c>
      <c r="X60" t="str">
        <f>IF(Sales[[#This Row],[Quantity]]&gt;=15,"Large",IF(Sales[[#This Row],[Quantity]]=14,"Medium","Small"))</f>
        <v>Small</v>
      </c>
      <c r="Y60" t="str">
        <f>IF(AND(Sales[[#This Row],[Unit Price (₦)]]&gt;68000,Sales[[#This Row],[Quantity]]&gt;15),"Offer Discount", "No Discount")</f>
        <v>No Discount</v>
      </c>
    </row>
    <row r="61" spans="1:25" ht="15" customHeight="1" x14ac:dyDescent="0.25">
      <c r="A61" t="s">
        <v>1819</v>
      </c>
      <c r="B61" s="8">
        <v>44830</v>
      </c>
      <c r="C61" s="8">
        <v>44837</v>
      </c>
      <c r="D61" t="s">
        <v>48</v>
      </c>
      <c r="E61" t="s">
        <v>3035</v>
      </c>
      <c r="F61" t="s">
        <v>3086</v>
      </c>
      <c r="G61" t="s">
        <v>1821</v>
      </c>
      <c r="H61">
        <v>8036101515</v>
      </c>
      <c r="I61" t="s">
        <v>43</v>
      </c>
      <c r="J61" t="s">
        <v>61</v>
      </c>
      <c r="K61" t="s">
        <v>84</v>
      </c>
      <c r="L61" t="s">
        <v>108</v>
      </c>
      <c r="M61" t="s">
        <v>109</v>
      </c>
      <c r="N61" t="s">
        <v>426</v>
      </c>
      <c r="O61">
        <v>16</v>
      </c>
      <c r="P61">
        <v>7915.12</v>
      </c>
      <c r="Q61">
        <v>10</v>
      </c>
      <c r="R61" s="39">
        <v>12664.19</v>
      </c>
      <c r="S61" s="39">
        <v>113977.73</v>
      </c>
      <c r="T61" s="39">
        <v>44261.07</v>
      </c>
      <c r="U61" t="str">
        <f t="shared" si="0"/>
        <v>Clothing</v>
      </c>
      <c r="V61">
        <f t="shared" si="1"/>
        <v>44261.07</v>
      </c>
      <c r="W61" t="str">
        <f>IF(Sales[[#This Row],[Quantity]]&gt;=15, "Large","Small")</f>
        <v>Large</v>
      </c>
      <c r="X61" t="str">
        <f>IF(Sales[[#This Row],[Quantity]]&gt;=15,"Large",IF(Sales[[#This Row],[Quantity]]=14,"Medium","Small"))</f>
        <v>Large</v>
      </c>
      <c r="Y61" t="str">
        <f>IF(AND(Sales[[#This Row],[Unit Price (₦)]]&gt;68000,Sales[[#This Row],[Quantity]]&gt;15),"Offer Discount", "No Discount")</f>
        <v>No Discount</v>
      </c>
    </row>
    <row r="62" spans="1:25" ht="15" customHeight="1" x14ac:dyDescent="0.25">
      <c r="A62" t="s">
        <v>2004</v>
      </c>
      <c r="B62" s="8">
        <v>44829</v>
      </c>
      <c r="C62" s="8">
        <v>44837</v>
      </c>
      <c r="D62" t="s">
        <v>48</v>
      </c>
      <c r="E62" t="s">
        <v>3097</v>
      </c>
      <c r="F62" t="s">
        <v>3062</v>
      </c>
      <c r="G62" t="s">
        <v>615</v>
      </c>
      <c r="H62">
        <v>9074720435</v>
      </c>
      <c r="I62" t="s">
        <v>43</v>
      </c>
      <c r="J62" t="s">
        <v>25</v>
      </c>
      <c r="K62" t="s">
        <v>36</v>
      </c>
      <c r="L62" t="s">
        <v>63</v>
      </c>
      <c r="M62" t="s">
        <v>54</v>
      </c>
      <c r="N62" t="s">
        <v>963</v>
      </c>
      <c r="O62">
        <v>13</v>
      </c>
      <c r="P62">
        <v>21091.19</v>
      </c>
      <c r="Q62">
        <v>10</v>
      </c>
      <c r="R62" s="39">
        <v>27418.55</v>
      </c>
      <c r="S62" s="39">
        <v>246766.92</v>
      </c>
      <c r="T62" s="39">
        <v>60594.76</v>
      </c>
      <c r="U62" t="str">
        <f t="shared" si="0"/>
        <v>Office Supplies</v>
      </c>
      <c r="V62">
        <f t="shared" si="1"/>
        <v>60594.76</v>
      </c>
      <c r="W62" t="str">
        <f>IF(Sales[[#This Row],[Quantity]]&gt;=15, "Large","Small")</f>
        <v>Small</v>
      </c>
      <c r="X62" t="str">
        <f>IF(Sales[[#This Row],[Quantity]]&gt;=15,"Large",IF(Sales[[#This Row],[Quantity]]=14,"Medium","Small"))</f>
        <v>Small</v>
      </c>
      <c r="Y62" t="str">
        <f>IF(AND(Sales[[#This Row],[Unit Price (₦)]]&gt;68000,Sales[[#This Row],[Quantity]]&gt;15),"Offer Discount", "No Discount")</f>
        <v>No Discount</v>
      </c>
    </row>
    <row r="63" spans="1:25" ht="15" customHeight="1" x14ac:dyDescent="0.25">
      <c r="A63" t="s">
        <v>1695</v>
      </c>
      <c r="B63" s="8">
        <v>44837</v>
      </c>
      <c r="C63" s="8">
        <v>44842</v>
      </c>
      <c r="D63" t="s">
        <v>48</v>
      </c>
      <c r="E63" t="s">
        <v>3076</v>
      </c>
      <c r="F63" t="s">
        <v>3071</v>
      </c>
      <c r="G63" t="s">
        <v>1697</v>
      </c>
      <c r="H63">
        <v>8131690263</v>
      </c>
      <c r="I63" t="s">
        <v>24</v>
      </c>
      <c r="J63" t="s">
        <v>51</v>
      </c>
      <c r="K63" t="s">
        <v>223</v>
      </c>
      <c r="L63" t="s">
        <v>108</v>
      </c>
      <c r="M63" t="s">
        <v>189</v>
      </c>
      <c r="N63" t="s">
        <v>205</v>
      </c>
      <c r="O63">
        <v>15</v>
      </c>
      <c r="P63">
        <v>16464.080000000002</v>
      </c>
      <c r="Q63">
        <v>20</v>
      </c>
      <c r="R63" s="39">
        <v>49392.24</v>
      </c>
      <c r="S63" s="39">
        <v>197568.96</v>
      </c>
      <c r="T63" s="39">
        <v>21634.47</v>
      </c>
      <c r="U63" t="str">
        <f t="shared" si="0"/>
        <v>Clothing</v>
      </c>
      <c r="V63">
        <f t="shared" si="1"/>
        <v>21634.47</v>
      </c>
      <c r="W63" t="str">
        <f>IF(Sales[[#This Row],[Quantity]]&gt;=15, "Large","Small")</f>
        <v>Large</v>
      </c>
      <c r="X63" t="str">
        <f>IF(Sales[[#This Row],[Quantity]]&gt;=15,"Large",IF(Sales[[#This Row],[Quantity]]=14,"Medium","Small"))</f>
        <v>Large</v>
      </c>
      <c r="Y63" t="str">
        <f>IF(AND(Sales[[#This Row],[Unit Price (₦)]]&gt;68000,Sales[[#This Row],[Quantity]]&gt;15),"Offer Discount", "No Discount")</f>
        <v>No Discount</v>
      </c>
    </row>
    <row r="64" spans="1:25" ht="15" customHeight="1" x14ac:dyDescent="0.25">
      <c r="A64" t="s">
        <v>2808</v>
      </c>
      <c r="B64" s="8">
        <v>44840</v>
      </c>
      <c r="C64" s="8">
        <v>44848</v>
      </c>
      <c r="D64" t="s">
        <v>48</v>
      </c>
      <c r="E64" t="s">
        <v>3089</v>
      </c>
      <c r="F64" t="s">
        <v>3077</v>
      </c>
      <c r="G64" t="s">
        <v>2809</v>
      </c>
      <c r="H64">
        <v>8061544925</v>
      </c>
      <c r="I64" t="s">
        <v>24</v>
      </c>
      <c r="J64" t="s">
        <v>25</v>
      </c>
      <c r="K64" t="s">
        <v>36</v>
      </c>
      <c r="L64" t="s">
        <v>63</v>
      </c>
      <c r="M64" t="s">
        <v>54</v>
      </c>
      <c r="N64" t="s">
        <v>55</v>
      </c>
      <c r="O64">
        <v>14</v>
      </c>
      <c r="P64">
        <v>13658.5</v>
      </c>
      <c r="Q64">
        <v>10</v>
      </c>
      <c r="R64" s="39">
        <v>19121.900000000001</v>
      </c>
      <c r="S64" s="39">
        <v>172097.1</v>
      </c>
      <c r="T64" s="39">
        <v>-21793.81</v>
      </c>
      <c r="U64" t="str">
        <f t="shared" si="0"/>
        <v>Office Supplies</v>
      </c>
      <c r="V64">
        <f t="shared" si="1"/>
        <v>21793.81</v>
      </c>
      <c r="W64" t="str">
        <f>IF(Sales[[#This Row],[Quantity]]&gt;=15, "Large","Small")</f>
        <v>Small</v>
      </c>
      <c r="X64" t="str">
        <f>IF(Sales[[#This Row],[Quantity]]&gt;=15,"Large",IF(Sales[[#This Row],[Quantity]]=14,"Medium","Small"))</f>
        <v>Medium</v>
      </c>
      <c r="Y64" t="str">
        <f>IF(AND(Sales[[#This Row],[Unit Price (₦)]]&gt;68000,Sales[[#This Row],[Quantity]]&gt;15),"Offer Discount", "No Discount")</f>
        <v>No Discount</v>
      </c>
    </row>
    <row r="65" spans="1:25" ht="15" customHeight="1" x14ac:dyDescent="0.25">
      <c r="A65" t="s">
        <v>337</v>
      </c>
      <c r="B65" s="8">
        <v>44850</v>
      </c>
      <c r="C65" s="8">
        <v>44856</v>
      </c>
      <c r="D65" t="s">
        <v>48</v>
      </c>
      <c r="E65" t="s">
        <v>3058</v>
      </c>
      <c r="F65" t="s">
        <v>3086</v>
      </c>
      <c r="G65" t="s">
        <v>339</v>
      </c>
      <c r="H65">
        <v>8067619862</v>
      </c>
      <c r="I65" t="s">
        <v>43</v>
      </c>
      <c r="J65" t="s">
        <v>51</v>
      </c>
      <c r="K65" t="s">
        <v>52</v>
      </c>
      <c r="L65" t="s">
        <v>96</v>
      </c>
      <c r="M65" t="s">
        <v>97</v>
      </c>
      <c r="N65" t="s">
        <v>169</v>
      </c>
      <c r="O65">
        <f>O64</f>
        <v>14</v>
      </c>
      <c r="P65">
        <v>68761.100000000006</v>
      </c>
      <c r="Q65">
        <v>10</v>
      </c>
      <c r="R65" s="39">
        <v>82513.320000000007</v>
      </c>
      <c r="S65" s="39">
        <v>742619.88</v>
      </c>
      <c r="T65" s="39">
        <v>149070.59</v>
      </c>
      <c r="U65" t="str">
        <f t="shared" si="0"/>
        <v>Technology</v>
      </c>
      <c r="V65">
        <f t="shared" si="1"/>
        <v>149070.59</v>
      </c>
      <c r="W65" t="str">
        <f>IF(Sales[[#This Row],[Quantity]]&gt;=15, "Large","Small")</f>
        <v>Small</v>
      </c>
      <c r="X65" t="str">
        <f>IF(Sales[[#This Row],[Quantity]]&gt;=15,"Large",IF(Sales[[#This Row],[Quantity]]=14,"Medium","Small"))</f>
        <v>Medium</v>
      </c>
      <c r="Y65" t="str">
        <f>IF(AND(Sales[[#This Row],[Unit Price (₦)]]&gt;68000,Sales[[#This Row],[Quantity]]&gt;15),"Offer Discount", "No Discount")</f>
        <v>No Discount</v>
      </c>
    </row>
    <row r="66" spans="1:25" ht="15" customHeight="1" x14ac:dyDescent="0.25">
      <c r="A66" t="s">
        <v>1752</v>
      </c>
      <c r="B66" s="8">
        <v>44851</v>
      </c>
      <c r="C66" s="8">
        <v>44857</v>
      </c>
      <c r="D66" t="s">
        <v>48</v>
      </c>
      <c r="E66" t="s">
        <v>3033</v>
      </c>
      <c r="F66" t="s">
        <v>3100</v>
      </c>
      <c r="G66" t="s">
        <v>1754</v>
      </c>
      <c r="H66">
        <v>9054428815</v>
      </c>
      <c r="I66" t="s">
        <v>35</v>
      </c>
      <c r="J66" t="s">
        <v>69</v>
      </c>
      <c r="K66" t="s">
        <v>307</v>
      </c>
      <c r="L66" t="s">
        <v>85</v>
      </c>
      <c r="M66" t="s">
        <v>266</v>
      </c>
      <c r="N66" t="s">
        <v>267</v>
      </c>
      <c r="O66">
        <v>15</v>
      </c>
      <c r="P66">
        <v>81313.25</v>
      </c>
      <c r="Q66">
        <v>10</v>
      </c>
      <c r="R66" s="39">
        <v>121969.88</v>
      </c>
      <c r="S66" s="39">
        <v>1097728.8700000001</v>
      </c>
      <c r="T66" s="39">
        <v>-56538.21</v>
      </c>
      <c r="U66" t="str">
        <f t="shared" ref="U66:U129" si="3">PROPER(L66)</f>
        <v>Furniture</v>
      </c>
      <c r="V66">
        <f t="shared" si="1"/>
        <v>56538.21</v>
      </c>
      <c r="W66" t="str">
        <f>IF(Sales[[#This Row],[Quantity]]&gt;=15, "Large","Small")</f>
        <v>Large</v>
      </c>
      <c r="X66" t="str">
        <f>IF(Sales[[#This Row],[Quantity]]&gt;=15,"Large",IF(Sales[[#This Row],[Quantity]]=14,"Medium","Small"))</f>
        <v>Large</v>
      </c>
      <c r="Y66" t="str">
        <f>IF(AND(Sales[[#This Row],[Unit Price (₦)]]&gt;68000,Sales[[#This Row],[Quantity]]&gt;15),"Offer Discount", "No Discount")</f>
        <v>No Discount</v>
      </c>
    </row>
    <row r="67" spans="1:25" ht="15" customHeight="1" x14ac:dyDescent="0.25">
      <c r="A67" t="s">
        <v>766</v>
      </c>
      <c r="B67" s="8">
        <v>44853</v>
      </c>
      <c r="C67" s="8">
        <v>44860</v>
      </c>
      <c r="D67" t="s">
        <v>48</v>
      </c>
      <c r="E67" t="s">
        <v>3081</v>
      </c>
      <c r="F67" t="s">
        <v>3090</v>
      </c>
      <c r="G67" t="s">
        <v>768</v>
      </c>
      <c r="H67">
        <v>8039720112</v>
      </c>
      <c r="I67" t="s">
        <v>43</v>
      </c>
      <c r="J67" t="s">
        <v>61</v>
      </c>
      <c r="K67" t="s">
        <v>204</v>
      </c>
      <c r="L67" t="s">
        <v>108</v>
      </c>
      <c r="M67" t="s">
        <v>38</v>
      </c>
      <c r="N67" t="s">
        <v>213</v>
      </c>
      <c r="O67">
        <v>3</v>
      </c>
      <c r="P67">
        <v>43905.86</v>
      </c>
      <c r="Q67">
        <v>0</v>
      </c>
      <c r="R67" s="39">
        <v>0</v>
      </c>
      <c r="S67" s="39">
        <v>131717.57999999999</v>
      </c>
      <c r="T67" s="39">
        <v>20186.599999999999</v>
      </c>
      <c r="U67" t="str">
        <f t="shared" si="3"/>
        <v>Clothing</v>
      </c>
      <c r="V67">
        <f t="shared" ref="V67:V130" si="4">ABS(T67)</f>
        <v>20186.599999999999</v>
      </c>
      <c r="W67" t="str">
        <f>IF(Sales[[#This Row],[Quantity]]&gt;=15, "Large","Small")</f>
        <v>Small</v>
      </c>
      <c r="X67" t="str">
        <f>IF(Sales[[#This Row],[Quantity]]&gt;=15,"Large",IF(Sales[[#This Row],[Quantity]]=14,"Medium","Small"))</f>
        <v>Small</v>
      </c>
      <c r="Y67" t="str">
        <f>IF(AND(Sales[[#This Row],[Unit Price (₦)]]&gt;68000,Sales[[#This Row],[Quantity]]&gt;15),"Offer Discount", "No Discount")</f>
        <v>No Discount</v>
      </c>
    </row>
    <row r="68" spans="1:25" ht="15" customHeight="1" x14ac:dyDescent="0.25">
      <c r="A68" t="s">
        <v>2074</v>
      </c>
      <c r="B68" s="8">
        <v>44864</v>
      </c>
      <c r="C68" s="8">
        <v>44872</v>
      </c>
      <c r="D68" t="s">
        <v>48</v>
      </c>
      <c r="E68" t="s">
        <v>3067</v>
      </c>
      <c r="F68" t="s">
        <v>3069</v>
      </c>
      <c r="G68" t="s">
        <v>2075</v>
      </c>
      <c r="H68">
        <v>7039352238</v>
      </c>
      <c r="I68" t="s">
        <v>43</v>
      </c>
      <c r="J68" t="s">
        <v>69</v>
      </c>
      <c r="K68" t="s">
        <v>307</v>
      </c>
      <c r="L68" t="s">
        <v>96</v>
      </c>
      <c r="M68" t="s">
        <v>385</v>
      </c>
      <c r="N68" t="s">
        <v>1010</v>
      </c>
      <c r="O68">
        <v>14</v>
      </c>
      <c r="P68">
        <v>337340.41</v>
      </c>
      <c r="Q68">
        <v>10</v>
      </c>
      <c r="R68" s="39">
        <v>472276.57</v>
      </c>
      <c r="S68" s="39">
        <v>4250489.17</v>
      </c>
      <c r="T68" s="39">
        <v>-111428.65</v>
      </c>
      <c r="U68" t="str">
        <f t="shared" si="3"/>
        <v>Technology</v>
      </c>
      <c r="V68">
        <f t="shared" si="4"/>
        <v>111428.65</v>
      </c>
      <c r="W68" t="str">
        <f>IF(Sales[[#This Row],[Quantity]]&gt;=15, "Large","Small")</f>
        <v>Small</v>
      </c>
      <c r="X68" t="str">
        <f>IF(Sales[[#This Row],[Quantity]]&gt;=15,"Large",IF(Sales[[#This Row],[Quantity]]=14,"Medium","Small"))</f>
        <v>Medium</v>
      </c>
      <c r="Y68" t="str">
        <f>IF(AND(Sales[[#This Row],[Unit Price (₦)]]&gt;68000,Sales[[#This Row],[Quantity]]&gt;15),"Offer Discount", "No Discount")</f>
        <v>No Discount</v>
      </c>
    </row>
    <row r="69" spans="1:25" ht="15" customHeight="1" x14ac:dyDescent="0.25">
      <c r="A69" t="s">
        <v>2171</v>
      </c>
      <c r="B69" s="8">
        <v>44869</v>
      </c>
      <c r="C69" s="8">
        <v>44877</v>
      </c>
      <c r="D69" t="s">
        <v>48</v>
      </c>
      <c r="E69" t="s">
        <v>3081</v>
      </c>
      <c r="F69" t="s">
        <v>3050</v>
      </c>
      <c r="G69" t="s">
        <v>2172</v>
      </c>
      <c r="H69">
        <v>9059447259</v>
      </c>
      <c r="I69" t="s">
        <v>43</v>
      </c>
      <c r="J69" t="s">
        <v>51</v>
      </c>
      <c r="K69" t="s">
        <v>131</v>
      </c>
      <c r="L69" t="s">
        <v>27</v>
      </c>
      <c r="M69" t="s">
        <v>173</v>
      </c>
      <c r="N69" t="s">
        <v>662</v>
      </c>
      <c r="O69">
        <v>4</v>
      </c>
      <c r="P69">
        <v>4450.05</v>
      </c>
      <c r="Q69">
        <v>-10</v>
      </c>
      <c r="R69" s="39">
        <v>4450.05</v>
      </c>
      <c r="S69" s="39">
        <v>13350.15</v>
      </c>
      <c r="T69" s="39">
        <v>4391.18</v>
      </c>
      <c r="U69" t="str">
        <f t="shared" si="3"/>
        <v>Food &amp; Beverages</v>
      </c>
      <c r="V69">
        <f t="shared" si="4"/>
        <v>4391.18</v>
      </c>
      <c r="W69" t="str">
        <f>IF(Sales[[#This Row],[Quantity]]&gt;=15, "Large","Small")</f>
        <v>Small</v>
      </c>
      <c r="X69" t="str">
        <f>IF(Sales[[#This Row],[Quantity]]&gt;=15,"Large",IF(Sales[[#This Row],[Quantity]]=14,"Medium","Small"))</f>
        <v>Small</v>
      </c>
      <c r="Y69" t="str">
        <f>IF(AND(Sales[[#This Row],[Unit Price (₦)]]&gt;68000,Sales[[#This Row],[Quantity]]&gt;15),"Offer Discount", "No Discount")</f>
        <v>No Discount</v>
      </c>
    </row>
    <row r="70" spans="1:25" ht="15" customHeight="1" x14ac:dyDescent="0.25">
      <c r="A70" t="s">
        <v>1408</v>
      </c>
      <c r="B70" s="8">
        <v>44877</v>
      </c>
      <c r="C70" s="8">
        <v>44884</v>
      </c>
      <c r="D70" t="s">
        <v>48</v>
      </c>
      <c r="E70" t="s">
        <v>1409</v>
      </c>
      <c r="F70" t="str">
        <f>F69</f>
        <v>Musa</v>
      </c>
      <c r="G70" t="s">
        <v>1410</v>
      </c>
      <c r="H70">
        <v>8065826621</v>
      </c>
      <c r="I70" t="s">
        <v>35</v>
      </c>
      <c r="J70" t="s">
        <v>69</v>
      </c>
      <c r="K70" t="s">
        <v>119</v>
      </c>
      <c r="L70" t="s">
        <v>108</v>
      </c>
      <c r="M70" t="s">
        <v>109</v>
      </c>
      <c r="N70" t="s">
        <v>690</v>
      </c>
      <c r="O70">
        <v>8</v>
      </c>
      <c r="P70">
        <v>40992.11</v>
      </c>
      <c r="Q70">
        <v>0</v>
      </c>
      <c r="R70" s="39">
        <v>0</v>
      </c>
      <c r="S70" s="39">
        <v>327936.88</v>
      </c>
      <c r="T70" s="39">
        <v>-25706.05</v>
      </c>
      <c r="U70" t="str">
        <f t="shared" si="3"/>
        <v>Clothing</v>
      </c>
      <c r="V70">
        <f t="shared" si="4"/>
        <v>25706.05</v>
      </c>
      <c r="W70" t="str">
        <f>IF(Sales[[#This Row],[Quantity]]&gt;=15, "Large","Small")</f>
        <v>Small</v>
      </c>
      <c r="X70" t="str">
        <f>IF(Sales[[#This Row],[Quantity]]&gt;=15,"Large",IF(Sales[[#This Row],[Quantity]]=14,"Medium","Small"))</f>
        <v>Small</v>
      </c>
      <c r="Y70" t="str">
        <f>IF(AND(Sales[[#This Row],[Unit Price (₦)]]&gt;68000,Sales[[#This Row],[Quantity]]&gt;15),"Offer Discount", "No Discount")</f>
        <v>No Discount</v>
      </c>
    </row>
    <row r="71" spans="1:25" ht="15" customHeight="1" x14ac:dyDescent="0.25">
      <c r="A71" t="s">
        <v>2574</v>
      </c>
      <c r="B71" s="8">
        <v>44881</v>
      </c>
      <c r="C71" s="8">
        <v>44889</v>
      </c>
      <c r="D71" t="s">
        <v>48</v>
      </c>
      <c r="E71" t="s">
        <v>3095</v>
      </c>
      <c r="F71" t="s">
        <v>3079</v>
      </c>
      <c r="G71" t="s">
        <v>2576</v>
      </c>
      <c r="H71">
        <v>9053046457</v>
      </c>
      <c r="I71" t="s">
        <v>24</v>
      </c>
      <c r="J71" t="s">
        <v>25</v>
      </c>
      <c r="K71" t="s">
        <v>44</v>
      </c>
      <c r="L71" t="s">
        <v>96</v>
      </c>
      <c r="M71" t="s">
        <v>385</v>
      </c>
      <c r="N71" t="s">
        <v>781</v>
      </c>
      <c r="O71">
        <v>3</v>
      </c>
      <c r="P71">
        <v>414330.94</v>
      </c>
      <c r="Q71">
        <v>0</v>
      </c>
      <c r="R71" s="39">
        <v>0</v>
      </c>
      <c r="S71" s="39">
        <v>1242992.82</v>
      </c>
      <c r="T71" s="39">
        <v>-118056.56</v>
      </c>
      <c r="U71" t="str">
        <f t="shared" si="3"/>
        <v>Technology</v>
      </c>
      <c r="V71">
        <f t="shared" si="4"/>
        <v>118056.56</v>
      </c>
      <c r="W71" t="str">
        <f>IF(Sales[[#This Row],[Quantity]]&gt;=15, "Large","Small")</f>
        <v>Small</v>
      </c>
      <c r="X71" t="str">
        <f>IF(Sales[[#This Row],[Quantity]]&gt;=15,"Large",IF(Sales[[#This Row],[Quantity]]=14,"Medium","Small"))</f>
        <v>Small</v>
      </c>
      <c r="Y71" t="str">
        <f>IF(AND(Sales[[#This Row],[Unit Price (₦)]]&gt;68000,Sales[[#This Row],[Quantity]]&gt;15),"Offer Discount", "No Discount")</f>
        <v>No Discount</v>
      </c>
    </row>
    <row r="72" spans="1:25" ht="15" customHeight="1" x14ac:dyDescent="0.25">
      <c r="A72" t="s">
        <v>2860</v>
      </c>
      <c r="B72" s="8">
        <v>44884</v>
      </c>
      <c r="C72" s="8">
        <v>44890</v>
      </c>
      <c r="D72" t="s">
        <v>48</v>
      </c>
      <c r="E72" t="s">
        <v>3044</v>
      </c>
      <c r="F72" t="s">
        <v>3054</v>
      </c>
      <c r="G72" t="s">
        <v>2862</v>
      </c>
      <c r="H72">
        <v>8068291687</v>
      </c>
      <c r="I72" t="s">
        <v>35</v>
      </c>
      <c r="J72" t="s">
        <v>61</v>
      </c>
      <c r="K72" t="s">
        <v>204</v>
      </c>
      <c r="L72" t="s">
        <v>85</v>
      </c>
      <c r="M72" t="s">
        <v>218</v>
      </c>
      <c r="N72" t="s">
        <v>1058</v>
      </c>
      <c r="O72">
        <v>18</v>
      </c>
      <c r="P72">
        <v>130755.89</v>
      </c>
      <c r="Q72">
        <v>25</v>
      </c>
      <c r="R72" s="39">
        <v>588401.51</v>
      </c>
      <c r="S72" s="39">
        <v>1765204.51</v>
      </c>
      <c r="T72" s="39">
        <v>741350.81</v>
      </c>
      <c r="U72" t="str">
        <f t="shared" si="3"/>
        <v>Furniture</v>
      </c>
      <c r="V72">
        <f t="shared" si="4"/>
        <v>741350.81</v>
      </c>
      <c r="W72" t="str">
        <f>IF(Sales[[#This Row],[Quantity]]&gt;=15, "Large","Small")</f>
        <v>Large</v>
      </c>
      <c r="X72" t="str">
        <f>IF(Sales[[#This Row],[Quantity]]&gt;=15,"Large",IF(Sales[[#This Row],[Quantity]]=14,"Medium","Small"))</f>
        <v>Large</v>
      </c>
      <c r="Y72" t="str">
        <f>IF(AND(Sales[[#This Row],[Unit Price (₦)]]&gt;68000,Sales[[#This Row],[Quantity]]&gt;15),"Offer Discount", "No Discount")</f>
        <v>Offer Discount</v>
      </c>
    </row>
    <row r="73" spans="1:25" ht="15" customHeight="1" x14ac:dyDescent="0.25">
      <c r="A73" t="s">
        <v>2168</v>
      </c>
      <c r="B73" s="8">
        <v>44890</v>
      </c>
      <c r="C73" s="8">
        <v>44897</v>
      </c>
      <c r="D73" t="s">
        <v>48</v>
      </c>
      <c r="E73" t="s">
        <v>3063</v>
      </c>
      <c r="F73" t="s">
        <v>3064</v>
      </c>
      <c r="G73" t="s">
        <v>2169</v>
      </c>
      <c r="H73">
        <v>9051428411</v>
      </c>
      <c r="I73" t="s">
        <v>43</v>
      </c>
      <c r="J73" t="s">
        <v>51</v>
      </c>
      <c r="K73" t="s">
        <v>316</v>
      </c>
      <c r="L73" t="s">
        <v>96</v>
      </c>
      <c r="M73" t="s">
        <v>254</v>
      </c>
      <c r="N73" t="s">
        <v>255</v>
      </c>
      <c r="O73">
        <v>17</v>
      </c>
      <c r="P73">
        <v>366494.88</v>
      </c>
      <c r="Q73">
        <v>25</v>
      </c>
      <c r="R73" s="39">
        <v>1557603.24</v>
      </c>
      <c r="S73" s="39">
        <v>4672809.72</v>
      </c>
      <c r="T73" s="39">
        <v>1495674.28</v>
      </c>
      <c r="U73" t="str">
        <f t="shared" si="3"/>
        <v>Technology</v>
      </c>
      <c r="V73">
        <f t="shared" si="4"/>
        <v>1495674.28</v>
      </c>
      <c r="W73" t="str">
        <f>IF(Sales[[#This Row],[Quantity]]&gt;=15, "Large","Small")</f>
        <v>Large</v>
      </c>
      <c r="X73" t="str">
        <f>IF(Sales[[#This Row],[Quantity]]&gt;=15,"Large",IF(Sales[[#This Row],[Quantity]]=14,"Medium","Small"))</f>
        <v>Large</v>
      </c>
      <c r="Y73" t="str">
        <f>IF(AND(Sales[[#This Row],[Unit Price (₦)]]&gt;68000,Sales[[#This Row],[Quantity]]&gt;15),"Offer Discount", "No Discount")</f>
        <v>Offer Discount</v>
      </c>
    </row>
    <row r="74" spans="1:25" ht="15" customHeight="1" x14ac:dyDescent="0.25">
      <c r="A74" t="s">
        <v>2411</v>
      </c>
      <c r="B74" s="8">
        <v>44895</v>
      </c>
      <c r="C74" s="8">
        <v>44901</v>
      </c>
      <c r="D74" t="s">
        <v>48</v>
      </c>
      <c r="E74" t="s">
        <v>3056</v>
      </c>
      <c r="F74" t="s">
        <v>3083</v>
      </c>
      <c r="G74" t="s">
        <v>2412</v>
      </c>
      <c r="H74">
        <v>9016316357</v>
      </c>
      <c r="I74" t="s">
        <v>35</v>
      </c>
      <c r="J74" t="s">
        <v>25</v>
      </c>
      <c r="K74" t="s">
        <v>26</v>
      </c>
      <c r="L74" t="s">
        <v>108</v>
      </c>
      <c r="M74" t="s">
        <v>109</v>
      </c>
      <c r="N74" t="s">
        <v>1258</v>
      </c>
      <c r="O74">
        <v>17</v>
      </c>
      <c r="P74">
        <v>44361.54</v>
      </c>
      <c r="Q74">
        <v>10</v>
      </c>
      <c r="R74" s="39">
        <v>75414.62</v>
      </c>
      <c r="S74" s="39">
        <v>678731.56</v>
      </c>
      <c r="T74" s="39">
        <v>92841.91</v>
      </c>
      <c r="U74" t="str">
        <f t="shared" si="3"/>
        <v>Clothing</v>
      </c>
      <c r="V74">
        <f t="shared" si="4"/>
        <v>92841.91</v>
      </c>
      <c r="W74" t="str">
        <f>IF(Sales[[#This Row],[Quantity]]&gt;=15, "Large","Small")</f>
        <v>Large</v>
      </c>
      <c r="X74" t="str">
        <f>IF(Sales[[#This Row],[Quantity]]&gt;=15,"Large",IF(Sales[[#This Row],[Quantity]]=14,"Medium","Small"))</f>
        <v>Large</v>
      </c>
      <c r="Y74" t="str">
        <f>IF(AND(Sales[[#This Row],[Unit Price (₦)]]&gt;68000,Sales[[#This Row],[Quantity]]&gt;15),"Offer Discount", "No Discount")</f>
        <v>No Discount</v>
      </c>
    </row>
    <row r="75" spans="1:25" ht="15" customHeight="1" x14ac:dyDescent="0.25">
      <c r="A75" t="s">
        <v>220</v>
      </c>
      <c r="B75" s="8">
        <v>44897</v>
      </c>
      <c r="C75" s="8">
        <v>44904</v>
      </c>
      <c r="D75" t="s">
        <v>48</v>
      </c>
      <c r="E75" t="s">
        <v>3072</v>
      </c>
      <c r="F75" t="s">
        <v>3057</v>
      </c>
      <c r="G75" t="s">
        <v>222</v>
      </c>
      <c r="H75">
        <v>8167296605</v>
      </c>
      <c r="I75" t="s">
        <v>35</v>
      </c>
      <c r="J75" t="s">
        <v>51</v>
      </c>
      <c r="K75" t="s">
        <v>223</v>
      </c>
      <c r="L75" t="s">
        <v>108</v>
      </c>
      <c r="M75" t="s">
        <v>109</v>
      </c>
      <c r="N75" t="s">
        <v>110</v>
      </c>
      <c r="O75">
        <v>8</v>
      </c>
      <c r="P75">
        <v>27460.21</v>
      </c>
      <c r="Q75">
        <v>0</v>
      </c>
      <c r="R75" s="39">
        <v>0</v>
      </c>
      <c r="S75" s="39">
        <v>219681.68</v>
      </c>
      <c r="T75" s="39">
        <v>58944.07</v>
      </c>
      <c r="U75" t="str">
        <f t="shared" si="3"/>
        <v>Clothing</v>
      </c>
      <c r="V75">
        <f t="shared" si="4"/>
        <v>58944.07</v>
      </c>
      <c r="W75" t="str">
        <f>IF(Sales[[#This Row],[Quantity]]&gt;=15, "Large","Small")</f>
        <v>Small</v>
      </c>
      <c r="X75" t="str">
        <f>IF(Sales[[#This Row],[Quantity]]&gt;=15,"Large",IF(Sales[[#This Row],[Quantity]]=14,"Medium","Small"))</f>
        <v>Small</v>
      </c>
      <c r="Y75" t="str">
        <f>IF(AND(Sales[[#This Row],[Unit Price (₦)]]&gt;68000,Sales[[#This Row],[Quantity]]&gt;15),"Offer Discount", "No Discount")</f>
        <v>No Discount</v>
      </c>
    </row>
    <row r="76" spans="1:25" ht="15" customHeight="1" x14ac:dyDescent="0.25">
      <c r="A76" t="s">
        <v>2065</v>
      </c>
      <c r="B76" s="8">
        <v>44903</v>
      </c>
      <c r="C76" s="8">
        <v>44909</v>
      </c>
      <c r="D76" t="s">
        <v>48</v>
      </c>
      <c r="E76" t="s">
        <v>3095</v>
      </c>
      <c r="F76" t="s">
        <v>3071</v>
      </c>
      <c r="G76" t="s">
        <v>2067</v>
      </c>
      <c r="H76">
        <v>8038962478</v>
      </c>
      <c r="I76" t="s">
        <v>43</v>
      </c>
      <c r="J76" t="s">
        <v>61</v>
      </c>
      <c r="K76" t="s">
        <v>62</v>
      </c>
      <c r="L76" t="s">
        <v>108</v>
      </c>
      <c r="M76" t="s">
        <v>38</v>
      </c>
      <c r="N76" t="s">
        <v>519</v>
      </c>
      <c r="O76">
        <v>9</v>
      </c>
      <c r="P76">
        <v>9633.15</v>
      </c>
      <c r="Q76">
        <v>0</v>
      </c>
      <c r="R76" s="39">
        <v>0</v>
      </c>
      <c r="S76" s="39">
        <v>86698.35</v>
      </c>
      <c r="T76" s="39">
        <v>-4123.8</v>
      </c>
      <c r="U76" t="str">
        <f t="shared" si="3"/>
        <v>Clothing</v>
      </c>
      <c r="V76">
        <f t="shared" si="4"/>
        <v>4123.8</v>
      </c>
      <c r="W76" t="str">
        <f>IF(Sales[[#This Row],[Quantity]]&gt;=15, "Large","Small")</f>
        <v>Small</v>
      </c>
      <c r="X76" t="str">
        <f>IF(Sales[[#This Row],[Quantity]]&gt;=15,"Large",IF(Sales[[#This Row],[Quantity]]=14,"Medium","Small"))</f>
        <v>Small</v>
      </c>
      <c r="Y76" t="str">
        <f>IF(AND(Sales[[#This Row],[Unit Price (₦)]]&gt;68000,Sales[[#This Row],[Quantity]]&gt;15),"Offer Discount", "No Discount")</f>
        <v>No Discount</v>
      </c>
    </row>
    <row r="77" spans="1:25" ht="15" customHeight="1" x14ac:dyDescent="0.25">
      <c r="A77" t="s">
        <v>851</v>
      </c>
      <c r="B77" s="8">
        <v>44917</v>
      </c>
      <c r="C77" s="8">
        <v>44923</v>
      </c>
      <c r="D77" t="s">
        <v>48</v>
      </c>
      <c r="E77" t="s">
        <v>3050</v>
      </c>
      <c r="F77" t="s">
        <v>3042</v>
      </c>
      <c r="G77" t="s">
        <v>853</v>
      </c>
      <c r="H77">
        <v>8131554840</v>
      </c>
      <c r="I77" t="s">
        <v>24</v>
      </c>
      <c r="J77" t="s">
        <v>69</v>
      </c>
      <c r="K77" t="s">
        <v>119</v>
      </c>
      <c r="L77" t="s">
        <v>108</v>
      </c>
      <c r="M77" t="s">
        <v>114</v>
      </c>
      <c r="N77" t="s">
        <v>482</v>
      </c>
      <c r="O77">
        <v>9</v>
      </c>
      <c r="P77">
        <v>32299.26</v>
      </c>
      <c r="Q77">
        <v>10</v>
      </c>
      <c r="R77" s="39">
        <v>29069.33</v>
      </c>
      <c r="S77" s="39">
        <v>261624.01</v>
      </c>
      <c r="T77" s="39">
        <v>90025.81</v>
      </c>
      <c r="U77" t="str">
        <f t="shared" si="3"/>
        <v>Clothing</v>
      </c>
      <c r="V77">
        <f t="shared" si="4"/>
        <v>90025.81</v>
      </c>
      <c r="W77" t="str">
        <f>IF(Sales[[#This Row],[Quantity]]&gt;=15, "Large","Small")</f>
        <v>Small</v>
      </c>
      <c r="X77" t="str">
        <f>IF(Sales[[#This Row],[Quantity]]&gt;=15,"Large",IF(Sales[[#This Row],[Quantity]]=14,"Medium","Small"))</f>
        <v>Small</v>
      </c>
      <c r="Y77" t="str">
        <f>IF(AND(Sales[[#This Row],[Unit Price (₦)]]&gt;68000,Sales[[#This Row],[Quantity]]&gt;15),"Offer Discount", "No Discount")</f>
        <v>No Discount</v>
      </c>
    </row>
    <row r="78" spans="1:25" ht="15" customHeight="1" x14ac:dyDescent="0.25">
      <c r="A78" t="s">
        <v>1019</v>
      </c>
      <c r="B78" s="8">
        <v>44925</v>
      </c>
      <c r="C78" s="8">
        <v>44933</v>
      </c>
      <c r="D78" t="s">
        <v>48</v>
      </c>
      <c r="E78" t="s">
        <v>3085</v>
      </c>
      <c r="F78" t="s">
        <v>3088</v>
      </c>
      <c r="G78" t="s">
        <v>1020</v>
      </c>
      <c r="H78">
        <v>9029915915</v>
      </c>
      <c r="I78" t="s">
        <v>24</v>
      </c>
      <c r="J78" t="s">
        <v>69</v>
      </c>
      <c r="K78" t="s">
        <v>119</v>
      </c>
      <c r="L78" t="s">
        <v>27</v>
      </c>
      <c r="M78" t="s">
        <v>79</v>
      </c>
      <c r="N78" t="s">
        <v>145</v>
      </c>
      <c r="O78">
        <v>5</v>
      </c>
      <c r="P78">
        <v>4013.26</v>
      </c>
      <c r="Q78">
        <v>25</v>
      </c>
      <c r="R78" s="39">
        <v>5016.58</v>
      </c>
      <c r="S78" s="39">
        <v>15049.72</v>
      </c>
      <c r="T78" s="39">
        <v>5214.92</v>
      </c>
      <c r="U78" t="str">
        <f t="shared" si="3"/>
        <v>Food &amp; Beverages</v>
      </c>
      <c r="V78">
        <f t="shared" si="4"/>
        <v>5214.92</v>
      </c>
      <c r="W78" t="str">
        <f>IF(Sales[[#This Row],[Quantity]]&gt;=15, "Large","Small")</f>
        <v>Small</v>
      </c>
      <c r="X78" t="str">
        <f>IF(Sales[[#This Row],[Quantity]]&gt;=15,"Large",IF(Sales[[#This Row],[Quantity]]=14,"Medium","Small"))</f>
        <v>Small</v>
      </c>
      <c r="Y78" t="str">
        <f>IF(AND(Sales[[#This Row],[Unit Price (₦)]]&gt;68000,Sales[[#This Row],[Quantity]]&gt;15),"Offer Discount", "No Discount")</f>
        <v>No Discount</v>
      </c>
    </row>
    <row r="79" spans="1:25" ht="15" customHeight="1" x14ac:dyDescent="0.25">
      <c r="A79" t="s">
        <v>1448</v>
      </c>
      <c r="B79" s="8">
        <v>44928</v>
      </c>
      <c r="C79" s="8">
        <v>44936</v>
      </c>
      <c r="D79" t="s">
        <v>48</v>
      </c>
      <c r="E79" t="s">
        <v>3080</v>
      </c>
      <c r="F79" t="s">
        <v>3069</v>
      </c>
      <c r="G79" t="s">
        <v>1450</v>
      </c>
      <c r="H79">
        <v>8106079345</v>
      </c>
      <c r="I79" t="s">
        <v>43</v>
      </c>
      <c r="J79" t="s">
        <v>25</v>
      </c>
      <c r="K79" t="s">
        <v>26</v>
      </c>
      <c r="L79" t="s">
        <v>27</v>
      </c>
      <c r="M79" t="s">
        <v>173</v>
      </c>
      <c r="N79" t="s">
        <v>279</v>
      </c>
      <c r="O79">
        <v>17</v>
      </c>
      <c r="P79">
        <v>6153.32</v>
      </c>
      <c r="Q79">
        <v>20</v>
      </c>
      <c r="R79" s="39">
        <v>20921.29</v>
      </c>
      <c r="S79" s="39">
        <v>83685.149999999994</v>
      </c>
      <c r="T79" s="39">
        <v>27251.14</v>
      </c>
      <c r="U79" t="str">
        <f t="shared" si="3"/>
        <v>Food &amp; Beverages</v>
      </c>
      <c r="V79">
        <f t="shared" si="4"/>
        <v>27251.14</v>
      </c>
      <c r="W79" t="str">
        <f>IF(Sales[[#This Row],[Quantity]]&gt;=15, "Large","Small")</f>
        <v>Large</v>
      </c>
      <c r="X79" t="str">
        <f>IF(Sales[[#This Row],[Quantity]]&gt;=15,"Large",IF(Sales[[#This Row],[Quantity]]=14,"Medium","Small"))</f>
        <v>Large</v>
      </c>
      <c r="Y79" t="str">
        <f>IF(AND(Sales[[#This Row],[Unit Price (₦)]]&gt;68000,Sales[[#This Row],[Quantity]]&gt;15),"Offer Discount", "No Discount")</f>
        <v>No Discount</v>
      </c>
    </row>
    <row r="80" spans="1:25" ht="15" customHeight="1" x14ac:dyDescent="0.25">
      <c r="A80" t="s">
        <v>1347</v>
      </c>
      <c r="B80" s="8">
        <v>44930</v>
      </c>
      <c r="C80" s="8">
        <v>44938</v>
      </c>
      <c r="D80" t="s">
        <v>48</v>
      </c>
      <c r="E80" t="s">
        <v>3085</v>
      </c>
      <c r="F80" t="s">
        <v>3050</v>
      </c>
      <c r="G80" t="s">
        <v>1349</v>
      </c>
      <c r="H80">
        <v>7038026061</v>
      </c>
      <c r="I80" t="s">
        <v>24</v>
      </c>
      <c r="J80" t="s">
        <v>61</v>
      </c>
      <c r="K80" t="s">
        <v>62</v>
      </c>
      <c r="L80" t="s">
        <v>96</v>
      </c>
      <c r="M80" t="s">
        <v>254</v>
      </c>
      <c r="N80" t="s">
        <v>255</v>
      </c>
      <c r="O80">
        <v>17</v>
      </c>
      <c r="P80">
        <v>98477.74</v>
      </c>
      <c r="Q80">
        <v>0</v>
      </c>
      <c r="R80" s="39">
        <v>0</v>
      </c>
      <c r="S80" s="39">
        <v>1674121.58</v>
      </c>
      <c r="T80" s="39">
        <v>370571.1</v>
      </c>
      <c r="U80" t="str">
        <f t="shared" si="3"/>
        <v>Technology</v>
      </c>
      <c r="V80">
        <f t="shared" si="4"/>
        <v>370571.1</v>
      </c>
      <c r="W80" t="str">
        <f>IF(Sales[[#This Row],[Quantity]]&gt;=15, "Large","Small")</f>
        <v>Large</v>
      </c>
      <c r="X80" t="str">
        <f>IF(Sales[[#This Row],[Quantity]]&gt;=15,"Large",IF(Sales[[#This Row],[Quantity]]=14,"Medium","Small"))</f>
        <v>Large</v>
      </c>
      <c r="Y80" t="str">
        <f>IF(AND(Sales[[#This Row],[Unit Price (₦)]]&gt;68000,Sales[[#This Row],[Quantity]]&gt;15),"Offer Discount", "No Discount")</f>
        <v>Offer Discount</v>
      </c>
    </row>
    <row r="81" spans="1:25" ht="15" customHeight="1" x14ac:dyDescent="0.25">
      <c r="A81" t="s">
        <v>2930</v>
      </c>
      <c r="B81" s="8">
        <v>44940</v>
      </c>
      <c r="C81" s="8">
        <v>44946</v>
      </c>
      <c r="D81" t="s">
        <v>48</v>
      </c>
      <c r="E81" t="s">
        <v>3076</v>
      </c>
      <c r="F81" t="s">
        <v>3096</v>
      </c>
      <c r="G81" t="s">
        <v>2932</v>
      </c>
      <c r="H81">
        <v>9028212098</v>
      </c>
      <c r="I81" t="s">
        <v>125</v>
      </c>
      <c r="J81" t="s">
        <v>61</v>
      </c>
      <c r="K81" t="s">
        <v>62</v>
      </c>
      <c r="L81" t="s">
        <v>96</v>
      </c>
      <c r="M81" t="s">
        <v>189</v>
      </c>
      <c r="N81" t="s">
        <v>205</v>
      </c>
      <c r="O81">
        <v>2</v>
      </c>
      <c r="P81">
        <v>43307.01</v>
      </c>
      <c r="Q81">
        <v>15</v>
      </c>
      <c r="R81" s="39">
        <v>12992.1</v>
      </c>
      <c r="S81" s="39">
        <v>73621.919999999998</v>
      </c>
      <c r="T81" s="39">
        <v>16442.04</v>
      </c>
      <c r="U81" t="str">
        <f t="shared" si="3"/>
        <v>Technology</v>
      </c>
      <c r="V81">
        <f t="shared" si="4"/>
        <v>16442.04</v>
      </c>
      <c r="W81" t="str">
        <f>IF(Sales[[#This Row],[Quantity]]&gt;=15, "Large","Small")</f>
        <v>Small</v>
      </c>
      <c r="X81" t="str">
        <f>IF(Sales[[#This Row],[Quantity]]&gt;=15,"Large",IF(Sales[[#This Row],[Quantity]]=14,"Medium","Small"))</f>
        <v>Small</v>
      </c>
      <c r="Y81" t="str">
        <f>IF(AND(Sales[[#This Row],[Unit Price (₦)]]&gt;68000,Sales[[#This Row],[Quantity]]&gt;15),"Offer Discount", "No Discount")</f>
        <v>No Discount</v>
      </c>
    </row>
    <row r="82" spans="1:25" ht="15" customHeight="1" x14ac:dyDescent="0.25">
      <c r="A82" t="s">
        <v>1164</v>
      </c>
      <c r="B82" s="8">
        <v>44943</v>
      </c>
      <c r="C82" s="8">
        <v>44949</v>
      </c>
      <c r="D82" t="s">
        <v>48</v>
      </c>
      <c r="E82" t="s">
        <v>3092</v>
      </c>
      <c r="F82" t="s">
        <v>3071</v>
      </c>
      <c r="G82" t="s">
        <v>1166</v>
      </c>
      <c r="H82">
        <v>8035150551</v>
      </c>
      <c r="I82" t="s">
        <v>43</v>
      </c>
      <c r="J82" t="s">
        <v>25</v>
      </c>
      <c r="K82" t="s">
        <v>44</v>
      </c>
      <c r="L82" t="s">
        <v>27</v>
      </c>
      <c r="M82" t="s">
        <v>45</v>
      </c>
      <c r="N82" t="s">
        <v>838</v>
      </c>
      <c r="O82">
        <v>6</v>
      </c>
      <c r="P82">
        <v>4072.48</v>
      </c>
      <c r="Q82">
        <v>0</v>
      </c>
      <c r="R82" s="39">
        <v>0</v>
      </c>
      <c r="S82" s="39">
        <v>24434.880000000001</v>
      </c>
      <c r="T82" s="39">
        <v>1418.88</v>
      </c>
      <c r="U82" t="str">
        <f t="shared" si="3"/>
        <v>Food &amp; Beverages</v>
      </c>
      <c r="V82">
        <f t="shared" si="4"/>
        <v>1418.88</v>
      </c>
      <c r="W82" t="str">
        <f>IF(Sales[[#This Row],[Quantity]]&gt;=15, "Large","Small")</f>
        <v>Small</v>
      </c>
      <c r="X82" t="str">
        <f>IF(Sales[[#This Row],[Quantity]]&gt;=15,"Large",IF(Sales[[#This Row],[Quantity]]=14,"Medium","Small"))</f>
        <v>Small</v>
      </c>
      <c r="Y82" t="str">
        <f>IF(AND(Sales[[#This Row],[Unit Price (₦)]]&gt;68000,Sales[[#This Row],[Quantity]]&gt;15),"Offer Discount", "No Discount")</f>
        <v>No Discount</v>
      </c>
    </row>
    <row r="83" spans="1:25" ht="15" customHeight="1" x14ac:dyDescent="0.25">
      <c r="A83" t="s">
        <v>2279</v>
      </c>
      <c r="B83" s="8">
        <v>44945</v>
      </c>
      <c r="C83" s="8">
        <v>44952</v>
      </c>
      <c r="D83" t="s">
        <v>48</v>
      </c>
      <c r="E83" t="s">
        <v>3093</v>
      </c>
      <c r="F83" t="s">
        <v>3062</v>
      </c>
      <c r="G83" t="s">
        <v>2282</v>
      </c>
      <c r="H83">
        <v>8154123258</v>
      </c>
      <c r="I83" t="s">
        <v>43</v>
      </c>
      <c r="J83" t="s">
        <v>69</v>
      </c>
      <c r="K83" t="s">
        <v>144</v>
      </c>
      <c r="L83" t="s">
        <v>96</v>
      </c>
      <c r="M83" t="s">
        <v>189</v>
      </c>
      <c r="N83" t="s">
        <v>205</v>
      </c>
      <c r="O83">
        <v>19</v>
      </c>
      <c r="P83">
        <v>213553.87</v>
      </c>
      <c r="Q83">
        <v>15</v>
      </c>
      <c r="R83" s="39">
        <v>608628.53</v>
      </c>
      <c r="S83" s="39">
        <v>3448895</v>
      </c>
      <c r="T83" s="39">
        <v>995257.68</v>
      </c>
      <c r="U83" t="str">
        <f t="shared" si="3"/>
        <v>Technology</v>
      </c>
      <c r="V83">
        <f t="shared" si="4"/>
        <v>995257.68</v>
      </c>
      <c r="W83" t="str">
        <f>IF(Sales[[#This Row],[Quantity]]&gt;=15, "Large","Small")</f>
        <v>Large</v>
      </c>
      <c r="X83" t="str">
        <f>IF(Sales[[#This Row],[Quantity]]&gt;=15,"Large",IF(Sales[[#This Row],[Quantity]]=14,"Medium","Small"))</f>
        <v>Large</v>
      </c>
      <c r="Y83" t="str">
        <f>IF(AND(Sales[[#This Row],[Unit Price (₦)]]&gt;68000,Sales[[#This Row],[Quantity]]&gt;15),"Offer Discount", "No Discount")</f>
        <v>Offer Discount</v>
      </c>
    </row>
    <row r="84" spans="1:25" ht="15" customHeight="1" x14ac:dyDescent="0.25">
      <c r="A84" t="s">
        <v>849</v>
      </c>
      <c r="B84" s="8">
        <v>44946</v>
      </c>
      <c r="C84" s="8">
        <v>44954</v>
      </c>
      <c r="D84" t="s">
        <v>48</v>
      </c>
      <c r="E84" t="s">
        <v>3082</v>
      </c>
      <c r="F84" t="s">
        <v>3042</v>
      </c>
      <c r="G84" t="s">
        <v>3126</v>
      </c>
      <c r="H84">
        <v>9019127895</v>
      </c>
      <c r="I84" t="s">
        <v>24</v>
      </c>
      <c r="J84" t="s">
        <v>69</v>
      </c>
      <c r="K84" t="s">
        <v>155</v>
      </c>
      <c r="L84" t="s">
        <v>27</v>
      </c>
      <c r="M84" t="s">
        <v>45</v>
      </c>
      <c r="N84" t="s">
        <v>308</v>
      </c>
      <c r="O84">
        <v>6</v>
      </c>
      <c r="P84">
        <v>4267.58</v>
      </c>
      <c r="Q84">
        <v>110</v>
      </c>
      <c r="R84" s="39">
        <v>0</v>
      </c>
      <c r="S84" s="39">
        <v>25605.48</v>
      </c>
      <c r="T84" s="39">
        <v>939.05</v>
      </c>
      <c r="U84" t="str">
        <f t="shared" si="3"/>
        <v>Food &amp; Beverages</v>
      </c>
      <c r="V84">
        <f t="shared" si="4"/>
        <v>939.05</v>
      </c>
      <c r="W84" t="str">
        <f>IF(Sales[[#This Row],[Quantity]]&gt;=15, "Large","Small")</f>
        <v>Small</v>
      </c>
      <c r="X84" t="str">
        <f>IF(Sales[[#This Row],[Quantity]]&gt;=15,"Large",IF(Sales[[#This Row],[Quantity]]=14,"Medium","Small"))</f>
        <v>Small</v>
      </c>
      <c r="Y84" t="str">
        <f>IF(AND(Sales[[#This Row],[Unit Price (₦)]]&gt;68000,Sales[[#This Row],[Quantity]]&gt;15),"Offer Discount", "No Discount")</f>
        <v>No Discount</v>
      </c>
    </row>
    <row r="85" spans="1:25" ht="15" customHeight="1" x14ac:dyDescent="0.25">
      <c r="A85" t="s">
        <v>1670</v>
      </c>
      <c r="B85" s="8">
        <v>44958</v>
      </c>
      <c r="C85" s="8">
        <v>44964</v>
      </c>
      <c r="D85" t="s">
        <v>48</v>
      </c>
      <c r="E85" t="s">
        <v>3092</v>
      </c>
      <c r="F85" t="s">
        <v>3036</v>
      </c>
      <c r="G85" t="s">
        <v>1671</v>
      </c>
      <c r="H85">
        <v>7069076540</v>
      </c>
      <c r="I85" t="s">
        <v>24</v>
      </c>
      <c r="J85" t="s">
        <v>25</v>
      </c>
      <c r="K85" t="s">
        <v>36</v>
      </c>
      <c r="L85" t="s">
        <v>27</v>
      </c>
      <c r="M85" t="s">
        <v>28</v>
      </c>
      <c r="N85" t="s">
        <v>508</v>
      </c>
      <c r="O85">
        <v>2</v>
      </c>
      <c r="P85">
        <v>2172.27</v>
      </c>
      <c r="Q85">
        <v>0</v>
      </c>
      <c r="R85" s="39">
        <v>0</v>
      </c>
      <c r="S85" s="39">
        <v>4344.54</v>
      </c>
      <c r="T85" s="39">
        <v>-318.85000000000002</v>
      </c>
      <c r="U85" t="str">
        <f t="shared" si="3"/>
        <v>Food &amp; Beverages</v>
      </c>
      <c r="V85">
        <f t="shared" si="4"/>
        <v>318.85000000000002</v>
      </c>
      <c r="W85" t="str">
        <f>IF(Sales[[#This Row],[Quantity]]&gt;=15, "Large","Small")</f>
        <v>Small</v>
      </c>
      <c r="X85" t="str">
        <f>IF(Sales[[#This Row],[Quantity]]&gt;=15,"Large",IF(Sales[[#This Row],[Quantity]]=14,"Medium","Small"))</f>
        <v>Small</v>
      </c>
      <c r="Y85" t="str">
        <f>IF(AND(Sales[[#This Row],[Unit Price (₦)]]&gt;68000,Sales[[#This Row],[Quantity]]&gt;15),"Offer Discount", "No Discount")</f>
        <v>No Discount</v>
      </c>
    </row>
    <row r="86" spans="1:25" ht="15" customHeight="1" x14ac:dyDescent="0.25">
      <c r="A86" t="s">
        <v>1994</v>
      </c>
      <c r="B86" s="8">
        <v>44962</v>
      </c>
      <c r="C86" s="8">
        <v>44970</v>
      </c>
      <c r="D86" t="s">
        <v>48</v>
      </c>
      <c r="E86" t="s">
        <v>3056</v>
      </c>
      <c r="F86" t="s">
        <v>3039</v>
      </c>
      <c r="G86" t="s">
        <v>1996</v>
      </c>
      <c r="H86">
        <v>7067640565</v>
      </c>
      <c r="I86" t="s">
        <v>43</v>
      </c>
      <c r="J86" t="s">
        <v>69</v>
      </c>
      <c r="K86" t="s">
        <v>155</v>
      </c>
      <c r="L86" t="s">
        <v>96</v>
      </c>
      <c r="M86" t="s">
        <v>97</v>
      </c>
      <c r="N86" t="s">
        <v>443</v>
      </c>
      <c r="O86">
        <v>9</v>
      </c>
      <c r="P86">
        <v>235788.95</v>
      </c>
      <c r="Q86">
        <v>10</v>
      </c>
      <c r="R86" s="39">
        <v>212210.06</v>
      </c>
      <c r="S86" s="39">
        <v>1909890.49</v>
      </c>
      <c r="T86" s="39">
        <v>65772.83</v>
      </c>
      <c r="U86" t="str">
        <f t="shared" si="3"/>
        <v>Technology</v>
      </c>
      <c r="V86">
        <f t="shared" si="4"/>
        <v>65772.83</v>
      </c>
      <c r="W86" t="str">
        <f>IF(Sales[[#This Row],[Quantity]]&gt;=15, "Large","Small")</f>
        <v>Small</v>
      </c>
      <c r="X86" t="str">
        <f>IF(Sales[[#This Row],[Quantity]]&gt;=15,"Large",IF(Sales[[#This Row],[Quantity]]=14,"Medium","Small"))</f>
        <v>Small</v>
      </c>
      <c r="Y86" t="str">
        <f>IF(AND(Sales[[#This Row],[Unit Price (₦)]]&gt;68000,Sales[[#This Row],[Quantity]]&gt;15),"Offer Discount", "No Discount")</f>
        <v>No Discount</v>
      </c>
    </row>
    <row r="87" spans="1:25" ht="15" customHeight="1" x14ac:dyDescent="0.25">
      <c r="A87" t="s">
        <v>2463</v>
      </c>
      <c r="B87" s="8">
        <v>44968</v>
      </c>
      <c r="C87" s="8">
        <v>44973</v>
      </c>
      <c r="D87" t="s">
        <v>48</v>
      </c>
      <c r="E87" t="s">
        <v>3081</v>
      </c>
      <c r="F87" t="s">
        <v>3078</v>
      </c>
      <c r="G87" t="s">
        <v>2465</v>
      </c>
      <c r="H87">
        <v>8035418616</v>
      </c>
      <c r="I87" t="s">
        <v>24</v>
      </c>
      <c r="J87" t="s">
        <v>61</v>
      </c>
      <c r="K87" t="s">
        <v>204</v>
      </c>
      <c r="L87" t="s">
        <v>85</v>
      </c>
      <c r="M87" t="s">
        <v>243</v>
      </c>
      <c r="N87" t="s">
        <v>244</v>
      </c>
      <c r="O87">
        <v>5</v>
      </c>
      <c r="P87">
        <v>68853.539999999994</v>
      </c>
      <c r="Q87">
        <v>15</v>
      </c>
      <c r="R87" s="39">
        <v>51640.15</v>
      </c>
      <c r="S87" s="39">
        <v>292627.55</v>
      </c>
      <c r="T87" s="39">
        <v>-25699.83</v>
      </c>
      <c r="U87" t="str">
        <f t="shared" si="3"/>
        <v>Furniture</v>
      </c>
      <c r="V87">
        <f t="shared" si="4"/>
        <v>25699.83</v>
      </c>
      <c r="W87" t="str">
        <f>IF(Sales[[#This Row],[Quantity]]&gt;=15, "Large","Small")</f>
        <v>Small</v>
      </c>
      <c r="X87" t="str">
        <f>IF(Sales[[#This Row],[Quantity]]&gt;=15,"Large",IF(Sales[[#This Row],[Quantity]]=14,"Medium","Small"))</f>
        <v>Small</v>
      </c>
      <c r="Y87" t="str">
        <f>IF(AND(Sales[[#This Row],[Unit Price (₦)]]&gt;68000,Sales[[#This Row],[Quantity]]&gt;15),"Offer Discount", "No Discount")</f>
        <v>No Discount</v>
      </c>
    </row>
    <row r="88" spans="1:25" ht="15" customHeight="1" x14ac:dyDescent="0.25">
      <c r="A88" t="s">
        <v>656</v>
      </c>
      <c r="B88" s="8">
        <v>44971</v>
      </c>
      <c r="C88" s="8">
        <v>44977</v>
      </c>
      <c r="D88" t="s">
        <v>48</v>
      </c>
      <c r="E88" t="s">
        <v>3060</v>
      </c>
      <c r="F88" t="s">
        <v>3046</v>
      </c>
      <c r="G88" t="s">
        <v>658</v>
      </c>
      <c r="H88">
        <v>9014517316</v>
      </c>
      <c r="I88" t="s">
        <v>43</v>
      </c>
      <c r="J88" t="s">
        <v>51</v>
      </c>
      <c r="K88" t="s">
        <v>316</v>
      </c>
      <c r="L88" t="s">
        <v>108</v>
      </c>
      <c r="M88" t="s">
        <v>38</v>
      </c>
      <c r="N88" t="s">
        <v>519</v>
      </c>
      <c r="O88">
        <v>14</v>
      </c>
      <c r="P88">
        <v>37215.519999999997</v>
      </c>
      <c r="Q88">
        <v>20</v>
      </c>
      <c r="R88" s="39">
        <v>104203.46</v>
      </c>
      <c r="S88" s="39">
        <v>416813.82</v>
      </c>
      <c r="T88" s="39">
        <v>-27715</v>
      </c>
      <c r="U88" t="str">
        <f t="shared" si="3"/>
        <v>Clothing</v>
      </c>
      <c r="V88">
        <f t="shared" si="4"/>
        <v>27715</v>
      </c>
      <c r="W88" t="str">
        <f>IF(Sales[[#This Row],[Quantity]]&gt;=15, "Large","Small")</f>
        <v>Small</v>
      </c>
      <c r="X88" t="str">
        <f>IF(Sales[[#This Row],[Quantity]]&gt;=15,"Large",IF(Sales[[#This Row],[Quantity]]=14,"Medium","Small"))</f>
        <v>Medium</v>
      </c>
      <c r="Y88" t="str">
        <f>IF(AND(Sales[[#This Row],[Unit Price (₦)]]&gt;68000,Sales[[#This Row],[Quantity]]&gt;15),"Offer Discount", "No Discount")</f>
        <v>No Discount</v>
      </c>
    </row>
    <row r="89" spans="1:25" ht="15" customHeight="1" x14ac:dyDescent="0.25">
      <c r="A89" t="s">
        <v>1108</v>
      </c>
      <c r="B89" s="8">
        <v>44969</v>
      </c>
      <c r="C89" s="8">
        <v>44977</v>
      </c>
      <c r="D89" t="s">
        <v>48</v>
      </c>
      <c r="E89" t="s">
        <v>3072</v>
      </c>
      <c r="F89" t="s">
        <v>3075</v>
      </c>
      <c r="G89" t="s">
        <v>1110</v>
      </c>
      <c r="H89">
        <v>8147528399</v>
      </c>
      <c r="I89" t="s">
        <v>24</v>
      </c>
      <c r="J89" t="s">
        <v>69</v>
      </c>
      <c r="K89" t="s">
        <v>119</v>
      </c>
      <c r="L89" t="s">
        <v>53</v>
      </c>
      <c r="M89" t="s">
        <v>558</v>
      </c>
      <c r="N89" t="s">
        <v>680</v>
      </c>
      <c r="O89">
        <v>2</v>
      </c>
      <c r="P89">
        <v>15914.52</v>
      </c>
      <c r="Q89">
        <v>25</v>
      </c>
      <c r="R89" s="39">
        <v>7957.26</v>
      </c>
      <c r="S89" s="39">
        <v>23871.78</v>
      </c>
      <c r="T89" s="39">
        <v>3880.5</v>
      </c>
      <c r="U89" t="str">
        <f t="shared" si="3"/>
        <v>Office Supplies</v>
      </c>
      <c r="V89">
        <f t="shared" si="4"/>
        <v>3880.5</v>
      </c>
      <c r="W89" t="str">
        <f>IF(Sales[[#This Row],[Quantity]]&gt;=15, "Large","Small")</f>
        <v>Small</v>
      </c>
      <c r="X89" t="str">
        <f>IF(Sales[[#This Row],[Quantity]]&gt;=15,"Large",IF(Sales[[#This Row],[Quantity]]=14,"Medium","Small"))</f>
        <v>Small</v>
      </c>
      <c r="Y89" t="str">
        <f>IF(AND(Sales[[#This Row],[Unit Price (₦)]]&gt;68000,Sales[[#This Row],[Quantity]]&gt;15),"Offer Discount", "No Discount")</f>
        <v>No Discount</v>
      </c>
    </row>
    <row r="90" spans="1:25" ht="15" customHeight="1" x14ac:dyDescent="0.25">
      <c r="A90" t="s">
        <v>1576</v>
      </c>
      <c r="B90" s="8">
        <v>44982</v>
      </c>
      <c r="C90" s="8">
        <v>44989</v>
      </c>
      <c r="D90" t="s">
        <v>48</v>
      </c>
      <c r="E90" t="s">
        <v>3048</v>
      </c>
      <c r="F90" t="s">
        <v>3034</v>
      </c>
      <c r="G90" t="s">
        <v>1577</v>
      </c>
      <c r="H90">
        <v>9018407441</v>
      </c>
      <c r="I90" t="s">
        <v>24</v>
      </c>
      <c r="J90" t="s">
        <v>25</v>
      </c>
      <c r="K90" t="s">
        <v>126</v>
      </c>
      <c r="L90" t="s">
        <v>27</v>
      </c>
      <c r="M90" t="s">
        <v>28</v>
      </c>
      <c r="N90" t="s">
        <v>29</v>
      </c>
      <c r="O90">
        <v>12</v>
      </c>
      <c r="P90">
        <v>1488.08</v>
      </c>
      <c r="Q90">
        <v>10</v>
      </c>
      <c r="R90" s="39">
        <v>1785.7</v>
      </c>
      <c r="S90" s="39">
        <v>16071.26</v>
      </c>
      <c r="T90" s="39">
        <v>5488.28</v>
      </c>
      <c r="U90" t="str">
        <f t="shared" si="3"/>
        <v>Food &amp; Beverages</v>
      </c>
      <c r="V90">
        <f t="shared" si="4"/>
        <v>5488.28</v>
      </c>
      <c r="W90" t="str">
        <f>IF(Sales[[#This Row],[Quantity]]&gt;=15, "Large","Small")</f>
        <v>Small</v>
      </c>
      <c r="X90" t="str">
        <f>IF(Sales[[#This Row],[Quantity]]&gt;=15,"Large",IF(Sales[[#This Row],[Quantity]]=14,"Medium","Small"))</f>
        <v>Small</v>
      </c>
      <c r="Y90" t="str">
        <f>IF(AND(Sales[[#This Row],[Unit Price (₦)]]&gt;68000,Sales[[#This Row],[Quantity]]&gt;15),"Offer Discount", "No Discount")</f>
        <v>No Discount</v>
      </c>
    </row>
    <row r="91" spans="1:25" ht="15" customHeight="1" x14ac:dyDescent="0.25">
      <c r="A91" t="s">
        <v>1835</v>
      </c>
      <c r="B91" s="8">
        <v>44986</v>
      </c>
      <c r="C91" s="8">
        <v>44991</v>
      </c>
      <c r="D91" t="s">
        <v>48</v>
      </c>
      <c r="E91" t="s">
        <v>3065</v>
      </c>
      <c r="F91" t="s">
        <v>3086</v>
      </c>
      <c r="G91" t="s">
        <v>1836</v>
      </c>
      <c r="H91">
        <v>8038503322</v>
      </c>
      <c r="I91" t="s">
        <v>24</v>
      </c>
      <c r="J91" t="s">
        <v>69</v>
      </c>
      <c r="K91" t="s">
        <v>307</v>
      </c>
      <c r="L91" t="s">
        <v>63</v>
      </c>
      <c r="M91" t="s">
        <v>249</v>
      </c>
      <c r="N91" t="s">
        <v>465</v>
      </c>
      <c r="O91">
        <v>7</v>
      </c>
      <c r="P91">
        <v>3655.99</v>
      </c>
      <c r="Q91">
        <v>0</v>
      </c>
      <c r="R91" s="39">
        <v>0</v>
      </c>
      <c r="S91" s="39">
        <v>25591.93</v>
      </c>
      <c r="T91" s="39">
        <v>-2490.29</v>
      </c>
      <c r="U91" t="str">
        <f t="shared" si="3"/>
        <v>Office Supplies</v>
      </c>
      <c r="V91">
        <f t="shared" si="4"/>
        <v>2490.29</v>
      </c>
      <c r="W91" t="str">
        <f>IF(Sales[[#This Row],[Quantity]]&gt;=15, "Large","Small")</f>
        <v>Small</v>
      </c>
      <c r="X91" t="str">
        <f>IF(Sales[[#This Row],[Quantity]]&gt;=15,"Large",IF(Sales[[#This Row],[Quantity]]=14,"Medium","Small"))</f>
        <v>Small</v>
      </c>
      <c r="Y91" t="str">
        <f>IF(AND(Sales[[#This Row],[Unit Price (₦)]]&gt;68000,Sales[[#This Row],[Quantity]]&gt;15),"Offer Discount", "No Discount")</f>
        <v>No Discount</v>
      </c>
    </row>
    <row r="92" spans="1:25" ht="15" customHeight="1" x14ac:dyDescent="0.25">
      <c r="A92" t="s">
        <v>1250</v>
      </c>
      <c r="B92" s="8">
        <v>44985</v>
      </c>
      <c r="C92" s="8">
        <v>44992</v>
      </c>
      <c r="D92" t="s">
        <v>48</v>
      </c>
      <c r="E92" t="s">
        <v>3060</v>
      </c>
      <c r="F92" t="s">
        <v>3074</v>
      </c>
      <c r="G92" t="s">
        <v>1251</v>
      </c>
      <c r="H92">
        <v>8105752443</v>
      </c>
      <c r="I92" t="s">
        <v>24</v>
      </c>
      <c r="J92" t="s">
        <v>25</v>
      </c>
      <c r="K92" t="s">
        <v>606</v>
      </c>
      <c r="L92" t="s">
        <v>27</v>
      </c>
      <c r="M92" t="s">
        <v>354</v>
      </c>
      <c r="N92" t="s">
        <v>625</v>
      </c>
      <c r="O92">
        <v>20</v>
      </c>
      <c r="P92">
        <v>848.57</v>
      </c>
      <c r="Q92">
        <v>10</v>
      </c>
      <c r="R92" s="39">
        <v>1697.14</v>
      </c>
      <c r="S92" s="39">
        <v>15274.26</v>
      </c>
      <c r="T92" s="39">
        <v>2663.01</v>
      </c>
      <c r="U92" t="str">
        <f t="shared" si="3"/>
        <v>Food &amp; Beverages</v>
      </c>
      <c r="V92">
        <f t="shared" si="4"/>
        <v>2663.01</v>
      </c>
      <c r="W92" t="str">
        <f>IF(Sales[[#This Row],[Quantity]]&gt;=15, "Large","Small")</f>
        <v>Large</v>
      </c>
      <c r="X92" t="str">
        <f>IF(Sales[[#This Row],[Quantity]]&gt;=15,"Large",IF(Sales[[#This Row],[Quantity]]=14,"Medium","Small"))</f>
        <v>Large</v>
      </c>
      <c r="Y92" t="str">
        <f>IF(AND(Sales[[#This Row],[Unit Price (₦)]]&gt;68000,Sales[[#This Row],[Quantity]]&gt;15),"Offer Discount", "No Discount")</f>
        <v>No Discount</v>
      </c>
    </row>
    <row r="93" spans="1:25" ht="15" customHeight="1" x14ac:dyDescent="0.25">
      <c r="A93" t="s">
        <v>263</v>
      </c>
      <c r="B93" s="8">
        <v>44987</v>
      </c>
      <c r="C93" s="8">
        <v>44993</v>
      </c>
      <c r="D93" t="s">
        <v>48</v>
      </c>
      <c r="E93" t="s">
        <v>3061</v>
      </c>
      <c r="F93" t="s">
        <v>3069</v>
      </c>
      <c r="G93" t="s">
        <v>265</v>
      </c>
      <c r="H93">
        <v>8105024269</v>
      </c>
      <c r="I93" t="s">
        <v>24</v>
      </c>
      <c r="J93" t="s">
        <v>25</v>
      </c>
      <c r="K93" t="s">
        <v>36</v>
      </c>
      <c r="L93" t="s">
        <v>85</v>
      </c>
      <c r="M93" t="s">
        <v>266</v>
      </c>
      <c r="N93" t="s">
        <v>267</v>
      </c>
      <c r="O93">
        <v>14</v>
      </c>
      <c r="P93">
        <v>34923.61</v>
      </c>
      <c r="Q93">
        <v>20</v>
      </c>
      <c r="R93" s="39">
        <v>97786.11</v>
      </c>
      <c r="S93" s="39">
        <v>391144.43</v>
      </c>
      <c r="T93" s="39">
        <v>103114.54</v>
      </c>
      <c r="U93" t="str">
        <f t="shared" si="3"/>
        <v>Furniture</v>
      </c>
      <c r="V93">
        <f t="shared" si="4"/>
        <v>103114.54</v>
      </c>
      <c r="W93" t="str">
        <f>IF(Sales[[#This Row],[Quantity]]&gt;=15, "Large","Small")</f>
        <v>Small</v>
      </c>
      <c r="X93" t="str">
        <f>IF(Sales[[#This Row],[Quantity]]&gt;=15,"Large",IF(Sales[[#This Row],[Quantity]]=14,"Medium","Small"))</f>
        <v>Medium</v>
      </c>
      <c r="Y93" t="str">
        <f>IF(AND(Sales[[#This Row],[Unit Price (₦)]]&gt;68000,Sales[[#This Row],[Quantity]]&gt;15),"Offer Discount", "No Discount")</f>
        <v>No Discount</v>
      </c>
    </row>
    <row r="94" spans="1:25" ht="15" customHeight="1" x14ac:dyDescent="0.25">
      <c r="A94" t="s">
        <v>351</v>
      </c>
      <c r="B94" s="8">
        <v>44996</v>
      </c>
      <c r="C94" s="8">
        <v>45001</v>
      </c>
      <c r="D94" t="s">
        <v>48</v>
      </c>
      <c r="E94" t="s">
        <v>3087</v>
      </c>
      <c r="F94" t="s">
        <v>3079</v>
      </c>
      <c r="G94" t="s">
        <v>353</v>
      </c>
      <c r="H94">
        <v>8133112652</v>
      </c>
      <c r="I94" t="s">
        <v>43</v>
      </c>
      <c r="J94" t="s">
        <v>61</v>
      </c>
      <c r="K94" t="s">
        <v>95</v>
      </c>
      <c r="L94" t="s">
        <v>27</v>
      </c>
      <c r="M94" t="s">
        <v>354</v>
      </c>
      <c r="N94" t="s">
        <v>355</v>
      </c>
      <c r="O94">
        <v>18</v>
      </c>
      <c r="P94">
        <v>6689.6</v>
      </c>
      <c r="Q94">
        <v>5</v>
      </c>
      <c r="R94" s="39">
        <v>6020.64</v>
      </c>
      <c r="S94" s="39">
        <v>114392.16</v>
      </c>
      <c r="T94" s="39">
        <v>23087.75</v>
      </c>
      <c r="U94" t="str">
        <f t="shared" si="3"/>
        <v>Food &amp; Beverages</v>
      </c>
      <c r="V94">
        <f t="shared" si="4"/>
        <v>23087.75</v>
      </c>
      <c r="W94" t="str">
        <f>IF(Sales[[#This Row],[Quantity]]&gt;=15, "Large","Small")</f>
        <v>Large</v>
      </c>
      <c r="X94" t="str">
        <f>IF(Sales[[#This Row],[Quantity]]&gt;=15,"Large",IF(Sales[[#This Row],[Quantity]]=14,"Medium","Small"))</f>
        <v>Large</v>
      </c>
      <c r="Y94" t="str">
        <f>IF(AND(Sales[[#This Row],[Unit Price (₦)]]&gt;68000,Sales[[#This Row],[Quantity]]&gt;15),"Offer Discount", "No Discount")</f>
        <v>No Discount</v>
      </c>
    </row>
    <row r="95" spans="1:25" ht="15" customHeight="1" x14ac:dyDescent="0.25">
      <c r="A95" t="s">
        <v>2193</v>
      </c>
      <c r="B95" s="8">
        <v>44993</v>
      </c>
      <c r="C95" s="8">
        <v>45001</v>
      </c>
      <c r="D95" t="s">
        <v>48</v>
      </c>
      <c r="E95" t="s">
        <v>3070</v>
      </c>
      <c r="F95" t="s">
        <v>3036</v>
      </c>
      <c r="G95" t="s">
        <v>2195</v>
      </c>
      <c r="H95">
        <v>8066827492</v>
      </c>
      <c r="I95" t="s">
        <v>35</v>
      </c>
      <c r="J95" t="s">
        <v>51</v>
      </c>
      <c r="K95" t="s">
        <v>131</v>
      </c>
      <c r="L95" t="s">
        <v>63</v>
      </c>
      <c r="M95" t="s">
        <v>54</v>
      </c>
      <c r="N95" t="s">
        <v>1039</v>
      </c>
      <c r="O95">
        <v>16</v>
      </c>
      <c r="P95">
        <v>7552.16</v>
      </c>
      <c r="Q95">
        <v>20</v>
      </c>
      <c r="R95" s="39">
        <v>24166.91</v>
      </c>
      <c r="S95" s="39">
        <v>96667.65</v>
      </c>
      <c r="T95" s="39">
        <v>-1529.28</v>
      </c>
      <c r="U95" t="str">
        <f t="shared" si="3"/>
        <v>Office Supplies</v>
      </c>
      <c r="V95">
        <f t="shared" si="4"/>
        <v>1529.28</v>
      </c>
      <c r="W95" t="str">
        <f>IF(Sales[[#This Row],[Quantity]]&gt;=15, "Large","Small")</f>
        <v>Large</v>
      </c>
      <c r="X95" t="str">
        <f>IF(Sales[[#This Row],[Quantity]]&gt;=15,"Large",IF(Sales[[#This Row],[Quantity]]=14,"Medium","Small"))</f>
        <v>Large</v>
      </c>
      <c r="Y95" t="str">
        <f>IF(AND(Sales[[#This Row],[Unit Price (₦)]]&gt;68000,Sales[[#This Row],[Quantity]]&gt;15),"Offer Discount", "No Discount")</f>
        <v>No Discount</v>
      </c>
    </row>
    <row r="96" spans="1:25" ht="15" customHeight="1" x14ac:dyDescent="0.25">
      <c r="A96" t="s">
        <v>2511</v>
      </c>
      <c r="B96" s="8">
        <v>45001</v>
      </c>
      <c r="C96" s="8">
        <v>45006</v>
      </c>
      <c r="D96" t="s">
        <v>48</v>
      </c>
      <c r="E96" t="s">
        <v>3039</v>
      </c>
      <c r="F96" t="s">
        <v>3062</v>
      </c>
      <c r="G96" t="s">
        <v>2513</v>
      </c>
      <c r="H96">
        <v>9016373918</v>
      </c>
      <c r="I96" t="s">
        <v>43</v>
      </c>
      <c r="J96" t="s">
        <v>61</v>
      </c>
      <c r="K96" t="s">
        <v>84</v>
      </c>
      <c r="L96" t="s">
        <v>96</v>
      </c>
      <c r="M96" t="s">
        <v>385</v>
      </c>
      <c r="N96" t="s">
        <v>942</v>
      </c>
      <c r="O96">
        <v>20</v>
      </c>
      <c r="P96">
        <v>104930.57</v>
      </c>
      <c r="Q96">
        <v>0</v>
      </c>
      <c r="R96" s="39">
        <v>0</v>
      </c>
      <c r="S96" s="39">
        <v>2098611.4</v>
      </c>
      <c r="T96" s="39">
        <v>-257834.71</v>
      </c>
      <c r="U96" t="str">
        <f t="shared" si="3"/>
        <v>Technology</v>
      </c>
      <c r="V96">
        <f t="shared" si="4"/>
        <v>257834.71</v>
      </c>
      <c r="W96" t="str">
        <f>IF(Sales[[#This Row],[Quantity]]&gt;=15, "Large","Small")</f>
        <v>Large</v>
      </c>
      <c r="X96" t="str">
        <f>IF(Sales[[#This Row],[Quantity]]&gt;=15,"Large",IF(Sales[[#This Row],[Quantity]]=14,"Medium","Small"))</f>
        <v>Large</v>
      </c>
      <c r="Y96" t="str">
        <f>IF(AND(Sales[[#This Row],[Unit Price (₦)]]&gt;68000,Sales[[#This Row],[Quantity]]&gt;15),"Offer Discount", "No Discount")</f>
        <v>Offer Discount</v>
      </c>
    </row>
    <row r="97" spans="1:25" ht="15" customHeight="1" x14ac:dyDescent="0.25">
      <c r="A97" t="s">
        <v>2014</v>
      </c>
      <c r="B97" s="8">
        <v>45006</v>
      </c>
      <c r="C97" s="8">
        <v>45011</v>
      </c>
      <c r="D97" t="s">
        <v>48</v>
      </c>
      <c r="E97" t="s">
        <v>3041</v>
      </c>
      <c r="F97" t="s">
        <v>3054</v>
      </c>
      <c r="G97" t="s">
        <v>807</v>
      </c>
      <c r="H97">
        <v>8063123664</v>
      </c>
      <c r="I97" t="s">
        <v>43</v>
      </c>
      <c r="J97" t="s">
        <v>61</v>
      </c>
      <c r="K97" t="s">
        <v>62</v>
      </c>
      <c r="L97" t="s">
        <v>63</v>
      </c>
      <c r="M97" t="s">
        <v>558</v>
      </c>
      <c r="N97" t="s">
        <v>559</v>
      </c>
      <c r="O97">
        <v>3</v>
      </c>
      <c r="P97">
        <v>5381.32</v>
      </c>
      <c r="Q97">
        <v>10</v>
      </c>
      <c r="R97" s="39">
        <v>1614.4</v>
      </c>
      <c r="S97" s="39">
        <v>14529.56</v>
      </c>
      <c r="T97" s="39">
        <v>3993.45</v>
      </c>
      <c r="U97" t="str">
        <f t="shared" si="3"/>
        <v>Office Supplies</v>
      </c>
      <c r="V97">
        <f t="shared" si="4"/>
        <v>3993.45</v>
      </c>
      <c r="W97" t="str">
        <f>IF(Sales[[#This Row],[Quantity]]&gt;=15, "Large","Small")</f>
        <v>Small</v>
      </c>
      <c r="X97" t="str">
        <f>IF(Sales[[#This Row],[Quantity]]&gt;=15,"Large",IF(Sales[[#This Row],[Quantity]]=14,"Medium","Small"))</f>
        <v>Small</v>
      </c>
      <c r="Y97" t="str">
        <f>IF(AND(Sales[[#This Row],[Unit Price (₦)]]&gt;68000,Sales[[#This Row],[Quantity]]&gt;15),"Offer Discount", "No Discount")</f>
        <v>No Discount</v>
      </c>
    </row>
    <row r="98" spans="1:25" ht="15" customHeight="1" x14ac:dyDescent="0.25">
      <c r="A98" t="s">
        <v>924</v>
      </c>
      <c r="B98" s="8">
        <v>45016</v>
      </c>
      <c r="C98" s="8">
        <v>45021</v>
      </c>
      <c r="D98" t="s">
        <v>48</v>
      </c>
      <c r="E98" t="s">
        <v>3095</v>
      </c>
      <c r="F98" t="s">
        <v>3039</v>
      </c>
      <c r="G98" t="s">
        <v>926</v>
      </c>
      <c r="H98">
        <v>8159757456</v>
      </c>
      <c r="I98" t="s">
        <v>35</v>
      </c>
      <c r="J98" t="s">
        <v>51</v>
      </c>
      <c r="K98" t="s">
        <v>316</v>
      </c>
      <c r="L98" t="s">
        <v>63</v>
      </c>
      <c r="M98" t="s">
        <v>469</v>
      </c>
      <c r="N98" t="s">
        <v>470</v>
      </c>
      <c r="O98">
        <v>6</v>
      </c>
      <c r="P98">
        <v>1621.56</v>
      </c>
      <c r="Q98">
        <v>20</v>
      </c>
      <c r="R98" s="39">
        <v>1945.87</v>
      </c>
      <c r="S98" s="39">
        <v>7783.49</v>
      </c>
      <c r="T98" s="39">
        <f>T97</f>
        <v>3993.45</v>
      </c>
      <c r="U98" t="str">
        <f t="shared" si="3"/>
        <v>Office Supplies</v>
      </c>
      <c r="V98">
        <f t="shared" si="4"/>
        <v>3993.45</v>
      </c>
      <c r="W98" t="str">
        <f>IF(Sales[[#This Row],[Quantity]]&gt;=15, "Large","Small")</f>
        <v>Small</v>
      </c>
      <c r="X98" t="str">
        <f>IF(Sales[[#This Row],[Quantity]]&gt;=15,"Large",IF(Sales[[#This Row],[Quantity]]=14,"Medium","Small"))</f>
        <v>Small</v>
      </c>
      <c r="Y98" t="str">
        <f>IF(AND(Sales[[#This Row],[Unit Price (₦)]]&gt;68000,Sales[[#This Row],[Quantity]]&gt;15),"Offer Discount", "No Discount")</f>
        <v>No Discount</v>
      </c>
    </row>
    <row r="99" spans="1:25" ht="15" customHeight="1" x14ac:dyDescent="0.25">
      <c r="A99" t="s">
        <v>2540</v>
      </c>
      <c r="B99" s="8">
        <v>45021</v>
      </c>
      <c r="C99" s="8">
        <v>45026</v>
      </c>
      <c r="D99" t="s">
        <v>48</v>
      </c>
      <c r="E99" t="s">
        <v>3094</v>
      </c>
      <c r="F99" t="s">
        <v>3077</v>
      </c>
      <c r="G99" t="s">
        <v>2542</v>
      </c>
      <c r="H99">
        <v>8038993139</v>
      </c>
      <c r="I99" t="s">
        <v>24</v>
      </c>
      <c r="J99" t="s">
        <v>25</v>
      </c>
      <c r="K99" t="s">
        <v>168</v>
      </c>
      <c r="L99" t="s">
        <v>27</v>
      </c>
      <c r="M99" t="s">
        <v>28</v>
      </c>
      <c r="N99" t="s">
        <v>71</v>
      </c>
      <c r="O99">
        <v>13</v>
      </c>
      <c r="P99">
        <v>5579.2</v>
      </c>
      <c r="Q99">
        <v>20</v>
      </c>
      <c r="R99" s="39">
        <v>14505.92</v>
      </c>
      <c r="S99" s="39">
        <v>58023.68</v>
      </c>
      <c r="T99" s="39">
        <v>22985.77</v>
      </c>
      <c r="U99" t="str">
        <f t="shared" si="3"/>
        <v>Food &amp; Beverages</v>
      </c>
      <c r="V99">
        <f t="shared" si="4"/>
        <v>22985.77</v>
      </c>
      <c r="W99" t="str">
        <f>IF(Sales[[#This Row],[Quantity]]&gt;=15, "Large","Small")</f>
        <v>Small</v>
      </c>
      <c r="X99" t="str">
        <f>IF(Sales[[#This Row],[Quantity]]&gt;=15,"Large",IF(Sales[[#This Row],[Quantity]]=14,"Medium","Small"))</f>
        <v>Small</v>
      </c>
      <c r="Y99" t="str">
        <f>IF(AND(Sales[[#This Row],[Unit Price (₦)]]&gt;68000,Sales[[#This Row],[Quantity]]&gt;15),"Offer Discount", "No Discount")</f>
        <v>No Discount</v>
      </c>
    </row>
    <row r="100" spans="1:25" ht="15" customHeight="1" x14ac:dyDescent="0.25">
      <c r="A100" t="s">
        <v>2162</v>
      </c>
      <c r="B100" s="8">
        <v>45028</v>
      </c>
      <c r="C100" s="8">
        <v>45033</v>
      </c>
      <c r="D100" t="s">
        <v>48</v>
      </c>
      <c r="E100" t="s">
        <v>3061</v>
      </c>
      <c r="F100" t="s">
        <v>3036</v>
      </c>
      <c r="G100" t="s">
        <v>2164</v>
      </c>
      <c r="H100">
        <v>9076927978</v>
      </c>
      <c r="I100" t="s">
        <v>43</v>
      </c>
      <c r="J100" t="s">
        <v>69</v>
      </c>
      <c r="K100" t="s">
        <v>155</v>
      </c>
      <c r="L100" t="s">
        <v>27</v>
      </c>
      <c r="M100" t="s">
        <v>79</v>
      </c>
      <c r="N100" t="s">
        <v>234</v>
      </c>
      <c r="O100">
        <v>4</v>
      </c>
      <c r="P100">
        <v>2107.17</v>
      </c>
      <c r="Q100">
        <v>0</v>
      </c>
      <c r="R100" s="39">
        <v>0</v>
      </c>
      <c r="S100" s="39">
        <v>8428.68</v>
      </c>
      <c r="T100" s="39">
        <v>1299.3900000000001</v>
      </c>
      <c r="U100" t="str">
        <f t="shared" si="3"/>
        <v>Food &amp; Beverages</v>
      </c>
      <c r="V100">
        <f t="shared" si="4"/>
        <v>1299.3900000000001</v>
      </c>
      <c r="W100" t="str">
        <f>IF(Sales[[#This Row],[Quantity]]&gt;=15, "Large","Small")</f>
        <v>Small</v>
      </c>
      <c r="X100" t="str">
        <f>IF(Sales[[#This Row],[Quantity]]&gt;=15,"Large",IF(Sales[[#This Row],[Quantity]]=14,"Medium","Small"))</f>
        <v>Small</v>
      </c>
      <c r="Y100" t="str">
        <f>IF(AND(Sales[[#This Row],[Unit Price (₦)]]&gt;68000,Sales[[#This Row],[Quantity]]&gt;15),"Offer Discount", "No Discount")</f>
        <v>No Discount</v>
      </c>
    </row>
    <row r="101" spans="1:25" ht="15" customHeight="1" x14ac:dyDescent="0.25">
      <c r="A101" t="s">
        <v>751</v>
      </c>
      <c r="B101" s="8">
        <v>45029</v>
      </c>
      <c r="C101" s="8">
        <v>45034</v>
      </c>
      <c r="D101" t="s">
        <v>48</v>
      </c>
      <c r="E101" t="s">
        <v>3063</v>
      </c>
      <c r="F101" t="s">
        <v>3086</v>
      </c>
      <c r="G101" t="s">
        <v>3126</v>
      </c>
      <c r="H101">
        <v>8131771442</v>
      </c>
      <c r="I101" t="s">
        <v>24</v>
      </c>
      <c r="J101" t="s">
        <v>51</v>
      </c>
      <c r="K101" t="s">
        <v>52</v>
      </c>
      <c r="L101" t="s">
        <v>108</v>
      </c>
      <c r="M101" t="s">
        <v>38</v>
      </c>
      <c r="N101" t="s">
        <v>213</v>
      </c>
      <c r="O101">
        <v>6</v>
      </c>
      <c r="P101">
        <v>41569.74</v>
      </c>
      <c r="Q101">
        <v>0</v>
      </c>
      <c r="R101" s="39">
        <v>0</v>
      </c>
      <c r="S101" s="39">
        <v>249418.44</v>
      </c>
      <c r="T101" s="39">
        <v>45324.04</v>
      </c>
      <c r="U101" t="str">
        <f t="shared" si="3"/>
        <v>Clothing</v>
      </c>
      <c r="V101">
        <f t="shared" si="4"/>
        <v>45324.04</v>
      </c>
      <c r="W101" t="str">
        <f>IF(Sales[[#This Row],[Quantity]]&gt;=15, "Large","Small")</f>
        <v>Small</v>
      </c>
      <c r="X101" t="str">
        <f>IF(Sales[[#This Row],[Quantity]]&gt;=15,"Large",IF(Sales[[#This Row],[Quantity]]=14,"Medium","Small"))</f>
        <v>Small</v>
      </c>
      <c r="Y101" t="str">
        <f>IF(AND(Sales[[#This Row],[Unit Price (₦)]]&gt;68000,Sales[[#This Row],[Quantity]]&gt;15),"Offer Discount", "No Discount")</f>
        <v>No Discount</v>
      </c>
    </row>
    <row r="102" spans="1:25" ht="15" customHeight="1" x14ac:dyDescent="0.25">
      <c r="A102" t="s">
        <v>2139</v>
      </c>
      <c r="B102" s="8">
        <v>45027</v>
      </c>
      <c r="C102" s="8">
        <v>45035</v>
      </c>
      <c r="D102" t="s">
        <v>48</v>
      </c>
      <c r="E102" t="s">
        <v>3037</v>
      </c>
      <c r="F102" t="s">
        <v>3057</v>
      </c>
      <c r="G102" t="s">
        <v>2141</v>
      </c>
      <c r="H102">
        <v>9021249956</v>
      </c>
      <c r="I102" t="s">
        <v>35</v>
      </c>
      <c r="J102" t="s">
        <v>61</v>
      </c>
      <c r="K102" t="s">
        <v>62</v>
      </c>
      <c r="L102" t="s">
        <v>85</v>
      </c>
      <c r="M102" t="s">
        <v>86</v>
      </c>
      <c r="N102" t="s">
        <v>584</v>
      </c>
      <c r="O102">
        <v>15</v>
      </c>
      <c r="P102">
        <v>17744.59</v>
      </c>
      <c r="Q102">
        <v>0</v>
      </c>
      <c r="R102" s="39">
        <v>0</v>
      </c>
      <c r="S102" s="39">
        <v>266168.84999999998</v>
      </c>
      <c r="T102" s="39">
        <v>5205.62</v>
      </c>
      <c r="U102" t="str">
        <f t="shared" si="3"/>
        <v>Furniture</v>
      </c>
      <c r="V102">
        <f t="shared" si="4"/>
        <v>5205.62</v>
      </c>
      <c r="W102" t="str">
        <f>IF(Sales[[#This Row],[Quantity]]&gt;=15, "Large","Small")</f>
        <v>Large</v>
      </c>
      <c r="X102" t="str">
        <f>IF(Sales[[#This Row],[Quantity]]&gt;=15,"Large",IF(Sales[[#This Row],[Quantity]]=14,"Medium","Small"))</f>
        <v>Large</v>
      </c>
      <c r="Y102" t="str">
        <f>IF(AND(Sales[[#This Row],[Unit Price (₦)]]&gt;68000,Sales[[#This Row],[Quantity]]&gt;15),"Offer Discount", "No Discount")</f>
        <v>No Discount</v>
      </c>
    </row>
    <row r="103" spans="1:25" ht="15" customHeight="1" x14ac:dyDescent="0.25">
      <c r="A103" t="s">
        <v>91</v>
      </c>
      <c r="B103" s="8">
        <v>45033</v>
      </c>
      <c r="C103" s="8">
        <v>45039</v>
      </c>
      <c r="D103" t="s">
        <v>48</v>
      </c>
      <c r="E103" t="s">
        <v>3049</v>
      </c>
      <c r="F103" t="s">
        <v>3050</v>
      </c>
      <c r="G103" t="s">
        <v>93</v>
      </c>
      <c r="H103" t="s">
        <v>94</v>
      </c>
      <c r="I103" t="s">
        <v>43</v>
      </c>
      <c r="J103" t="s">
        <v>61</v>
      </c>
      <c r="K103" t="s">
        <v>95</v>
      </c>
      <c r="L103" t="s">
        <v>96</v>
      </c>
      <c r="M103" t="s">
        <v>97</v>
      </c>
      <c r="N103" t="s">
        <v>98</v>
      </c>
      <c r="O103">
        <v>9</v>
      </c>
      <c r="P103">
        <v>238657.91</v>
      </c>
      <c r="Q103">
        <v>20</v>
      </c>
      <c r="R103" s="39">
        <v>429584.24</v>
      </c>
      <c r="S103" s="39">
        <v>1718336.95</v>
      </c>
      <c r="T103" s="39">
        <v>-36871.93</v>
      </c>
      <c r="U103" t="str">
        <f t="shared" si="3"/>
        <v>Technology</v>
      </c>
      <c r="V103">
        <f t="shared" si="4"/>
        <v>36871.93</v>
      </c>
      <c r="W103" t="str">
        <f>IF(Sales[[#This Row],[Quantity]]&gt;=15, "Large","Small")</f>
        <v>Small</v>
      </c>
      <c r="X103" t="str">
        <f>IF(Sales[[#This Row],[Quantity]]&gt;=15,"Large",IF(Sales[[#This Row],[Quantity]]=14,"Medium","Small"))</f>
        <v>Small</v>
      </c>
      <c r="Y103" t="str">
        <f>IF(AND(Sales[[#This Row],[Unit Price (₦)]]&gt;68000,Sales[[#This Row],[Quantity]]&gt;15),"Offer Discount", "No Discount")</f>
        <v>No Discount</v>
      </c>
    </row>
    <row r="104" spans="1:25" ht="15" customHeight="1" x14ac:dyDescent="0.25">
      <c r="A104" t="s">
        <v>2826</v>
      </c>
      <c r="B104" s="8">
        <v>45034</v>
      </c>
      <c r="C104" s="8">
        <v>45040</v>
      </c>
      <c r="D104" t="s">
        <v>48</v>
      </c>
      <c r="E104" t="s">
        <v>3063</v>
      </c>
      <c r="F104" t="s">
        <v>3034</v>
      </c>
      <c r="G104" t="s">
        <v>2827</v>
      </c>
      <c r="H104">
        <v>9077622282</v>
      </c>
      <c r="I104" t="s">
        <v>35</v>
      </c>
      <c r="J104" t="s">
        <v>25</v>
      </c>
      <c r="K104" t="s">
        <v>126</v>
      </c>
      <c r="L104" t="s">
        <v>85</v>
      </c>
      <c r="M104" t="s">
        <v>218</v>
      </c>
      <c r="N104" t="s">
        <v>1058</v>
      </c>
      <c r="O104">
        <v>19</v>
      </c>
      <c r="P104">
        <v>173016.77</v>
      </c>
      <c r="Q104">
        <v>0</v>
      </c>
      <c r="R104" s="39">
        <v>0</v>
      </c>
      <c r="S104" s="39">
        <v>3287318.63</v>
      </c>
      <c r="T104" s="39">
        <v>792611.31</v>
      </c>
      <c r="U104" t="str">
        <f t="shared" si="3"/>
        <v>Furniture</v>
      </c>
      <c r="V104">
        <f t="shared" si="4"/>
        <v>792611.31</v>
      </c>
      <c r="W104" t="str">
        <f>IF(Sales[[#This Row],[Quantity]]&gt;=15, "Large","Small")</f>
        <v>Large</v>
      </c>
      <c r="X104" t="str">
        <f>IF(Sales[[#This Row],[Quantity]]&gt;=15,"Large",IF(Sales[[#This Row],[Quantity]]=14,"Medium","Small"))</f>
        <v>Large</v>
      </c>
      <c r="Y104" t="str">
        <f>IF(AND(Sales[[#This Row],[Unit Price (₦)]]&gt;68000,Sales[[#This Row],[Quantity]]&gt;15),"Offer Discount", "No Discount")</f>
        <v>Offer Discount</v>
      </c>
    </row>
    <row r="105" spans="1:25" ht="15" customHeight="1" x14ac:dyDescent="0.25">
      <c r="A105" t="s">
        <v>1742</v>
      </c>
      <c r="B105" s="8">
        <v>45038</v>
      </c>
      <c r="C105" s="8">
        <v>45043</v>
      </c>
      <c r="D105" t="s">
        <v>48</v>
      </c>
      <c r="E105" t="s">
        <v>3085</v>
      </c>
      <c r="F105" t="s">
        <v>3096</v>
      </c>
      <c r="G105" t="s">
        <v>1744</v>
      </c>
      <c r="H105">
        <v>8164966072</v>
      </c>
      <c r="I105" t="s">
        <v>24</v>
      </c>
      <c r="J105" t="s">
        <v>61</v>
      </c>
      <c r="K105" t="s">
        <v>84</v>
      </c>
      <c r="L105" t="s">
        <v>108</v>
      </c>
      <c r="M105" t="s">
        <v>109</v>
      </c>
      <c r="N105" t="s">
        <v>426</v>
      </c>
      <c r="O105">
        <v>5</v>
      </c>
      <c r="P105">
        <v>5413.75</v>
      </c>
      <c r="Q105">
        <v>10</v>
      </c>
      <c r="R105" s="39">
        <v>2706.88</v>
      </c>
      <c r="S105" s="39">
        <v>24361.87</v>
      </c>
      <c r="T105" s="39">
        <v>3635.67</v>
      </c>
      <c r="U105" t="str">
        <f t="shared" si="3"/>
        <v>Clothing</v>
      </c>
      <c r="V105">
        <f t="shared" si="4"/>
        <v>3635.67</v>
      </c>
      <c r="W105" t="str">
        <f>IF(Sales[[#This Row],[Quantity]]&gt;=15, "Large","Small")</f>
        <v>Small</v>
      </c>
      <c r="X105" t="str">
        <f>IF(Sales[[#This Row],[Quantity]]&gt;=15,"Large",IF(Sales[[#This Row],[Quantity]]=14,"Medium","Small"))</f>
        <v>Small</v>
      </c>
      <c r="Y105" t="str">
        <f>IF(AND(Sales[[#This Row],[Unit Price (₦)]]&gt;68000,Sales[[#This Row],[Quantity]]&gt;15),"Offer Discount", "No Discount")</f>
        <v>No Discount</v>
      </c>
    </row>
    <row r="106" spans="1:25" ht="15" customHeight="1" x14ac:dyDescent="0.25">
      <c r="A106" t="s">
        <v>2196</v>
      </c>
      <c r="B106" s="8">
        <v>45036</v>
      </c>
      <c r="C106" s="8">
        <v>45043</v>
      </c>
      <c r="D106" t="s">
        <v>48</v>
      </c>
      <c r="E106" t="s">
        <v>3084</v>
      </c>
      <c r="F106" t="s">
        <v>3038</v>
      </c>
      <c r="G106" t="s">
        <v>2198</v>
      </c>
      <c r="H106">
        <v>8159534539</v>
      </c>
      <c r="I106" t="s">
        <v>43</v>
      </c>
      <c r="J106" t="s">
        <v>61</v>
      </c>
      <c r="K106" t="s">
        <v>182</v>
      </c>
      <c r="L106" t="s">
        <v>85</v>
      </c>
      <c r="M106" t="s">
        <v>86</v>
      </c>
      <c r="N106" t="s">
        <v>238</v>
      </c>
      <c r="O106">
        <v>18</v>
      </c>
      <c r="P106">
        <v>163237.1</v>
      </c>
      <c r="Q106">
        <v>25</v>
      </c>
      <c r="R106" s="39">
        <v>734566.95</v>
      </c>
      <c r="S106" s="39">
        <v>2203700.85</v>
      </c>
      <c r="T106" s="39">
        <v>725888.48</v>
      </c>
      <c r="U106" t="str">
        <f t="shared" si="3"/>
        <v>Furniture</v>
      </c>
      <c r="V106">
        <f t="shared" si="4"/>
        <v>725888.48</v>
      </c>
      <c r="W106" t="str">
        <f>IF(Sales[[#This Row],[Quantity]]&gt;=15, "Large","Small")</f>
        <v>Large</v>
      </c>
      <c r="X106" t="str">
        <f>IF(Sales[[#This Row],[Quantity]]&gt;=15,"Large",IF(Sales[[#This Row],[Quantity]]=14,"Medium","Small"))</f>
        <v>Large</v>
      </c>
      <c r="Y106" t="str">
        <f>IF(AND(Sales[[#This Row],[Unit Price (₦)]]&gt;68000,Sales[[#This Row],[Quantity]]&gt;15),"Offer Discount", "No Discount")</f>
        <v>Offer Discount</v>
      </c>
    </row>
    <row r="107" spans="1:25" ht="15" customHeight="1" x14ac:dyDescent="0.25">
      <c r="A107" t="s">
        <v>122</v>
      </c>
      <c r="B107" s="8">
        <v>45043</v>
      </c>
      <c r="C107" s="8">
        <v>45051</v>
      </c>
      <c r="D107" t="s">
        <v>48</v>
      </c>
      <c r="E107" t="s">
        <v>3056</v>
      </c>
      <c r="F107" t="s">
        <v>3057</v>
      </c>
      <c r="G107" t="s">
        <v>124</v>
      </c>
      <c r="H107">
        <v>9051666754</v>
      </c>
      <c r="I107" t="s">
        <v>125</v>
      </c>
      <c r="J107" t="s">
        <v>25</v>
      </c>
      <c r="K107" t="s">
        <v>126</v>
      </c>
      <c r="L107" t="s">
        <v>27</v>
      </c>
      <c r="M107" t="s">
        <v>79</v>
      </c>
      <c r="N107" t="s">
        <v>127</v>
      </c>
      <c r="O107">
        <v>19</v>
      </c>
      <c r="P107">
        <v>5361.77</v>
      </c>
      <c r="Q107">
        <v>25</v>
      </c>
      <c r="R107" s="39">
        <v>25468.41</v>
      </c>
      <c r="S107" s="39">
        <v>76405.22</v>
      </c>
      <c r="T107" s="39">
        <v>3042.6</v>
      </c>
      <c r="U107" t="str">
        <f t="shared" si="3"/>
        <v>Food &amp; Beverages</v>
      </c>
      <c r="V107">
        <f t="shared" si="4"/>
        <v>3042.6</v>
      </c>
      <c r="W107" t="str">
        <f>IF(Sales[[#This Row],[Quantity]]&gt;=15, "Large","Small")</f>
        <v>Large</v>
      </c>
      <c r="X107" t="str">
        <f>IF(Sales[[#This Row],[Quantity]]&gt;=15,"Large",IF(Sales[[#This Row],[Quantity]]=14,"Medium","Small"))</f>
        <v>Large</v>
      </c>
      <c r="Y107" t="str">
        <f>IF(AND(Sales[[#This Row],[Unit Price (₦)]]&gt;68000,Sales[[#This Row],[Quantity]]&gt;15),"Offer Discount", "No Discount")</f>
        <v>No Discount</v>
      </c>
    </row>
    <row r="108" spans="1:25" ht="15" customHeight="1" x14ac:dyDescent="0.25">
      <c r="A108" t="s">
        <v>994</v>
      </c>
      <c r="B108" s="8">
        <v>45051</v>
      </c>
      <c r="C108" s="8">
        <v>45057</v>
      </c>
      <c r="D108" t="s">
        <v>48</v>
      </c>
      <c r="E108" t="s">
        <v>3092</v>
      </c>
      <c r="F108" t="s">
        <v>3054</v>
      </c>
      <c r="G108" t="s">
        <v>996</v>
      </c>
      <c r="H108">
        <v>8104005557</v>
      </c>
      <c r="I108" t="s">
        <v>43</v>
      </c>
      <c r="J108" t="s">
        <v>25</v>
      </c>
      <c r="K108" t="s">
        <v>168</v>
      </c>
      <c r="L108" t="s">
        <v>27</v>
      </c>
      <c r="M108" t="s">
        <v>173</v>
      </c>
      <c r="N108" t="s">
        <v>380</v>
      </c>
      <c r="O108">
        <v>16</v>
      </c>
      <c r="P108">
        <v>5966.58</v>
      </c>
      <c r="Q108">
        <v>10</v>
      </c>
      <c r="R108" s="39">
        <v>9546.5300000000007</v>
      </c>
      <c r="S108" s="39">
        <v>85918.75</v>
      </c>
      <c r="T108" s="39">
        <v>-10804.12</v>
      </c>
      <c r="U108" t="str">
        <f t="shared" si="3"/>
        <v>Food &amp; Beverages</v>
      </c>
      <c r="V108">
        <f t="shared" si="4"/>
        <v>10804.12</v>
      </c>
      <c r="W108" t="str">
        <f>IF(Sales[[#This Row],[Quantity]]&gt;=15, "Large","Small")</f>
        <v>Large</v>
      </c>
      <c r="X108" t="str">
        <f>IF(Sales[[#This Row],[Quantity]]&gt;=15,"Large",IF(Sales[[#This Row],[Quantity]]=14,"Medium","Small"))</f>
        <v>Large</v>
      </c>
      <c r="Y108" t="str">
        <f>IF(AND(Sales[[#This Row],[Unit Price (₦)]]&gt;68000,Sales[[#This Row],[Quantity]]&gt;15),"Offer Discount", "No Discount")</f>
        <v>No Discount</v>
      </c>
    </row>
    <row r="109" spans="1:25" ht="15" customHeight="1" x14ac:dyDescent="0.25">
      <c r="A109" t="s">
        <v>2869</v>
      </c>
      <c r="B109" s="8">
        <v>45056</v>
      </c>
      <c r="C109" s="8">
        <v>45061</v>
      </c>
      <c r="D109" t="s">
        <v>48</v>
      </c>
      <c r="E109" t="s">
        <v>3095</v>
      </c>
      <c r="F109" t="s">
        <v>3075</v>
      </c>
      <c r="G109" t="s">
        <v>2367</v>
      </c>
      <c r="H109">
        <v>8165381205</v>
      </c>
      <c r="I109" t="s">
        <v>35</v>
      </c>
      <c r="J109" t="s">
        <v>61</v>
      </c>
      <c r="K109" t="s">
        <v>62</v>
      </c>
      <c r="L109" t="s">
        <v>63</v>
      </c>
      <c r="M109" t="s">
        <v>312</v>
      </c>
      <c r="N109" t="s">
        <v>736</v>
      </c>
      <c r="O109">
        <v>2</v>
      </c>
      <c r="P109">
        <v>20788.7</v>
      </c>
      <c r="Q109">
        <v>15</v>
      </c>
      <c r="R109" s="39">
        <v>6236.61</v>
      </c>
      <c r="S109" s="39">
        <v>35340.79</v>
      </c>
      <c r="T109" s="39">
        <v>5099.8500000000004</v>
      </c>
      <c r="U109" t="str">
        <f t="shared" si="3"/>
        <v>Office Supplies</v>
      </c>
      <c r="V109">
        <f t="shared" si="4"/>
        <v>5099.8500000000004</v>
      </c>
      <c r="W109" t="str">
        <f>IF(Sales[[#This Row],[Quantity]]&gt;=15, "Large","Small")</f>
        <v>Small</v>
      </c>
      <c r="X109" t="str">
        <f>IF(Sales[[#This Row],[Quantity]]&gt;=15,"Large",IF(Sales[[#This Row],[Quantity]]=14,"Medium","Small"))</f>
        <v>Small</v>
      </c>
      <c r="Y109" t="str">
        <f>IF(AND(Sales[[#This Row],[Unit Price (₦)]]&gt;68000,Sales[[#This Row],[Quantity]]&gt;15),"Offer Discount", "No Discount")</f>
        <v>No Discount</v>
      </c>
    </row>
    <row r="110" spans="1:25" ht="15" customHeight="1" x14ac:dyDescent="0.25">
      <c r="A110" t="s">
        <v>854</v>
      </c>
      <c r="B110" s="8">
        <v>45057</v>
      </c>
      <c r="C110" s="8">
        <v>45064</v>
      </c>
      <c r="D110" t="s">
        <v>48</v>
      </c>
      <c r="E110" t="s">
        <v>3089</v>
      </c>
      <c r="F110" t="s">
        <v>3088</v>
      </c>
      <c r="G110" t="s">
        <v>856</v>
      </c>
      <c r="H110">
        <v>8108962169</v>
      </c>
      <c r="I110" t="s">
        <v>24</v>
      </c>
      <c r="J110" t="s">
        <v>69</v>
      </c>
      <c r="K110" t="s">
        <v>307</v>
      </c>
      <c r="L110" t="s">
        <v>27</v>
      </c>
      <c r="M110" t="s">
        <v>173</v>
      </c>
      <c r="N110" t="s">
        <v>174</v>
      </c>
      <c r="O110">
        <v>9</v>
      </c>
      <c r="P110">
        <v>2950.72</v>
      </c>
      <c r="Q110">
        <v>0</v>
      </c>
      <c r="R110" s="39">
        <v>0</v>
      </c>
      <c r="S110" s="39">
        <v>26556.48</v>
      </c>
      <c r="T110" s="39">
        <v>558.79</v>
      </c>
      <c r="U110" t="str">
        <f t="shared" si="3"/>
        <v>Food &amp; Beverages</v>
      </c>
      <c r="V110">
        <f t="shared" si="4"/>
        <v>558.79</v>
      </c>
      <c r="W110" t="str">
        <f>IF(Sales[[#This Row],[Quantity]]&gt;=15, "Large","Small")</f>
        <v>Small</v>
      </c>
      <c r="X110" t="str">
        <f>IF(Sales[[#This Row],[Quantity]]&gt;=15,"Large",IF(Sales[[#This Row],[Quantity]]=14,"Medium","Small"))</f>
        <v>Small</v>
      </c>
      <c r="Y110" t="str">
        <f>IF(AND(Sales[[#This Row],[Unit Price (₦)]]&gt;68000,Sales[[#This Row],[Quantity]]&gt;15),"Offer Discount", "No Discount")</f>
        <v>No Discount</v>
      </c>
    </row>
    <row r="111" spans="1:25" ht="15" customHeight="1" x14ac:dyDescent="0.25">
      <c r="A111" t="s">
        <v>2271</v>
      </c>
      <c r="B111" s="8">
        <v>45067</v>
      </c>
      <c r="C111" s="8">
        <v>45074</v>
      </c>
      <c r="D111" t="s">
        <v>48</v>
      </c>
      <c r="E111" t="s">
        <v>3050</v>
      </c>
      <c r="F111" t="s">
        <v>3034</v>
      </c>
      <c r="G111" t="s">
        <v>2272</v>
      </c>
      <c r="H111">
        <v>8161894817</v>
      </c>
      <c r="I111" t="s">
        <v>43</v>
      </c>
      <c r="J111" t="s">
        <v>61</v>
      </c>
      <c r="K111" t="s">
        <v>182</v>
      </c>
      <c r="L111" t="s">
        <v>108</v>
      </c>
      <c r="M111" t="s">
        <v>38</v>
      </c>
      <c r="N111" t="s">
        <v>303</v>
      </c>
      <c r="O111">
        <v>19</v>
      </c>
      <c r="P111">
        <v>13995.43</v>
      </c>
      <c r="Q111">
        <v>10</v>
      </c>
      <c r="R111" s="39">
        <v>26591.32</v>
      </c>
      <c r="S111" s="39">
        <v>239321.85</v>
      </c>
      <c r="T111" s="39">
        <v>23546.799999999999</v>
      </c>
      <c r="U111" t="str">
        <f t="shared" si="3"/>
        <v>Clothing</v>
      </c>
      <c r="V111">
        <f t="shared" si="4"/>
        <v>23546.799999999999</v>
      </c>
      <c r="W111" t="str">
        <f>IF(Sales[[#This Row],[Quantity]]&gt;=15, "Large","Small")</f>
        <v>Large</v>
      </c>
      <c r="X111" t="str">
        <f>IF(Sales[[#This Row],[Quantity]]&gt;=15,"Large",IF(Sales[[#This Row],[Quantity]]=14,"Medium","Small"))</f>
        <v>Large</v>
      </c>
      <c r="Y111" t="str">
        <f>IF(AND(Sales[[#This Row],[Unit Price (₦)]]&gt;68000,Sales[[#This Row],[Quantity]]&gt;15),"Offer Discount", "No Discount")</f>
        <v>No Discount</v>
      </c>
    </row>
    <row r="112" spans="1:25" ht="15" customHeight="1" x14ac:dyDescent="0.25">
      <c r="A112" t="s">
        <v>2708</v>
      </c>
      <c r="B112" s="8">
        <v>45066</v>
      </c>
      <c r="C112" s="8">
        <v>45074</v>
      </c>
      <c r="D112" t="s">
        <v>48</v>
      </c>
      <c r="E112" t="s">
        <v>3067</v>
      </c>
      <c r="F112" t="s">
        <v>3043</v>
      </c>
      <c r="G112" t="s">
        <v>2709</v>
      </c>
      <c r="H112">
        <v>9053779020</v>
      </c>
      <c r="I112" t="s">
        <v>35</v>
      </c>
      <c r="J112" t="s">
        <v>51</v>
      </c>
      <c r="K112" t="s">
        <v>316</v>
      </c>
      <c r="L112" t="s">
        <v>85</v>
      </c>
      <c r="M112" t="s">
        <v>218</v>
      </c>
      <c r="N112" t="s">
        <v>1058</v>
      </c>
      <c r="O112">
        <v>8</v>
      </c>
      <c r="P112">
        <v>26470.55</v>
      </c>
      <c r="Q112">
        <v>10</v>
      </c>
      <c r="R112" s="39">
        <v>21176.44</v>
      </c>
      <c r="S112" s="39">
        <v>190587.96</v>
      </c>
      <c r="T112" s="39">
        <f>T111</f>
        <v>23546.799999999999</v>
      </c>
      <c r="U112" t="str">
        <f t="shared" si="3"/>
        <v>Furniture</v>
      </c>
      <c r="V112">
        <f t="shared" si="4"/>
        <v>23546.799999999999</v>
      </c>
      <c r="W112" t="str">
        <f>IF(Sales[[#This Row],[Quantity]]&gt;=15, "Large","Small")</f>
        <v>Small</v>
      </c>
      <c r="X112" t="str">
        <f>IF(Sales[[#This Row],[Quantity]]&gt;=15,"Large",IF(Sales[[#This Row],[Quantity]]=14,"Medium","Small"))</f>
        <v>Small</v>
      </c>
      <c r="Y112" t="str">
        <f>IF(AND(Sales[[#This Row],[Unit Price (₦)]]&gt;68000,Sales[[#This Row],[Quantity]]&gt;15),"Offer Discount", "No Discount")</f>
        <v>No Discount</v>
      </c>
    </row>
    <row r="113" spans="1:25" ht="15" customHeight="1" x14ac:dyDescent="0.25">
      <c r="A113" t="s">
        <v>984</v>
      </c>
      <c r="B113" s="8">
        <v>45075</v>
      </c>
      <c r="C113" s="8">
        <v>45080</v>
      </c>
      <c r="D113" t="s">
        <v>48</v>
      </c>
      <c r="E113" t="s">
        <v>3050</v>
      </c>
      <c r="F113" t="s">
        <v>3034</v>
      </c>
      <c r="G113" t="s">
        <v>986</v>
      </c>
      <c r="H113">
        <v>7036991787</v>
      </c>
      <c r="I113" t="s">
        <v>24</v>
      </c>
      <c r="J113" t="s">
        <v>25</v>
      </c>
      <c r="K113" t="s">
        <v>44</v>
      </c>
      <c r="L113" t="s">
        <v>85</v>
      </c>
      <c r="M113" t="s">
        <v>218</v>
      </c>
      <c r="N113" t="s">
        <v>321</v>
      </c>
      <c r="O113">
        <f>O112</f>
        <v>8</v>
      </c>
      <c r="P113">
        <v>57043.59</v>
      </c>
      <c r="Q113">
        <v>5</v>
      </c>
      <c r="R113" s="39">
        <v>8556.5400000000009</v>
      </c>
      <c r="S113" s="39">
        <v>162574.23000000001</v>
      </c>
      <c r="T113" s="39">
        <v>6612.15</v>
      </c>
      <c r="U113" t="str">
        <f t="shared" si="3"/>
        <v>Furniture</v>
      </c>
      <c r="V113">
        <f t="shared" si="4"/>
        <v>6612.15</v>
      </c>
      <c r="W113" t="str">
        <f>IF(Sales[[#This Row],[Quantity]]&gt;=15, "Large","Small")</f>
        <v>Small</v>
      </c>
      <c r="X113" t="str">
        <f>IF(Sales[[#This Row],[Quantity]]&gt;=15,"Large",IF(Sales[[#This Row],[Quantity]]=14,"Medium","Small"))</f>
        <v>Small</v>
      </c>
      <c r="Y113" t="str">
        <f>IF(AND(Sales[[#This Row],[Unit Price (₦)]]&gt;68000,Sales[[#This Row],[Quantity]]&gt;15),"Offer Discount", "No Discount")</f>
        <v>No Discount</v>
      </c>
    </row>
    <row r="114" spans="1:25" ht="15" customHeight="1" x14ac:dyDescent="0.25">
      <c r="A114" t="s">
        <v>209</v>
      </c>
      <c r="B114" s="8">
        <v>45094</v>
      </c>
      <c r="C114" s="8">
        <v>45102</v>
      </c>
      <c r="D114" t="s">
        <v>48</v>
      </c>
      <c r="E114" t="s">
        <v>3041</v>
      </c>
      <c r="F114" t="s">
        <v>3052</v>
      </c>
      <c r="G114" t="s">
        <v>212</v>
      </c>
      <c r="H114">
        <v>7036662319</v>
      </c>
      <c r="I114" t="s">
        <v>35</v>
      </c>
      <c r="J114" t="s">
        <v>61</v>
      </c>
      <c r="K114" t="s">
        <v>204</v>
      </c>
      <c r="L114" t="s">
        <v>108</v>
      </c>
      <c r="M114" t="s">
        <v>38</v>
      </c>
      <c r="N114" t="s">
        <v>213</v>
      </c>
      <c r="O114">
        <v>3</v>
      </c>
      <c r="P114">
        <v>12847.68</v>
      </c>
      <c r="Q114">
        <v>20</v>
      </c>
      <c r="R114" s="39">
        <v>7708.61</v>
      </c>
      <c r="S114" s="39">
        <v>30834.43</v>
      </c>
      <c r="T114" s="39">
        <v>-4266.5600000000004</v>
      </c>
      <c r="U114" t="str">
        <f t="shared" si="3"/>
        <v>Clothing</v>
      </c>
      <c r="V114">
        <f t="shared" si="4"/>
        <v>4266.5600000000004</v>
      </c>
      <c r="W114" t="str">
        <f>IF(Sales[[#This Row],[Quantity]]&gt;=15, "Large","Small")</f>
        <v>Small</v>
      </c>
      <c r="X114" t="str">
        <f>IF(Sales[[#This Row],[Quantity]]&gt;=15,"Large",IF(Sales[[#This Row],[Quantity]]=14,"Medium","Small"))</f>
        <v>Small</v>
      </c>
      <c r="Y114" t="str">
        <f>IF(AND(Sales[[#This Row],[Unit Price (₦)]]&gt;68000,Sales[[#This Row],[Quantity]]&gt;15),"Offer Discount", "No Discount")</f>
        <v>No Discount</v>
      </c>
    </row>
    <row r="115" spans="1:25" ht="15" customHeight="1" x14ac:dyDescent="0.25">
      <c r="A115" t="s">
        <v>566</v>
      </c>
      <c r="B115" s="8">
        <v>45097</v>
      </c>
      <c r="C115" s="8">
        <v>45104</v>
      </c>
      <c r="D115" t="s">
        <v>48</v>
      </c>
      <c r="E115" t="s">
        <v>3059</v>
      </c>
      <c r="F115" t="s">
        <v>3090</v>
      </c>
      <c r="G115" t="s">
        <v>568</v>
      </c>
      <c r="H115">
        <v>8146147356</v>
      </c>
      <c r="I115" t="s">
        <v>24</v>
      </c>
      <c r="J115" t="s">
        <v>51</v>
      </c>
      <c r="K115" t="s">
        <v>227</v>
      </c>
      <c r="L115" t="s">
        <v>85</v>
      </c>
      <c r="M115" t="s">
        <v>486</v>
      </c>
      <c r="N115" t="s">
        <v>527</v>
      </c>
      <c r="O115">
        <v>10</v>
      </c>
      <c r="P115">
        <v>166774.23000000001</v>
      </c>
      <c r="Q115">
        <v>0</v>
      </c>
      <c r="R115" s="39">
        <v>0</v>
      </c>
      <c r="S115" s="39">
        <v>1667742.3</v>
      </c>
      <c r="T115" s="39">
        <v>388962.19</v>
      </c>
      <c r="U115" t="str">
        <f t="shared" si="3"/>
        <v>Furniture</v>
      </c>
      <c r="V115">
        <f t="shared" si="4"/>
        <v>388962.19</v>
      </c>
      <c r="W115" t="str">
        <f>IF(Sales[[#This Row],[Quantity]]&gt;=15, "Large","Small")</f>
        <v>Small</v>
      </c>
      <c r="X115" t="str">
        <f>IF(Sales[[#This Row],[Quantity]]&gt;=15,"Large",IF(Sales[[#This Row],[Quantity]]=14,"Medium","Small"))</f>
        <v>Small</v>
      </c>
      <c r="Y115" t="str">
        <f>IF(AND(Sales[[#This Row],[Unit Price (₦)]]&gt;68000,Sales[[#This Row],[Quantity]]&gt;15),"Offer Discount", "No Discount")</f>
        <v>No Discount</v>
      </c>
    </row>
    <row r="116" spans="1:25" ht="15" customHeight="1" x14ac:dyDescent="0.25">
      <c r="A116" t="s">
        <v>2090</v>
      </c>
      <c r="B116" s="8">
        <v>45097</v>
      </c>
      <c r="C116" s="8">
        <v>45104</v>
      </c>
      <c r="D116" t="s">
        <v>48</v>
      </c>
      <c r="E116" t="s">
        <v>3080</v>
      </c>
      <c r="F116" t="s">
        <v>3064</v>
      </c>
      <c r="G116" t="s">
        <v>2091</v>
      </c>
      <c r="H116">
        <v>9058311783</v>
      </c>
      <c r="I116" t="s">
        <v>43</v>
      </c>
      <c r="J116" t="s">
        <v>69</v>
      </c>
      <c r="K116" t="s">
        <v>70</v>
      </c>
      <c r="L116" t="s">
        <v>63</v>
      </c>
      <c r="M116" t="s">
        <v>194</v>
      </c>
      <c r="N116" t="s">
        <v>195</v>
      </c>
      <c r="O116">
        <v>7</v>
      </c>
      <c r="P116">
        <v>3909.82</v>
      </c>
      <c r="Q116">
        <v>10</v>
      </c>
      <c r="R116" s="39">
        <v>2736.87</v>
      </c>
      <c r="S116" s="39">
        <v>24631.87</v>
      </c>
      <c r="T116" s="39">
        <v>-1689.39</v>
      </c>
      <c r="U116" t="str">
        <f t="shared" si="3"/>
        <v>Office Supplies</v>
      </c>
      <c r="V116">
        <f t="shared" si="4"/>
        <v>1689.39</v>
      </c>
      <c r="W116" t="str">
        <f>IF(Sales[[#This Row],[Quantity]]&gt;=15, "Large","Small")</f>
        <v>Small</v>
      </c>
      <c r="X116" t="str">
        <f>IF(Sales[[#This Row],[Quantity]]&gt;=15,"Large",IF(Sales[[#This Row],[Quantity]]=14,"Medium","Small"))</f>
        <v>Small</v>
      </c>
      <c r="Y116" t="str">
        <f>IF(AND(Sales[[#This Row],[Unit Price (₦)]]&gt;68000,Sales[[#This Row],[Quantity]]&gt;15),"Offer Discount", "No Discount")</f>
        <v>No Discount</v>
      </c>
    </row>
    <row r="117" spans="1:25" ht="15" customHeight="1" x14ac:dyDescent="0.25">
      <c r="A117" t="s">
        <v>2044</v>
      </c>
      <c r="B117" s="8">
        <v>45102</v>
      </c>
      <c r="C117" s="8">
        <v>45109</v>
      </c>
      <c r="D117" t="s">
        <v>48</v>
      </c>
      <c r="E117" t="s">
        <v>3081</v>
      </c>
      <c r="F117" t="s">
        <v>3039</v>
      </c>
      <c r="G117" t="s">
        <v>2045</v>
      </c>
      <c r="H117">
        <v>9074454281</v>
      </c>
      <c r="I117" t="s">
        <v>35</v>
      </c>
      <c r="J117" t="s">
        <v>51</v>
      </c>
      <c r="K117" t="s">
        <v>316</v>
      </c>
      <c r="L117" t="s">
        <v>96</v>
      </c>
      <c r="M117" t="s">
        <v>120</v>
      </c>
      <c r="N117" t="s">
        <v>133</v>
      </c>
      <c r="O117">
        <v>1</v>
      </c>
      <c r="P117">
        <v>41216.11</v>
      </c>
      <c r="Q117">
        <v>5</v>
      </c>
      <c r="R117" s="39">
        <v>2060.81</v>
      </c>
      <c r="S117" s="39">
        <v>39155.300000000003</v>
      </c>
      <c r="T117" s="39">
        <v>5125.05</v>
      </c>
      <c r="U117" t="str">
        <f t="shared" si="3"/>
        <v>Technology</v>
      </c>
      <c r="V117">
        <f t="shared" si="4"/>
        <v>5125.05</v>
      </c>
      <c r="W117" t="str">
        <f>IF(Sales[[#This Row],[Quantity]]&gt;=15, "Large","Small")</f>
        <v>Small</v>
      </c>
      <c r="X117" t="str">
        <f>IF(Sales[[#This Row],[Quantity]]&gt;=15,"Large",IF(Sales[[#This Row],[Quantity]]=14,"Medium","Small"))</f>
        <v>Small</v>
      </c>
      <c r="Y117" t="str">
        <f>IF(AND(Sales[[#This Row],[Unit Price (₦)]]&gt;68000,Sales[[#This Row],[Quantity]]&gt;15),"Offer Discount", "No Discount")</f>
        <v>No Discount</v>
      </c>
    </row>
    <row r="118" spans="1:25" ht="15" customHeight="1" x14ac:dyDescent="0.25">
      <c r="A118" t="s">
        <v>498</v>
      </c>
      <c r="B118" s="8">
        <v>45104</v>
      </c>
      <c r="C118" s="8">
        <v>45110</v>
      </c>
      <c r="D118" t="s">
        <v>48</v>
      </c>
      <c r="E118" t="s">
        <v>3094</v>
      </c>
      <c r="F118" t="s">
        <v>3066</v>
      </c>
      <c r="G118" t="s">
        <v>500</v>
      </c>
      <c r="H118">
        <v>8145859883</v>
      </c>
      <c r="I118" t="s">
        <v>35</v>
      </c>
      <c r="J118" t="s">
        <v>25</v>
      </c>
      <c r="K118" t="s">
        <v>26</v>
      </c>
      <c r="L118" t="s">
        <v>63</v>
      </c>
      <c r="M118" t="s">
        <v>64</v>
      </c>
      <c r="N118" t="s">
        <v>501</v>
      </c>
      <c r="O118">
        <v>13</v>
      </c>
      <c r="P118">
        <v>20214.86</v>
      </c>
      <c r="Q118">
        <v>10</v>
      </c>
      <c r="R118" s="39">
        <v>26279.32</v>
      </c>
      <c r="S118" s="39">
        <v>236513.86</v>
      </c>
      <c r="T118" s="39">
        <v>28884.61</v>
      </c>
      <c r="U118" t="str">
        <f t="shared" si="3"/>
        <v>Office Supplies</v>
      </c>
      <c r="V118">
        <f t="shared" si="4"/>
        <v>28884.61</v>
      </c>
      <c r="W118" t="str">
        <f>IF(Sales[[#This Row],[Quantity]]&gt;=15, "Large","Small")</f>
        <v>Small</v>
      </c>
      <c r="X118" t="str">
        <f>IF(Sales[[#This Row],[Quantity]]&gt;=15,"Large",IF(Sales[[#This Row],[Quantity]]=14,"Medium","Small"))</f>
        <v>Small</v>
      </c>
      <c r="Y118" t="str">
        <f>IF(AND(Sales[[#This Row],[Unit Price (₦)]]&gt;68000,Sales[[#This Row],[Quantity]]&gt;15),"Offer Discount", "No Discount")</f>
        <v>No Discount</v>
      </c>
    </row>
    <row r="119" spans="1:25" ht="15" customHeight="1" x14ac:dyDescent="0.25">
      <c r="A119" t="s">
        <v>1845</v>
      </c>
      <c r="B119" s="8">
        <v>45113</v>
      </c>
      <c r="C119" s="8">
        <v>45119</v>
      </c>
      <c r="D119" t="s">
        <v>48</v>
      </c>
      <c r="E119" t="s">
        <v>3073</v>
      </c>
      <c r="F119" t="s">
        <v>3057</v>
      </c>
      <c r="G119" t="s">
        <v>1847</v>
      </c>
      <c r="H119">
        <v>7063575158</v>
      </c>
      <c r="I119" t="s">
        <v>35</v>
      </c>
      <c r="J119" t="s">
        <v>61</v>
      </c>
      <c r="K119" t="s">
        <v>84</v>
      </c>
      <c r="L119" t="s">
        <v>63</v>
      </c>
      <c r="M119" t="s">
        <v>194</v>
      </c>
      <c r="N119" t="s">
        <v>257</v>
      </c>
      <c r="O119">
        <v>20</v>
      </c>
      <c r="P119">
        <v>9784.08</v>
      </c>
      <c r="Q119">
        <v>5</v>
      </c>
      <c r="R119" s="39">
        <v>9784.08</v>
      </c>
      <c r="S119" s="39">
        <v>185897.52</v>
      </c>
      <c r="T119" s="39">
        <v>-19237.650000000001</v>
      </c>
      <c r="U119" t="str">
        <f t="shared" si="3"/>
        <v>Office Supplies</v>
      </c>
      <c r="V119">
        <f t="shared" si="4"/>
        <v>19237.650000000001</v>
      </c>
      <c r="W119" t="str">
        <f>IF(Sales[[#This Row],[Quantity]]&gt;=15, "Large","Small")</f>
        <v>Large</v>
      </c>
      <c r="X119" t="str">
        <f>IF(Sales[[#This Row],[Quantity]]&gt;=15,"Large",IF(Sales[[#This Row],[Quantity]]=14,"Medium","Small"))</f>
        <v>Large</v>
      </c>
      <c r="Y119" t="str">
        <f>IF(AND(Sales[[#This Row],[Unit Price (₦)]]&gt;68000,Sales[[#This Row],[Quantity]]&gt;15),"Offer Discount", "No Discount")</f>
        <v>No Discount</v>
      </c>
    </row>
    <row r="120" spans="1:25" ht="15" customHeight="1" x14ac:dyDescent="0.25">
      <c r="A120" t="s">
        <v>2263</v>
      </c>
      <c r="B120" s="8">
        <v>45121</v>
      </c>
      <c r="C120" s="8">
        <v>45126</v>
      </c>
      <c r="D120" t="s">
        <v>48</v>
      </c>
      <c r="E120" t="s">
        <v>3091</v>
      </c>
      <c r="F120" t="s">
        <v>3040</v>
      </c>
      <c r="G120" t="s">
        <v>1563</v>
      </c>
      <c r="H120">
        <v>7061736811</v>
      </c>
      <c r="I120" t="s">
        <v>24</v>
      </c>
      <c r="J120" t="s">
        <v>51</v>
      </c>
      <c r="K120" t="s">
        <v>223</v>
      </c>
      <c r="L120" t="s">
        <v>63</v>
      </c>
      <c r="M120" t="s">
        <v>558</v>
      </c>
      <c r="N120" t="s">
        <v>1460</v>
      </c>
      <c r="O120">
        <v>1</v>
      </c>
      <c r="P120">
        <v>24292.95</v>
      </c>
      <c r="Q120">
        <v>20</v>
      </c>
      <c r="R120" s="39">
        <v>4858.59</v>
      </c>
      <c r="S120" s="39">
        <v>19434.36</v>
      </c>
      <c r="T120" s="39">
        <v>8713.18</v>
      </c>
      <c r="U120" t="str">
        <f t="shared" si="3"/>
        <v>Office Supplies</v>
      </c>
      <c r="V120">
        <f t="shared" si="4"/>
        <v>8713.18</v>
      </c>
      <c r="W120" t="str">
        <f>IF(Sales[[#This Row],[Quantity]]&gt;=15, "Large","Small")</f>
        <v>Small</v>
      </c>
      <c r="X120" t="str">
        <f>IF(Sales[[#This Row],[Quantity]]&gt;=15,"Large",IF(Sales[[#This Row],[Quantity]]=14,"Medium","Small"))</f>
        <v>Small</v>
      </c>
      <c r="Y120" t="str">
        <f>IF(AND(Sales[[#This Row],[Unit Price (₦)]]&gt;68000,Sales[[#This Row],[Quantity]]&gt;15),"Offer Discount", "No Discount")</f>
        <v>No Discount</v>
      </c>
    </row>
    <row r="121" spans="1:25" ht="15" customHeight="1" x14ac:dyDescent="0.25">
      <c r="A121" t="s">
        <v>1812</v>
      </c>
      <c r="B121" s="8">
        <v>45122</v>
      </c>
      <c r="C121" s="8">
        <v>45130</v>
      </c>
      <c r="D121" t="s">
        <v>48</v>
      </c>
      <c r="E121" t="s">
        <v>3082</v>
      </c>
      <c r="F121" t="s">
        <v>3083</v>
      </c>
      <c r="G121" t="s">
        <v>1814</v>
      </c>
      <c r="H121">
        <v>9017320122</v>
      </c>
      <c r="I121" t="s">
        <v>1669</v>
      </c>
      <c r="J121" t="s">
        <v>51</v>
      </c>
      <c r="K121" t="s">
        <v>227</v>
      </c>
      <c r="L121" t="s">
        <v>96</v>
      </c>
      <c r="M121" t="s">
        <v>97</v>
      </c>
      <c r="N121" t="s">
        <v>443</v>
      </c>
      <c r="O121">
        <v>7</v>
      </c>
      <c r="P121">
        <v>375129.84</v>
      </c>
      <c r="Q121">
        <v>5</v>
      </c>
      <c r="R121" s="39">
        <v>131295.44</v>
      </c>
      <c r="S121" s="39">
        <v>2494613.44</v>
      </c>
      <c r="T121" s="39">
        <v>674155.43</v>
      </c>
      <c r="U121" t="str">
        <f t="shared" si="3"/>
        <v>Technology</v>
      </c>
      <c r="V121">
        <f t="shared" si="4"/>
        <v>674155.43</v>
      </c>
      <c r="W121" t="str">
        <f>IF(Sales[[#This Row],[Quantity]]&gt;=15, "Large","Small")</f>
        <v>Small</v>
      </c>
      <c r="X121" t="str">
        <f>IF(Sales[[#This Row],[Quantity]]&gt;=15,"Large",IF(Sales[[#This Row],[Quantity]]=14,"Medium","Small"))</f>
        <v>Small</v>
      </c>
      <c r="Y121" t="str">
        <f>IF(AND(Sales[[#This Row],[Unit Price (₦)]]&gt;68000,Sales[[#This Row],[Quantity]]&gt;15),"Offer Discount", "No Discount")</f>
        <v>No Discount</v>
      </c>
    </row>
    <row r="122" spans="1:25" ht="15" customHeight="1" x14ac:dyDescent="0.25">
      <c r="A122" t="s">
        <v>1976</v>
      </c>
      <c r="B122" s="8">
        <v>45122</v>
      </c>
      <c r="C122" s="8">
        <v>45130</v>
      </c>
      <c r="D122" t="s">
        <v>48</v>
      </c>
      <c r="E122" t="s">
        <v>3081</v>
      </c>
      <c r="F122" t="s">
        <v>3064</v>
      </c>
      <c r="G122" t="s">
        <v>1978</v>
      </c>
      <c r="H122">
        <v>8038041764</v>
      </c>
      <c r="I122" t="s">
        <v>35</v>
      </c>
      <c r="J122" t="s">
        <v>61</v>
      </c>
      <c r="K122" t="s">
        <v>3127</v>
      </c>
      <c r="L122" t="s">
        <v>27</v>
      </c>
      <c r="M122" t="s">
        <v>354</v>
      </c>
      <c r="N122" t="s">
        <v>494</v>
      </c>
      <c r="O122">
        <v>2</v>
      </c>
      <c r="P122">
        <v>1717.4</v>
      </c>
      <c r="Q122">
        <v>0</v>
      </c>
      <c r="R122" s="39">
        <v>0</v>
      </c>
      <c r="S122" s="39">
        <v>3434.8</v>
      </c>
      <c r="T122" s="39">
        <v>1329.18</v>
      </c>
      <c r="U122" t="str">
        <f t="shared" si="3"/>
        <v>Food &amp; Beverages</v>
      </c>
      <c r="V122">
        <f t="shared" si="4"/>
        <v>1329.18</v>
      </c>
      <c r="W122" t="str">
        <f>IF(Sales[[#This Row],[Quantity]]&gt;=15, "Large","Small")</f>
        <v>Small</v>
      </c>
      <c r="X122" t="str">
        <f>IF(Sales[[#This Row],[Quantity]]&gt;=15,"Large",IF(Sales[[#This Row],[Quantity]]=14,"Medium","Small"))</f>
        <v>Small</v>
      </c>
      <c r="Y122" t="str">
        <f>IF(AND(Sales[[#This Row],[Unit Price (₦)]]&gt;68000,Sales[[#This Row],[Quantity]]&gt;15),"Offer Discount", "No Discount")</f>
        <v>No Discount</v>
      </c>
    </row>
    <row r="123" spans="1:25" ht="15" customHeight="1" x14ac:dyDescent="0.25">
      <c r="A123" t="s">
        <v>2077</v>
      </c>
      <c r="B123" s="8">
        <v>45122</v>
      </c>
      <c r="C123" s="8">
        <v>45130</v>
      </c>
      <c r="D123" t="s">
        <v>48</v>
      </c>
      <c r="E123" t="s">
        <v>3070</v>
      </c>
      <c r="F123" t="s">
        <v>3062</v>
      </c>
      <c r="G123" t="s">
        <v>2079</v>
      </c>
      <c r="H123">
        <v>9076852648</v>
      </c>
      <c r="I123" t="s">
        <v>43</v>
      </c>
      <c r="J123" t="s">
        <v>25</v>
      </c>
      <c r="K123" t="s">
        <v>126</v>
      </c>
      <c r="L123" t="s">
        <v>63</v>
      </c>
      <c r="M123" t="s">
        <v>64</v>
      </c>
      <c r="N123" t="s">
        <v>777</v>
      </c>
      <c r="O123">
        <v>9</v>
      </c>
      <c r="P123">
        <v>10723.71</v>
      </c>
      <c r="Q123">
        <v>10</v>
      </c>
      <c r="R123" s="39">
        <v>9651.34</v>
      </c>
      <c r="S123" s="39">
        <v>86862.05</v>
      </c>
      <c r="T123" s="39">
        <v>-3097.19</v>
      </c>
      <c r="U123" t="str">
        <f t="shared" si="3"/>
        <v>Office Supplies</v>
      </c>
      <c r="V123">
        <f t="shared" si="4"/>
        <v>3097.19</v>
      </c>
      <c r="W123" t="str">
        <f>IF(Sales[[#This Row],[Quantity]]&gt;=15, "Large","Small")</f>
        <v>Small</v>
      </c>
      <c r="X123" t="str">
        <f>IF(Sales[[#This Row],[Quantity]]&gt;=15,"Large",IF(Sales[[#This Row],[Quantity]]=14,"Medium","Small"))</f>
        <v>Small</v>
      </c>
      <c r="Y123" t="str">
        <f>IF(AND(Sales[[#This Row],[Unit Price (₦)]]&gt;68000,Sales[[#This Row],[Quantity]]&gt;15),"Offer Discount", "No Discount")</f>
        <v>No Discount</v>
      </c>
    </row>
    <row r="124" spans="1:25" ht="15" customHeight="1" x14ac:dyDescent="0.25">
      <c r="A124" t="s">
        <v>2414</v>
      </c>
      <c r="B124" s="8">
        <v>45124</v>
      </c>
      <c r="C124" s="8">
        <v>45131</v>
      </c>
      <c r="D124" t="s">
        <v>48</v>
      </c>
      <c r="E124" t="s">
        <v>3063</v>
      </c>
      <c r="F124" t="s">
        <v>3054</v>
      </c>
      <c r="G124" t="s">
        <v>2416</v>
      </c>
      <c r="H124">
        <v>8101155591</v>
      </c>
      <c r="I124" t="s">
        <v>43</v>
      </c>
      <c r="J124" t="s">
        <v>25</v>
      </c>
      <c r="K124" t="s">
        <v>168</v>
      </c>
      <c r="L124" t="s">
        <v>85</v>
      </c>
      <c r="M124" t="s">
        <v>266</v>
      </c>
      <c r="N124" t="s">
        <v>803</v>
      </c>
      <c r="O124">
        <v>16</v>
      </c>
      <c r="P124">
        <v>32117.9</v>
      </c>
      <c r="Q124">
        <v>0</v>
      </c>
      <c r="R124" s="39">
        <v>0</v>
      </c>
      <c r="S124" s="39">
        <v>513886.4</v>
      </c>
      <c r="T124" s="39">
        <v>-58218.77</v>
      </c>
      <c r="U124" t="str">
        <f t="shared" si="3"/>
        <v>Furniture</v>
      </c>
      <c r="V124">
        <f t="shared" si="4"/>
        <v>58218.77</v>
      </c>
      <c r="W124" t="str">
        <f>IF(Sales[[#This Row],[Quantity]]&gt;=15, "Large","Small")</f>
        <v>Large</v>
      </c>
      <c r="X124" t="str">
        <f>IF(Sales[[#This Row],[Quantity]]&gt;=15,"Large",IF(Sales[[#This Row],[Quantity]]=14,"Medium","Small"))</f>
        <v>Large</v>
      </c>
      <c r="Y124" t="str">
        <f>IF(AND(Sales[[#This Row],[Unit Price (₦)]]&gt;68000,Sales[[#This Row],[Quantity]]&gt;15),"Offer Discount", "No Discount")</f>
        <v>No Discount</v>
      </c>
    </row>
    <row r="125" spans="1:25" ht="15" customHeight="1" x14ac:dyDescent="0.25">
      <c r="A125" t="s">
        <v>2854</v>
      </c>
      <c r="B125" s="8">
        <v>45125</v>
      </c>
      <c r="C125" s="8">
        <v>45131</v>
      </c>
      <c r="D125" t="s">
        <v>48</v>
      </c>
      <c r="E125" t="s">
        <v>3065</v>
      </c>
      <c r="F125" t="s">
        <v>3042</v>
      </c>
      <c r="G125" t="s">
        <v>2856</v>
      </c>
      <c r="H125">
        <v>8131758400</v>
      </c>
      <c r="I125" t="s">
        <v>24</v>
      </c>
      <c r="J125" t="s">
        <v>25</v>
      </c>
      <c r="K125" t="s">
        <v>26</v>
      </c>
      <c r="L125" t="s">
        <v>85</v>
      </c>
      <c r="M125" t="s">
        <v>218</v>
      </c>
      <c r="N125" t="s">
        <v>708</v>
      </c>
      <c r="O125">
        <v>10</v>
      </c>
      <c r="P125">
        <v>41994.879999999997</v>
      </c>
      <c r="Q125">
        <v>20</v>
      </c>
      <c r="R125" s="39">
        <v>83989.759999999995</v>
      </c>
      <c r="S125" s="39">
        <v>335959.03999999998</v>
      </c>
      <c r="T125" s="39">
        <v>-38042.29</v>
      </c>
      <c r="U125" t="str">
        <f t="shared" si="3"/>
        <v>Furniture</v>
      </c>
      <c r="V125">
        <f t="shared" si="4"/>
        <v>38042.29</v>
      </c>
      <c r="W125" t="str">
        <f>IF(Sales[[#This Row],[Quantity]]&gt;=15, "Large","Small")</f>
        <v>Small</v>
      </c>
      <c r="X125" t="str">
        <f>IF(Sales[[#This Row],[Quantity]]&gt;=15,"Large",IF(Sales[[#This Row],[Quantity]]=14,"Medium","Small"))</f>
        <v>Small</v>
      </c>
      <c r="Y125" t="str">
        <f>IF(AND(Sales[[#This Row],[Unit Price (₦)]]&gt;68000,Sales[[#This Row],[Quantity]]&gt;15),"Offer Discount", "No Discount")</f>
        <v>No Discount</v>
      </c>
    </row>
    <row r="126" spans="1:25" ht="15" customHeight="1" x14ac:dyDescent="0.25">
      <c r="A126" t="s">
        <v>356</v>
      </c>
      <c r="B126" s="8">
        <v>45129</v>
      </c>
      <c r="C126" s="8">
        <v>45135</v>
      </c>
      <c r="D126" t="s">
        <v>48</v>
      </c>
      <c r="E126" t="s">
        <v>3033</v>
      </c>
      <c r="F126" t="s">
        <v>3077</v>
      </c>
      <c r="G126" t="s">
        <v>358</v>
      </c>
      <c r="H126">
        <v>9023927575</v>
      </c>
      <c r="I126" t="s">
        <v>35</v>
      </c>
      <c r="J126" t="s">
        <v>61</v>
      </c>
      <c r="K126" t="s">
        <v>182</v>
      </c>
      <c r="L126" t="s">
        <v>96</v>
      </c>
      <c r="M126" t="s">
        <v>120</v>
      </c>
      <c r="N126" t="s">
        <v>359</v>
      </c>
      <c r="O126">
        <v>8</v>
      </c>
      <c r="P126">
        <v>21464.240000000002</v>
      </c>
      <c r="Q126">
        <v>10</v>
      </c>
      <c r="R126" s="39">
        <v>17171.39</v>
      </c>
      <c r="S126" s="39">
        <v>154542.53</v>
      </c>
      <c r="T126" s="39">
        <v>-21718.07</v>
      </c>
      <c r="U126" t="str">
        <f t="shared" si="3"/>
        <v>Technology</v>
      </c>
      <c r="V126">
        <f t="shared" si="4"/>
        <v>21718.07</v>
      </c>
      <c r="W126" t="str">
        <f>IF(Sales[[#This Row],[Quantity]]&gt;=15, "Large","Small")</f>
        <v>Small</v>
      </c>
      <c r="X126" t="str">
        <f>IF(Sales[[#This Row],[Quantity]]&gt;=15,"Large",IF(Sales[[#This Row],[Quantity]]=14,"Medium","Small"))</f>
        <v>Small</v>
      </c>
      <c r="Y126" t="str">
        <f>IF(AND(Sales[[#This Row],[Unit Price (₦)]]&gt;68000,Sales[[#This Row],[Quantity]]&gt;15),"Offer Discount", "No Discount")</f>
        <v>No Discount</v>
      </c>
    </row>
    <row r="127" spans="1:25" ht="15" customHeight="1" x14ac:dyDescent="0.25">
      <c r="A127" t="s">
        <v>381</v>
      </c>
      <c r="B127" s="8">
        <v>45132</v>
      </c>
      <c r="C127" s="8">
        <v>45138</v>
      </c>
      <c r="D127" t="s">
        <v>48</v>
      </c>
      <c r="E127" t="s">
        <v>3068</v>
      </c>
      <c r="F127" t="s">
        <v>3086</v>
      </c>
      <c r="G127" t="s">
        <v>383</v>
      </c>
      <c r="H127">
        <v>9055487028</v>
      </c>
      <c r="I127" t="s">
        <v>43</v>
      </c>
      <c r="J127" t="s">
        <v>51</v>
      </c>
      <c r="K127" t="s">
        <v>227</v>
      </c>
      <c r="L127" t="s">
        <v>96</v>
      </c>
      <c r="M127" t="s">
        <v>385</v>
      </c>
      <c r="N127" t="s">
        <v>386</v>
      </c>
      <c r="O127">
        <v>10</v>
      </c>
      <c r="P127">
        <v>320673.96999999997</v>
      </c>
      <c r="Q127">
        <v>10</v>
      </c>
      <c r="R127" s="39">
        <v>320673.96999999997</v>
      </c>
      <c r="S127" s="39">
        <v>2886065.73</v>
      </c>
      <c r="T127" s="39">
        <v>174936.14</v>
      </c>
      <c r="U127" t="str">
        <f t="shared" si="3"/>
        <v>Technology</v>
      </c>
      <c r="V127">
        <f t="shared" si="4"/>
        <v>174936.14</v>
      </c>
      <c r="W127" t="str">
        <f>IF(Sales[[#This Row],[Quantity]]&gt;=15, "Large","Small")</f>
        <v>Small</v>
      </c>
      <c r="X127" t="str">
        <f>IF(Sales[[#This Row],[Quantity]]&gt;=15,"Large",IF(Sales[[#This Row],[Quantity]]=14,"Medium","Small"))</f>
        <v>Small</v>
      </c>
      <c r="Y127" t="str">
        <f>IF(AND(Sales[[#This Row],[Unit Price (₦)]]&gt;68000,Sales[[#This Row],[Quantity]]&gt;15),"Offer Discount", "No Discount")</f>
        <v>No Discount</v>
      </c>
    </row>
    <row r="128" spans="1:25" ht="15" customHeight="1" x14ac:dyDescent="0.25">
      <c r="A128" t="s">
        <v>2948</v>
      </c>
      <c r="B128" s="8">
        <v>45133</v>
      </c>
      <c r="C128" s="8">
        <v>45138</v>
      </c>
      <c r="D128" t="s">
        <v>48</v>
      </c>
      <c r="E128" t="s">
        <v>3076</v>
      </c>
      <c r="F128" t="s">
        <v>3040</v>
      </c>
      <c r="G128" t="s">
        <v>2949</v>
      </c>
      <c r="H128">
        <v>8036392076</v>
      </c>
      <c r="I128" t="s">
        <v>24</v>
      </c>
      <c r="J128" t="s">
        <v>25</v>
      </c>
      <c r="K128" t="s">
        <v>168</v>
      </c>
      <c r="L128" t="s">
        <v>96</v>
      </c>
      <c r="M128" t="s">
        <v>189</v>
      </c>
      <c r="N128" t="s">
        <v>478</v>
      </c>
      <c r="O128">
        <v>17</v>
      </c>
      <c r="P128">
        <v>351539.63</v>
      </c>
      <c r="Q128">
        <v>5</v>
      </c>
      <c r="R128" s="39">
        <v>298808.69</v>
      </c>
      <c r="S128" s="39">
        <v>5677365.0199999996</v>
      </c>
      <c r="T128" s="39">
        <v>2118249.8199999998</v>
      </c>
      <c r="U128" t="str">
        <f t="shared" si="3"/>
        <v>Technology</v>
      </c>
      <c r="V128">
        <f t="shared" si="4"/>
        <v>2118249.8199999998</v>
      </c>
      <c r="W128" t="str">
        <f>IF(Sales[[#This Row],[Quantity]]&gt;=15, "Large","Small")</f>
        <v>Large</v>
      </c>
      <c r="X128" t="str">
        <f>IF(Sales[[#This Row],[Quantity]]&gt;=15,"Large",IF(Sales[[#This Row],[Quantity]]=14,"Medium","Small"))</f>
        <v>Large</v>
      </c>
      <c r="Y128" t="str">
        <f>IF(AND(Sales[[#This Row],[Unit Price (₦)]]&gt;68000,Sales[[#This Row],[Quantity]]&gt;15),"Offer Discount", "No Discount")</f>
        <v>Offer Discount</v>
      </c>
    </row>
    <row r="129" spans="1:25" ht="15" customHeight="1" x14ac:dyDescent="0.25">
      <c r="A129" t="s">
        <v>1736</v>
      </c>
      <c r="B129" s="8">
        <v>45132</v>
      </c>
      <c r="C129" s="8">
        <v>45139</v>
      </c>
      <c r="D129" t="s">
        <v>48</v>
      </c>
      <c r="E129" t="s">
        <v>3063</v>
      </c>
      <c r="F129" t="s">
        <v>3050</v>
      </c>
      <c r="G129" t="s">
        <v>1738</v>
      </c>
      <c r="H129">
        <v>7066058905</v>
      </c>
      <c r="I129" t="s">
        <v>35</v>
      </c>
      <c r="J129" t="s">
        <v>61</v>
      </c>
      <c r="K129" t="s">
        <v>204</v>
      </c>
      <c r="L129" t="s">
        <v>27</v>
      </c>
      <c r="M129" t="s">
        <v>28</v>
      </c>
      <c r="N129" t="s">
        <v>29</v>
      </c>
      <c r="O129">
        <v>19</v>
      </c>
      <c r="P129">
        <v>5786.49</v>
      </c>
      <c r="Q129">
        <v>0</v>
      </c>
      <c r="R129" s="39">
        <v>0</v>
      </c>
      <c r="S129" s="39">
        <v>109943.31</v>
      </c>
      <c r="T129" s="39">
        <v>127.98</v>
      </c>
      <c r="U129" t="str">
        <f t="shared" si="3"/>
        <v>Food &amp; Beverages</v>
      </c>
      <c r="V129">
        <f t="shared" si="4"/>
        <v>127.98</v>
      </c>
      <c r="W129" t="str">
        <f>IF(Sales[[#This Row],[Quantity]]&gt;=15, "Large","Small")</f>
        <v>Large</v>
      </c>
      <c r="X129" t="str">
        <f>IF(Sales[[#This Row],[Quantity]]&gt;=15,"Large",IF(Sales[[#This Row],[Quantity]]=14,"Medium","Small"))</f>
        <v>Large</v>
      </c>
      <c r="Y129" t="str">
        <f>IF(AND(Sales[[#This Row],[Unit Price (₦)]]&gt;68000,Sales[[#This Row],[Quantity]]&gt;15),"Offer Discount", "No Discount")</f>
        <v>No Discount</v>
      </c>
    </row>
    <row r="130" spans="1:25" ht="15" customHeight="1" x14ac:dyDescent="0.25">
      <c r="A130" t="s">
        <v>1587</v>
      </c>
      <c r="B130" s="8">
        <v>45134</v>
      </c>
      <c r="C130" s="8">
        <v>45140</v>
      </c>
      <c r="D130" t="s">
        <v>48</v>
      </c>
      <c r="E130" t="s">
        <v>3058</v>
      </c>
      <c r="F130" t="s">
        <v>3071</v>
      </c>
      <c r="G130" t="s">
        <v>1589</v>
      </c>
      <c r="H130">
        <v>8158417942</v>
      </c>
      <c r="I130" t="s">
        <v>43</v>
      </c>
      <c r="J130" t="s">
        <v>51</v>
      </c>
      <c r="K130" t="s">
        <v>223</v>
      </c>
      <c r="L130" t="s">
        <v>63</v>
      </c>
      <c r="M130" t="s">
        <v>194</v>
      </c>
      <c r="N130" t="s">
        <v>257</v>
      </c>
      <c r="O130">
        <v>10</v>
      </c>
      <c r="P130">
        <v>19497.310000000001</v>
      </c>
      <c r="Q130">
        <v>0</v>
      </c>
      <c r="R130" s="39">
        <v>0</v>
      </c>
      <c r="S130" s="39">
        <v>194973.1</v>
      </c>
      <c r="T130" s="39">
        <v>-24921.05</v>
      </c>
      <c r="U130" t="str">
        <f t="shared" ref="U130:U193" si="5">PROPER(L130)</f>
        <v>Office Supplies</v>
      </c>
      <c r="V130">
        <f t="shared" si="4"/>
        <v>24921.05</v>
      </c>
      <c r="W130" t="str">
        <f>IF(Sales[[#This Row],[Quantity]]&gt;=15, "Large","Small")</f>
        <v>Small</v>
      </c>
      <c r="X130" t="str">
        <f>IF(Sales[[#This Row],[Quantity]]&gt;=15,"Large",IF(Sales[[#This Row],[Quantity]]=14,"Medium","Small"))</f>
        <v>Small</v>
      </c>
      <c r="Y130" t="str">
        <f>IF(AND(Sales[[#This Row],[Unit Price (₦)]]&gt;68000,Sales[[#This Row],[Quantity]]&gt;15),"Offer Discount", "No Discount")</f>
        <v>No Discount</v>
      </c>
    </row>
    <row r="131" spans="1:25" ht="15" customHeight="1" x14ac:dyDescent="0.25">
      <c r="A131" t="s">
        <v>629</v>
      </c>
      <c r="B131" s="8">
        <v>45136</v>
      </c>
      <c r="C131" s="8">
        <v>45141</v>
      </c>
      <c r="D131" t="s">
        <v>48</v>
      </c>
      <c r="E131" t="s">
        <v>3065</v>
      </c>
      <c r="F131" t="s">
        <v>3086</v>
      </c>
      <c r="G131" t="s">
        <v>631</v>
      </c>
      <c r="H131">
        <v>8034475536</v>
      </c>
      <c r="I131" t="s">
        <v>35</v>
      </c>
      <c r="J131" t="s">
        <v>69</v>
      </c>
      <c r="K131" t="s">
        <v>144</v>
      </c>
      <c r="L131" t="s">
        <v>27</v>
      </c>
      <c r="M131" t="s">
        <v>354</v>
      </c>
      <c r="N131" t="s">
        <v>433</v>
      </c>
      <c r="O131">
        <v>10</v>
      </c>
      <c r="P131">
        <v>7452.34</v>
      </c>
      <c r="Q131">
        <v>0</v>
      </c>
      <c r="R131" s="39">
        <v>0</v>
      </c>
      <c r="S131" s="39">
        <v>74523.399999999994</v>
      </c>
      <c r="T131" s="39">
        <v>14038.34</v>
      </c>
      <c r="U131" t="str">
        <f t="shared" si="5"/>
        <v>Food &amp; Beverages</v>
      </c>
      <c r="V131">
        <f t="shared" ref="V131:V194" si="6">ABS(T131)</f>
        <v>14038.34</v>
      </c>
      <c r="W131" t="str">
        <f>IF(Sales[[#This Row],[Quantity]]&gt;=15, "Large","Small")</f>
        <v>Small</v>
      </c>
      <c r="X131" t="str">
        <f>IF(Sales[[#This Row],[Quantity]]&gt;=15,"Large",IF(Sales[[#This Row],[Quantity]]=14,"Medium","Small"))</f>
        <v>Small</v>
      </c>
      <c r="Y131" t="str">
        <f>IF(AND(Sales[[#This Row],[Unit Price (₦)]]&gt;68000,Sales[[#This Row],[Quantity]]&gt;15),"Offer Discount", "No Discount")</f>
        <v>No Discount</v>
      </c>
    </row>
    <row r="132" spans="1:25" ht="15" customHeight="1" x14ac:dyDescent="0.25">
      <c r="A132" t="s">
        <v>2668</v>
      </c>
      <c r="B132" s="8">
        <v>45133</v>
      </c>
      <c r="C132" s="8">
        <v>45141</v>
      </c>
      <c r="D132" t="s">
        <v>48</v>
      </c>
      <c r="E132" t="s">
        <v>3060</v>
      </c>
      <c r="F132" t="s">
        <v>3078</v>
      </c>
      <c r="G132" t="s">
        <v>2670</v>
      </c>
      <c r="H132" t="s">
        <v>59</v>
      </c>
      <c r="I132" t="s">
        <v>43</v>
      </c>
      <c r="J132" t="s">
        <v>25</v>
      </c>
      <c r="K132" t="s">
        <v>168</v>
      </c>
      <c r="L132" t="s">
        <v>96</v>
      </c>
      <c r="M132" t="s">
        <v>97</v>
      </c>
      <c r="N132" t="s">
        <v>1416</v>
      </c>
      <c r="O132">
        <v>17</v>
      </c>
      <c r="P132">
        <v>221462.1</v>
      </c>
      <c r="Q132">
        <v>5</v>
      </c>
      <c r="R132" s="39">
        <v>188242.79</v>
      </c>
      <c r="S132" s="39">
        <v>3576612.91</v>
      </c>
      <c r="T132" s="39">
        <v>1409077.27</v>
      </c>
      <c r="U132" t="str">
        <f t="shared" si="5"/>
        <v>Technology</v>
      </c>
      <c r="V132">
        <f t="shared" si="6"/>
        <v>1409077.27</v>
      </c>
      <c r="W132" t="str">
        <f>IF(Sales[[#This Row],[Quantity]]&gt;=15, "Large","Small")</f>
        <v>Large</v>
      </c>
      <c r="X132" t="str">
        <f>IF(Sales[[#This Row],[Quantity]]&gt;=15,"Large",IF(Sales[[#This Row],[Quantity]]=14,"Medium","Small"))</f>
        <v>Large</v>
      </c>
      <c r="Y132" t="str">
        <f>IF(AND(Sales[[#This Row],[Unit Price (₦)]]&gt;68000,Sales[[#This Row],[Quantity]]&gt;15),"Offer Discount", "No Discount")</f>
        <v>Offer Discount</v>
      </c>
    </row>
    <row r="133" spans="1:25" ht="15" customHeight="1" x14ac:dyDescent="0.25">
      <c r="A133" t="s">
        <v>256</v>
      </c>
      <c r="B133" s="8">
        <v>45144</v>
      </c>
      <c r="C133" s="8">
        <v>45152</v>
      </c>
      <c r="D133" t="s">
        <v>48</v>
      </c>
      <c r="E133" t="s">
        <v>3055</v>
      </c>
      <c r="F133" t="s">
        <v>3071</v>
      </c>
      <c r="G133" t="s">
        <v>193</v>
      </c>
      <c r="H133">
        <v>8101861958</v>
      </c>
      <c r="I133" t="s">
        <v>35</v>
      </c>
      <c r="J133" t="s">
        <v>61</v>
      </c>
      <c r="K133" t="s">
        <v>204</v>
      </c>
      <c r="L133" t="s">
        <v>63</v>
      </c>
      <c r="M133" t="s">
        <v>194</v>
      </c>
      <c r="N133" t="s">
        <v>257</v>
      </c>
      <c r="O133">
        <v>3</v>
      </c>
      <c r="P133">
        <v>3295.13</v>
      </c>
      <c r="Q133">
        <v>15</v>
      </c>
      <c r="R133" s="39">
        <v>1482.81</v>
      </c>
      <c r="S133" s="39">
        <v>8402.58</v>
      </c>
      <c r="T133" s="39">
        <v>1218.78</v>
      </c>
      <c r="U133" t="str">
        <f t="shared" si="5"/>
        <v>Office Supplies</v>
      </c>
      <c r="V133">
        <f t="shared" si="6"/>
        <v>1218.78</v>
      </c>
      <c r="W133" t="str">
        <f>IF(Sales[[#This Row],[Quantity]]&gt;=15, "Large","Small")</f>
        <v>Small</v>
      </c>
      <c r="X133" t="str">
        <f>IF(Sales[[#This Row],[Quantity]]&gt;=15,"Large",IF(Sales[[#This Row],[Quantity]]=14,"Medium","Small"))</f>
        <v>Small</v>
      </c>
      <c r="Y133" t="str">
        <f>IF(AND(Sales[[#This Row],[Unit Price (₦)]]&gt;68000,Sales[[#This Row],[Quantity]]&gt;15),"Offer Discount", "No Discount")</f>
        <v>No Discount</v>
      </c>
    </row>
    <row r="134" spans="1:25" ht="15" customHeight="1" x14ac:dyDescent="0.25">
      <c r="A134" t="s">
        <v>1944</v>
      </c>
      <c r="B134" s="8">
        <v>45149</v>
      </c>
      <c r="C134" s="8">
        <v>45154</v>
      </c>
      <c r="D134" t="s">
        <v>48</v>
      </c>
      <c r="E134" t="s">
        <v>3084</v>
      </c>
      <c r="F134" t="s">
        <v>3090</v>
      </c>
      <c r="G134" t="s">
        <v>1946</v>
      </c>
      <c r="H134">
        <v>9053912192</v>
      </c>
      <c r="I134" t="s">
        <v>24</v>
      </c>
      <c r="J134" t="s">
        <v>51</v>
      </c>
      <c r="K134" t="s">
        <v>316</v>
      </c>
      <c r="L134" t="s">
        <v>27</v>
      </c>
      <c r="M134" t="s">
        <v>354</v>
      </c>
      <c r="N134" t="s">
        <v>355</v>
      </c>
      <c r="O134">
        <v>14</v>
      </c>
      <c r="P134">
        <v>3352.21</v>
      </c>
      <c r="Q134">
        <v>20</v>
      </c>
      <c r="R134" s="39">
        <v>9386.19</v>
      </c>
      <c r="S134" s="39">
        <v>37544.75</v>
      </c>
      <c r="T134" s="39">
        <v>6851.67</v>
      </c>
      <c r="U134" t="str">
        <f t="shared" si="5"/>
        <v>Food &amp; Beverages</v>
      </c>
      <c r="V134">
        <f t="shared" si="6"/>
        <v>6851.67</v>
      </c>
      <c r="W134" t="str">
        <f>IF(Sales[[#This Row],[Quantity]]&gt;=15, "Large","Small")</f>
        <v>Small</v>
      </c>
      <c r="X134" t="str">
        <f>IF(Sales[[#This Row],[Quantity]]&gt;=15,"Large",IF(Sales[[#This Row],[Quantity]]=14,"Medium","Small"))</f>
        <v>Medium</v>
      </c>
      <c r="Y134" t="str">
        <f>IF(AND(Sales[[#This Row],[Unit Price (₦)]]&gt;68000,Sales[[#This Row],[Quantity]]&gt;15),"Offer Discount", "No Discount")</f>
        <v>No Discount</v>
      </c>
    </row>
    <row r="135" spans="1:25" ht="15" customHeight="1" x14ac:dyDescent="0.25">
      <c r="A135" t="s">
        <v>2209</v>
      </c>
      <c r="B135" s="8">
        <v>45150</v>
      </c>
      <c r="C135" s="8">
        <v>45158</v>
      </c>
      <c r="D135" t="s">
        <v>48</v>
      </c>
      <c r="E135" t="s">
        <v>3053</v>
      </c>
      <c r="F135" t="s">
        <v>3074</v>
      </c>
      <c r="G135" t="s">
        <v>2210</v>
      </c>
      <c r="H135">
        <v>9078128056</v>
      </c>
      <c r="I135" t="s">
        <v>35</v>
      </c>
      <c r="J135" t="s">
        <v>51</v>
      </c>
      <c r="K135" t="s">
        <v>52</v>
      </c>
      <c r="L135" t="s">
        <v>96</v>
      </c>
      <c r="M135" t="s">
        <v>385</v>
      </c>
      <c r="N135" t="s">
        <v>942</v>
      </c>
      <c r="O135">
        <v>4</v>
      </c>
      <c r="P135">
        <v>430997.25</v>
      </c>
      <c r="Q135">
        <v>10</v>
      </c>
      <c r="R135" s="39">
        <v>172398.9</v>
      </c>
      <c r="S135" s="39">
        <v>1551590.1</v>
      </c>
      <c r="T135" s="39">
        <v>416107.21</v>
      </c>
      <c r="U135" t="str">
        <f t="shared" si="5"/>
        <v>Technology</v>
      </c>
      <c r="V135">
        <f t="shared" si="6"/>
        <v>416107.21</v>
      </c>
      <c r="W135" t="str">
        <f>IF(Sales[[#This Row],[Quantity]]&gt;=15, "Large","Small")</f>
        <v>Small</v>
      </c>
      <c r="X135" t="str">
        <f>IF(Sales[[#This Row],[Quantity]]&gt;=15,"Large",IF(Sales[[#This Row],[Quantity]]=14,"Medium","Small"))</f>
        <v>Small</v>
      </c>
      <c r="Y135" t="str">
        <f>IF(AND(Sales[[#This Row],[Unit Price (₦)]]&gt;68000,Sales[[#This Row],[Quantity]]&gt;15),"Offer Discount", "No Discount")</f>
        <v>No Discount</v>
      </c>
    </row>
    <row r="136" spans="1:25" ht="15" customHeight="1" x14ac:dyDescent="0.25">
      <c r="A136" t="s">
        <v>2514</v>
      </c>
      <c r="B136" s="8">
        <v>45156</v>
      </c>
      <c r="C136" s="8">
        <v>45161</v>
      </c>
      <c r="D136" t="s">
        <v>48</v>
      </c>
      <c r="E136" t="s">
        <v>3059</v>
      </c>
      <c r="F136" t="s">
        <v>3069</v>
      </c>
      <c r="G136" t="s">
        <v>3126</v>
      </c>
      <c r="H136">
        <v>8107541701</v>
      </c>
      <c r="I136" t="s">
        <v>24</v>
      </c>
      <c r="J136" t="s">
        <v>69</v>
      </c>
      <c r="K136" t="s">
        <v>119</v>
      </c>
      <c r="L136" t="s">
        <v>1566</v>
      </c>
      <c r="M136" t="s">
        <v>243</v>
      </c>
      <c r="N136" t="s">
        <v>439</v>
      </c>
      <c r="O136">
        <v>5</v>
      </c>
      <c r="P136">
        <v>15698.17</v>
      </c>
      <c r="Q136">
        <v>5</v>
      </c>
      <c r="R136" s="39">
        <v>3924.54</v>
      </c>
      <c r="S136" s="39">
        <v>74566.31</v>
      </c>
      <c r="T136" s="39">
        <v>16632.63</v>
      </c>
      <c r="U136" t="str">
        <f t="shared" si="5"/>
        <v>Furniture</v>
      </c>
      <c r="V136">
        <f t="shared" si="6"/>
        <v>16632.63</v>
      </c>
      <c r="W136" t="str">
        <f>IF(Sales[[#This Row],[Quantity]]&gt;=15, "Large","Small")</f>
        <v>Small</v>
      </c>
      <c r="X136" t="str">
        <f>IF(Sales[[#This Row],[Quantity]]&gt;=15,"Large",IF(Sales[[#This Row],[Quantity]]=14,"Medium","Small"))</f>
        <v>Small</v>
      </c>
      <c r="Y136" t="str">
        <f>IF(AND(Sales[[#This Row],[Unit Price (₦)]]&gt;68000,Sales[[#This Row],[Quantity]]&gt;15),"Offer Discount", "No Discount")</f>
        <v>No Discount</v>
      </c>
    </row>
    <row r="137" spans="1:25" ht="15" customHeight="1" x14ac:dyDescent="0.25">
      <c r="A137" t="s">
        <v>977</v>
      </c>
      <c r="B137" s="8">
        <v>45155</v>
      </c>
      <c r="C137" s="8">
        <v>45162</v>
      </c>
      <c r="D137" t="s">
        <v>48</v>
      </c>
      <c r="E137" t="s">
        <v>3080</v>
      </c>
      <c r="F137" t="s">
        <v>3050</v>
      </c>
      <c r="G137" t="s">
        <v>979</v>
      </c>
      <c r="H137">
        <v>9028342987</v>
      </c>
      <c r="I137" t="s">
        <v>24</v>
      </c>
      <c r="J137" t="s">
        <v>25</v>
      </c>
      <c r="K137" t="s">
        <v>44</v>
      </c>
      <c r="L137" t="s">
        <v>108</v>
      </c>
      <c r="M137" t="s">
        <v>183</v>
      </c>
      <c r="N137" t="s">
        <v>719</v>
      </c>
      <c r="O137">
        <v>18</v>
      </c>
      <c r="P137">
        <v>22381.47</v>
      </c>
      <c r="Q137">
        <v>5</v>
      </c>
      <c r="R137" s="39">
        <v>20143.32</v>
      </c>
      <c r="S137" s="39">
        <v>382723.14</v>
      </c>
      <c r="T137" s="39">
        <v>-26090.67</v>
      </c>
      <c r="U137" t="str">
        <f t="shared" si="5"/>
        <v>Clothing</v>
      </c>
      <c r="V137">
        <f t="shared" si="6"/>
        <v>26090.67</v>
      </c>
      <c r="W137" t="str">
        <f>IF(Sales[[#This Row],[Quantity]]&gt;=15, "Large","Small")</f>
        <v>Large</v>
      </c>
      <c r="X137" t="str">
        <f>IF(Sales[[#This Row],[Quantity]]&gt;=15,"Large",IF(Sales[[#This Row],[Quantity]]=14,"Medium","Small"))</f>
        <v>Large</v>
      </c>
      <c r="Y137" t="str">
        <f>IF(AND(Sales[[#This Row],[Unit Price (₦)]]&gt;68000,Sales[[#This Row],[Quantity]]&gt;15),"Offer Discount", "No Discount")</f>
        <v>No Discount</v>
      </c>
    </row>
    <row r="138" spans="1:25" ht="15" customHeight="1" x14ac:dyDescent="0.25">
      <c r="A138" t="s">
        <v>2083</v>
      </c>
      <c r="B138" s="8">
        <v>45165</v>
      </c>
      <c r="C138" s="8">
        <v>45170</v>
      </c>
      <c r="D138" t="s">
        <v>48</v>
      </c>
      <c r="E138" t="s">
        <v>3039</v>
      </c>
      <c r="F138" t="s">
        <v>3090</v>
      </c>
      <c r="G138" t="s">
        <v>2085</v>
      </c>
      <c r="H138">
        <v>8163070908</v>
      </c>
      <c r="I138" t="s">
        <v>43</v>
      </c>
      <c r="J138" t="s">
        <v>51</v>
      </c>
      <c r="K138" t="s">
        <v>316</v>
      </c>
      <c r="L138" t="s">
        <v>96</v>
      </c>
      <c r="M138" t="s">
        <v>189</v>
      </c>
      <c r="N138" t="s">
        <v>325</v>
      </c>
      <c r="O138">
        <v>12</v>
      </c>
      <c r="P138">
        <v>17214.259999999998</v>
      </c>
      <c r="Q138">
        <v>0</v>
      </c>
      <c r="R138" s="39">
        <v>0</v>
      </c>
      <c r="S138" s="39">
        <v>206571.12</v>
      </c>
      <c r="T138" s="39">
        <v>-24800.68</v>
      </c>
      <c r="U138" t="str">
        <f t="shared" si="5"/>
        <v>Technology</v>
      </c>
      <c r="V138">
        <f t="shared" si="6"/>
        <v>24800.68</v>
      </c>
      <c r="W138" t="str">
        <f>IF(Sales[[#This Row],[Quantity]]&gt;=15, "Large","Small")</f>
        <v>Small</v>
      </c>
      <c r="X138" t="str">
        <f>IF(Sales[[#This Row],[Quantity]]&gt;=15,"Large",IF(Sales[[#This Row],[Quantity]]=14,"Medium","Small"))</f>
        <v>Small</v>
      </c>
      <c r="Y138" t="str">
        <f>IF(AND(Sales[[#This Row],[Unit Price (₦)]]&gt;68000,Sales[[#This Row],[Quantity]]&gt;15),"Offer Discount", "No Discount")</f>
        <v>No Discount</v>
      </c>
    </row>
    <row r="139" spans="1:25" ht="15" customHeight="1" x14ac:dyDescent="0.25">
      <c r="A139" t="s">
        <v>2651</v>
      </c>
      <c r="B139" s="8">
        <v>45167</v>
      </c>
      <c r="C139" s="8">
        <v>45172</v>
      </c>
      <c r="D139" t="s">
        <v>48</v>
      </c>
      <c r="E139" t="s">
        <v>3082</v>
      </c>
      <c r="F139" t="s">
        <v>3062</v>
      </c>
      <c r="G139" t="s">
        <v>2653</v>
      </c>
      <c r="H139">
        <v>8065251915</v>
      </c>
      <c r="I139" t="s">
        <v>35</v>
      </c>
      <c r="J139" t="s">
        <v>61</v>
      </c>
      <c r="K139" t="s">
        <v>95</v>
      </c>
      <c r="L139" t="s">
        <v>108</v>
      </c>
      <c r="M139" t="s">
        <v>114</v>
      </c>
      <c r="N139" t="s">
        <v>115</v>
      </c>
      <c r="O139">
        <v>13</v>
      </c>
      <c r="P139">
        <v>42629.61</v>
      </c>
      <c r="Q139">
        <v>0</v>
      </c>
      <c r="R139" s="39">
        <v>0</v>
      </c>
      <c r="S139" s="39">
        <v>554184.93000000005</v>
      </c>
      <c r="T139" s="39">
        <v>148904.56</v>
      </c>
      <c r="U139" t="str">
        <f t="shared" si="5"/>
        <v>Clothing</v>
      </c>
      <c r="V139">
        <f t="shared" si="6"/>
        <v>148904.56</v>
      </c>
      <c r="W139" t="str">
        <f>IF(Sales[[#This Row],[Quantity]]&gt;=15, "Large","Small")</f>
        <v>Small</v>
      </c>
      <c r="X139" t="str">
        <f>IF(Sales[[#This Row],[Quantity]]&gt;=15,"Large",IF(Sales[[#This Row],[Quantity]]=14,"Medium","Small"))</f>
        <v>Small</v>
      </c>
      <c r="Y139" t="str">
        <f>IF(AND(Sales[[#This Row],[Unit Price (₦)]]&gt;68000,Sales[[#This Row],[Quantity]]&gt;15),"Offer Discount", "No Discount")</f>
        <v>No Discount</v>
      </c>
    </row>
    <row r="140" spans="1:25" ht="15" customHeight="1" x14ac:dyDescent="0.25">
      <c r="A140" t="s">
        <v>2468</v>
      </c>
      <c r="B140" s="8">
        <v>45169</v>
      </c>
      <c r="C140" s="8">
        <v>45175</v>
      </c>
      <c r="D140" t="s">
        <v>48</v>
      </c>
      <c r="E140" t="s">
        <v>3047</v>
      </c>
      <c r="F140" t="s">
        <v>3086</v>
      </c>
      <c r="G140" t="s">
        <v>2470</v>
      </c>
      <c r="H140">
        <v>8038364357</v>
      </c>
      <c r="I140" t="s">
        <v>35</v>
      </c>
      <c r="J140" t="s">
        <v>69</v>
      </c>
      <c r="K140" t="s">
        <v>119</v>
      </c>
      <c r="L140" t="s">
        <v>108</v>
      </c>
      <c r="M140" t="s">
        <v>189</v>
      </c>
      <c r="N140" t="s">
        <v>205</v>
      </c>
      <c r="O140">
        <v>7</v>
      </c>
      <c r="P140">
        <v>44930.02</v>
      </c>
      <c r="Q140">
        <v>15</v>
      </c>
      <c r="R140" s="39">
        <v>47176.52</v>
      </c>
      <c r="S140" s="39">
        <v>267333.62</v>
      </c>
      <c r="T140" s="39">
        <v>-10256.299999999999</v>
      </c>
      <c r="U140" t="str">
        <f t="shared" si="5"/>
        <v>Clothing</v>
      </c>
      <c r="V140">
        <f t="shared" si="6"/>
        <v>10256.299999999999</v>
      </c>
      <c r="W140" t="str">
        <f>IF(Sales[[#This Row],[Quantity]]&gt;=15, "Large","Small")</f>
        <v>Small</v>
      </c>
      <c r="X140" t="str">
        <f>IF(Sales[[#This Row],[Quantity]]&gt;=15,"Large",IF(Sales[[#This Row],[Quantity]]=14,"Medium","Small"))</f>
        <v>Small</v>
      </c>
      <c r="Y140" t="str">
        <f>IF(AND(Sales[[#This Row],[Unit Price (₦)]]&gt;68000,Sales[[#This Row],[Quantity]]&gt;15),"Offer Discount", "No Discount")</f>
        <v>No Discount</v>
      </c>
    </row>
    <row r="141" spans="1:25" ht="15" customHeight="1" x14ac:dyDescent="0.25">
      <c r="A141" t="s">
        <v>2092</v>
      </c>
      <c r="B141" s="8">
        <v>45170</v>
      </c>
      <c r="C141" s="8">
        <v>45178</v>
      </c>
      <c r="D141" t="s">
        <v>48</v>
      </c>
      <c r="E141" t="str">
        <f>E142</f>
        <v>Obinna</v>
      </c>
      <c r="F141" t="str">
        <f>F140</f>
        <v>Lawal</v>
      </c>
      <c r="G141" t="s">
        <v>2093</v>
      </c>
      <c r="H141">
        <v>9028329845</v>
      </c>
      <c r="I141" t="s">
        <v>43</v>
      </c>
      <c r="J141" t="s">
        <v>61</v>
      </c>
      <c r="K141" t="s">
        <v>182</v>
      </c>
      <c r="L141" t="s">
        <v>96</v>
      </c>
      <c r="M141" t="s">
        <v>385</v>
      </c>
      <c r="N141" t="s">
        <v>1010</v>
      </c>
      <c r="O141">
        <v>11</v>
      </c>
      <c r="P141">
        <v>207227.08</v>
      </c>
      <c r="Q141">
        <v>25</v>
      </c>
      <c r="R141" s="39">
        <v>569874.47</v>
      </c>
      <c r="S141" s="39">
        <v>1709623.41</v>
      </c>
      <c r="T141" s="39">
        <v>702531.94</v>
      </c>
      <c r="U141" t="str">
        <f t="shared" si="5"/>
        <v>Technology</v>
      </c>
      <c r="V141">
        <f t="shared" si="6"/>
        <v>702531.94</v>
      </c>
      <c r="W141" t="str">
        <f>IF(Sales[[#This Row],[Quantity]]&gt;=15, "Large","Small")</f>
        <v>Small</v>
      </c>
      <c r="X141" t="str">
        <f>IF(Sales[[#This Row],[Quantity]]&gt;=15,"Large",IF(Sales[[#This Row],[Quantity]]=14,"Medium","Small"))</f>
        <v>Small</v>
      </c>
      <c r="Y141" t="str">
        <f>IF(AND(Sales[[#This Row],[Unit Price (₦)]]&gt;68000,Sales[[#This Row],[Quantity]]&gt;15),"Offer Discount", "No Discount")</f>
        <v>No Discount</v>
      </c>
    </row>
    <row r="142" spans="1:25" ht="15" customHeight="1" x14ac:dyDescent="0.25">
      <c r="A142" t="s">
        <v>1700</v>
      </c>
      <c r="B142" s="8">
        <v>45175</v>
      </c>
      <c r="C142" s="8">
        <v>45182</v>
      </c>
      <c r="D142" t="s">
        <v>48</v>
      </c>
      <c r="E142" t="s">
        <v>3097</v>
      </c>
      <c r="F142" t="s">
        <v>3079</v>
      </c>
      <c r="G142" t="s">
        <v>1702</v>
      </c>
      <c r="H142">
        <v>7061199493</v>
      </c>
      <c r="I142" t="s">
        <v>43</v>
      </c>
      <c r="J142" t="s">
        <v>61</v>
      </c>
      <c r="K142" t="s">
        <v>3127</v>
      </c>
      <c r="L142" t="s">
        <v>108</v>
      </c>
      <c r="M142" t="s">
        <v>189</v>
      </c>
      <c r="N142" t="s">
        <v>1703</v>
      </c>
      <c r="O142">
        <v>8</v>
      </c>
      <c r="P142">
        <v>39215.040000000001</v>
      </c>
      <c r="Q142">
        <v>5</v>
      </c>
      <c r="R142" s="39">
        <v>15686.02</v>
      </c>
      <c r="S142" s="39">
        <v>298034.3</v>
      </c>
      <c r="T142" s="39">
        <v>84642.2</v>
      </c>
      <c r="U142" t="str">
        <f t="shared" si="5"/>
        <v>Clothing</v>
      </c>
      <c r="V142">
        <f t="shared" si="6"/>
        <v>84642.2</v>
      </c>
      <c r="W142" t="str">
        <f>IF(Sales[[#This Row],[Quantity]]&gt;=15, "Large","Small")</f>
        <v>Small</v>
      </c>
      <c r="X142" t="str">
        <f>IF(Sales[[#This Row],[Quantity]]&gt;=15,"Large",IF(Sales[[#This Row],[Quantity]]=14,"Medium","Small"))</f>
        <v>Small</v>
      </c>
      <c r="Y142" t="str">
        <f>IF(AND(Sales[[#This Row],[Unit Price (₦)]]&gt;68000,Sales[[#This Row],[Quantity]]&gt;15),"Offer Discount", "No Discount")</f>
        <v>No Discount</v>
      </c>
    </row>
    <row r="143" spans="1:25" ht="15" customHeight="1" x14ac:dyDescent="0.25">
      <c r="A143" t="s">
        <v>488</v>
      </c>
      <c r="B143" s="8">
        <v>45195</v>
      </c>
      <c r="C143" s="8">
        <v>45203</v>
      </c>
      <c r="D143" t="s">
        <v>48</v>
      </c>
      <c r="E143" t="s">
        <v>3055</v>
      </c>
      <c r="F143" t="s">
        <v>3075</v>
      </c>
      <c r="G143" t="s">
        <v>489</v>
      </c>
      <c r="H143">
        <v>9027869154</v>
      </c>
      <c r="I143" t="s">
        <v>35</v>
      </c>
      <c r="J143" t="s">
        <v>61</v>
      </c>
      <c r="K143" t="s">
        <v>84</v>
      </c>
      <c r="L143" t="s">
        <v>27</v>
      </c>
      <c r="M143" t="s">
        <v>79</v>
      </c>
      <c r="N143" t="s">
        <v>490</v>
      </c>
      <c r="O143">
        <v>3</v>
      </c>
      <c r="P143">
        <v>7787.32</v>
      </c>
      <c r="Q143">
        <v>20</v>
      </c>
      <c r="R143" s="39">
        <v>4672.3900000000003</v>
      </c>
      <c r="S143" s="39">
        <v>18689.57</v>
      </c>
      <c r="T143" s="39">
        <v>2420.3000000000002</v>
      </c>
      <c r="U143" t="str">
        <f t="shared" si="5"/>
        <v>Food &amp; Beverages</v>
      </c>
      <c r="V143">
        <f t="shared" si="6"/>
        <v>2420.3000000000002</v>
      </c>
      <c r="W143" t="str">
        <f>IF(Sales[[#This Row],[Quantity]]&gt;=15, "Large","Small")</f>
        <v>Small</v>
      </c>
      <c r="X143" t="str">
        <f>IF(Sales[[#This Row],[Quantity]]&gt;=15,"Large",IF(Sales[[#This Row],[Quantity]]=14,"Medium","Small"))</f>
        <v>Small</v>
      </c>
      <c r="Y143" t="str">
        <f>IF(AND(Sales[[#This Row],[Unit Price (₦)]]&gt;68000,Sales[[#This Row],[Quantity]]&gt;15),"Offer Discount", "No Discount")</f>
        <v>No Discount</v>
      </c>
    </row>
    <row r="144" spans="1:25" ht="15" customHeight="1" x14ac:dyDescent="0.25">
      <c r="A144" t="s">
        <v>1804</v>
      </c>
      <c r="B144" s="8">
        <v>45198</v>
      </c>
      <c r="C144" s="8">
        <v>45203</v>
      </c>
      <c r="D144" t="s">
        <v>48</v>
      </c>
      <c r="E144" t="s">
        <v>3035</v>
      </c>
      <c r="F144" t="s">
        <v>3077</v>
      </c>
      <c r="G144" t="s">
        <v>1806</v>
      </c>
      <c r="H144">
        <v>8037512001</v>
      </c>
      <c r="I144" t="s">
        <v>24</v>
      </c>
      <c r="J144" t="s">
        <v>51</v>
      </c>
      <c r="K144" t="s">
        <v>316</v>
      </c>
      <c r="L144" t="s">
        <v>108</v>
      </c>
      <c r="M144" t="s">
        <v>38</v>
      </c>
      <c r="N144" t="s">
        <v>39</v>
      </c>
      <c r="O144">
        <v>5</v>
      </c>
      <c r="P144">
        <v>36293.279999999999</v>
      </c>
      <c r="Q144">
        <v>25</v>
      </c>
      <c r="R144" s="39">
        <v>45366.6</v>
      </c>
      <c r="S144" s="39">
        <v>136099.79999999999</v>
      </c>
      <c r="T144" s="39">
        <v>33786.19</v>
      </c>
      <c r="U144" t="str">
        <f t="shared" si="5"/>
        <v>Clothing</v>
      </c>
      <c r="V144">
        <f t="shared" si="6"/>
        <v>33786.19</v>
      </c>
      <c r="W144" t="str">
        <f>IF(Sales[[#This Row],[Quantity]]&gt;=15, "Large","Small")</f>
        <v>Small</v>
      </c>
      <c r="X144" t="str">
        <f>IF(Sales[[#This Row],[Quantity]]&gt;=15,"Large",IF(Sales[[#This Row],[Quantity]]=14,"Medium","Small"))</f>
        <v>Small</v>
      </c>
      <c r="Y144" t="str">
        <f>IF(AND(Sales[[#This Row],[Unit Price (₦)]]&gt;68000,Sales[[#This Row],[Quantity]]&gt;15),"Offer Discount", "No Discount")</f>
        <v>No Discount</v>
      </c>
    </row>
    <row r="145" spans="1:25" ht="15" customHeight="1" x14ac:dyDescent="0.25">
      <c r="A145" t="s">
        <v>410</v>
      </c>
      <c r="B145" s="8">
        <v>45197</v>
      </c>
      <c r="C145" s="8">
        <v>45205</v>
      </c>
      <c r="D145" t="s">
        <v>48</v>
      </c>
      <c r="E145" t="s">
        <v>3053</v>
      </c>
      <c r="F145" t="s">
        <v>3090</v>
      </c>
      <c r="G145" t="s">
        <v>413</v>
      </c>
      <c r="H145">
        <v>7035816353</v>
      </c>
      <c r="I145" t="s">
        <v>24</v>
      </c>
      <c r="J145" t="s">
        <v>25</v>
      </c>
      <c r="K145" t="s">
        <v>44</v>
      </c>
      <c r="L145" t="s">
        <v>96</v>
      </c>
      <c r="M145" t="s">
        <v>120</v>
      </c>
      <c r="N145" t="s">
        <v>121</v>
      </c>
      <c r="O145">
        <v>13</v>
      </c>
      <c r="P145">
        <v>273424.71999999997</v>
      </c>
      <c r="Q145">
        <v>20</v>
      </c>
      <c r="R145" s="39">
        <v>710904.27</v>
      </c>
      <c r="S145" s="39">
        <v>2843617.09</v>
      </c>
      <c r="T145" s="39">
        <v>563598.21</v>
      </c>
      <c r="U145" t="str">
        <f t="shared" si="5"/>
        <v>Technology</v>
      </c>
      <c r="V145">
        <f t="shared" si="6"/>
        <v>563598.21</v>
      </c>
      <c r="W145" t="str">
        <f>IF(Sales[[#This Row],[Quantity]]&gt;=15, "Large","Small")</f>
        <v>Small</v>
      </c>
      <c r="X145" t="str">
        <f>IF(Sales[[#This Row],[Quantity]]&gt;=15,"Large",IF(Sales[[#This Row],[Quantity]]=14,"Medium","Small"))</f>
        <v>Small</v>
      </c>
      <c r="Y145" t="str">
        <f>IF(AND(Sales[[#This Row],[Unit Price (₦)]]&gt;68000,Sales[[#This Row],[Quantity]]&gt;15),"Offer Discount", "No Discount")</f>
        <v>No Discount</v>
      </c>
    </row>
    <row r="146" spans="1:25" ht="15" customHeight="1" x14ac:dyDescent="0.25">
      <c r="A146" t="s">
        <v>2370</v>
      </c>
      <c r="B146" s="8">
        <v>45215</v>
      </c>
      <c r="C146" s="8">
        <v>45220</v>
      </c>
      <c r="D146" t="s">
        <v>48</v>
      </c>
      <c r="E146" t="s">
        <v>3050</v>
      </c>
      <c r="F146" t="s">
        <v>3083</v>
      </c>
      <c r="G146" t="s">
        <v>2372</v>
      </c>
      <c r="H146">
        <v>8142398988</v>
      </c>
      <c r="I146" t="s">
        <v>35</v>
      </c>
      <c r="J146" t="s">
        <v>69</v>
      </c>
      <c r="K146" t="s">
        <v>70</v>
      </c>
      <c r="L146" t="s">
        <v>156</v>
      </c>
      <c r="M146" t="s">
        <v>109</v>
      </c>
      <c r="N146" t="s">
        <v>110</v>
      </c>
      <c r="O146">
        <v>7</v>
      </c>
      <c r="P146">
        <v>25321.86</v>
      </c>
      <c r="Q146">
        <v>20</v>
      </c>
      <c r="R146" s="39">
        <v>35450.6</v>
      </c>
      <c r="S146" s="39">
        <v>141802.42000000001</v>
      </c>
      <c r="T146" s="39">
        <v>4250.75</v>
      </c>
      <c r="U146" t="str">
        <f t="shared" si="5"/>
        <v>Clothing</v>
      </c>
      <c r="V146">
        <f t="shared" si="6"/>
        <v>4250.75</v>
      </c>
      <c r="W146" t="str">
        <f>IF(Sales[[#This Row],[Quantity]]&gt;=15, "Large","Small")</f>
        <v>Small</v>
      </c>
      <c r="X146" t="str">
        <f>IF(Sales[[#This Row],[Quantity]]&gt;=15,"Large",IF(Sales[[#This Row],[Quantity]]=14,"Medium","Small"))</f>
        <v>Small</v>
      </c>
      <c r="Y146" t="str">
        <f>IF(AND(Sales[[#This Row],[Unit Price (₦)]]&gt;68000,Sales[[#This Row],[Quantity]]&gt;15),"Offer Discount", "No Discount")</f>
        <v>No Discount</v>
      </c>
    </row>
    <row r="147" spans="1:25" ht="15" customHeight="1" x14ac:dyDescent="0.25">
      <c r="A147" t="s">
        <v>819</v>
      </c>
      <c r="B147" s="8">
        <v>45214</v>
      </c>
      <c r="C147" s="8">
        <v>45221</v>
      </c>
      <c r="D147" t="s">
        <v>48</v>
      </c>
      <c r="E147" t="s">
        <v>3072</v>
      </c>
      <c r="F147" t="s">
        <v>3050</v>
      </c>
      <c r="G147" t="s">
        <v>821</v>
      </c>
      <c r="H147">
        <v>8107299138</v>
      </c>
      <c r="I147" t="s">
        <v>43</v>
      </c>
      <c r="J147" t="s">
        <v>25</v>
      </c>
      <c r="K147" t="s">
        <v>26</v>
      </c>
      <c r="L147" t="s">
        <v>85</v>
      </c>
      <c r="M147" t="s">
        <v>86</v>
      </c>
      <c r="N147" t="s">
        <v>238</v>
      </c>
      <c r="O147">
        <v>3</v>
      </c>
      <c r="P147">
        <v>169995.47</v>
      </c>
      <c r="Q147">
        <v>10</v>
      </c>
      <c r="R147" s="39">
        <v>50998.64</v>
      </c>
      <c r="S147" s="39">
        <v>458987.77</v>
      </c>
      <c r="T147" s="39">
        <v>94743.49</v>
      </c>
      <c r="U147" t="str">
        <f t="shared" si="5"/>
        <v>Furniture</v>
      </c>
      <c r="V147">
        <f t="shared" si="6"/>
        <v>94743.49</v>
      </c>
      <c r="W147" t="str">
        <f>IF(Sales[[#This Row],[Quantity]]&gt;=15, "Large","Small")</f>
        <v>Small</v>
      </c>
      <c r="X147" t="str">
        <f>IF(Sales[[#This Row],[Quantity]]&gt;=15,"Large",IF(Sales[[#This Row],[Quantity]]=14,"Medium","Small"))</f>
        <v>Small</v>
      </c>
      <c r="Y147" t="str">
        <f>IF(AND(Sales[[#This Row],[Unit Price (₦)]]&gt;68000,Sales[[#This Row],[Quantity]]&gt;15),"Offer Discount", "No Discount")</f>
        <v>No Discount</v>
      </c>
    </row>
    <row r="148" spans="1:25" ht="15" customHeight="1" x14ac:dyDescent="0.25">
      <c r="A148" t="s">
        <v>1631</v>
      </c>
      <c r="B148" s="8">
        <v>45213</v>
      </c>
      <c r="C148" s="8">
        <v>45221</v>
      </c>
      <c r="D148" t="s">
        <v>48</v>
      </c>
      <c r="E148" t="s">
        <v>3060</v>
      </c>
      <c r="F148" t="s">
        <v>3066</v>
      </c>
      <c r="G148" t="s">
        <v>1632</v>
      </c>
      <c r="H148">
        <v>8141484969</v>
      </c>
      <c r="I148" t="s">
        <v>43</v>
      </c>
      <c r="J148" t="s">
        <v>69</v>
      </c>
      <c r="K148" t="s">
        <v>307</v>
      </c>
      <c r="L148" t="s">
        <v>108</v>
      </c>
      <c r="M148" t="s">
        <v>109</v>
      </c>
      <c r="N148" t="s">
        <v>110</v>
      </c>
      <c r="O148">
        <v>19</v>
      </c>
      <c r="P148">
        <v>13573.87</v>
      </c>
      <c r="Q148">
        <v>0</v>
      </c>
      <c r="R148" s="39">
        <v>0</v>
      </c>
      <c r="S148" s="39">
        <v>257903.53</v>
      </c>
      <c r="T148" s="39">
        <v>-570.05999999999995</v>
      </c>
      <c r="U148" t="str">
        <f t="shared" si="5"/>
        <v>Clothing</v>
      </c>
      <c r="V148">
        <f t="shared" si="6"/>
        <v>570.05999999999995</v>
      </c>
      <c r="W148" t="str">
        <f>IF(Sales[[#This Row],[Quantity]]&gt;=15, "Large","Small")</f>
        <v>Large</v>
      </c>
      <c r="X148" t="str">
        <f>IF(Sales[[#This Row],[Quantity]]&gt;=15,"Large",IF(Sales[[#This Row],[Quantity]]=14,"Medium","Small"))</f>
        <v>Large</v>
      </c>
      <c r="Y148" t="str">
        <f>IF(AND(Sales[[#This Row],[Unit Price (₦)]]&gt;68000,Sales[[#This Row],[Quantity]]&gt;15),"Offer Discount", "No Discount")</f>
        <v>No Discount</v>
      </c>
    </row>
    <row r="149" spans="1:25" ht="15" customHeight="1" x14ac:dyDescent="0.25">
      <c r="A149" t="s">
        <v>1628</v>
      </c>
      <c r="B149" s="8">
        <v>45217</v>
      </c>
      <c r="C149" s="8">
        <v>45223</v>
      </c>
      <c r="D149" t="s">
        <v>48</v>
      </c>
      <c r="E149" t="s">
        <v>3051</v>
      </c>
      <c r="F149" t="s">
        <v>3074</v>
      </c>
      <c r="G149" t="s">
        <v>1630</v>
      </c>
      <c r="H149">
        <v>7063029477</v>
      </c>
      <c r="I149" t="s">
        <v>43</v>
      </c>
      <c r="J149" t="s">
        <v>25</v>
      </c>
      <c r="K149" t="s">
        <v>44</v>
      </c>
      <c r="L149" t="s">
        <v>96</v>
      </c>
      <c r="M149" t="s">
        <v>385</v>
      </c>
      <c r="N149" t="s">
        <v>781</v>
      </c>
      <c r="O149">
        <v>19</v>
      </c>
      <c r="P149">
        <v>342178.18</v>
      </c>
      <c r="Q149">
        <v>5</v>
      </c>
      <c r="R149" s="39">
        <v>325069.27</v>
      </c>
      <c r="S149" s="39">
        <v>257903.53</v>
      </c>
      <c r="T149" s="39">
        <v>900430.71</v>
      </c>
      <c r="U149" t="str">
        <f t="shared" si="5"/>
        <v>Technology</v>
      </c>
      <c r="V149">
        <f t="shared" si="6"/>
        <v>900430.71</v>
      </c>
      <c r="W149" t="str">
        <f>IF(Sales[[#This Row],[Quantity]]&gt;=15, "Large","Small")</f>
        <v>Large</v>
      </c>
      <c r="X149" t="str">
        <f>IF(Sales[[#This Row],[Quantity]]&gt;=15,"Large",IF(Sales[[#This Row],[Quantity]]=14,"Medium","Small"))</f>
        <v>Large</v>
      </c>
      <c r="Y149" t="str">
        <f>IF(AND(Sales[[#This Row],[Unit Price (₦)]]&gt;68000,Sales[[#This Row],[Quantity]]&gt;15),"Offer Discount", "No Discount")</f>
        <v>Offer Discount</v>
      </c>
    </row>
    <row r="150" spans="1:25" ht="15" customHeight="1" x14ac:dyDescent="0.25">
      <c r="A150" t="s">
        <v>2503</v>
      </c>
      <c r="B150" s="8">
        <v>45218</v>
      </c>
      <c r="C150" s="8">
        <v>45226</v>
      </c>
      <c r="D150" t="s">
        <v>48</v>
      </c>
      <c r="E150" t="s">
        <v>3037</v>
      </c>
      <c r="F150" t="s">
        <v>3040</v>
      </c>
      <c r="G150" t="s">
        <v>2504</v>
      </c>
      <c r="H150">
        <v>8166374017</v>
      </c>
      <c r="I150" t="s">
        <v>35</v>
      </c>
      <c r="J150" t="s">
        <v>69</v>
      </c>
      <c r="K150" t="s">
        <v>155</v>
      </c>
      <c r="L150" t="s">
        <v>85</v>
      </c>
      <c r="M150" t="s">
        <v>486</v>
      </c>
      <c r="N150" t="s">
        <v>1193</v>
      </c>
      <c r="O150">
        <v>14</v>
      </c>
      <c r="P150">
        <v>58388.97</v>
      </c>
      <c r="Q150">
        <v>15</v>
      </c>
      <c r="R150" s="39">
        <v>122616.84</v>
      </c>
      <c r="S150" s="39">
        <v>694828.74</v>
      </c>
      <c r="T150" s="39">
        <v>77183.87</v>
      </c>
      <c r="U150" t="str">
        <f t="shared" si="5"/>
        <v>Furniture</v>
      </c>
      <c r="V150">
        <f t="shared" si="6"/>
        <v>77183.87</v>
      </c>
      <c r="W150" t="str">
        <f>IF(Sales[[#This Row],[Quantity]]&gt;=15, "Large","Small")</f>
        <v>Small</v>
      </c>
      <c r="X150" t="str">
        <f>IF(Sales[[#This Row],[Quantity]]&gt;=15,"Large",IF(Sales[[#This Row],[Quantity]]=14,"Medium","Small"))</f>
        <v>Medium</v>
      </c>
      <c r="Y150" t="str">
        <f>IF(AND(Sales[[#This Row],[Unit Price (₦)]]&gt;68000,Sales[[#This Row],[Quantity]]&gt;15),"Offer Discount", "No Discount")</f>
        <v>No Discount</v>
      </c>
    </row>
    <row r="151" spans="1:25" ht="15" customHeight="1" x14ac:dyDescent="0.25">
      <c r="A151" t="s">
        <v>2466</v>
      </c>
      <c r="B151" s="8">
        <v>45225</v>
      </c>
      <c r="C151" s="8">
        <v>45231</v>
      </c>
      <c r="D151" t="s">
        <v>48</v>
      </c>
      <c r="E151" t="s">
        <v>3053</v>
      </c>
      <c r="F151" t="s">
        <v>3042</v>
      </c>
      <c r="G151" t="s">
        <v>2467</v>
      </c>
      <c r="H151">
        <v>8133600666</v>
      </c>
      <c r="I151" t="s">
        <v>24</v>
      </c>
      <c r="J151" t="s">
        <v>51</v>
      </c>
      <c r="K151" t="s">
        <v>227</v>
      </c>
      <c r="L151" t="s">
        <v>63</v>
      </c>
      <c r="M151" t="s">
        <v>249</v>
      </c>
      <c r="N151" t="s">
        <v>329</v>
      </c>
      <c r="O151">
        <v>8</v>
      </c>
      <c r="P151">
        <v>5999.48</v>
      </c>
      <c r="Q151">
        <v>5</v>
      </c>
      <c r="R151" s="39">
        <v>2399.79</v>
      </c>
      <c r="S151" s="39">
        <v>45596.05</v>
      </c>
      <c r="T151" s="39">
        <v>17102.240000000002</v>
      </c>
      <c r="U151" t="str">
        <f t="shared" si="5"/>
        <v>Office Supplies</v>
      </c>
      <c r="V151">
        <f t="shared" si="6"/>
        <v>17102.240000000002</v>
      </c>
      <c r="W151" t="str">
        <f>IF(Sales[[#This Row],[Quantity]]&gt;=15, "Large","Small")</f>
        <v>Small</v>
      </c>
      <c r="X151" t="str">
        <f>IF(Sales[[#This Row],[Quantity]]&gt;=15,"Large",IF(Sales[[#This Row],[Quantity]]=14,"Medium","Small"))</f>
        <v>Small</v>
      </c>
      <c r="Y151" t="str">
        <f>IF(AND(Sales[[#This Row],[Unit Price (₦)]]&gt;68000,Sales[[#This Row],[Quantity]]&gt;15),"Offer Discount", "No Discount")</f>
        <v>No Discount</v>
      </c>
    </row>
    <row r="152" spans="1:25" ht="15" customHeight="1" x14ac:dyDescent="0.25">
      <c r="A152" t="s">
        <v>81</v>
      </c>
      <c r="B152" s="8">
        <v>45225</v>
      </c>
      <c r="C152" s="8">
        <v>45233</v>
      </c>
      <c r="D152" t="s">
        <v>48</v>
      </c>
      <c r="E152" t="s">
        <v>3047</v>
      </c>
      <c r="F152" t="s">
        <v>3038</v>
      </c>
      <c r="G152" t="s">
        <v>83</v>
      </c>
      <c r="H152">
        <v>8036159230</v>
      </c>
      <c r="I152" t="s">
        <v>24</v>
      </c>
      <c r="J152" t="s">
        <v>61</v>
      </c>
      <c r="K152" t="s">
        <v>84</v>
      </c>
      <c r="L152" t="s">
        <v>85</v>
      </c>
      <c r="M152" t="s">
        <v>86</v>
      </c>
      <c r="N152" t="s">
        <v>87</v>
      </c>
      <c r="O152">
        <v>3</v>
      </c>
      <c r="P152">
        <v>159017.65</v>
      </c>
      <c r="Q152">
        <v>0</v>
      </c>
      <c r="R152" s="39">
        <v>0</v>
      </c>
      <c r="S152" s="39">
        <v>477052.95</v>
      </c>
      <c r="T152" s="39">
        <v>137937.26</v>
      </c>
      <c r="U152" t="str">
        <f t="shared" si="5"/>
        <v>Furniture</v>
      </c>
      <c r="V152">
        <f t="shared" si="6"/>
        <v>137937.26</v>
      </c>
      <c r="W152" t="str">
        <f>IF(Sales[[#This Row],[Quantity]]&gt;=15, "Large","Small")</f>
        <v>Small</v>
      </c>
      <c r="X152" t="str">
        <f>IF(Sales[[#This Row],[Quantity]]&gt;=15,"Large",IF(Sales[[#This Row],[Quantity]]=14,"Medium","Small"))</f>
        <v>Small</v>
      </c>
      <c r="Y152" t="str">
        <f>IF(AND(Sales[[#This Row],[Unit Price (₦)]]&gt;68000,Sales[[#This Row],[Quantity]]&gt;15),"Offer Discount", "No Discount")</f>
        <v>No Discount</v>
      </c>
    </row>
    <row r="153" spans="1:25" ht="15" customHeight="1" x14ac:dyDescent="0.25">
      <c r="A153" t="s">
        <v>141</v>
      </c>
      <c r="B153" s="8">
        <v>45245</v>
      </c>
      <c r="C153" s="8">
        <v>45251</v>
      </c>
      <c r="D153" t="s">
        <v>48</v>
      </c>
      <c r="E153" t="s">
        <v>3061</v>
      </c>
      <c r="F153" t="s">
        <v>3062</v>
      </c>
      <c r="G153" t="s">
        <v>143</v>
      </c>
      <c r="H153">
        <v>8158175395</v>
      </c>
      <c r="I153" t="s">
        <v>35</v>
      </c>
      <c r="J153" t="s">
        <v>69</v>
      </c>
      <c r="K153" t="s">
        <v>144</v>
      </c>
      <c r="L153" t="s">
        <v>27</v>
      </c>
      <c r="M153" t="s">
        <v>79</v>
      </c>
      <c r="N153" t="s">
        <v>145</v>
      </c>
      <c r="O153">
        <v>5</v>
      </c>
      <c r="P153">
        <v>879.38</v>
      </c>
      <c r="Q153">
        <v>25</v>
      </c>
      <c r="R153" s="39">
        <v>1099.22</v>
      </c>
      <c r="S153" s="39">
        <v>3297.68</v>
      </c>
      <c r="T153" s="39">
        <v>-423.37</v>
      </c>
      <c r="U153" t="str">
        <f t="shared" si="5"/>
        <v>Food &amp; Beverages</v>
      </c>
      <c r="V153">
        <f t="shared" si="6"/>
        <v>423.37</v>
      </c>
      <c r="W153" t="str">
        <f>IF(Sales[[#This Row],[Quantity]]&gt;=15, "Large","Small")</f>
        <v>Small</v>
      </c>
      <c r="X153" t="str">
        <f>IF(Sales[[#This Row],[Quantity]]&gt;=15,"Large",IF(Sales[[#This Row],[Quantity]]=14,"Medium","Small"))</f>
        <v>Small</v>
      </c>
      <c r="Y153" t="str">
        <f>IF(AND(Sales[[#This Row],[Unit Price (₦)]]&gt;68000,Sales[[#This Row],[Quantity]]&gt;15),"Offer Discount", "No Discount")</f>
        <v>No Discount</v>
      </c>
    </row>
    <row r="154" spans="1:25" ht="15" customHeight="1" x14ac:dyDescent="0.25">
      <c r="A154" t="s">
        <v>2903</v>
      </c>
      <c r="B154" s="8">
        <v>45247</v>
      </c>
      <c r="C154" s="8">
        <v>45255</v>
      </c>
      <c r="D154" t="s">
        <v>48</v>
      </c>
      <c r="E154" t="s">
        <v>3056</v>
      </c>
      <c r="F154" t="s">
        <v>3077</v>
      </c>
      <c r="G154" t="s">
        <v>2904</v>
      </c>
      <c r="H154">
        <v>8039789075</v>
      </c>
      <c r="I154" t="s">
        <v>24</v>
      </c>
      <c r="J154" t="s">
        <v>25</v>
      </c>
      <c r="K154" t="s">
        <v>26</v>
      </c>
      <c r="L154" t="s">
        <v>96</v>
      </c>
      <c r="M154" t="s">
        <v>385</v>
      </c>
      <c r="N154" t="s">
        <v>942</v>
      </c>
      <c r="O154">
        <v>16</v>
      </c>
      <c r="P154">
        <v>160225.60000000001</v>
      </c>
      <c r="Q154">
        <v>10</v>
      </c>
      <c r="R154" s="39">
        <v>256360.95999999999</v>
      </c>
      <c r="S154" s="39">
        <v>2307248.64</v>
      </c>
      <c r="T154" s="39">
        <v>663464.79</v>
      </c>
      <c r="U154" t="str">
        <f t="shared" si="5"/>
        <v>Technology</v>
      </c>
      <c r="V154">
        <f t="shared" si="6"/>
        <v>663464.79</v>
      </c>
      <c r="W154" t="str">
        <f>IF(Sales[[#This Row],[Quantity]]&gt;=15, "Large","Small")</f>
        <v>Large</v>
      </c>
      <c r="X154" t="str">
        <f>IF(Sales[[#This Row],[Quantity]]&gt;=15,"Large",IF(Sales[[#This Row],[Quantity]]=14,"Medium","Small"))</f>
        <v>Large</v>
      </c>
      <c r="Y154" t="str">
        <f>IF(AND(Sales[[#This Row],[Unit Price (₦)]]&gt;68000,Sales[[#This Row],[Quantity]]&gt;15),"Offer Discount", "No Discount")</f>
        <v>Offer Discount</v>
      </c>
    </row>
    <row r="155" spans="1:25" ht="15" customHeight="1" x14ac:dyDescent="0.25">
      <c r="A155" t="s">
        <v>430</v>
      </c>
      <c r="B155" s="8">
        <v>45251</v>
      </c>
      <c r="C155" s="8">
        <v>45257</v>
      </c>
      <c r="D155" t="s">
        <v>48</v>
      </c>
      <c r="E155" t="s">
        <v>3080</v>
      </c>
      <c r="F155" t="s">
        <v>3045</v>
      </c>
      <c r="G155" t="s">
        <v>432</v>
      </c>
      <c r="H155">
        <v>8104034091</v>
      </c>
      <c r="I155" t="s">
        <v>24</v>
      </c>
      <c r="J155" t="s">
        <v>25</v>
      </c>
      <c r="K155" t="s">
        <v>36</v>
      </c>
      <c r="L155" t="s">
        <v>27</v>
      </c>
      <c r="M155" t="s">
        <v>354</v>
      </c>
      <c r="N155" t="s">
        <v>433</v>
      </c>
      <c r="O155">
        <v>-2</v>
      </c>
      <c r="P155">
        <v>636.42999999999995</v>
      </c>
      <c r="Q155">
        <v>5</v>
      </c>
      <c r="R155" s="39">
        <v>381.86</v>
      </c>
      <c r="S155" s="39">
        <v>7255.3</v>
      </c>
      <c r="T155" s="39">
        <v>3132.5</v>
      </c>
      <c r="U155" t="str">
        <f t="shared" si="5"/>
        <v>Food &amp; Beverages</v>
      </c>
      <c r="V155">
        <f t="shared" si="6"/>
        <v>3132.5</v>
      </c>
      <c r="W155" t="str">
        <f>IF(Sales[[#This Row],[Quantity]]&gt;=15, "Large","Small")</f>
        <v>Small</v>
      </c>
      <c r="X155" t="str">
        <f>IF(Sales[[#This Row],[Quantity]]&gt;=15,"Large",IF(Sales[[#This Row],[Quantity]]=14,"Medium","Small"))</f>
        <v>Small</v>
      </c>
      <c r="Y155" t="str">
        <f>IF(AND(Sales[[#This Row],[Unit Price (₦)]]&gt;68000,Sales[[#This Row],[Quantity]]&gt;15),"Offer Discount", "No Discount")</f>
        <v>No Discount</v>
      </c>
    </row>
    <row r="156" spans="1:25" ht="15" customHeight="1" x14ac:dyDescent="0.25">
      <c r="A156" t="s">
        <v>805</v>
      </c>
      <c r="B156" s="8">
        <v>45251</v>
      </c>
      <c r="C156" s="8">
        <v>45258</v>
      </c>
      <c r="D156" t="s">
        <v>48</v>
      </c>
      <c r="E156" t="s">
        <v>3041</v>
      </c>
      <c r="F156" t="s">
        <v>3054</v>
      </c>
      <c r="G156" t="s">
        <v>807</v>
      </c>
      <c r="H156">
        <v>9018329435</v>
      </c>
      <c r="I156" t="s">
        <v>24</v>
      </c>
      <c r="J156" t="s">
        <v>51</v>
      </c>
      <c r="K156" t="s">
        <v>316</v>
      </c>
      <c r="L156" t="s">
        <v>27</v>
      </c>
      <c r="M156" t="s">
        <v>38</v>
      </c>
      <c r="N156" t="s">
        <v>303</v>
      </c>
      <c r="O156">
        <v>18</v>
      </c>
      <c r="P156">
        <v>32408.87</v>
      </c>
      <c r="Q156">
        <v>10</v>
      </c>
      <c r="R156" s="39">
        <v>58335.97</v>
      </c>
      <c r="S156" s="39">
        <v>525023.68999999994</v>
      </c>
      <c r="T156" s="39">
        <v>-8430.66</v>
      </c>
      <c r="U156" t="str">
        <f t="shared" si="5"/>
        <v>Food &amp; Beverages</v>
      </c>
      <c r="V156">
        <f t="shared" si="6"/>
        <v>8430.66</v>
      </c>
      <c r="W156" t="str">
        <f>IF(Sales[[#This Row],[Quantity]]&gt;=15, "Large","Small")</f>
        <v>Large</v>
      </c>
      <c r="X156" t="str">
        <f>IF(Sales[[#This Row],[Quantity]]&gt;=15,"Large",IF(Sales[[#This Row],[Quantity]]=14,"Medium","Small"))</f>
        <v>Large</v>
      </c>
      <c r="Y156" t="str">
        <f>IF(AND(Sales[[#This Row],[Unit Price (₦)]]&gt;68000,Sales[[#This Row],[Quantity]]&gt;15),"Offer Discount", "No Discount")</f>
        <v>No Discount</v>
      </c>
    </row>
    <row r="157" spans="1:25" ht="15" customHeight="1" x14ac:dyDescent="0.25">
      <c r="A157" t="s">
        <v>1685</v>
      </c>
      <c r="B157" s="8">
        <v>45255</v>
      </c>
      <c r="C157" s="8">
        <v>45261</v>
      </c>
      <c r="D157" t="s">
        <v>48</v>
      </c>
      <c r="E157" t="s">
        <v>3093</v>
      </c>
      <c r="F157" t="s">
        <v>3071</v>
      </c>
      <c r="G157" t="s">
        <v>1687</v>
      </c>
      <c r="H157">
        <v>7037247000</v>
      </c>
      <c r="I157" t="s">
        <v>24</v>
      </c>
      <c r="J157" t="s">
        <v>61</v>
      </c>
      <c r="K157" t="s">
        <v>204</v>
      </c>
      <c r="L157" t="s">
        <v>85</v>
      </c>
      <c r="M157" t="s">
        <v>266</v>
      </c>
      <c r="N157" t="s">
        <v>1255</v>
      </c>
      <c r="O157">
        <v>3</v>
      </c>
      <c r="P157">
        <v>159646.17000000001</v>
      </c>
      <c r="Q157">
        <v>0</v>
      </c>
      <c r="R157" s="39">
        <v>0</v>
      </c>
      <c r="S157" s="39">
        <v>478938.51</v>
      </c>
      <c r="T157" s="39">
        <v>-30336.28</v>
      </c>
      <c r="U157" t="str">
        <f t="shared" si="5"/>
        <v>Furniture</v>
      </c>
      <c r="V157">
        <f t="shared" si="6"/>
        <v>30336.28</v>
      </c>
      <c r="W157" t="str">
        <f>IF(Sales[[#This Row],[Quantity]]&gt;=15, "Large","Small")</f>
        <v>Small</v>
      </c>
      <c r="X157" t="str">
        <f>IF(Sales[[#This Row],[Quantity]]&gt;=15,"Large",IF(Sales[[#This Row],[Quantity]]=14,"Medium","Small"))</f>
        <v>Small</v>
      </c>
      <c r="Y157" t="str">
        <f>IF(AND(Sales[[#This Row],[Unit Price (₦)]]&gt;68000,Sales[[#This Row],[Quantity]]&gt;15),"Offer Discount", "No Discount")</f>
        <v>No Discount</v>
      </c>
    </row>
    <row r="158" spans="1:25" ht="15" customHeight="1" x14ac:dyDescent="0.25">
      <c r="A158" t="s">
        <v>2435</v>
      </c>
      <c r="B158" s="8">
        <v>45263</v>
      </c>
      <c r="C158" s="8">
        <v>45262</v>
      </c>
      <c r="D158" t="s">
        <v>48</v>
      </c>
      <c r="E158" t="s">
        <v>3044</v>
      </c>
      <c r="F158" t="s">
        <v>3079</v>
      </c>
      <c r="G158" t="s">
        <v>2437</v>
      </c>
      <c r="H158">
        <v>7061426375</v>
      </c>
      <c r="I158" t="s">
        <v>43</v>
      </c>
      <c r="J158" t="s">
        <v>69</v>
      </c>
      <c r="K158" t="s">
        <v>155</v>
      </c>
      <c r="L158" t="s">
        <v>27</v>
      </c>
      <c r="M158" t="s">
        <v>354</v>
      </c>
      <c r="N158" t="s">
        <v>355</v>
      </c>
      <c r="O158">
        <v>15</v>
      </c>
      <c r="P158">
        <v>2048.86</v>
      </c>
      <c r="Q158">
        <v>0</v>
      </c>
      <c r="R158" s="39">
        <v>0</v>
      </c>
      <c r="S158" s="39">
        <v>30732.9</v>
      </c>
      <c r="T158" s="39">
        <v>-2392.04</v>
      </c>
      <c r="U158" t="str">
        <f t="shared" si="5"/>
        <v>Food &amp; Beverages</v>
      </c>
      <c r="V158">
        <f t="shared" si="6"/>
        <v>2392.04</v>
      </c>
      <c r="W158" t="str">
        <f>IF(Sales[[#This Row],[Quantity]]&gt;=15, "Large","Small")</f>
        <v>Large</v>
      </c>
      <c r="X158" t="str">
        <f>IF(Sales[[#This Row],[Quantity]]&gt;=15,"Large",IF(Sales[[#This Row],[Quantity]]=14,"Medium","Small"))</f>
        <v>Large</v>
      </c>
      <c r="Y158" t="str">
        <f>IF(AND(Sales[[#This Row],[Unit Price (₦)]]&gt;68000,Sales[[#This Row],[Quantity]]&gt;15),"Offer Discount", "No Discount")</f>
        <v>No Discount</v>
      </c>
    </row>
    <row r="159" spans="1:25" ht="15" customHeight="1" x14ac:dyDescent="0.25">
      <c r="A159" t="s">
        <v>2046</v>
      </c>
      <c r="B159" s="8">
        <v>45259</v>
      </c>
      <c r="C159" s="8">
        <v>45265</v>
      </c>
      <c r="D159" t="s">
        <v>48</v>
      </c>
      <c r="E159" t="s">
        <v>3035</v>
      </c>
      <c r="F159" t="s">
        <v>3096</v>
      </c>
      <c r="G159" t="s">
        <v>2048</v>
      </c>
      <c r="H159">
        <v>9026231562</v>
      </c>
      <c r="I159" t="s">
        <v>43</v>
      </c>
      <c r="J159" t="s">
        <v>69</v>
      </c>
      <c r="K159" t="s">
        <v>119</v>
      </c>
      <c r="L159" t="s">
        <v>108</v>
      </c>
      <c r="M159" t="s">
        <v>109</v>
      </c>
      <c r="N159" t="s">
        <v>426</v>
      </c>
      <c r="O159">
        <v>5</v>
      </c>
      <c r="P159">
        <v>6543.4</v>
      </c>
      <c r="Q159">
        <v>5</v>
      </c>
      <c r="R159" s="39">
        <v>1635.85</v>
      </c>
      <c r="S159" s="39">
        <v>31081.15</v>
      </c>
      <c r="T159" s="39">
        <v>12433.03</v>
      </c>
      <c r="U159" t="str">
        <f t="shared" si="5"/>
        <v>Clothing</v>
      </c>
      <c r="V159">
        <f t="shared" si="6"/>
        <v>12433.03</v>
      </c>
      <c r="W159" t="str">
        <f>IF(Sales[[#This Row],[Quantity]]&gt;=15, "Large","Small")</f>
        <v>Small</v>
      </c>
      <c r="X159" t="str">
        <f>IF(Sales[[#This Row],[Quantity]]&gt;=15,"Large",IF(Sales[[#This Row],[Quantity]]=14,"Medium","Small"))</f>
        <v>Small</v>
      </c>
      <c r="Y159" t="str">
        <f>IF(AND(Sales[[#This Row],[Unit Price (₦)]]&gt;68000,Sales[[#This Row],[Quantity]]&gt;15),"Offer Discount", "No Discount")</f>
        <v>No Discount</v>
      </c>
    </row>
    <row r="160" spans="1:25" ht="15" customHeight="1" x14ac:dyDescent="0.25">
      <c r="A160" t="s">
        <v>2828</v>
      </c>
      <c r="B160" s="8">
        <v>45261</v>
      </c>
      <c r="C160" s="8">
        <v>45267</v>
      </c>
      <c r="D160" t="s">
        <v>48</v>
      </c>
      <c r="E160" t="s">
        <v>3053</v>
      </c>
      <c r="F160" t="s">
        <v>3054</v>
      </c>
      <c r="G160" t="s">
        <v>2829</v>
      </c>
      <c r="H160">
        <v>9013067693</v>
      </c>
      <c r="I160" t="s">
        <v>43</v>
      </c>
      <c r="J160" t="s">
        <v>25</v>
      </c>
      <c r="K160" t="s">
        <v>26</v>
      </c>
      <c r="L160" t="s">
        <v>63</v>
      </c>
      <c r="M160" t="s">
        <v>558</v>
      </c>
      <c r="N160" t="s">
        <v>559</v>
      </c>
      <c r="O160">
        <v>17</v>
      </c>
      <c r="P160">
        <v>9778.75</v>
      </c>
      <c r="Q160">
        <v>10</v>
      </c>
      <c r="R160" s="39">
        <v>16623.88</v>
      </c>
      <c r="S160" s="39">
        <v>149614.87</v>
      </c>
      <c r="T160" s="39">
        <v>17362.37</v>
      </c>
      <c r="U160" t="str">
        <f t="shared" si="5"/>
        <v>Office Supplies</v>
      </c>
      <c r="V160">
        <f t="shared" si="6"/>
        <v>17362.37</v>
      </c>
      <c r="W160" t="str">
        <f>IF(Sales[[#This Row],[Quantity]]&gt;=15, "Large","Small")</f>
        <v>Large</v>
      </c>
      <c r="X160" t="str">
        <f>IF(Sales[[#This Row],[Quantity]]&gt;=15,"Large",IF(Sales[[#This Row],[Quantity]]=14,"Medium","Small"))</f>
        <v>Large</v>
      </c>
      <c r="Y160" t="str">
        <f>IF(AND(Sales[[#This Row],[Unit Price (₦)]]&gt;68000,Sales[[#This Row],[Quantity]]&gt;15),"Offer Discount", "No Discount")</f>
        <v>No Discount</v>
      </c>
    </row>
    <row r="161" spans="1:25" ht="15" customHeight="1" x14ac:dyDescent="0.25">
      <c r="A161" t="s">
        <v>2362</v>
      </c>
      <c r="B161" s="8">
        <v>45263</v>
      </c>
      <c r="C161" s="8">
        <v>45269</v>
      </c>
      <c r="D161" t="s">
        <v>48</v>
      </c>
      <c r="E161" t="s">
        <v>3093</v>
      </c>
      <c r="F161" t="s">
        <v>3052</v>
      </c>
      <c r="G161" t="s">
        <v>2364</v>
      </c>
      <c r="H161">
        <v>8105669360</v>
      </c>
      <c r="I161" t="s">
        <v>24</v>
      </c>
      <c r="J161" t="s">
        <v>69</v>
      </c>
      <c r="K161" t="s">
        <v>307</v>
      </c>
      <c r="L161" t="s">
        <v>27</v>
      </c>
      <c r="M161" t="s">
        <v>79</v>
      </c>
      <c r="N161" t="s">
        <v>490</v>
      </c>
      <c r="O161">
        <v>15</v>
      </c>
      <c r="P161">
        <v>3045.06</v>
      </c>
      <c r="Q161">
        <v>0</v>
      </c>
      <c r="R161" s="39">
        <v>0</v>
      </c>
      <c r="S161" s="39">
        <v>45675.9</v>
      </c>
      <c r="T161" s="39">
        <v>16168.64</v>
      </c>
      <c r="U161" t="str">
        <f t="shared" si="5"/>
        <v>Food &amp; Beverages</v>
      </c>
      <c r="V161">
        <f t="shared" si="6"/>
        <v>16168.64</v>
      </c>
      <c r="W161" t="str">
        <f>IF(Sales[[#This Row],[Quantity]]&gt;=15, "Large","Small")</f>
        <v>Large</v>
      </c>
      <c r="X161" t="str">
        <f>IF(Sales[[#This Row],[Quantity]]&gt;=15,"Large",IF(Sales[[#This Row],[Quantity]]=14,"Medium","Small"))</f>
        <v>Large</v>
      </c>
      <c r="Y161" t="str">
        <f>IF(AND(Sales[[#This Row],[Unit Price (₦)]]&gt;68000,Sales[[#This Row],[Quantity]]&gt;15),"Offer Discount", "No Discount")</f>
        <v>No Discount</v>
      </c>
    </row>
    <row r="162" spans="1:25" ht="15" customHeight="1" x14ac:dyDescent="0.25">
      <c r="A162" t="s">
        <v>2389</v>
      </c>
      <c r="B162" s="8">
        <v>45263</v>
      </c>
      <c r="C162" s="8">
        <v>45270</v>
      </c>
      <c r="D162" t="s">
        <v>48</v>
      </c>
      <c r="E162" t="s">
        <v>3037</v>
      </c>
      <c r="F162" t="s">
        <v>3039</v>
      </c>
      <c r="G162" t="s">
        <v>2391</v>
      </c>
      <c r="H162">
        <v>8162862787</v>
      </c>
      <c r="I162" t="s">
        <v>35</v>
      </c>
      <c r="J162" t="s">
        <v>69</v>
      </c>
      <c r="K162" t="s">
        <v>307</v>
      </c>
      <c r="L162" t="s">
        <v>108</v>
      </c>
      <c r="M162" t="s">
        <v>109</v>
      </c>
      <c r="N162" t="s">
        <v>110</v>
      </c>
      <c r="O162">
        <v>14</v>
      </c>
      <c r="P162">
        <v>15955.46</v>
      </c>
      <c r="Q162">
        <v>0</v>
      </c>
      <c r="R162" s="39">
        <v>0</v>
      </c>
      <c r="S162" s="39">
        <v>223376.44</v>
      </c>
      <c r="T162" s="39">
        <v>83625.52</v>
      </c>
      <c r="U162" t="str">
        <f t="shared" si="5"/>
        <v>Clothing</v>
      </c>
      <c r="V162">
        <f t="shared" si="6"/>
        <v>83625.52</v>
      </c>
      <c r="W162" t="str">
        <f>IF(Sales[[#This Row],[Quantity]]&gt;=15, "Large","Small")</f>
        <v>Small</v>
      </c>
      <c r="X162" t="str">
        <f>IF(Sales[[#This Row],[Quantity]]&gt;=15,"Large",IF(Sales[[#This Row],[Quantity]]=14,"Medium","Small"))</f>
        <v>Medium</v>
      </c>
      <c r="Y162" t="str">
        <f>IF(AND(Sales[[#This Row],[Unit Price (₦)]]&gt;68000,Sales[[#This Row],[Quantity]]&gt;15),"Offer Discount", "No Discount")</f>
        <v>No Discount</v>
      </c>
    </row>
    <row r="163" spans="1:25" ht="15" customHeight="1" x14ac:dyDescent="0.25">
      <c r="A163" t="s">
        <v>224</v>
      </c>
      <c r="B163" s="8">
        <v>45273</v>
      </c>
      <c r="C163" s="8">
        <v>45281</v>
      </c>
      <c r="D163" t="s">
        <v>48</v>
      </c>
      <c r="E163" t="s">
        <v>3073</v>
      </c>
      <c r="F163" t="s">
        <v>3050</v>
      </c>
      <c r="G163" t="s">
        <v>226</v>
      </c>
      <c r="H163">
        <v>8038047416</v>
      </c>
      <c r="I163" t="s">
        <v>35</v>
      </c>
      <c r="J163" t="s">
        <v>51</v>
      </c>
      <c r="K163" t="s">
        <v>227</v>
      </c>
      <c r="L163" t="s">
        <v>108</v>
      </c>
      <c r="M163" t="s">
        <v>114</v>
      </c>
      <c r="N163" t="s">
        <v>115</v>
      </c>
      <c r="O163">
        <v>15</v>
      </c>
      <c r="P163">
        <v>43313.87</v>
      </c>
      <c r="Q163">
        <v>0</v>
      </c>
      <c r="R163" s="39">
        <v>0</v>
      </c>
      <c r="S163" s="39">
        <v>649708.05000000005</v>
      </c>
      <c r="T163" s="39">
        <v>72307.490000000005</v>
      </c>
      <c r="U163" t="str">
        <f t="shared" si="5"/>
        <v>Clothing</v>
      </c>
      <c r="V163">
        <f t="shared" si="6"/>
        <v>72307.490000000005</v>
      </c>
      <c r="W163" t="str">
        <f>IF(Sales[[#This Row],[Quantity]]&gt;=15, "Large","Small")</f>
        <v>Large</v>
      </c>
      <c r="X163" t="str">
        <f>IF(Sales[[#This Row],[Quantity]]&gt;=15,"Large",IF(Sales[[#This Row],[Quantity]]=14,"Medium","Small"))</f>
        <v>Large</v>
      </c>
      <c r="Y163" t="str">
        <f>IF(AND(Sales[[#This Row],[Unit Price (₦)]]&gt;68000,Sales[[#This Row],[Quantity]]&gt;15),"Offer Discount", "No Discount")</f>
        <v>No Discount</v>
      </c>
    </row>
    <row r="164" spans="1:25" ht="15" customHeight="1" x14ac:dyDescent="0.25">
      <c r="A164" t="s">
        <v>2455</v>
      </c>
      <c r="B164" s="8">
        <v>45273</v>
      </c>
      <c r="C164" s="8">
        <v>45281</v>
      </c>
      <c r="D164" t="s">
        <v>48</v>
      </c>
      <c r="E164" t="s">
        <v>3039</v>
      </c>
      <c r="F164" t="s">
        <v>3057</v>
      </c>
      <c r="G164" t="s">
        <v>577</v>
      </c>
      <c r="H164">
        <v>7068244357</v>
      </c>
      <c r="I164" t="s">
        <v>24</v>
      </c>
      <c r="J164" t="s">
        <v>69</v>
      </c>
      <c r="K164" t="s">
        <v>70</v>
      </c>
      <c r="L164" t="s">
        <v>96</v>
      </c>
      <c r="M164" t="s">
        <v>385</v>
      </c>
      <c r="N164" t="s">
        <v>1010</v>
      </c>
      <c r="O164">
        <v>11</v>
      </c>
      <c r="P164">
        <v>93620.89</v>
      </c>
      <c r="Q164">
        <v>0</v>
      </c>
      <c r="R164" s="39">
        <v>0</v>
      </c>
      <c r="S164" s="39">
        <v>1029829.79</v>
      </c>
      <c r="T164" s="39">
        <v>26122.77</v>
      </c>
      <c r="U164" t="str">
        <f t="shared" si="5"/>
        <v>Technology</v>
      </c>
      <c r="V164">
        <f t="shared" si="6"/>
        <v>26122.77</v>
      </c>
      <c r="W164" t="str">
        <f>IF(Sales[[#This Row],[Quantity]]&gt;=15, "Large","Small")</f>
        <v>Small</v>
      </c>
      <c r="X164" t="str">
        <f>IF(Sales[[#This Row],[Quantity]]&gt;=15,"Large",IF(Sales[[#This Row],[Quantity]]=14,"Medium","Small"))</f>
        <v>Small</v>
      </c>
      <c r="Y164" t="str">
        <f>IF(AND(Sales[[#This Row],[Unit Price (₦)]]&gt;68000,Sales[[#This Row],[Quantity]]&gt;15),"Offer Discount", "No Discount")</f>
        <v>No Discount</v>
      </c>
    </row>
    <row r="165" spans="1:25" ht="15" customHeight="1" x14ac:dyDescent="0.25">
      <c r="A165" t="s">
        <v>797</v>
      </c>
      <c r="B165" s="8">
        <v>45282</v>
      </c>
      <c r="C165" s="8">
        <v>45288</v>
      </c>
      <c r="D165" t="s">
        <v>48</v>
      </c>
      <c r="E165" t="s">
        <v>3094</v>
      </c>
      <c r="F165" t="s">
        <v>3052</v>
      </c>
      <c r="G165" t="s">
        <v>799</v>
      </c>
      <c r="H165">
        <v>8156185050</v>
      </c>
      <c r="I165" t="s">
        <v>24</v>
      </c>
      <c r="J165" t="s">
        <v>51</v>
      </c>
      <c r="K165" t="s">
        <v>223</v>
      </c>
      <c r="L165" t="s">
        <v>85</v>
      </c>
      <c r="M165" t="s">
        <v>486</v>
      </c>
      <c r="N165" t="s">
        <v>487</v>
      </c>
      <c r="O165">
        <v>8</v>
      </c>
      <c r="P165">
        <v>23524.27</v>
      </c>
      <c r="Q165">
        <v>5</v>
      </c>
      <c r="R165" s="39">
        <v>9409.7099999999991</v>
      </c>
      <c r="S165" s="39">
        <v>178784.45</v>
      </c>
      <c r="T165" s="39">
        <v>-24679.98</v>
      </c>
      <c r="U165" t="str">
        <f t="shared" si="5"/>
        <v>Furniture</v>
      </c>
      <c r="V165">
        <f t="shared" si="6"/>
        <v>24679.98</v>
      </c>
      <c r="W165" t="str">
        <f>IF(Sales[[#This Row],[Quantity]]&gt;=15, "Large","Small")</f>
        <v>Small</v>
      </c>
      <c r="X165" t="str">
        <f>IF(Sales[[#This Row],[Quantity]]&gt;=15,"Large",IF(Sales[[#This Row],[Quantity]]=14,"Medium","Small"))</f>
        <v>Small</v>
      </c>
      <c r="Y165" t="str">
        <f>IF(AND(Sales[[#This Row],[Unit Price (₦)]]&gt;68000,Sales[[#This Row],[Quantity]]&gt;15),"Offer Discount", "No Discount")</f>
        <v>No Discount</v>
      </c>
    </row>
    <row r="166" spans="1:25" ht="15" customHeight="1" x14ac:dyDescent="0.25">
      <c r="A166" t="s">
        <v>2777</v>
      </c>
      <c r="B166" s="8">
        <v>45307</v>
      </c>
      <c r="C166" s="8">
        <v>45313</v>
      </c>
      <c r="D166" t="s">
        <v>48</v>
      </c>
      <c r="E166" t="s">
        <v>3058</v>
      </c>
      <c r="F166" t="s">
        <v>3052</v>
      </c>
      <c r="G166" t="s">
        <v>2778</v>
      </c>
      <c r="H166">
        <v>8061820610</v>
      </c>
      <c r="I166" t="s">
        <v>43</v>
      </c>
      <c r="J166" t="s">
        <v>51</v>
      </c>
      <c r="K166" t="s">
        <v>131</v>
      </c>
      <c r="L166" t="s">
        <v>96</v>
      </c>
      <c r="M166" t="s">
        <v>97</v>
      </c>
      <c r="N166" t="s">
        <v>230</v>
      </c>
      <c r="O166">
        <v>16</v>
      </c>
      <c r="P166">
        <v>96154.68</v>
      </c>
      <c r="Q166">
        <v>20</v>
      </c>
      <c r="R166" s="39">
        <v>307694.98</v>
      </c>
      <c r="S166" s="39">
        <v>1230779.8999999999</v>
      </c>
      <c r="T166" s="39">
        <v>301538.21000000002</v>
      </c>
      <c r="U166" t="str">
        <f t="shared" si="5"/>
        <v>Technology</v>
      </c>
      <c r="V166">
        <f t="shared" si="6"/>
        <v>301538.21000000002</v>
      </c>
      <c r="W166" t="str">
        <f>IF(Sales[[#This Row],[Quantity]]&gt;=15, "Large","Small")</f>
        <v>Large</v>
      </c>
      <c r="X166" t="str">
        <f>IF(Sales[[#This Row],[Quantity]]&gt;=15,"Large",IF(Sales[[#This Row],[Quantity]]=14,"Medium","Small"))</f>
        <v>Large</v>
      </c>
      <c r="Y166" t="str">
        <f>IF(AND(Sales[[#This Row],[Unit Price (₦)]]&gt;68000,Sales[[#This Row],[Quantity]]&gt;15),"Offer Discount", "No Discount")</f>
        <v>Offer Discount</v>
      </c>
    </row>
    <row r="167" spans="1:25" ht="15" customHeight="1" x14ac:dyDescent="0.25">
      <c r="A167" t="s">
        <v>2881</v>
      </c>
      <c r="B167" s="8">
        <v>45311</v>
      </c>
      <c r="C167" s="8">
        <v>45318</v>
      </c>
      <c r="D167" t="s">
        <v>48</v>
      </c>
      <c r="E167" t="s">
        <v>3048</v>
      </c>
      <c r="F167" t="s">
        <v>3079</v>
      </c>
      <c r="G167" t="s">
        <v>2882</v>
      </c>
      <c r="H167">
        <v>9011702514</v>
      </c>
      <c r="I167" t="s">
        <v>43</v>
      </c>
      <c r="J167" t="s">
        <v>61</v>
      </c>
      <c r="K167" t="s">
        <v>182</v>
      </c>
      <c r="L167" t="s">
        <v>27</v>
      </c>
      <c r="M167" t="s">
        <v>79</v>
      </c>
      <c r="N167" t="s">
        <v>127</v>
      </c>
      <c r="O167">
        <v>7</v>
      </c>
      <c r="P167">
        <v>708.38</v>
      </c>
      <c r="Q167">
        <v>5</v>
      </c>
      <c r="R167" s="39">
        <v>247.93</v>
      </c>
      <c r="S167" s="39">
        <v>4710.7299999999996</v>
      </c>
      <c r="T167" s="39">
        <v>452.75</v>
      </c>
      <c r="U167" t="str">
        <f t="shared" si="5"/>
        <v>Food &amp; Beverages</v>
      </c>
      <c r="V167">
        <f t="shared" si="6"/>
        <v>452.75</v>
      </c>
      <c r="W167" t="str">
        <f>IF(Sales[[#This Row],[Quantity]]&gt;=15, "Large","Small")</f>
        <v>Small</v>
      </c>
      <c r="X167" t="str">
        <f>IF(Sales[[#This Row],[Quantity]]&gt;=15,"Large",IF(Sales[[#This Row],[Quantity]]=14,"Medium","Small"))</f>
        <v>Small</v>
      </c>
      <c r="Y167" t="str">
        <f>IF(AND(Sales[[#This Row],[Unit Price (₦)]]&gt;68000,Sales[[#This Row],[Quantity]]&gt;15),"Offer Discount", "No Discount")</f>
        <v>No Discount</v>
      </c>
    </row>
    <row r="168" spans="1:25" ht="15" customHeight="1" x14ac:dyDescent="0.25">
      <c r="A168" t="s">
        <v>2895</v>
      </c>
      <c r="B168" s="8">
        <v>45316</v>
      </c>
      <c r="C168" s="8">
        <v>45322</v>
      </c>
      <c r="D168" t="s">
        <v>48</v>
      </c>
      <c r="E168" t="s">
        <v>3060</v>
      </c>
      <c r="F168" t="s">
        <v>3078</v>
      </c>
      <c r="G168" t="s">
        <v>2896</v>
      </c>
      <c r="H168">
        <v>8035621002</v>
      </c>
      <c r="I168" t="s">
        <v>24</v>
      </c>
      <c r="J168" t="s">
        <v>25</v>
      </c>
      <c r="K168" t="s">
        <v>126</v>
      </c>
      <c r="L168" t="s">
        <v>63</v>
      </c>
      <c r="M168" t="s">
        <v>469</v>
      </c>
      <c r="N168" t="s">
        <v>1595</v>
      </c>
      <c r="O168">
        <v>2</v>
      </c>
      <c r="P168">
        <v>11909.23</v>
      </c>
      <c r="Q168">
        <v>10</v>
      </c>
      <c r="R168" s="39">
        <v>2381.85</v>
      </c>
      <c r="S168" s="39">
        <v>21436.61</v>
      </c>
      <c r="T168" s="39">
        <v>-2732.64</v>
      </c>
      <c r="U168" t="str">
        <f t="shared" si="5"/>
        <v>Office Supplies</v>
      </c>
      <c r="V168">
        <f t="shared" si="6"/>
        <v>2732.64</v>
      </c>
      <c r="W168" t="str">
        <f>IF(Sales[[#This Row],[Quantity]]&gt;=15, "Large","Small")</f>
        <v>Small</v>
      </c>
      <c r="X168" t="str">
        <f>IF(Sales[[#This Row],[Quantity]]&gt;=15,"Large",IF(Sales[[#This Row],[Quantity]]=14,"Medium","Small"))</f>
        <v>Small</v>
      </c>
      <c r="Y168" t="str">
        <f>IF(AND(Sales[[#This Row],[Unit Price (₦)]]&gt;68000,Sales[[#This Row],[Quantity]]&gt;15),"Offer Discount", "No Discount")</f>
        <v>No Discount</v>
      </c>
    </row>
    <row r="169" spans="1:25" ht="15" customHeight="1" x14ac:dyDescent="0.25">
      <c r="A169" t="s">
        <v>2034</v>
      </c>
      <c r="B169" s="8">
        <v>45327</v>
      </c>
      <c r="C169" s="8">
        <v>45332</v>
      </c>
      <c r="D169" t="s">
        <v>48</v>
      </c>
      <c r="E169" t="s">
        <v>3047</v>
      </c>
      <c r="F169" t="s">
        <v>3043</v>
      </c>
      <c r="G169" t="s">
        <v>2036</v>
      </c>
      <c r="H169">
        <v>8031174416</v>
      </c>
      <c r="I169" t="s">
        <v>24</v>
      </c>
      <c r="J169" t="s">
        <v>69</v>
      </c>
      <c r="K169" t="s">
        <v>70</v>
      </c>
      <c r="L169" t="s">
        <v>85</v>
      </c>
      <c r="M169" t="s">
        <v>86</v>
      </c>
      <c r="N169" t="s">
        <v>178</v>
      </c>
      <c r="O169">
        <v>14</v>
      </c>
      <c r="P169">
        <v>156158.87</v>
      </c>
      <c r="Q169">
        <v>5</v>
      </c>
      <c r="R169" s="39">
        <v>109311.21</v>
      </c>
      <c r="S169" s="39">
        <v>2076912.97</v>
      </c>
      <c r="T169" s="39">
        <v>-99453.24</v>
      </c>
      <c r="U169" t="str">
        <f t="shared" si="5"/>
        <v>Furniture</v>
      </c>
      <c r="V169">
        <f t="shared" si="6"/>
        <v>99453.24</v>
      </c>
      <c r="W169" t="str">
        <f>IF(Sales[[#This Row],[Quantity]]&gt;=15, "Large","Small")</f>
        <v>Small</v>
      </c>
      <c r="X169" t="str">
        <f>IF(Sales[[#This Row],[Quantity]]&gt;=15,"Large",IF(Sales[[#This Row],[Quantity]]=14,"Medium","Small"))</f>
        <v>Medium</v>
      </c>
      <c r="Y169" t="str">
        <f>IF(AND(Sales[[#This Row],[Unit Price (₦)]]&gt;68000,Sales[[#This Row],[Quantity]]&gt;15),"Offer Discount", "No Discount")</f>
        <v>No Discount</v>
      </c>
    </row>
    <row r="170" spans="1:25" ht="15" customHeight="1" x14ac:dyDescent="0.25">
      <c r="A170" t="s">
        <v>1786</v>
      </c>
      <c r="B170" s="8">
        <v>45331</v>
      </c>
      <c r="C170" s="8">
        <v>45338</v>
      </c>
      <c r="D170" t="s">
        <v>48</v>
      </c>
      <c r="E170" t="s">
        <v>3089</v>
      </c>
      <c r="F170" t="s">
        <v>3083</v>
      </c>
      <c r="G170" t="s">
        <v>1788</v>
      </c>
      <c r="H170">
        <v>9058205036</v>
      </c>
      <c r="I170" t="s">
        <v>125</v>
      </c>
      <c r="J170" t="s">
        <v>25</v>
      </c>
      <c r="K170" t="s">
        <v>26</v>
      </c>
      <c r="L170" t="s">
        <v>63</v>
      </c>
      <c r="M170" t="s">
        <v>558</v>
      </c>
      <c r="N170" t="s">
        <v>1380</v>
      </c>
      <c r="O170">
        <v>8</v>
      </c>
      <c r="P170">
        <v>24986.41</v>
      </c>
      <c r="Q170">
        <v>10</v>
      </c>
      <c r="R170" s="39">
        <v>19989.13</v>
      </c>
      <c r="S170" s="39">
        <v>179902.15</v>
      </c>
      <c r="T170" s="39">
        <v>44804.09</v>
      </c>
      <c r="U170" t="str">
        <f t="shared" si="5"/>
        <v>Office Supplies</v>
      </c>
      <c r="V170">
        <f t="shared" si="6"/>
        <v>44804.09</v>
      </c>
      <c r="W170" t="str">
        <f>IF(Sales[[#This Row],[Quantity]]&gt;=15, "Large","Small")</f>
        <v>Small</v>
      </c>
      <c r="X170" t="str">
        <f>IF(Sales[[#This Row],[Quantity]]&gt;=15,"Large",IF(Sales[[#This Row],[Quantity]]=14,"Medium","Small"))</f>
        <v>Small</v>
      </c>
      <c r="Y170" t="str">
        <f>IF(AND(Sales[[#This Row],[Unit Price (₦)]]&gt;68000,Sales[[#This Row],[Quantity]]&gt;15),"Offer Discount", "No Discount")</f>
        <v>No Discount</v>
      </c>
    </row>
    <row r="171" spans="1:25" ht="15" customHeight="1" x14ac:dyDescent="0.25">
      <c r="A171" t="s">
        <v>1783</v>
      </c>
      <c r="B171" s="8">
        <v>45335</v>
      </c>
      <c r="C171" s="8">
        <v>45340</v>
      </c>
      <c r="D171" t="s">
        <v>48</v>
      </c>
      <c r="E171" t="s">
        <v>3091</v>
      </c>
      <c r="F171" t="s">
        <v>3050</v>
      </c>
      <c r="G171" t="s">
        <v>1785</v>
      </c>
      <c r="H171">
        <v>8034938956</v>
      </c>
      <c r="I171" t="s">
        <v>43</v>
      </c>
      <c r="J171" t="s">
        <v>61</v>
      </c>
      <c r="K171" t="s">
        <v>95</v>
      </c>
      <c r="L171" t="s">
        <v>37</v>
      </c>
      <c r="M171" t="s">
        <v>183</v>
      </c>
      <c r="N171" t="s">
        <v>719</v>
      </c>
      <c r="O171">
        <v>9</v>
      </c>
      <c r="P171">
        <v>2408.7800000000002</v>
      </c>
      <c r="Q171">
        <v>0</v>
      </c>
      <c r="R171" s="39">
        <v>0</v>
      </c>
      <c r="S171" s="39">
        <v>21679.02</v>
      </c>
      <c r="T171" s="39">
        <v>5402.27</v>
      </c>
      <c r="U171" t="str">
        <f t="shared" si="5"/>
        <v>Clothing</v>
      </c>
      <c r="V171">
        <f t="shared" si="6"/>
        <v>5402.27</v>
      </c>
      <c r="W171" t="str">
        <f>IF(Sales[[#This Row],[Quantity]]&gt;=15, "Large","Small")</f>
        <v>Small</v>
      </c>
      <c r="X171" t="str">
        <f>IF(Sales[[#This Row],[Quantity]]&gt;=15,"Large",IF(Sales[[#This Row],[Quantity]]=14,"Medium","Small"))</f>
        <v>Small</v>
      </c>
      <c r="Y171" t="str">
        <f>IF(AND(Sales[[#This Row],[Unit Price (₦)]]&gt;68000,Sales[[#This Row],[Quantity]]&gt;15),"Offer Discount", "No Discount")</f>
        <v>No Discount</v>
      </c>
    </row>
    <row r="172" spans="1:25" ht="15" customHeight="1" x14ac:dyDescent="0.25">
      <c r="A172" t="s">
        <v>2732</v>
      </c>
      <c r="B172" s="8">
        <v>45334</v>
      </c>
      <c r="C172" s="8">
        <v>45340</v>
      </c>
      <c r="D172" t="s">
        <v>48</v>
      </c>
      <c r="E172" t="s">
        <v>3049</v>
      </c>
      <c r="F172" t="s">
        <v>3064</v>
      </c>
      <c r="G172" t="s">
        <v>2734</v>
      </c>
      <c r="H172">
        <v>8159220106</v>
      </c>
      <c r="I172" t="s">
        <v>35</v>
      </c>
      <c r="J172" t="s">
        <v>61</v>
      </c>
      <c r="K172" t="s">
        <v>84</v>
      </c>
      <c r="L172" t="s">
        <v>108</v>
      </c>
      <c r="M172" t="s">
        <v>189</v>
      </c>
      <c r="N172" t="s">
        <v>205</v>
      </c>
      <c r="O172">
        <v>17</v>
      </c>
      <c r="P172">
        <v>33228.1</v>
      </c>
      <c r="Q172">
        <v>20</v>
      </c>
      <c r="R172" s="39">
        <v>112975.54</v>
      </c>
      <c r="S172" s="39">
        <v>451902.16</v>
      </c>
      <c r="T172" s="39">
        <v>193081.05</v>
      </c>
      <c r="U172" t="str">
        <f t="shared" si="5"/>
        <v>Clothing</v>
      </c>
      <c r="V172">
        <f t="shared" si="6"/>
        <v>193081.05</v>
      </c>
      <c r="W172" t="str">
        <f>IF(Sales[[#This Row],[Quantity]]&gt;=15, "Large","Small")</f>
        <v>Large</v>
      </c>
      <c r="X172" t="str">
        <f>IF(Sales[[#This Row],[Quantity]]&gt;=15,"Large",IF(Sales[[#This Row],[Quantity]]=14,"Medium","Small"))</f>
        <v>Large</v>
      </c>
      <c r="Y172" t="str">
        <f>IF(AND(Sales[[#This Row],[Unit Price (₦)]]&gt;68000,Sales[[#This Row],[Quantity]]&gt;15),"Offer Discount", "No Discount")</f>
        <v>No Discount</v>
      </c>
    </row>
    <row r="173" spans="1:25" ht="15" customHeight="1" x14ac:dyDescent="0.25">
      <c r="A173" t="s">
        <v>47</v>
      </c>
      <c r="B173" s="8">
        <v>45340</v>
      </c>
      <c r="C173" s="8">
        <v>45347</v>
      </c>
      <c r="D173" t="s">
        <v>48</v>
      </c>
      <c r="E173" t="s">
        <v>3039</v>
      </c>
      <c r="F173" t="s">
        <v>3040</v>
      </c>
      <c r="G173" t="s">
        <v>50</v>
      </c>
      <c r="H173">
        <v>8107210606</v>
      </c>
      <c r="I173" t="s">
        <v>35</v>
      </c>
      <c r="J173" t="s">
        <v>51</v>
      </c>
      <c r="K173" t="s">
        <v>52</v>
      </c>
      <c r="L173" t="s">
        <v>53</v>
      </c>
      <c r="M173" t="s">
        <v>54</v>
      </c>
      <c r="N173" t="s">
        <v>55</v>
      </c>
      <c r="O173">
        <v>3</v>
      </c>
      <c r="P173">
        <v>17694.599999999999</v>
      </c>
      <c r="Q173">
        <v>0</v>
      </c>
      <c r="R173" s="39">
        <v>0</v>
      </c>
      <c r="S173" s="39">
        <v>53083.8</v>
      </c>
      <c r="T173" s="39">
        <v>9049.93</v>
      </c>
      <c r="U173" t="str">
        <f t="shared" si="5"/>
        <v>Office Supplies</v>
      </c>
      <c r="V173">
        <f t="shared" si="6"/>
        <v>9049.93</v>
      </c>
      <c r="W173" t="str">
        <f>IF(Sales[[#This Row],[Quantity]]&gt;=15, "Large","Small")</f>
        <v>Small</v>
      </c>
      <c r="X173" t="str">
        <f>IF(Sales[[#This Row],[Quantity]]&gt;=15,"Large",IF(Sales[[#This Row],[Quantity]]=14,"Medium","Small"))</f>
        <v>Small</v>
      </c>
      <c r="Y173" t="str">
        <f>IF(AND(Sales[[#This Row],[Unit Price (₦)]]&gt;68000,Sales[[#This Row],[Quantity]]&gt;15),"Offer Discount", "No Discount")</f>
        <v>No Discount</v>
      </c>
    </row>
    <row r="174" spans="1:25" ht="15" customHeight="1" x14ac:dyDescent="0.25">
      <c r="A174" t="s">
        <v>2413</v>
      </c>
      <c r="B174" s="8">
        <v>45340</v>
      </c>
      <c r="C174" s="8">
        <v>45348</v>
      </c>
      <c r="D174" t="s">
        <v>48</v>
      </c>
      <c r="E174" t="s">
        <v>3058</v>
      </c>
      <c r="F174" t="s">
        <v>3086</v>
      </c>
      <c r="G174" t="s">
        <v>834</v>
      </c>
      <c r="H174">
        <v>7037046381</v>
      </c>
      <c r="I174" t="s">
        <v>35</v>
      </c>
      <c r="J174" t="s">
        <v>25</v>
      </c>
      <c r="K174" t="s">
        <v>3127</v>
      </c>
      <c r="L174" t="s">
        <v>53</v>
      </c>
      <c r="M174" t="s">
        <v>194</v>
      </c>
      <c r="N174" t="s">
        <v>700</v>
      </c>
      <c r="O174">
        <v>10</v>
      </c>
      <c r="P174">
        <v>11136.65</v>
      </c>
      <c r="Q174">
        <v>5</v>
      </c>
      <c r="R174" s="39">
        <v>5568.32</v>
      </c>
      <c r="S174" s="39">
        <v>105798.18</v>
      </c>
      <c r="T174" s="39">
        <v>47590.55</v>
      </c>
      <c r="U174" t="str">
        <f t="shared" si="5"/>
        <v>Office Supplies</v>
      </c>
      <c r="V174">
        <f t="shared" si="6"/>
        <v>47590.55</v>
      </c>
      <c r="W174" t="str">
        <f>IF(Sales[[#This Row],[Quantity]]&gt;=15, "Large","Small")</f>
        <v>Small</v>
      </c>
      <c r="X174" t="str">
        <f>IF(Sales[[#This Row],[Quantity]]&gt;=15,"Large",IF(Sales[[#This Row],[Quantity]]=14,"Medium","Small"))</f>
        <v>Small</v>
      </c>
      <c r="Y174" t="str">
        <f>IF(AND(Sales[[#This Row],[Unit Price (₦)]]&gt;68000,Sales[[#This Row],[Quantity]]&gt;15),"Offer Discount", "No Discount")</f>
        <v>No Discount</v>
      </c>
    </row>
    <row r="175" spans="1:25" ht="15" customHeight="1" x14ac:dyDescent="0.25">
      <c r="A175" t="s">
        <v>201</v>
      </c>
      <c r="B175" s="8">
        <v>45341</v>
      </c>
      <c r="C175" s="8">
        <v>45349</v>
      </c>
      <c r="D175" t="s">
        <v>48</v>
      </c>
      <c r="E175" t="s">
        <v>3049</v>
      </c>
      <c r="F175" t="s">
        <v>3039</v>
      </c>
      <c r="G175" t="s">
        <v>203</v>
      </c>
      <c r="H175">
        <v>9027542890</v>
      </c>
      <c r="I175" t="s">
        <v>43</v>
      </c>
      <c r="J175" t="s">
        <v>61</v>
      </c>
      <c r="K175" t="s">
        <v>204</v>
      </c>
      <c r="L175" t="s">
        <v>108</v>
      </c>
      <c r="M175" t="s">
        <v>189</v>
      </c>
      <c r="N175" t="s">
        <v>205</v>
      </c>
      <c r="O175">
        <v>8</v>
      </c>
      <c r="P175">
        <v>36394.33</v>
      </c>
      <c r="Q175">
        <v>20</v>
      </c>
      <c r="R175" s="39">
        <v>58230.93</v>
      </c>
      <c r="S175" s="39">
        <v>232923.71</v>
      </c>
      <c r="T175" s="39">
        <v>-4273.46</v>
      </c>
      <c r="U175" t="str">
        <f t="shared" si="5"/>
        <v>Clothing</v>
      </c>
      <c r="V175">
        <f t="shared" si="6"/>
        <v>4273.46</v>
      </c>
      <c r="W175" t="str">
        <f>IF(Sales[[#This Row],[Quantity]]&gt;=15, "Large","Small")</f>
        <v>Small</v>
      </c>
      <c r="X175" t="str">
        <f>IF(Sales[[#This Row],[Quantity]]&gt;=15,"Large",IF(Sales[[#This Row],[Quantity]]=14,"Medium","Small"))</f>
        <v>Small</v>
      </c>
      <c r="Y175" t="str">
        <f>IF(AND(Sales[[#This Row],[Unit Price (₦)]]&gt;68000,Sales[[#This Row],[Quantity]]&gt;15),"Offer Discount", "No Discount")</f>
        <v>No Discount</v>
      </c>
    </row>
    <row r="176" spans="1:25" ht="15" customHeight="1" x14ac:dyDescent="0.25">
      <c r="A176" t="s">
        <v>2313</v>
      </c>
      <c r="B176" s="8">
        <v>45344</v>
      </c>
      <c r="C176" s="8">
        <v>45349</v>
      </c>
      <c r="D176" t="s">
        <v>48</v>
      </c>
      <c r="E176" t="s">
        <v>3095</v>
      </c>
      <c r="F176" t="s">
        <v>3040</v>
      </c>
      <c r="G176" t="s">
        <v>2315</v>
      </c>
      <c r="H176" t="s">
        <v>1930</v>
      </c>
      <c r="I176" t="s">
        <v>24</v>
      </c>
      <c r="J176" t="s">
        <v>25</v>
      </c>
      <c r="K176" t="s">
        <v>126</v>
      </c>
      <c r="L176" t="s">
        <v>96</v>
      </c>
      <c r="M176" t="s">
        <v>385</v>
      </c>
      <c r="N176" t="s">
        <v>386</v>
      </c>
      <c r="O176">
        <v>3</v>
      </c>
      <c r="P176">
        <v>328893.37</v>
      </c>
      <c r="Q176">
        <v>15</v>
      </c>
      <c r="R176" s="39">
        <v>148002.01999999999</v>
      </c>
      <c r="S176" s="39">
        <v>838678.09</v>
      </c>
      <c r="T176" s="39">
        <v>359873.44</v>
      </c>
      <c r="U176" t="str">
        <f t="shared" si="5"/>
        <v>Technology</v>
      </c>
      <c r="V176">
        <f t="shared" si="6"/>
        <v>359873.44</v>
      </c>
      <c r="W176" t="str">
        <f>IF(Sales[[#This Row],[Quantity]]&gt;=15, "Large","Small")</f>
        <v>Small</v>
      </c>
      <c r="X176" t="str">
        <f>IF(Sales[[#This Row],[Quantity]]&gt;=15,"Large",IF(Sales[[#This Row],[Quantity]]=14,"Medium","Small"))</f>
        <v>Small</v>
      </c>
      <c r="Y176" t="str">
        <f>IF(AND(Sales[[#This Row],[Unit Price (₦)]]&gt;68000,Sales[[#This Row],[Quantity]]&gt;15),"Offer Discount", "No Discount")</f>
        <v>No Discount</v>
      </c>
    </row>
    <row r="177" spans="1:25" ht="15" customHeight="1" x14ac:dyDescent="0.25">
      <c r="A177" t="s">
        <v>876</v>
      </c>
      <c r="B177" s="8">
        <v>45343</v>
      </c>
      <c r="C177" s="8">
        <v>45350</v>
      </c>
      <c r="D177" t="s">
        <v>48</v>
      </c>
      <c r="E177" t="s">
        <v>3051</v>
      </c>
      <c r="F177" t="s">
        <v>3090</v>
      </c>
      <c r="G177" t="s">
        <v>878</v>
      </c>
      <c r="H177">
        <v>8104360419</v>
      </c>
      <c r="I177" t="s">
        <v>35</v>
      </c>
      <c r="J177" t="s">
        <v>25</v>
      </c>
      <c r="K177" t="s">
        <v>168</v>
      </c>
      <c r="L177" t="s">
        <v>63</v>
      </c>
      <c r="M177" t="s">
        <v>64</v>
      </c>
      <c r="N177" t="s">
        <v>777</v>
      </c>
      <c r="O177">
        <v>15</v>
      </c>
      <c r="P177">
        <v>22374.71</v>
      </c>
      <c r="Q177">
        <v>0</v>
      </c>
      <c r="R177" s="39">
        <v>0</v>
      </c>
      <c r="S177" s="39">
        <v>335620.65</v>
      </c>
      <c r="T177" s="39">
        <v>13367.8</v>
      </c>
      <c r="U177" t="str">
        <f t="shared" si="5"/>
        <v>Office Supplies</v>
      </c>
      <c r="V177">
        <f t="shared" si="6"/>
        <v>13367.8</v>
      </c>
      <c r="W177" t="str">
        <f>IF(Sales[[#This Row],[Quantity]]&gt;=15, "Large","Small")</f>
        <v>Large</v>
      </c>
      <c r="X177" t="str">
        <f>IF(Sales[[#This Row],[Quantity]]&gt;=15,"Large",IF(Sales[[#This Row],[Quantity]]=14,"Medium","Small"))</f>
        <v>Large</v>
      </c>
      <c r="Y177" t="str">
        <f>IF(AND(Sales[[#This Row],[Unit Price (₦)]]&gt;68000,Sales[[#This Row],[Quantity]]&gt;15),"Offer Discount", "No Discount")</f>
        <v>No Discount</v>
      </c>
    </row>
    <row r="178" spans="1:25" ht="15" customHeight="1" x14ac:dyDescent="0.25">
      <c r="A178" t="s">
        <v>1954</v>
      </c>
      <c r="B178" s="8">
        <v>45344</v>
      </c>
      <c r="C178" s="8">
        <v>45352</v>
      </c>
      <c r="D178" t="s">
        <v>48</v>
      </c>
      <c r="E178" t="s">
        <v>3035</v>
      </c>
      <c r="F178" t="s">
        <v>3086</v>
      </c>
      <c r="G178" t="s">
        <v>1821</v>
      </c>
      <c r="H178">
        <v>8163704873</v>
      </c>
      <c r="I178" t="s">
        <v>35</v>
      </c>
      <c r="J178" t="s">
        <v>25</v>
      </c>
      <c r="K178" t="s">
        <v>36</v>
      </c>
      <c r="L178" t="s">
        <v>85</v>
      </c>
      <c r="M178" t="s">
        <v>486</v>
      </c>
      <c r="N178" t="s">
        <v>487</v>
      </c>
      <c r="O178">
        <v>3</v>
      </c>
      <c r="P178">
        <v>160255.07</v>
      </c>
      <c r="Q178">
        <v>5</v>
      </c>
      <c r="R178" s="39">
        <v>24038.26</v>
      </c>
      <c r="S178" s="39">
        <v>456726.95</v>
      </c>
      <c r="T178" s="39">
        <v>173849.11</v>
      </c>
      <c r="U178" t="str">
        <f t="shared" si="5"/>
        <v>Furniture</v>
      </c>
      <c r="V178">
        <f t="shared" si="6"/>
        <v>173849.11</v>
      </c>
      <c r="W178" t="str">
        <f>IF(Sales[[#This Row],[Quantity]]&gt;=15, "Large","Small")</f>
        <v>Small</v>
      </c>
      <c r="X178" t="str">
        <f>IF(Sales[[#This Row],[Quantity]]&gt;=15,"Large",IF(Sales[[#This Row],[Quantity]]=14,"Medium","Small"))</f>
        <v>Small</v>
      </c>
      <c r="Y178" t="str">
        <f>IF(AND(Sales[[#This Row],[Unit Price (₦)]]&gt;68000,Sales[[#This Row],[Quantity]]&gt;15),"Offer Discount", "No Discount")</f>
        <v>No Discount</v>
      </c>
    </row>
    <row r="179" spans="1:25" ht="15" customHeight="1" x14ac:dyDescent="0.25">
      <c r="A179" t="s">
        <v>782</v>
      </c>
      <c r="B179" s="8">
        <v>45345</v>
      </c>
      <c r="C179" s="8">
        <v>45353</v>
      </c>
      <c r="D179" t="s">
        <v>48</v>
      </c>
      <c r="E179" t="s">
        <v>3065</v>
      </c>
      <c r="F179" t="s">
        <v>3039</v>
      </c>
      <c r="G179" t="s">
        <v>784</v>
      </c>
      <c r="H179">
        <v>8105613428</v>
      </c>
      <c r="I179" t="s">
        <v>43</v>
      </c>
      <c r="J179" t="s">
        <v>69</v>
      </c>
      <c r="K179" t="s">
        <v>70</v>
      </c>
      <c r="L179" t="s">
        <v>63</v>
      </c>
      <c r="M179" t="s">
        <v>64</v>
      </c>
      <c r="N179" t="s">
        <v>501</v>
      </c>
      <c r="O179">
        <v>20</v>
      </c>
      <c r="P179">
        <v>1348.91</v>
      </c>
      <c r="Q179">
        <v>5</v>
      </c>
      <c r="R179" s="39">
        <v>1348.91</v>
      </c>
      <c r="S179" s="39">
        <v>25629.29</v>
      </c>
      <c r="T179" s="39">
        <v>6109.18</v>
      </c>
      <c r="U179" t="str">
        <f t="shared" si="5"/>
        <v>Office Supplies</v>
      </c>
      <c r="V179">
        <f t="shared" si="6"/>
        <v>6109.18</v>
      </c>
      <c r="W179" t="str">
        <f>IF(Sales[[#This Row],[Quantity]]&gt;=15, "Large","Small")</f>
        <v>Large</v>
      </c>
      <c r="X179" t="str">
        <f>IF(Sales[[#This Row],[Quantity]]&gt;=15,"Large",IF(Sales[[#This Row],[Quantity]]=14,"Medium","Small"))</f>
        <v>Large</v>
      </c>
      <c r="Y179" t="str">
        <f>IF(AND(Sales[[#This Row],[Unit Price (₦)]]&gt;68000,Sales[[#This Row],[Quantity]]&gt;15),"Offer Discount", "No Discount")</f>
        <v>No Discount</v>
      </c>
    </row>
    <row r="180" spans="1:25" ht="15" customHeight="1" x14ac:dyDescent="0.25">
      <c r="A180" t="s">
        <v>886</v>
      </c>
      <c r="B180" s="8">
        <v>45347</v>
      </c>
      <c r="C180" s="8">
        <v>45354</v>
      </c>
      <c r="D180" t="s">
        <v>48</v>
      </c>
      <c r="E180" t="s">
        <v>3048</v>
      </c>
      <c r="F180" t="s">
        <v>3050</v>
      </c>
      <c r="G180" t="s">
        <v>403</v>
      </c>
      <c r="H180">
        <v>8165879280</v>
      </c>
      <c r="I180" t="s">
        <v>35</v>
      </c>
      <c r="J180" t="s">
        <v>51</v>
      </c>
      <c r="K180" t="s">
        <v>223</v>
      </c>
      <c r="L180" t="s">
        <v>108</v>
      </c>
      <c r="M180" t="s">
        <v>189</v>
      </c>
      <c r="N180" t="s">
        <v>205</v>
      </c>
      <c r="O180">
        <v>14</v>
      </c>
      <c r="P180">
        <v>24537.06</v>
      </c>
      <c r="Q180">
        <v>0</v>
      </c>
      <c r="R180" s="39">
        <v>0</v>
      </c>
      <c r="S180" s="39">
        <v>343518.84</v>
      </c>
      <c r="T180" s="39">
        <v>19113.29</v>
      </c>
      <c r="U180" t="str">
        <f t="shared" si="5"/>
        <v>Clothing</v>
      </c>
      <c r="V180">
        <f t="shared" si="6"/>
        <v>19113.29</v>
      </c>
      <c r="W180" t="str">
        <f>IF(Sales[[#This Row],[Quantity]]&gt;=15, "Large","Small")</f>
        <v>Small</v>
      </c>
      <c r="X180" t="str">
        <f>IF(Sales[[#This Row],[Quantity]]&gt;=15,"Large",IF(Sales[[#This Row],[Quantity]]=14,"Medium","Small"))</f>
        <v>Medium</v>
      </c>
      <c r="Y180" t="str">
        <f>IF(AND(Sales[[#This Row],[Unit Price (₦)]]&gt;68000,Sales[[#This Row],[Quantity]]&gt;15),"Offer Discount", "No Discount")</f>
        <v>No Discount</v>
      </c>
    </row>
    <row r="181" spans="1:25" ht="15" customHeight="1" x14ac:dyDescent="0.25">
      <c r="A181" t="s">
        <v>2430</v>
      </c>
      <c r="B181" s="8">
        <v>45350</v>
      </c>
      <c r="C181" s="8">
        <v>45355</v>
      </c>
      <c r="D181" t="s">
        <v>48</v>
      </c>
      <c r="E181" t="s">
        <v>3050</v>
      </c>
      <c r="F181" t="s">
        <v>3062</v>
      </c>
      <c r="G181" t="s">
        <v>2432</v>
      </c>
      <c r="H181">
        <v>8101572338</v>
      </c>
      <c r="I181" t="s">
        <v>24</v>
      </c>
      <c r="J181" t="s">
        <v>51</v>
      </c>
      <c r="K181" t="s">
        <v>131</v>
      </c>
      <c r="L181" t="s">
        <v>85</v>
      </c>
      <c r="M181" t="s">
        <v>218</v>
      </c>
      <c r="N181" t="s">
        <v>219</v>
      </c>
      <c r="O181">
        <v>19</v>
      </c>
      <c r="P181">
        <v>63475.57</v>
      </c>
      <c r="Q181">
        <v>20</v>
      </c>
      <c r="R181" s="39">
        <v>241207.17</v>
      </c>
      <c r="S181" s="39">
        <v>964828.66</v>
      </c>
      <c r="T181" s="39">
        <v>135372.13</v>
      </c>
      <c r="U181" t="str">
        <f t="shared" si="5"/>
        <v>Furniture</v>
      </c>
      <c r="V181">
        <f t="shared" si="6"/>
        <v>135372.13</v>
      </c>
      <c r="W181" t="str">
        <f>IF(Sales[[#This Row],[Quantity]]&gt;=15, "Large","Small")</f>
        <v>Large</v>
      </c>
      <c r="X181" t="str">
        <f>IF(Sales[[#This Row],[Quantity]]&gt;=15,"Large",IF(Sales[[#This Row],[Quantity]]=14,"Medium","Small"))</f>
        <v>Large</v>
      </c>
      <c r="Y181" t="str">
        <f>IF(AND(Sales[[#This Row],[Unit Price (₦)]]&gt;68000,Sales[[#This Row],[Quantity]]&gt;15),"Offer Discount", "No Discount")</f>
        <v>No Discount</v>
      </c>
    </row>
    <row r="182" spans="1:25" ht="15" customHeight="1" x14ac:dyDescent="0.25">
      <c r="A182" t="s">
        <v>2527</v>
      </c>
      <c r="B182" s="8">
        <v>45356</v>
      </c>
      <c r="C182" s="8">
        <v>45362</v>
      </c>
      <c r="D182" t="s">
        <v>48</v>
      </c>
      <c r="E182" t="s">
        <v>3081</v>
      </c>
      <c r="F182" t="s">
        <v>3096</v>
      </c>
      <c r="G182" t="s">
        <v>2529</v>
      </c>
      <c r="H182">
        <v>8138314004</v>
      </c>
      <c r="I182" t="s">
        <v>35</v>
      </c>
      <c r="J182" t="s">
        <v>25</v>
      </c>
      <c r="K182" t="s">
        <v>26</v>
      </c>
      <c r="L182" t="s">
        <v>27</v>
      </c>
      <c r="M182" t="s">
        <v>45</v>
      </c>
      <c r="N182" t="s">
        <v>875</v>
      </c>
      <c r="O182">
        <v>15</v>
      </c>
      <c r="P182">
        <v>5985.27</v>
      </c>
      <c r="Q182">
        <v>0</v>
      </c>
      <c r="R182" s="39">
        <v>0</v>
      </c>
      <c r="S182" s="39">
        <v>89779.05</v>
      </c>
      <c r="T182" s="39">
        <v>22240.61</v>
      </c>
      <c r="U182" t="str">
        <f t="shared" si="5"/>
        <v>Food &amp; Beverages</v>
      </c>
      <c r="V182">
        <f t="shared" si="6"/>
        <v>22240.61</v>
      </c>
      <c r="W182" t="str">
        <f>IF(Sales[[#This Row],[Quantity]]&gt;=15, "Large","Small")</f>
        <v>Large</v>
      </c>
      <c r="X182" t="str">
        <f>IF(Sales[[#This Row],[Quantity]]&gt;=15,"Large",IF(Sales[[#This Row],[Quantity]]=14,"Medium","Small"))</f>
        <v>Large</v>
      </c>
      <c r="Y182" t="str">
        <f>IF(AND(Sales[[#This Row],[Unit Price (₦)]]&gt;68000,Sales[[#This Row],[Quantity]]&gt;15),"Offer Discount", "No Discount")</f>
        <v>No Discount</v>
      </c>
    </row>
    <row r="183" spans="1:25" ht="15" customHeight="1" x14ac:dyDescent="0.25">
      <c r="A183" t="s">
        <v>2716</v>
      </c>
      <c r="B183" s="8">
        <v>45358</v>
      </c>
      <c r="C183" s="8">
        <v>45365</v>
      </c>
      <c r="D183" t="s">
        <v>48</v>
      </c>
      <c r="E183" t="s">
        <v>3073</v>
      </c>
      <c r="F183" t="s">
        <v>3045</v>
      </c>
      <c r="G183" t="s">
        <v>2718</v>
      </c>
      <c r="H183">
        <v>8148319762</v>
      </c>
      <c r="I183" t="s">
        <v>24</v>
      </c>
      <c r="J183" t="s">
        <v>25</v>
      </c>
      <c r="K183" t="s">
        <v>168</v>
      </c>
      <c r="L183" t="s">
        <v>108</v>
      </c>
      <c r="M183" t="s">
        <v>183</v>
      </c>
      <c r="N183" t="s">
        <v>719</v>
      </c>
      <c r="O183">
        <v>12</v>
      </c>
      <c r="P183">
        <v>20806.580000000002</v>
      </c>
      <c r="Q183">
        <v>5</v>
      </c>
      <c r="R183" s="39">
        <v>12483.95</v>
      </c>
      <c r="S183" s="39">
        <v>237195.01</v>
      </c>
      <c r="T183" s="39">
        <v>2721.33</v>
      </c>
      <c r="U183" t="str">
        <f t="shared" si="5"/>
        <v>Clothing</v>
      </c>
      <c r="V183">
        <f t="shared" si="6"/>
        <v>2721.33</v>
      </c>
      <c r="W183" t="str">
        <f>IF(Sales[[#This Row],[Quantity]]&gt;=15, "Large","Small")</f>
        <v>Small</v>
      </c>
      <c r="X183" t="str">
        <f>IF(Sales[[#This Row],[Quantity]]&gt;=15,"Large",IF(Sales[[#This Row],[Quantity]]=14,"Medium","Small"))</f>
        <v>Small</v>
      </c>
      <c r="Y183" t="str">
        <f>IF(AND(Sales[[#This Row],[Unit Price (₦)]]&gt;68000,Sales[[#This Row],[Quantity]]&gt;15),"Offer Discount", "No Discount")</f>
        <v>No Discount</v>
      </c>
    </row>
    <row r="184" spans="1:25" ht="15" customHeight="1" x14ac:dyDescent="0.25">
      <c r="A184" t="s">
        <v>1457</v>
      </c>
      <c r="B184" s="8">
        <v>45363</v>
      </c>
      <c r="C184" s="8">
        <v>45370</v>
      </c>
      <c r="D184" t="s">
        <v>48</v>
      </c>
      <c r="E184" t="s">
        <v>3089</v>
      </c>
      <c r="F184" t="s">
        <v>3057</v>
      </c>
      <c r="G184" t="s">
        <v>1459</v>
      </c>
      <c r="H184">
        <v>9056918393</v>
      </c>
      <c r="I184" t="s">
        <v>35</v>
      </c>
      <c r="J184" t="s">
        <v>69</v>
      </c>
      <c r="K184" t="s">
        <v>155</v>
      </c>
      <c r="L184" t="s">
        <v>63</v>
      </c>
      <c r="M184" t="s">
        <v>558</v>
      </c>
      <c r="N184" t="s">
        <v>1460</v>
      </c>
      <c r="O184">
        <v>2</v>
      </c>
      <c r="P184">
        <v>1189.5999999999999</v>
      </c>
      <c r="Q184">
        <v>0</v>
      </c>
      <c r="R184" s="39">
        <v>0</v>
      </c>
      <c r="S184" s="39">
        <v>2379.1999999999998</v>
      </c>
      <c r="T184" s="39">
        <v>837.86</v>
      </c>
      <c r="U184" t="str">
        <f t="shared" si="5"/>
        <v>Office Supplies</v>
      </c>
      <c r="V184">
        <f t="shared" si="6"/>
        <v>837.86</v>
      </c>
      <c r="W184" t="str">
        <f>IF(Sales[[#This Row],[Quantity]]&gt;=15, "Large","Small")</f>
        <v>Small</v>
      </c>
      <c r="X184" t="str">
        <f>IF(Sales[[#This Row],[Quantity]]&gt;=15,"Large",IF(Sales[[#This Row],[Quantity]]=14,"Medium","Small"))</f>
        <v>Small</v>
      </c>
      <c r="Y184" t="str">
        <f>IF(AND(Sales[[#This Row],[Unit Price (₦)]]&gt;68000,Sales[[#This Row],[Quantity]]&gt;15),"Offer Discount", "No Discount")</f>
        <v>No Discount</v>
      </c>
    </row>
    <row r="185" spans="1:25" ht="15" customHeight="1" x14ac:dyDescent="0.25">
      <c r="A185" t="s">
        <v>1085</v>
      </c>
      <c r="B185" s="8">
        <v>45375</v>
      </c>
      <c r="C185" s="8">
        <v>45380</v>
      </c>
      <c r="D185" t="s">
        <v>48</v>
      </c>
      <c r="E185" t="s">
        <v>3072</v>
      </c>
      <c r="F185" t="s">
        <v>3036</v>
      </c>
      <c r="G185" t="s">
        <v>1087</v>
      </c>
      <c r="H185">
        <v>8067540534</v>
      </c>
      <c r="I185" t="s">
        <v>35</v>
      </c>
      <c r="J185" t="s">
        <v>69</v>
      </c>
      <c r="K185" t="s">
        <v>155</v>
      </c>
      <c r="L185" t="s">
        <v>63</v>
      </c>
      <c r="M185" t="s">
        <v>54</v>
      </c>
      <c r="N185" t="s">
        <v>150</v>
      </c>
      <c r="O185">
        <v>15</v>
      </c>
      <c r="P185">
        <v>18571.03</v>
      </c>
      <c r="Q185">
        <v>0</v>
      </c>
      <c r="R185" s="39">
        <v>0</v>
      </c>
      <c r="S185" s="39">
        <v>278565.45</v>
      </c>
      <c r="T185" s="39">
        <v>-19843.259999999998</v>
      </c>
      <c r="U185" t="str">
        <f t="shared" si="5"/>
        <v>Office Supplies</v>
      </c>
      <c r="V185">
        <f t="shared" si="6"/>
        <v>19843.259999999998</v>
      </c>
      <c r="W185" t="str">
        <f>IF(Sales[[#This Row],[Quantity]]&gt;=15, "Large","Small")</f>
        <v>Large</v>
      </c>
      <c r="X185" t="str">
        <f>IF(Sales[[#This Row],[Quantity]]&gt;=15,"Large",IF(Sales[[#This Row],[Quantity]]=14,"Medium","Small"))</f>
        <v>Large</v>
      </c>
      <c r="Y185" t="str">
        <f>IF(AND(Sales[[#This Row],[Unit Price (₦)]]&gt;68000,Sales[[#This Row],[Quantity]]&gt;15),"Offer Discount", "No Discount")</f>
        <v>No Discount</v>
      </c>
    </row>
    <row r="186" spans="1:25" ht="15" customHeight="1" x14ac:dyDescent="0.25">
      <c r="A186" t="s">
        <v>2365</v>
      </c>
      <c r="B186" s="8">
        <v>45378</v>
      </c>
      <c r="C186" s="8">
        <v>45383</v>
      </c>
      <c r="D186" t="s">
        <v>48</v>
      </c>
      <c r="E186" t="s">
        <v>3095</v>
      </c>
      <c r="F186" t="s">
        <v>3075</v>
      </c>
      <c r="G186" t="s">
        <v>2367</v>
      </c>
      <c r="H186">
        <v>8169971681</v>
      </c>
      <c r="I186" t="s">
        <v>43</v>
      </c>
      <c r="J186" t="s">
        <v>61</v>
      </c>
      <c r="K186" t="s">
        <v>62</v>
      </c>
      <c r="L186" t="s">
        <v>27</v>
      </c>
      <c r="M186" t="s">
        <v>79</v>
      </c>
      <c r="N186" t="s">
        <v>145</v>
      </c>
      <c r="O186">
        <v>17</v>
      </c>
      <c r="P186">
        <v>3739.07</v>
      </c>
      <c r="Q186">
        <v>5</v>
      </c>
      <c r="R186" s="39">
        <v>3178.21</v>
      </c>
      <c r="S186" s="39">
        <v>60385.98</v>
      </c>
      <c r="T186" s="39">
        <v>-192.31</v>
      </c>
      <c r="U186" t="str">
        <f t="shared" si="5"/>
        <v>Food &amp; Beverages</v>
      </c>
      <c r="V186">
        <f t="shared" si="6"/>
        <v>192.31</v>
      </c>
      <c r="W186" t="str">
        <f>IF(Sales[[#This Row],[Quantity]]&gt;=15, "Large","Small")</f>
        <v>Large</v>
      </c>
      <c r="X186" t="str">
        <f>IF(Sales[[#This Row],[Quantity]]&gt;=15,"Large",IF(Sales[[#This Row],[Quantity]]=14,"Medium","Small"))</f>
        <v>Large</v>
      </c>
      <c r="Y186" t="str">
        <f>IF(AND(Sales[[#This Row],[Unit Price (₦)]]&gt;68000,Sales[[#This Row],[Quantity]]&gt;15),"Offer Discount", "No Discount")</f>
        <v>No Discount</v>
      </c>
    </row>
    <row r="187" spans="1:25" ht="15" customHeight="1" x14ac:dyDescent="0.25">
      <c r="A187" t="s">
        <v>2443</v>
      </c>
      <c r="B187" s="8">
        <v>45382</v>
      </c>
      <c r="C187" s="8">
        <v>45389</v>
      </c>
      <c r="D187" t="s">
        <v>48</v>
      </c>
      <c r="E187" t="s">
        <v>3098</v>
      </c>
      <c r="F187" t="s">
        <v>3075</v>
      </c>
      <c r="G187" t="s">
        <v>2445</v>
      </c>
      <c r="H187">
        <v>8148851806</v>
      </c>
      <c r="I187" t="s">
        <v>43</v>
      </c>
      <c r="J187" t="s">
        <v>69</v>
      </c>
      <c r="K187" t="s">
        <v>119</v>
      </c>
      <c r="L187" t="s">
        <v>63</v>
      </c>
      <c r="M187" t="s">
        <v>54</v>
      </c>
      <c r="N187" t="s">
        <v>55</v>
      </c>
      <c r="O187">
        <v>9</v>
      </c>
      <c r="P187">
        <v>508.66</v>
      </c>
      <c r="Q187">
        <v>25</v>
      </c>
      <c r="R187" s="39">
        <v>1144.49</v>
      </c>
      <c r="S187" s="39">
        <v>3433.45</v>
      </c>
      <c r="T187" s="39">
        <v>861.36</v>
      </c>
      <c r="U187" t="str">
        <f t="shared" si="5"/>
        <v>Office Supplies</v>
      </c>
      <c r="V187">
        <f t="shared" si="6"/>
        <v>861.36</v>
      </c>
      <c r="W187" t="str">
        <f>IF(Sales[[#This Row],[Quantity]]&gt;=15, "Large","Small")</f>
        <v>Small</v>
      </c>
      <c r="X187" t="str">
        <f>IF(Sales[[#This Row],[Quantity]]&gt;=15,"Large",IF(Sales[[#This Row],[Quantity]]=14,"Medium","Small"))</f>
        <v>Small</v>
      </c>
      <c r="Y187" t="str">
        <f>IF(AND(Sales[[#This Row],[Unit Price (₦)]]&gt;68000,Sales[[#This Row],[Quantity]]&gt;15),"Offer Discount", "No Discount")</f>
        <v>No Discount</v>
      </c>
    </row>
    <row r="188" spans="1:25" ht="15" customHeight="1" x14ac:dyDescent="0.25">
      <c r="A188" t="s">
        <v>589</v>
      </c>
      <c r="B188" s="8">
        <v>45385</v>
      </c>
      <c r="C188" s="8">
        <v>45393</v>
      </c>
      <c r="D188" t="s">
        <v>48</v>
      </c>
      <c r="E188" t="s">
        <v>3067</v>
      </c>
      <c r="F188" t="s">
        <v>3077</v>
      </c>
      <c r="G188" t="s">
        <v>592</v>
      </c>
      <c r="H188">
        <v>9021946973</v>
      </c>
      <c r="I188" t="s">
        <v>24</v>
      </c>
      <c r="J188" t="s">
        <v>25</v>
      </c>
      <c r="K188" t="s">
        <v>126</v>
      </c>
      <c r="L188" t="s">
        <v>85</v>
      </c>
      <c r="M188" t="s">
        <v>266</v>
      </c>
      <c r="N188" t="s">
        <v>593</v>
      </c>
      <c r="O188">
        <v>19</v>
      </c>
      <c r="P188">
        <v>48275.78</v>
      </c>
      <c r="Q188">
        <v>10</v>
      </c>
      <c r="R188" s="39">
        <v>91723.98</v>
      </c>
      <c r="S188" s="39">
        <v>825515.84</v>
      </c>
      <c r="T188" s="39">
        <v>162201.39000000001</v>
      </c>
      <c r="U188" t="str">
        <f t="shared" si="5"/>
        <v>Furniture</v>
      </c>
      <c r="V188">
        <f t="shared" si="6"/>
        <v>162201.39000000001</v>
      </c>
      <c r="W188" t="str">
        <f>IF(Sales[[#This Row],[Quantity]]&gt;=15, "Large","Small")</f>
        <v>Large</v>
      </c>
      <c r="X188" t="str">
        <f>IF(Sales[[#This Row],[Quantity]]&gt;=15,"Large",IF(Sales[[#This Row],[Quantity]]=14,"Medium","Small"))</f>
        <v>Large</v>
      </c>
      <c r="Y188" t="str">
        <f>IF(AND(Sales[[#This Row],[Unit Price (₦)]]&gt;68000,Sales[[#This Row],[Quantity]]&gt;15),"Offer Discount", "No Discount")</f>
        <v>No Discount</v>
      </c>
    </row>
    <row r="189" spans="1:25" ht="15" customHeight="1" x14ac:dyDescent="0.25">
      <c r="A189" t="s">
        <v>398</v>
      </c>
      <c r="B189" s="8">
        <v>45391</v>
      </c>
      <c r="C189" s="8">
        <v>45396</v>
      </c>
      <c r="D189" t="s">
        <v>48</v>
      </c>
      <c r="E189" t="s">
        <v>3041</v>
      </c>
      <c r="F189" t="s">
        <v>3062</v>
      </c>
      <c r="G189" t="s">
        <v>400</v>
      </c>
      <c r="H189">
        <v>8037070880</v>
      </c>
      <c r="I189" t="s">
        <v>43</v>
      </c>
      <c r="J189" t="s">
        <v>69</v>
      </c>
      <c r="K189" t="s">
        <v>70</v>
      </c>
      <c r="L189" t="s">
        <v>96</v>
      </c>
      <c r="M189" t="s">
        <v>189</v>
      </c>
      <c r="N189" t="s">
        <v>287</v>
      </c>
      <c r="O189">
        <v>19</v>
      </c>
      <c r="P189">
        <v>120842.67</v>
      </c>
      <c r="Q189">
        <v>15</v>
      </c>
      <c r="R189" s="39">
        <v>344401.61</v>
      </c>
      <c r="S189" s="39">
        <v>1951609.12</v>
      </c>
      <c r="T189" s="39">
        <v>320800.68</v>
      </c>
      <c r="U189" t="str">
        <f t="shared" si="5"/>
        <v>Technology</v>
      </c>
      <c r="V189">
        <f t="shared" si="6"/>
        <v>320800.68</v>
      </c>
      <c r="W189" t="str">
        <f>IF(Sales[[#This Row],[Quantity]]&gt;=15, "Large","Small")</f>
        <v>Large</v>
      </c>
      <c r="X189" t="str">
        <f>IF(Sales[[#This Row],[Quantity]]&gt;=15,"Large",IF(Sales[[#This Row],[Quantity]]=14,"Medium","Small"))</f>
        <v>Large</v>
      </c>
      <c r="Y189" t="str">
        <f>IF(AND(Sales[[#This Row],[Unit Price (₦)]]&gt;68000,Sales[[#This Row],[Quantity]]&gt;15),"Offer Discount", "No Discount")</f>
        <v>Offer Discount</v>
      </c>
    </row>
    <row r="190" spans="1:25" ht="15" customHeight="1" x14ac:dyDescent="0.25">
      <c r="A190" t="s">
        <v>992</v>
      </c>
      <c r="B190" s="8">
        <v>45391</v>
      </c>
      <c r="C190" s="8">
        <v>45397</v>
      </c>
      <c r="D190" t="s">
        <v>48</v>
      </c>
      <c r="E190" t="s">
        <v>3063</v>
      </c>
      <c r="F190" t="s">
        <v>3077</v>
      </c>
      <c r="G190" t="s">
        <v>993</v>
      </c>
      <c r="H190">
        <v>8158920589</v>
      </c>
      <c r="I190" t="s">
        <v>35</v>
      </c>
      <c r="J190" t="s">
        <v>25</v>
      </c>
      <c r="K190" t="s">
        <v>26</v>
      </c>
      <c r="L190" t="s">
        <v>85</v>
      </c>
      <c r="M190" t="s">
        <v>243</v>
      </c>
      <c r="N190" t="s">
        <v>439</v>
      </c>
      <c r="O190">
        <v>19</v>
      </c>
      <c r="P190">
        <v>46408.74</v>
      </c>
      <c r="Q190">
        <v>10</v>
      </c>
      <c r="R190" s="39">
        <v>88176.61</v>
      </c>
      <c r="S190" s="39">
        <v>793589.45</v>
      </c>
      <c r="T190" s="39">
        <v>-55290.36</v>
      </c>
      <c r="U190" t="str">
        <f t="shared" si="5"/>
        <v>Furniture</v>
      </c>
      <c r="V190">
        <f t="shared" si="6"/>
        <v>55290.36</v>
      </c>
      <c r="W190" t="str">
        <f>IF(Sales[[#This Row],[Quantity]]&gt;=15, "Large","Small")</f>
        <v>Large</v>
      </c>
      <c r="X190" t="str">
        <f>IF(Sales[[#This Row],[Quantity]]&gt;=15,"Large",IF(Sales[[#This Row],[Quantity]]=14,"Medium","Small"))</f>
        <v>Large</v>
      </c>
      <c r="Y190" t="str">
        <f>IF(AND(Sales[[#This Row],[Unit Price (₦)]]&gt;68000,Sales[[#This Row],[Quantity]]&gt;15),"Offer Discount", "No Discount")</f>
        <v>No Discount</v>
      </c>
    </row>
    <row r="191" spans="1:25" ht="15" customHeight="1" x14ac:dyDescent="0.25">
      <c r="A191" t="s">
        <v>2348</v>
      </c>
      <c r="B191" s="8">
        <v>45394</v>
      </c>
      <c r="C191" s="8">
        <v>45402</v>
      </c>
      <c r="D191" t="s">
        <v>48</v>
      </c>
      <c r="E191" t="s">
        <v>3098</v>
      </c>
      <c r="F191" t="s">
        <v>3050</v>
      </c>
      <c r="G191" t="s">
        <v>2350</v>
      </c>
      <c r="H191">
        <v>8163029740</v>
      </c>
      <c r="I191" t="s">
        <v>24</v>
      </c>
      <c r="J191" t="s">
        <v>25</v>
      </c>
      <c r="K191" t="s">
        <v>26</v>
      </c>
      <c r="L191" t="s">
        <v>27</v>
      </c>
      <c r="M191" t="s">
        <v>173</v>
      </c>
      <c r="N191" t="s">
        <v>279</v>
      </c>
      <c r="O191">
        <v>2</v>
      </c>
      <c r="P191">
        <v>3676.61</v>
      </c>
      <c r="Q191">
        <v>10</v>
      </c>
      <c r="R191" s="39">
        <v>735.32</v>
      </c>
      <c r="S191" s="39">
        <v>6617.9</v>
      </c>
      <c r="T191" s="39">
        <v>2230.2199999999998</v>
      </c>
      <c r="U191" t="str">
        <f t="shared" si="5"/>
        <v>Food &amp; Beverages</v>
      </c>
      <c r="V191">
        <f t="shared" si="6"/>
        <v>2230.2199999999998</v>
      </c>
      <c r="W191" t="str">
        <f>IF(Sales[[#This Row],[Quantity]]&gt;=15, "Large","Small")</f>
        <v>Small</v>
      </c>
      <c r="X191" t="str">
        <f>IF(Sales[[#This Row],[Quantity]]&gt;=15,"Large",IF(Sales[[#This Row],[Quantity]]=14,"Medium","Small"))</f>
        <v>Small</v>
      </c>
      <c r="Y191" t="str">
        <f>IF(AND(Sales[[#This Row],[Unit Price (₦)]]&gt;68000,Sales[[#This Row],[Quantity]]&gt;15),"Offer Discount", "No Discount")</f>
        <v>No Discount</v>
      </c>
    </row>
    <row r="192" spans="1:25" ht="15" customHeight="1" x14ac:dyDescent="0.25">
      <c r="A192" t="s">
        <v>2537</v>
      </c>
      <c r="B192" s="8">
        <v>45401</v>
      </c>
      <c r="C192" s="8">
        <v>45406</v>
      </c>
      <c r="D192" t="s">
        <v>48</v>
      </c>
      <c r="E192" t="s">
        <v>3085</v>
      </c>
      <c r="F192" t="s">
        <v>3034</v>
      </c>
      <c r="G192" t="s">
        <v>2539</v>
      </c>
      <c r="H192">
        <v>9016396496</v>
      </c>
      <c r="I192" t="s">
        <v>24</v>
      </c>
      <c r="J192" t="s">
        <v>25</v>
      </c>
      <c r="K192" t="s">
        <v>26</v>
      </c>
      <c r="L192" t="s">
        <v>63</v>
      </c>
      <c r="M192" t="s">
        <v>249</v>
      </c>
      <c r="N192" t="s">
        <v>2013</v>
      </c>
      <c r="O192">
        <v>8</v>
      </c>
      <c r="P192">
        <v>22587.23</v>
      </c>
      <c r="Q192">
        <v>0</v>
      </c>
      <c r="R192" s="39">
        <v>0</v>
      </c>
      <c r="S192" s="39">
        <v>180697.84</v>
      </c>
      <c r="T192" s="39">
        <v>14225.99</v>
      </c>
      <c r="U192" t="str">
        <f t="shared" si="5"/>
        <v>Office Supplies</v>
      </c>
      <c r="V192">
        <f t="shared" si="6"/>
        <v>14225.99</v>
      </c>
      <c r="W192" t="str">
        <f>IF(Sales[[#This Row],[Quantity]]&gt;=15, "Large","Small")</f>
        <v>Small</v>
      </c>
      <c r="X192" t="str">
        <f>IF(Sales[[#This Row],[Quantity]]&gt;=15,"Large",IF(Sales[[#This Row],[Quantity]]=14,"Medium","Small"))</f>
        <v>Small</v>
      </c>
      <c r="Y192" t="str">
        <f>IF(AND(Sales[[#This Row],[Unit Price (₦)]]&gt;68000,Sales[[#This Row],[Quantity]]&gt;15),"Offer Discount", "No Discount")</f>
        <v>No Discount</v>
      </c>
    </row>
    <row r="193" spans="1:25" ht="15" customHeight="1" x14ac:dyDescent="0.25">
      <c r="A193" t="s">
        <v>1993</v>
      </c>
      <c r="B193" s="8">
        <v>45404</v>
      </c>
      <c r="C193" s="8">
        <v>45409</v>
      </c>
      <c r="D193" t="s">
        <v>48</v>
      </c>
      <c r="E193" t="str">
        <f>E194</f>
        <v>Ikenna</v>
      </c>
      <c r="F193" t="str">
        <f>F192</f>
        <v>Atiku</v>
      </c>
      <c r="G193" t="s">
        <v>370</v>
      </c>
      <c r="H193">
        <v>9078450817</v>
      </c>
      <c r="I193" t="s">
        <v>24</v>
      </c>
      <c r="J193" t="s">
        <v>25</v>
      </c>
      <c r="K193" t="s">
        <v>26</v>
      </c>
      <c r="L193" t="s">
        <v>27</v>
      </c>
      <c r="M193" t="s">
        <v>173</v>
      </c>
      <c r="N193" t="s">
        <v>279</v>
      </c>
      <c r="O193">
        <v>14</v>
      </c>
      <c r="P193">
        <v>5441.37</v>
      </c>
      <c r="Q193">
        <v>5</v>
      </c>
      <c r="R193" s="39">
        <v>3808.96</v>
      </c>
      <c r="S193" s="39">
        <v>72370.22</v>
      </c>
      <c r="T193" s="39">
        <v>-1177.6400000000001</v>
      </c>
      <c r="U193" t="str">
        <f t="shared" si="5"/>
        <v>Food &amp; Beverages</v>
      </c>
      <c r="V193">
        <f t="shared" si="6"/>
        <v>1177.6400000000001</v>
      </c>
      <c r="W193" t="str">
        <f>IF(Sales[[#This Row],[Quantity]]&gt;=15, "Large","Small")</f>
        <v>Small</v>
      </c>
      <c r="X193" t="str">
        <f>IF(Sales[[#This Row],[Quantity]]&gt;=15,"Large",IF(Sales[[#This Row],[Quantity]]=14,"Medium","Small"))</f>
        <v>Medium</v>
      </c>
      <c r="Y193" t="str">
        <f>IF(AND(Sales[[#This Row],[Unit Price (₦)]]&gt;68000,Sales[[#This Row],[Quantity]]&gt;15),"Offer Discount", "No Discount")</f>
        <v>No Discount</v>
      </c>
    </row>
    <row r="194" spans="1:25" ht="15" customHeight="1" x14ac:dyDescent="0.25">
      <c r="A194" t="s">
        <v>440</v>
      </c>
      <c r="B194" s="8">
        <v>45411</v>
      </c>
      <c r="C194" s="8">
        <v>45416</v>
      </c>
      <c r="D194" t="s">
        <v>48</v>
      </c>
      <c r="E194" t="s">
        <v>3058</v>
      </c>
      <c r="F194" t="s">
        <v>3075</v>
      </c>
      <c r="G194" t="s">
        <v>442</v>
      </c>
      <c r="H194" t="s">
        <v>23</v>
      </c>
      <c r="I194" t="s">
        <v>43</v>
      </c>
      <c r="J194" t="s">
        <v>61</v>
      </c>
      <c r="K194" t="s">
        <v>204</v>
      </c>
      <c r="L194" t="s">
        <v>96</v>
      </c>
      <c r="M194" t="s">
        <v>97</v>
      </c>
      <c r="N194" t="s">
        <v>443</v>
      </c>
      <c r="O194">
        <v>4</v>
      </c>
      <c r="P194">
        <v>27261.58</v>
      </c>
      <c r="Q194">
        <v>10</v>
      </c>
      <c r="R194" s="39">
        <v>10904.63</v>
      </c>
      <c r="S194" s="39">
        <v>72370.22</v>
      </c>
      <c r="T194" s="39">
        <v>31879.21</v>
      </c>
      <c r="U194" t="str">
        <f t="shared" ref="U194:U257" si="7">PROPER(L194)</f>
        <v>Technology</v>
      </c>
      <c r="V194">
        <f t="shared" si="6"/>
        <v>31879.21</v>
      </c>
      <c r="W194" t="str">
        <f>IF(Sales[[#This Row],[Quantity]]&gt;=15, "Large","Small")</f>
        <v>Small</v>
      </c>
      <c r="X194" t="str">
        <f>IF(Sales[[#This Row],[Quantity]]&gt;=15,"Large",IF(Sales[[#This Row],[Quantity]]=14,"Medium","Small"))</f>
        <v>Small</v>
      </c>
      <c r="Y194" t="str">
        <f>IF(AND(Sales[[#This Row],[Unit Price (₦)]]&gt;68000,Sales[[#This Row],[Quantity]]&gt;15),"Offer Discount", "No Discount")</f>
        <v>No Discount</v>
      </c>
    </row>
    <row r="195" spans="1:25" ht="15" customHeight="1" x14ac:dyDescent="0.25">
      <c r="A195" t="s">
        <v>2031</v>
      </c>
      <c r="B195" s="8">
        <v>45412</v>
      </c>
      <c r="C195" s="8">
        <v>45419</v>
      </c>
      <c r="D195" t="s">
        <v>48</v>
      </c>
      <c r="E195" t="s">
        <v>3091</v>
      </c>
      <c r="F195" t="s">
        <v>3074</v>
      </c>
      <c r="G195" t="s">
        <v>2033</v>
      </c>
      <c r="H195">
        <v>7062338271</v>
      </c>
      <c r="I195" t="s">
        <v>43</v>
      </c>
      <c r="J195" t="s">
        <v>25</v>
      </c>
      <c r="K195" t="s">
        <v>26</v>
      </c>
      <c r="L195" t="s">
        <v>27</v>
      </c>
      <c r="M195" t="s">
        <v>45</v>
      </c>
      <c r="N195" t="s">
        <v>875</v>
      </c>
      <c r="O195">
        <v>13</v>
      </c>
      <c r="P195">
        <v>5014.87</v>
      </c>
      <c r="Q195">
        <v>10</v>
      </c>
      <c r="R195" s="39">
        <v>6519.33</v>
      </c>
      <c r="S195" s="39">
        <v>58673.98</v>
      </c>
      <c r="T195" s="39">
        <v>15717.24</v>
      </c>
      <c r="U195" t="str">
        <f t="shared" si="7"/>
        <v>Food &amp; Beverages</v>
      </c>
      <c r="V195">
        <f t="shared" ref="V195:V258" si="8">ABS(T195)</f>
        <v>15717.24</v>
      </c>
      <c r="W195" t="str">
        <f>IF(Sales[[#This Row],[Quantity]]&gt;=15, "Large","Small")</f>
        <v>Small</v>
      </c>
      <c r="X195" t="str">
        <f>IF(Sales[[#This Row],[Quantity]]&gt;=15,"Large",IF(Sales[[#This Row],[Quantity]]=14,"Medium","Small"))</f>
        <v>Small</v>
      </c>
      <c r="Y195" t="str">
        <f>IF(AND(Sales[[#This Row],[Unit Price (₦)]]&gt;68000,Sales[[#This Row],[Quantity]]&gt;15),"Offer Discount", "No Discount")</f>
        <v>No Discount</v>
      </c>
    </row>
    <row r="196" spans="1:25" ht="15" customHeight="1" x14ac:dyDescent="0.25">
      <c r="A196" t="s">
        <v>2823</v>
      </c>
      <c r="B196" s="8">
        <v>45422</v>
      </c>
      <c r="C196" s="8">
        <v>45429</v>
      </c>
      <c r="D196" t="s">
        <v>48</v>
      </c>
      <c r="E196" t="s">
        <v>3080</v>
      </c>
      <c r="F196" t="s">
        <v>3083</v>
      </c>
      <c r="G196" t="s">
        <v>2825</v>
      </c>
      <c r="H196">
        <v>8067803915</v>
      </c>
      <c r="I196" t="s">
        <v>35</v>
      </c>
      <c r="J196" t="s">
        <v>51</v>
      </c>
      <c r="K196" t="s">
        <v>223</v>
      </c>
      <c r="L196" t="s">
        <v>27</v>
      </c>
      <c r="M196" t="s">
        <v>354</v>
      </c>
      <c r="N196" t="s">
        <v>494</v>
      </c>
      <c r="O196">
        <v>19</v>
      </c>
      <c r="P196">
        <v>5623.01</v>
      </c>
      <c r="Q196">
        <v>0</v>
      </c>
      <c r="R196" s="39">
        <v>0</v>
      </c>
      <c r="S196" s="39">
        <v>106837.19</v>
      </c>
      <c r="T196" s="39">
        <v>36182.31</v>
      </c>
      <c r="U196" t="str">
        <f t="shared" si="7"/>
        <v>Food &amp; Beverages</v>
      </c>
      <c r="V196">
        <f t="shared" si="8"/>
        <v>36182.31</v>
      </c>
      <c r="W196" t="str">
        <f>IF(Sales[[#This Row],[Quantity]]&gt;=15, "Large","Small")</f>
        <v>Large</v>
      </c>
      <c r="X196" t="str">
        <f>IF(Sales[[#This Row],[Quantity]]&gt;=15,"Large",IF(Sales[[#This Row],[Quantity]]=14,"Medium","Small"))</f>
        <v>Large</v>
      </c>
      <c r="Y196" t="str">
        <f>IF(AND(Sales[[#This Row],[Unit Price (₦)]]&gt;68000,Sales[[#This Row],[Quantity]]&gt;15),"Offer Discount", "No Discount")</f>
        <v>No Discount</v>
      </c>
    </row>
    <row r="197" spans="1:25" ht="15" customHeight="1" x14ac:dyDescent="0.25">
      <c r="A197" t="s">
        <v>1732</v>
      </c>
      <c r="B197" s="8">
        <v>45425</v>
      </c>
      <c r="C197" s="8">
        <v>45430</v>
      </c>
      <c r="D197" t="s">
        <v>48</v>
      </c>
      <c r="E197" t="s">
        <v>3049</v>
      </c>
      <c r="F197" t="s">
        <v>3074</v>
      </c>
      <c r="G197" t="s">
        <v>1734</v>
      </c>
      <c r="H197">
        <v>9072059841</v>
      </c>
      <c r="I197" t="s">
        <v>35</v>
      </c>
      <c r="J197" t="s">
        <v>61</v>
      </c>
      <c r="K197" t="s">
        <v>62</v>
      </c>
      <c r="L197" t="s">
        <v>27</v>
      </c>
      <c r="M197" t="s">
        <v>86</v>
      </c>
      <c r="N197" t="s">
        <v>87</v>
      </c>
      <c r="O197">
        <v>2</v>
      </c>
      <c r="P197">
        <v>132529.98000000001</v>
      </c>
      <c r="Q197">
        <v>15</v>
      </c>
      <c r="R197" s="39">
        <v>39758.99</v>
      </c>
      <c r="S197" s="39">
        <v>225300.97</v>
      </c>
      <c r="T197" s="39">
        <v>35484.92</v>
      </c>
      <c r="U197" t="str">
        <f t="shared" si="7"/>
        <v>Food &amp; Beverages</v>
      </c>
      <c r="V197">
        <f t="shared" si="8"/>
        <v>35484.92</v>
      </c>
      <c r="W197" t="str">
        <f>IF(Sales[[#This Row],[Quantity]]&gt;=15, "Large","Small")</f>
        <v>Small</v>
      </c>
      <c r="X197" t="str">
        <f>IF(Sales[[#This Row],[Quantity]]&gt;=15,"Large",IF(Sales[[#This Row],[Quantity]]=14,"Medium","Small"))</f>
        <v>Small</v>
      </c>
      <c r="Y197" t="str">
        <f>IF(AND(Sales[[#This Row],[Unit Price (₦)]]&gt;68000,Sales[[#This Row],[Quantity]]&gt;15),"Offer Discount", "No Discount")</f>
        <v>No Discount</v>
      </c>
    </row>
    <row r="198" spans="1:25" ht="15" customHeight="1" x14ac:dyDescent="0.25">
      <c r="A198" t="s">
        <v>427</v>
      </c>
      <c r="B198" s="8">
        <v>45429</v>
      </c>
      <c r="C198" s="8">
        <v>45436</v>
      </c>
      <c r="D198" t="s">
        <v>48</v>
      </c>
      <c r="E198" t="s">
        <v>3047</v>
      </c>
      <c r="F198" t="s">
        <v>3039</v>
      </c>
      <c r="G198" t="s">
        <v>429</v>
      </c>
      <c r="H198">
        <v>8104593556</v>
      </c>
      <c r="I198" t="s">
        <v>24</v>
      </c>
      <c r="J198" t="s">
        <v>51</v>
      </c>
      <c r="K198" t="s">
        <v>131</v>
      </c>
      <c r="L198" t="s">
        <v>63</v>
      </c>
      <c r="M198" t="s">
        <v>194</v>
      </c>
      <c r="N198" t="s">
        <v>257</v>
      </c>
      <c r="O198">
        <v>5</v>
      </c>
      <c r="P198">
        <v>5204.13</v>
      </c>
      <c r="Q198">
        <v>0</v>
      </c>
      <c r="R198" s="39">
        <v>0</v>
      </c>
      <c r="S198" s="39">
        <v>26020.65</v>
      </c>
      <c r="T198" s="39">
        <v>-2698.37</v>
      </c>
      <c r="U198" t="str">
        <f t="shared" si="7"/>
        <v>Office Supplies</v>
      </c>
      <c r="V198">
        <f t="shared" si="8"/>
        <v>2698.37</v>
      </c>
      <c r="W198" t="str">
        <f>IF(Sales[[#This Row],[Quantity]]&gt;=15, "Large","Small")</f>
        <v>Small</v>
      </c>
      <c r="X198" t="str">
        <f>IF(Sales[[#This Row],[Quantity]]&gt;=15,"Large",IF(Sales[[#This Row],[Quantity]]=14,"Medium","Small"))</f>
        <v>Small</v>
      </c>
      <c r="Y198" t="str">
        <f>IF(AND(Sales[[#This Row],[Unit Price (₦)]]&gt;68000,Sales[[#This Row],[Quantity]]&gt;15),"Offer Discount", "No Discount")</f>
        <v>No Discount</v>
      </c>
    </row>
    <row r="199" spans="1:25" ht="15" customHeight="1" x14ac:dyDescent="0.25">
      <c r="A199" t="s">
        <v>1919</v>
      </c>
      <c r="B199" s="8">
        <v>45435</v>
      </c>
      <c r="C199" s="8">
        <v>45441</v>
      </c>
      <c r="D199" t="s">
        <v>48</v>
      </c>
      <c r="E199" t="s">
        <v>3039</v>
      </c>
      <c r="F199" t="s">
        <v>3040</v>
      </c>
      <c r="G199" t="s">
        <v>1920</v>
      </c>
      <c r="H199">
        <v>8069837877</v>
      </c>
      <c r="I199" t="s">
        <v>35</v>
      </c>
      <c r="J199" t="s">
        <v>61</v>
      </c>
      <c r="K199" t="s">
        <v>95</v>
      </c>
      <c r="L199" t="s">
        <v>85</v>
      </c>
      <c r="M199" t="s">
        <v>86</v>
      </c>
      <c r="N199" t="s">
        <v>238</v>
      </c>
      <c r="O199">
        <v>13</v>
      </c>
      <c r="P199">
        <v>25153.55</v>
      </c>
      <c r="Q199">
        <v>0</v>
      </c>
      <c r="R199" s="39">
        <v>0</v>
      </c>
      <c r="S199" s="39">
        <v>326996.15000000002</v>
      </c>
      <c r="T199" s="39">
        <v>-27460.71</v>
      </c>
      <c r="U199" t="str">
        <f t="shared" si="7"/>
        <v>Furniture</v>
      </c>
      <c r="V199">
        <f t="shared" si="8"/>
        <v>27460.71</v>
      </c>
      <c r="W199" t="str">
        <f>IF(Sales[[#This Row],[Quantity]]&gt;=15, "Large","Small")</f>
        <v>Small</v>
      </c>
      <c r="X199" t="str">
        <f>IF(Sales[[#This Row],[Quantity]]&gt;=15,"Large",IF(Sales[[#This Row],[Quantity]]=14,"Medium","Small"))</f>
        <v>Small</v>
      </c>
      <c r="Y199" t="str">
        <f>IF(AND(Sales[[#This Row],[Unit Price (₦)]]&gt;68000,Sales[[#This Row],[Quantity]]&gt;15),"Offer Discount", "No Discount")</f>
        <v>No Discount</v>
      </c>
    </row>
    <row r="200" spans="1:25" ht="15" customHeight="1" x14ac:dyDescent="0.25">
      <c r="A200" t="s">
        <v>2582</v>
      </c>
      <c r="B200" s="8">
        <v>45442</v>
      </c>
      <c r="C200" s="8">
        <v>45447</v>
      </c>
      <c r="D200" t="s">
        <v>48</v>
      </c>
      <c r="E200" t="s">
        <v>3053</v>
      </c>
      <c r="F200" t="s">
        <v>3046</v>
      </c>
      <c r="G200" t="s">
        <v>2583</v>
      </c>
      <c r="H200">
        <v>7037064624</v>
      </c>
      <c r="I200" t="s">
        <v>24</v>
      </c>
      <c r="J200" t="s">
        <v>69</v>
      </c>
      <c r="K200" t="s">
        <v>144</v>
      </c>
      <c r="L200" t="s">
        <v>27</v>
      </c>
      <c r="M200" t="s">
        <v>79</v>
      </c>
      <c r="N200" t="s">
        <v>234</v>
      </c>
      <c r="O200">
        <v>11</v>
      </c>
      <c r="P200">
        <v>2320.77</v>
      </c>
      <c r="Q200">
        <v>20</v>
      </c>
      <c r="R200" s="39">
        <v>5105.6899999999996</v>
      </c>
      <c r="S200" s="39">
        <v>20422.78</v>
      </c>
      <c r="T200" s="39">
        <v>1324.78</v>
      </c>
      <c r="U200" t="str">
        <f t="shared" si="7"/>
        <v>Food &amp; Beverages</v>
      </c>
      <c r="V200">
        <f t="shared" si="8"/>
        <v>1324.78</v>
      </c>
      <c r="W200" t="str">
        <f>IF(Sales[[#This Row],[Quantity]]&gt;=15, "Large","Small")</f>
        <v>Small</v>
      </c>
      <c r="X200" t="str">
        <f>IF(Sales[[#This Row],[Quantity]]&gt;=15,"Large",IF(Sales[[#This Row],[Quantity]]=14,"Medium","Small"))</f>
        <v>Small</v>
      </c>
      <c r="Y200" t="str">
        <f>IF(AND(Sales[[#This Row],[Unit Price (₦)]]&gt;68000,Sales[[#This Row],[Quantity]]&gt;15),"Offer Discount", "No Discount")</f>
        <v>No Discount</v>
      </c>
    </row>
    <row r="201" spans="1:25" ht="15" customHeight="1" x14ac:dyDescent="0.25">
      <c r="A201" t="s">
        <v>276</v>
      </c>
      <c r="B201" s="8">
        <v>45446</v>
      </c>
      <c r="C201" s="8">
        <v>45453</v>
      </c>
      <c r="D201" t="s">
        <v>48</v>
      </c>
      <c r="E201" t="s">
        <v>3080</v>
      </c>
      <c r="F201" t="s">
        <v>3036</v>
      </c>
      <c r="G201" t="s">
        <v>278</v>
      </c>
      <c r="H201">
        <v>8064840714</v>
      </c>
      <c r="I201" t="s">
        <v>35</v>
      </c>
      <c r="J201" t="s">
        <v>69</v>
      </c>
      <c r="K201" t="s">
        <v>70</v>
      </c>
      <c r="L201" t="s">
        <v>27</v>
      </c>
      <c r="M201" t="s">
        <v>173</v>
      </c>
      <c r="N201" t="s">
        <v>279</v>
      </c>
      <c r="O201">
        <v>-1</v>
      </c>
      <c r="P201">
        <v>7996.71</v>
      </c>
      <c r="Q201">
        <v>0</v>
      </c>
      <c r="R201" s="39">
        <v>0</v>
      </c>
      <c r="S201" s="39">
        <v>71970.39</v>
      </c>
      <c r="T201" s="39">
        <v>22157.19</v>
      </c>
      <c r="U201" t="str">
        <f t="shared" si="7"/>
        <v>Food &amp; Beverages</v>
      </c>
      <c r="V201">
        <f t="shared" si="8"/>
        <v>22157.19</v>
      </c>
      <c r="W201" t="str">
        <f>IF(Sales[[#This Row],[Quantity]]&gt;=15, "Large","Small")</f>
        <v>Small</v>
      </c>
      <c r="X201" t="str">
        <f>IF(Sales[[#This Row],[Quantity]]&gt;=15,"Large",IF(Sales[[#This Row],[Quantity]]=14,"Medium","Small"))</f>
        <v>Small</v>
      </c>
      <c r="Y201" t="str">
        <f>IF(AND(Sales[[#This Row],[Unit Price (₦)]]&gt;68000,Sales[[#This Row],[Quantity]]&gt;15),"Offer Discount", "No Discount")</f>
        <v>No Discount</v>
      </c>
    </row>
    <row r="202" spans="1:25" ht="15" customHeight="1" x14ac:dyDescent="0.25">
      <c r="A202" t="s">
        <v>2545</v>
      </c>
      <c r="B202" s="8">
        <v>45446</v>
      </c>
      <c r="C202" s="8">
        <v>45453</v>
      </c>
      <c r="D202" t="s">
        <v>48</v>
      </c>
      <c r="E202" t="s">
        <v>3084</v>
      </c>
      <c r="F202" t="s">
        <v>3090</v>
      </c>
      <c r="G202" t="s">
        <v>2546</v>
      </c>
      <c r="H202">
        <v>7064808186</v>
      </c>
      <c r="I202" t="s">
        <v>24</v>
      </c>
      <c r="J202" t="s">
        <v>61</v>
      </c>
      <c r="K202" t="s">
        <v>182</v>
      </c>
      <c r="L202" t="s">
        <v>27</v>
      </c>
      <c r="M202" t="s">
        <v>109</v>
      </c>
      <c r="N202" t="s">
        <v>157</v>
      </c>
      <c r="O202">
        <v>13</v>
      </c>
      <c r="P202">
        <v>10948.34</v>
      </c>
      <c r="Q202">
        <v>15</v>
      </c>
      <c r="R202" s="39">
        <v>21349.26</v>
      </c>
      <c r="S202" s="39">
        <v>120979.16</v>
      </c>
      <c r="T202" s="39">
        <v>45993.02</v>
      </c>
      <c r="U202" t="str">
        <f t="shared" si="7"/>
        <v>Food &amp; Beverages</v>
      </c>
      <c r="V202">
        <f t="shared" si="8"/>
        <v>45993.02</v>
      </c>
      <c r="W202" t="str">
        <f>IF(Sales[[#This Row],[Quantity]]&gt;=15, "Large","Small")</f>
        <v>Small</v>
      </c>
      <c r="X202" t="str">
        <f>IF(Sales[[#This Row],[Quantity]]&gt;=15,"Large",IF(Sales[[#This Row],[Quantity]]=14,"Medium","Small"))</f>
        <v>Small</v>
      </c>
      <c r="Y202" t="str">
        <f>IF(AND(Sales[[#This Row],[Unit Price (₦)]]&gt;68000,Sales[[#This Row],[Quantity]]&gt;15),"Offer Discount", "No Discount")</f>
        <v>No Discount</v>
      </c>
    </row>
    <row r="203" spans="1:25" ht="15" customHeight="1" x14ac:dyDescent="0.25">
      <c r="A203" t="s">
        <v>769</v>
      </c>
      <c r="B203" s="8">
        <v>45452</v>
      </c>
      <c r="C203" s="8">
        <v>45458</v>
      </c>
      <c r="D203" t="s">
        <v>48</v>
      </c>
      <c r="E203" t="s">
        <v>3059</v>
      </c>
      <c r="F203" t="s">
        <v>3064</v>
      </c>
      <c r="G203" t="s">
        <v>771</v>
      </c>
      <c r="H203">
        <v>8036284972</v>
      </c>
      <c r="I203" t="s">
        <v>24</v>
      </c>
      <c r="J203" t="s">
        <v>69</v>
      </c>
      <c r="K203" t="s">
        <v>307</v>
      </c>
      <c r="L203" t="s">
        <v>108</v>
      </c>
      <c r="M203" t="s">
        <v>38</v>
      </c>
      <c r="N203" t="s">
        <v>39</v>
      </c>
      <c r="O203">
        <v>8</v>
      </c>
      <c r="P203">
        <v>21468.59</v>
      </c>
      <c r="Q203">
        <v>0</v>
      </c>
      <c r="R203" s="39">
        <v>0</v>
      </c>
      <c r="S203" s="39">
        <v>171748.72</v>
      </c>
      <c r="T203" s="39">
        <v>71470.28</v>
      </c>
      <c r="U203" t="str">
        <f t="shared" si="7"/>
        <v>Clothing</v>
      </c>
      <c r="V203">
        <f t="shared" si="8"/>
        <v>71470.28</v>
      </c>
      <c r="W203" t="str">
        <f>IF(Sales[[#This Row],[Quantity]]&gt;=15, "Large","Small")</f>
        <v>Small</v>
      </c>
      <c r="X203" t="str">
        <f>IF(Sales[[#This Row],[Quantity]]&gt;=15,"Large",IF(Sales[[#This Row],[Quantity]]=14,"Medium","Small"))</f>
        <v>Small</v>
      </c>
      <c r="Y203" t="str">
        <f>IF(AND(Sales[[#This Row],[Unit Price (₦)]]&gt;68000,Sales[[#This Row],[Quantity]]&gt;15),"Offer Discount", "No Discount")</f>
        <v>No Discount</v>
      </c>
    </row>
    <row r="204" spans="1:25" ht="15" customHeight="1" x14ac:dyDescent="0.25">
      <c r="A204" t="s">
        <v>2392</v>
      </c>
      <c r="B204" s="8">
        <v>45459</v>
      </c>
      <c r="C204" s="8">
        <v>45465</v>
      </c>
      <c r="D204" t="s">
        <v>48</v>
      </c>
      <c r="E204" t="s">
        <v>3041</v>
      </c>
      <c r="F204" t="s">
        <v>3057</v>
      </c>
      <c r="G204" t="s">
        <v>2394</v>
      </c>
      <c r="H204">
        <v>8159909162</v>
      </c>
      <c r="I204" t="s">
        <v>35</v>
      </c>
      <c r="J204" t="s">
        <v>51</v>
      </c>
      <c r="K204" t="s">
        <v>227</v>
      </c>
      <c r="L204" t="s">
        <v>63</v>
      </c>
      <c r="M204" t="s">
        <v>469</v>
      </c>
      <c r="N204" t="s">
        <v>470</v>
      </c>
      <c r="O204">
        <v>3</v>
      </c>
      <c r="P204">
        <v>3941.46</v>
      </c>
      <c r="Q204">
        <v>10</v>
      </c>
      <c r="R204" s="39">
        <v>1182.44</v>
      </c>
      <c r="S204" s="39">
        <v>10641.94</v>
      </c>
      <c r="T204" s="39">
        <v>4515.59</v>
      </c>
      <c r="U204" t="str">
        <f t="shared" si="7"/>
        <v>Office Supplies</v>
      </c>
      <c r="V204">
        <f t="shared" si="8"/>
        <v>4515.59</v>
      </c>
      <c r="W204" t="str">
        <f>IF(Sales[[#This Row],[Quantity]]&gt;=15, "Large","Small")</f>
        <v>Small</v>
      </c>
      <c r="X204" t="str">
        <f>IF(Sales[[#This Row],[Quantity]]&gt;=15,"Large",IF(Sales[[#This Row],[Quantity]]=14,"Medium","Small"))</f>
        <v>Small</v>
      </c>
      <c r="Y204" t="str">
        <f>IF(AND(Sales[[#This Row],[Unit Price (₦)]]&gt;68000,Sales[[#This Row],[Quantity]]&gt;15),"Offer Discount", "No Discount")</f>
        <v>No Discount</v>
      </c>
    </row>
    <row r="205" spans="1:25" ht="15" customHeight="1" x14ac:dyDescent="0.25">
      <c r="A205" t="s">
        <v>1319</v>
      </c>
      <c r="B205" s="8">
        <v>45466</v>
      </c>
      <c r="C205" s="8">
        <v>45473</v>
      </c>
      <c r="D205" t="s">
        <v>48</v>
      </c>
      <c r="E205" t="s">
        <v>3072</v>
      </c>
      <c r="F205" t="s">
        <v>3090</v>
      </c>
      <c r="G205" t="s">
        <v>1321</v>
      </c>
      <c r="H205">
        <v>8065204309</v>
      </c>
      <c r="I205" t="s">
        <v>24</v>
      </c>
      <c r="J205" t="s">
        <v>69</v>
      </c>
      <c r="K205" t="s">
        <v>119</v>
      </c>
      <c r="L205" t="s">
        <v>108</v>
      </c>
      <c r="M205" t="s">
        <v>114</v>
      </c>
      <c r="N205" t="s">
        <v>115</v>
      </c>
      <c r="O205">
        <v>1</v>
      </c>
      <c r="P205">
        <v>8400.73</v>
      </c>
      <c r="Q205">
        <v>0</v>
      </c>
      <c r="R205" s="39">
        <v>0</v>
      </c>
      <c r="S205" s="39">
        <v>8400.73</v>
      </c>
      <c r="T205" s="39">
        <v>2089.8000000000002</v>
      </c>
      <c r="U205" t="str">
        <f t="shared" si="7"/>
        <v>Clothing</v>
      </c>
      <c r="V205">
        <f t="shared" si="8"/>
        <v>2089.8000000000002</v>
      </c>
      <c r="W205" t="str">
        <f>IF(Sales[[#This Row],[Quantity]]&gt;=15, "Large","Small")</f>
        <v>Small</v>
      </c>
      <c r="X205" t="str">
        <f>IF(Sales[[#This Row],[Quantity]]&gt;=15,"Large",IF(Sales[[#This Row],[Quantity]]=14,"Medium","Small"))</f>
        <v>Small</v>
      </c>
      <c r="Y205" t="str">
        <f>IF(AND(Sales[[#This Row],[Unit Price (₦)]]&gt;68000,Sales[[#This Row],[Quantity]]&gt;15),"Offer Discount", "No Discount")</f>
        <v>No Discount</v>
      </c>
    </row>
    <row r="206" spans="1:25" ht="15" customHeight="1" x14ac:dyDescent="0.25">
      <c r="A206" t="s">
        <v>2373</v>
      </c>
      <c r="B206" s="8">
        <v>45468</v>
      </c>
      <c r="C206" s="8">
        <v>45474</v>
      </c>
      <c r="D206" t="s">
        <v>48</v>
      </c>
      <c r="E206" t="s">
        <v>3035</v>
      </c>
      <c r="F206" t="s">
        <v>3079</v>
      </c>
      <c r="G206" t="s">
        <v>422</v>
      </c>
      <c r="H206">
        <v>8035223626</v>
      </c>
      <c r="I206" t="s">
        <v>43</v>
      </c>
      <c r="J206" t="s">
        <v>25</v>
      </c>
      <c r="K206" t="s">
        <v>36</v>
      </c>
      <c r="L206" t="s">
        <v>37</v>
      </c>
      <c r="M206" t="s">
        <v>189</v>
      </c>
      <c r="N206" t="s">
        <v>325</v>
      </c>
      <c r="O206">
        <v>6</v>
      </c>
      <c r="P206">
        <v>23182.02</v>
      </c>
      <c r="Q206">
        <v>10</v>
      </c>
      <c r="R206" s="39">
        <v>13909.21</v>
      </c>
      <c r="S206" s="39">
        <v>125182.91</v>
      </c>
      <c r="T206" s="39">
        <v>19325.21</v>
      </c>
      <c r="U206" t="str">
        <f t="shared" si="7"/>
        <v>Clothing</v>
      </c>
      <c r="V206">
        <f t="shared" si="8"/>
        <v>19325.21</v>
      </c>
      <c r="W206" t="str">
        <f>IF(Sales[[#This Row],[Quantity]]&gt;=15, "Large","Small")</f>
        <v>Small</v>
      </c>
      <c r="X206" t="str">
        <f>IF(Sales[[#This Row],[Quantity]]&gt;=15,"Large",IF(Sales[[#This Row],[Quantity]]=14,"Medium","Small"))</f>
        <v>Small</v>
      </c>
      <c r="Y206" t="str">
        <f>IF(AND(Sales[[#This Row],[Unit Price (₦)]]&gt;68000,Sales[[#This Row],[Quantity]]&gt;15),"Offer Discount", "No Discount")</f>
        <v>No Discount</v>
      </c>
    </row>
    <row r="207" spans="1:25" ht="15" customHeight="1" x14ac:dyDescent="0.25">
      <c r="A207" t="s">
        <v>2230</v>
      </c>
      <c r="B207" s="8">
        <v>45488</v>
      </c>
      <c r="C207" s="8">
        <v>45494</v>
      </c>
      <c r="D207" t="s">
        <v>48</v>
      </c>
      <c r="E207" t="s">
        <v>3094</v>
      </c>
      <c r="F207" t="s">
        <v>3046</v>
      </c>
      <c r="G207" t="s">
        <v>2232</v>
      </c>
      <c r="H207">
        <v>9024894252</v>
      </c>
      <c r="I207" t="s">
        <v>24</v>
      </c>
      <c r="J207" t="s">
        <v>69</v>
      </c>
      <c r="K207" t="s">
        <v>144</v>
      </c>
      <c r="L207" t="s">
        <v>108</v>
      </c>
      <c r="M207" t="s">
        <v>38</v>
      </c>
      <c r="N207" t="s">
        <v>213</v>
      </c>
      <c r="O207">
        <v>10</v>
      </c>
      <c r="P207">
        <v>26215.59</v>
      </c>
      <c r="Q207">
        <v>10</v>
      </c>
      <c r="R207" s="39">
        <v>26215.59</v>
      </c>
      <c r="S207" s="39">
        <v>235940.31</v>
      </c>
      <c r="T207" s="39">
        <v>-15038.19</v>
      </c>
      <c r="U207" t="str">
        <f t="shared" si="7"/>
        <v>Clothing</v>
      </c>
      <c r="V207">
        <f t="shared" si="8"/>
        <v>15038.19</v>
      </c>
      <c r="W207" t="str">
        <f>IF(Sales[[#This Row],[Quantity]]&gt;=15, "Large","Small")</f>
        <v>Small</v>
      </c>
      <c r="X207" t="str">
        <f>IF(Sales[[#This Row],[Quantity]]&gt;=15,"Large",IF(Sales[[#This Row],[Quantity]]=14,"Medium","Small"))</f>
        <v>Small</v>
      </c>
      <c r="Y207" t="str">
        <f>IF(AND(Sales[[#This Row],[Unit Price (₦)]]&gt;68000,Sales[[#This Row],[Quantity]]&gt;15),"Offer Discount", "No Discount")</f>
        <v>No Discount</v>
      </c>
    </row>
    <row r="208" spans="1:25" ht="15" customHeight="1" x14ac:dyDescent="0.25">
      <c r="A208" t="s">
        <v>1677</v>
      </c>
      <c r="B208" s="8">
        <v>45492</v>
      </c>
      <c r="C208" s="8">
        <v>45497</v>
      </c>
      <c r="D208" t="s">
        <v>48</v>
      </c>
      <c r="E208" t="s">
        <v>3089</v>
      </c>
      <c r="F208" t="s">
        <v>3043</v>
      </c>
      <c r="G208" t="s">
        <v>1679</v>
      </c>
      <c r="H208">
        <v>9074741740</v>
      </c>
      <c r="I208" t="s">
        <v>35</v>
      </c>
      <c r="J208" t="s">
        <v>69</v>
      </c>
      <c r="K208" t="s">
        <v>144</v>
      </c>
      <c r="L208" t="s">
        <v>85</v>
      </c>
      <c r="M208" t="s">
        <v>486</v>
      </c>
      <c r="N208" t="s">
        <v>527</v>
      </c>
      <c r="O208">
        <v>16</v>
      </c>
      <c r="P208">
        <v>44659.82</v>
      </c>
      <c r="Q208">
        <v>10</v>
      </c>
      <c r="R208" s="39">
        <v>71455.710000000006</v>
      </c>
      <c r="S208" s="39">
        <v>643101.41</v>
      </c>
      <c r="T208" s="39">
        <v>215029.18</v>
      </c>
      <c r="U208" t="str">
        <f t="shared" si="7"/>
        <v>Furniture</v>
      </c>
      <c r="V208">
        <f t="shared" si="8"/>
        <v>215029.18</v>
      </c>
      <c r="W208" t="str">
        <f>IF(Sales[[#This Row],[Quantity]]&gt;=15, "Large","Small")</f>
        <v>Large</v>
      </c>
      <c r="X208" t="str">
        <f>IF(Sales[[#This Row],[Quantity]]&gt;=15,"Large",IF(Sales[[#This Row],[Quantity]]=14,"Medium","Small"))</f>
        <v>Large</v>
      </c>
      <c r="Y208" t="str">
        <f>IF(AND(Sales[[#This Row],[Unit Price (₦)]]&gt;68000,Sales[[#This Row],[Quantity]]&gt;15),"Offer Discount", "No Discount")</f>
        <v>No Discount</v>
      </c>
    </row>
    <row r="209" spans="1:25" ht="15" customHeight="1" x14ac:dyDescent="0.25">
      <c r="A209" t="s">
        <v>1666</v>
      </c>
      <c r="B209" s="8">
        <v>45490</v>
      </c>
      <c r="C209" s="8">
        <v>45498</v>
      </c>
      <c r="D209" t="s">
        <v>48</v>
      </c>
      <c r="E209" t="s">
        <v>1667</v>
      </c>
      <c r="F209" t="str">
        <f>F208</f>
        <v>Abubakar</v>
      </c>
      <c r="G209" t="s">
        <v>1668</v>
      </c>
      <c r="H209">
        <v>9052699161</v>
      </c>
      <c r="I209" t="s">
        <v>1669</v>
      </c>
      <c r="J209" t="s">
        <v>69</v>
      </c>
      <c r="K209" t="s">
        <v>119</v>
      </c>
      <c r="L209" t="s">
        <v>63</v>
      </c>
      <c r="M209" t="s">
        <v>469</v>
      </c>
      <c r="N209" t="s">
        <v>470</v>
      </c>
      <c r="O209">
        <v>11</v>
      </c>
      <c r="P209">
        <v>11624.88</v>
      </c>
      <c r="Q209">
        <v>5</v>
      </c>
      <c r="R209" s="39">
        <v>6393.68</v>
      </c>
      <c r="S209" s="39">
        <v>121480</v>
      </c>
      <c r="T209" s="39">
        <v>-10349.620000000001</v>
      </c>
      <c r="U209" t="str">
        <f t="shared" si="7"/>
        <v>Office Supplies</v>
      </c>
      <c r="V209">
        <f t="shared" si="8"/>
        <v>10349.620000000001</v>
      </c>
      <c r="W209" t="str">
        <f>IF(Sales[[#This Row],[Quantity]]&gt;=15, "Large","Small")</f>
        <v>Small</v>
      </c>
      <c r="X209" t="str">
        <f>IF(Sales[[#This Row],[Quantity]]&gt;=15,"Large",IF(Sales[[#This Row],[Quantity]]=14,"Medium","Small"))</f>
        <v>Small</v>
      </c>
      <c r="Y209" t="str">
        <f>IF(AND(Sales[[#This Row],[Unit Price (₦)]]&gt;68000,Sales[[#This Row],[Quantity]]&gt;15),"Offer Discount", "No Discount")</f>
        <v>No Discount</v>
      </c>
    </row>
    <row r="210" spans="1:25" ht="15" customHeight="1" x14ac:dyDescent="0.25">
      <c r="A210" t="s">
        <v>1100</v>
      </c>
      <c r="B210" s="8">
        <v>45494</v>
      </c>
      <c r="C210" s="8">
        <v>45502</v>
      </c>
      <c r="D210" t="s">
        <v>48</v>
      </c>
      <c r="E210" t="s">
        <v>3091</v>
      </c>
      <c r="F210" t="s">
        <v>3078</v>
      </c>
      <c r="G210" t="s">
        <v>1102</v>
      </c>
      <c r="H210">
        <v>8136379509</v>
      </c>
      <c r="I210" t="s">
        <v>43</v>
      </c>
      <c r="J210" t="s">
        <v>61</v>
      </c>
      <c r="K210" t="s">
        <v>62</v>
      </c>
      <c r="L210" t="s">
        <v>96</v>
      </c>
      <c r="M210" t="s">
        <v>385</v>
      </c>
      <c r="N210" t="s">
        <v>743</v>
      </c>
      <c r="O210">
        <v>1</v>
      </c>
      <c r="P210">
        <v>436826.55</v>
      </c>
      <c r="Q210">
        <v>0</v>
      </c>
      <c r="R210" s="39">
        <v>0</v>
      </c>
      <c r="S210" s="39">
        <v>436826.55</v>
      </c>
      <c r="T210" s="39">
        <v>189320.44</v>
      </c>
      <c r="U210" t="str">
        <f t="shared" si="7"/>
        <v>Technology</v>
      </c>
      <c r="V210">
        <f t="shared" si="8"/>
        <v>189320.44</v>
      </c>
      <c r="W210" t="str">
        <f>IF(Sales[[#This Row],[Quantity]]&gt;=15, "Large","Small")</f>
        <v>Small</v>
      </c>
      <c r="X210" t="str">
        <f>IF(Sales[[#This Row],[Quantity]]&gt;=15,"Large",IF(Sales[[#This Row],[Quantity]]=14,"Medium","Small"))</f>
        <v>Small</v>
      </c>
      <c r="Y210" t="str">
        <f>IF(AND(Sales[[#This Row],[Unit Price (₦)]]&gt;68000,Sales[[#This Row],[Quantity]]&gt;15),"Offer Discount", "No Discount")</f>
        <v>No Discount</v>
      </c>
    </row>
    <row r="211" spans="1:25" ht="15" customHeight="1" x14ac:dyDescent="0.25">
      <c r="A211" t="s">
        <v>1244</v>
      </c>
      <c r="B211" s="8">
        <v>45502</v>
      </c>
      <c r="C211" s="8">
        <v>45510</v>
      </c>
      <c r="D211" t="s">
        <v>48</v>
      </c>
      <c r="E211" t="s">
        <v>3070</v>
      </c>
      <c r="F211" t="s">
        <v>3038</v>
      </c>
      <c r="G211" t="s">
        <v>1246</v>
      </c>
      <c r="H211">
        <v>8161738700</v>
      </c>
      <c r="I211" t="s">
        <v>24</v>
      </c>
      <c r="J211" t="s">
        <v>61</v>
      </c>
      <c r="K211" t="s">
        <v>62</v>
      </c>
      <c r="L211" t="s">
        <v>27</v>
      </c>
      <c r="M211" t="s">
        <v>79</v>
      </c>
      <c r="N211" t="s">
        <v>80</v>
      </c>
      <c r="O211">
        <v>2</v>
      </c>
      <c r="P211">
        <v>3894.94</v>
      </c>
      <c r="Q211">
        <v>0</v>
      </c>
      <c r="R211" s="39">
        <v>0</v>
      </c>
      <c r="S211" s="39">
        <v>7789.88</v>
      </c>
      <c r="T211" s="39">
        <v>1264.6600000000001</v>
      </c>
      <c r="U211" t="str">
        <f t="shared" si="7"/>
        <v>Food &amp; Beverages</v>
      </c>
      <c r="V211">
        <f t="shared" si="8"/>
        <v>1264.6600000000001</v>
      </c>
      <c r="W211" t="str">
        <f>IF(Sales[[#This Row],[Quantity]]&gt;=15, "Large","Small")</f>
        <v>Small</v>
      </c>
      <c r="X211" t="str">
        <f>IF(Sales[[#This Row],[Quantity]]&gt;=15,"Large",IF(Sales[[#This Row],[Quantity]]=14,"Medium","Small"))</f>
        <v>Small</v>
      </c>
      <c r="Y211" t="str">
        <f>IF(AND(Sales[[#This Row],[Unit Price (₦)]]&gt;68000,Sales[[#This Row],[Quantity]]&gt;15),"Offer Discount", "No Discount")</f>
        <v>No Discount</v>
      </c>
    </row>
    <row r="212" spans="1:25" ht="15" customHeight="1" x14ac:dyDescent="0.25">
      <c r="A212" t="s">
        <v>2753</v>
      </c>
      <c r="B212" s="8">
        <v>45503</v>
      </c>
      <c r="C212" s="8">
        <v>45510</v>
      </c>
      <c r="D212" t="s">
        <v>48</v>
      </c>
      <c r="E212" t="s">
        <v>3085</v>
      </c>
      <c r="F212" t="s">
        <v>3034</v>
      </c>
      <c r="G212" t="s">
        <v>2754</v>
      </c>
      <c r="H212">
        <v>8038867277</v>
      </c>
      <c r="I212" t="s">
        <v>35</v>
      </c>
      <c r="J212" t="s">
        <v>61</v>
      </c>
      <c r="K212" t="s">
        <v>204</v>
      </c>
      <c r="L212" t="s">
        <v>63</v>
      </c>
      <c r="M212" t="s">
        <v>312</v>
      </c>
      <c r="N212" t="s">
        <v>686</v>
      </c>
      <c r="O212">
        <v>11</v>
      </c>
      <c r="P212">
        <v>13924.17</v>
      </c>
      <c r="Q212">
        <v>10</v>
      </c>
      <c r="R212" s="39">
        <v>15316.59</v>
      </c>
      <c r="S212" s="39">
        <v>137849.28</v>
      </c>
      <c r="T212" s="39">
        <v>22886.49</v>
      </c>
      <c r="U212" t="str">
        <f t="shared" si="7"/>
        <v>Office Supplies</v>
      </c>
      <c r="V212">
        <f t="shared" si="8"/>
        <v>22886.49</v>
      </c>
      <c r="W212" t="str">
        <f>IF(Sales[[#This Row],[Quantity]]&gt;=15, "Large","Small")</f>
        <v>Small</v>
      </c>
      <c r="X212" t="str">
        <f>IF(Sales[[#This Row],[Quantity]]&gt;=15,"Large",IF(Sales[[#This Row],[Quantity]]=14,"Medium","Small"))</f>
        <v>Small</v>
      </c>
      <c r="Y212" t="str">
        <f>IF(AND(Sales[[#This Row],[Unit Price (₦)]]&gt;68000,Sales[[#This Row],[Quantity]]&gt;15),"Offer Discount", "No Discount")</f>
        <v>No Discount</v>
      </c>
    </row>
    <row r="213" spans="1:25" ht="15" customHeight="1" x14ac:dyDescent="0.25">
      <c r="A213" t="s">
        <v>1807</v>
      </c>
      <c r="B213" s="8">
        <v>45299</v>
      </c>
      <c r="C213" s="8">
        <v>45512</v>
      </c>
      <c r="D213" t="s">
        <v>48</v>
      </c>
      <c r="E213" t="s">
        <v>3084</v>
      </c>
      <c r="F213" t="s">
        <v>3042</v>
      </c>
      <c r="G213" t="s">
        <v>1810</v>
      </c>
      <c r="H213">
        <v>8034672603</v>
      </c>
      <c r="I213" t="s">
        <v>43</v>
      </c>
      <c r="J213" t="s">
        <v>61</v>
      </c>
      <c r="K213" t="s">
        <v>95</v>
      </c>
      <c r="L213" t="s">
        <v>37</v>
      </c>
      <c r="M213" t="s">
        <v>183</v>
      </c>
      <c r="N213" t="s">
        <v>372</v>
      </c>
      <c r="O213">
        <v>5</v>
      </c>
      <c r="P213">
        <v>27863.01</v>
      </c>
      <c r="Q213">
        <v>0</v>
      </c>
      <c r="R213" s="39">
        <v>0</v>
      </c>
      <c r="S213" s="39">
        <v>139315.04999999999</v>
      </c>
      <c r="T213" s="39">
        <v>29162.57</v>
      </c>
      <c r="U213" t="str">
        <f t="shared" si="7"/>
        <v>Clothing</v>
      </c>
      <c r="V213">
        <f t="shared" si="8"/>
        <v>29162.57</v>
      </c>
      <c r="W213" t="str">
        <f>IF(Sales[[#This Row],[Quantity]]&gt;=15, "Large","Small")</f>
        <v>Small</v>
      </c>
      <c r="X213" t="str">
        <f>IF(Sales[[#This Row],[Quantity]]&gt;=15,"Large",IF(Sales[[#This Row],[Quantity]]=14,"Medium","Small"))</f>
        <v>Small</v>
      </c>
      <c r="Y213" t="str">
        <f>IF(AND(Sales[[#This Row],[Unit Price (₦)]]&gt;68000,Sales[[#This Row],[Quantity]]&gt;15),"Offer Discount", "No Discount")</f>
        <v>No Discount</v>
      </c>
    </row>
    <row r="214" spans="1:25" ht="15" customHeight="1" x14ac:dyDescent="0.25">
      <c r="A214" t="s">
        <v>2958</v>
      </c>
      <c r="B214" s="8">
        <v>45512</v>
      </c>
      <c r="C214" s="8">
        <v>45517</v>
      </c>
      <c r="D214" t="s">
        <v>48</v>
      </c>
      <c r="E214" t="s">
        <v>3082</v>
      </c>
      <c r="F214" t="s">
        <v>3086</v>
      </c>
      <c r="G214" t="s">
        <v>2960</v>
      </c>
      <c r="H214">
        <v>9072705514</v>
      </c>
      <c r="I214" t="s">
        <v>43</v>
      </c>
      <c r="J214" t="s">
        <v>69</v>
      </c>
      <c r="K214" t="s">
        <v>307</v>
      </c>
      <c r="L214" t="s">
        <v>96</v>
      </c>
      <c r="M214" t="s">
        <v>254</v>
      </c>
      <c r="N214" t="s">
        <v>255</v>
      </c>
      <c r="O214">
        <v>4</v>
      </c>
      <c r="P214">
        <v>15202.03</v>
      </c>
      <c r="Q214">
        <v>5</v>
      </c>
      <c r="R214" s="39">
        <v>3040.41</v>
      </c>
      <c r="S214" s="39">
        <v>57767.71</v>
      </c>
      <c r="T214" s="39">
        <v>17342.02</v>
      </c>
      <c r="U214" t="str">
        <f t="shared" si="7"/>
        <v>Technology</v>
      </c>
      <c r="V214">
        <f t="shared" si="8"/>
        <v>17342.02</v>
      </c>
      <c r="W214" t="str">
        <f>IF(Sales[[#This Row],[Quantity]]&gt;=15, "Large","Small")</f>
        <v>Small</v>
      </c>
      <c r="X214" t="str">
        <f>IF(Sales[[#This Row],[Quantity]]&gt;=15,"Large",IF(Sales[[#This Row],[Quantity]]=14,"Medium","Small"))</f>
        <v>Small</v>
      </c>
      <c r="Y214" t="str">
        <f>IF(AND(Sales[[#This Row],[Unit Price (₦)]]&gt;68000,Sales[[#This Row],[Quantity]]&gt;15),"Offer Discount", "No Discount")</f>
        <v>No Discount</v>
      </c>
    </row>
    <row r="215" spans="1:25" ht="15" customHeight="1" x14ac:dyDescent="0.25">
      <c r="A215" t="s">
        <v>2106</v>
      </c>
      <c r="B215" s="8">
        <v>45512</v>
      </c>
      <c r="C215" s="8">
        <v>45520</v>
      </c>
      <c r="D215" t="s">
        <v>48</v>
      </c>
      <c r="E215" t="s">
        <v>3068</v>
      </c>
      <c r="F215" t="s">
        <v>3054</v>
      </c>
      <c r="G215" t="s">
        <v>2107</v>
      </c>
      <c r="H215">
        <v>8168668568</v>
      </c>
      <c r="I215" t="s">
        <v>24</v>
      </c>
      <c r="J215" t="s">
        <v>69</v>
      </c>
      <c r="K215" t="s">
        <v>70</v>
      </c>
      <c r="L215" t="s">
        <v>96</v>
      </c>
      <c r="M215" t="s">
        <v>254</v>
      </c>
      <c r="N215" t="s">
        <v>530</v>
      </c>
      <c r="O215">
        <v>10</v>
      </c>
      <c r="P215">
        <v>19793.55</v>
      </c>
      <c r="Q215">
        <v>200</v>
      </c>
      <c r="R215" s="39">
        <v>0</v>
      </c>
      <c r="S215" s="39">
        <v>197935.5</v>
      </c>
      <c r="T215" s="39">
        <v>46923.66</v>
      </c>
      <c r="U215" t="str">
        <f t="shared" si="7"/>
        <v>Technology</v>
      </c>
      <c r="V215">
        <f t="shared" si="8"/>
        <v>46923.66</v>
      </c>
      <c r="W215" t="str">
        <f>IF(Sales[[#This Row],[Quantity]]&gt;=15, "Large","Small")</f>
        <v>Small</v>
      </c>
      <c r="X215" t="str">
        <f>IF(Sales[[#This Row],[Quantity]]&gt;=15,"Large",IF(Sales[[#This Row],[Quantity]]=14,"Medium","Small"))</f>
        <v>Small</v>
      </c>
      <c r="Y215" t="str">
        <f>IF(AND(Sales[[#This Row],[Unit Price (₦)]]&gt;68000,Sales[[#This Row],[Quantity]]&gt;15),"Offer Discount", "No Discount")</f>
        <v>No Discount</v>
      </c>
    </row>
    <row r="216" spans="1:25" ht="15" customHeight="1" x14ac:dyDescent="0.25">
      <c r="A216" t="s">
        <v>1424</v>
      </c>
      <c r="B216" s="8">
        <v>45522</v>
      </c>
      <c r="C216" s="8">
        <v>45527</v>
      </c>
      <c r="D216" t="s">
        <v>48</v>
      </c>
      <c r="E216" t="s">
        <v>3061</v>
      </c>
      <c r="F216" t="s">
        <v>3090</v>
      </c>
      <c r="G216" t="s">
        <v>1426</v>
      </c>
      <c r="H216">
        <v>8161172342</v>
      </c>
      <c r="I216" t="s">
        <v>24</v>
      </c>
      <c r="J216" t="s">
        <v>25</v>
      </c>
      <c r="K216" t="s">
        <v>36</v>
      </c>
      <c r="L216" t="s">
        <v>96</v>
      </c>
      <c r="M216" t="s">
        <v>120</v>
      </c>
      <c r="N216" t="s">
        <v>121</v>
      </c>
      <c r="O216">
        <v>7</v>
      </c>
      <c r="P216">
        <v>104349.52</v>
      </c>
      <c r="Q216">
        <v>0</v>
      </c>
      <c r="R216" s="39">
        <v>0</v>
      </c>
      <c r="S216" s="39">
        <v>730446.64</v>
      </c>
      <c r="T216" s="39">
        <v>184335.8</v>
      </c>
      <c r="U216" t="str">
        <f t="shared" si="7"/>
        <v>Technology</v>
      </c>
      <c r="V216">
        <f t="shared" si="8"/>
        <v>184335.8</v>
      </c>
      <c r="W216" t="str">
        <f>IF(Sales[[#This Row],[Quantity]]&gt;=15, "Large","Small")</f>
        <v>Small</v>
      </c>
      <c r="X216" t="str">
        <f>IF(Sales[[#This Row],[Quantity]]&gt;=15,"Large",IF(Sales[[#This Row],[Quantity]]=14,"Medium","Small"))</f>
        <v>Small</v>
      </c>
      <c r="Y216" t="str">
        <f>IF(AND(Sales[[#This Row],[Unit Price (₦)]]&gt;68000,Sales[[#This Row],[Quantity]]&gt;15),"Offer Discount", "No Discount")</f>
        <v>No Discount</v>
      </c>
    </row>
    <row r="217" spans="1:25" ht="15" customHeight="1" x14ac:dyDescent="0.25">
      <c r="A217" t="s">
        <v>1366</v>
      </c>
      <c r="B217" s="8">
        <v>45525</v>
      </c>
      <c r="C217" s="8">
        <v>45530</v>
      </c>
      <c r="D217" t="s">
        <v>48</v>
      </c>
      <c r="E217" t="s">
        <v>3068</v>
      </c>
      <c r="F217" t="s">
        <v>3075</v>
      </c>
      <c r="G217" t="s">
        <v>1368</v>
      </c>
      <c r="H217">
        <v>8142644153</v>
      </c>
      <c r="I217" t="s">
        <v>35</v>
      </c>
      <c r="J217" t="s">
        <v>25</v>
      </c>
      <c r="K217" t="s">
        <v>168</v>
      </c>
      <c r="L217" t="s">
        <v>108</v>
      </c>
      <c r="M217" t="s">
        <v>183</v>
      </c>
      <c r="N217" t="s">
        <v>372</v>
      </c>
      <c r="O217">
        <v>1</v>
      </c>
      <c r="P217">
        <v>5572.94</v>
      </c>
      <c r="Q217">
        <v>15</v>
      </c>
      <c r="R217" s="39">
        <v>835.94</v>
      </c>
      <c r="S217" s="39">
        <v>4737</v>
      </c>
      <c r="T217" s="39">
        <v>1989.35</v>
      </c>
      <c r="U217" t="str">
        <f t="shared" si="7"/>
        <v>Clothing</v>
      </c>
      <c r="V217">
        <f t="shared" si="8"/>
        <v>1989.35</v>
      </c>
      <c r="W217" t="str">
        <f>IF(Sales[[#This Row],[Quantity]]&gt;=15, "Large","Small")</f>
        <v>Small</v>
      </c>
      <c r="X217" t="str">
        <f>IF(Sales[[#This Row],[Quantity]]&gt;=15,"Large",IF(Sales[[#This Row],[Quantity]]=14,"Medium","Small"))</f>
        <v>Small</v>
      </c>
      <c r="Y217" t="str">
        <f>IF(AND(Sales[[#This Row],[Unit Price (₦)]]&gt;68000,Sales[[#This Row],[Quantity]]&gt;15),"Offer Discount", "No Discount")</f>
        <v>No Discount</v>
      </c>
    </row>
    <row r="218" spans="1:25" ht="15" customHeight="1" x14ac:dyDescent="0.25">
      <c r="A218" t="s">
        <v>1691</v>
      </c>
      <c r="B218" s="8">
        <v>45525</v>
      </c>
      <c r="C218" s="8">
        <v>45530</v>
      </c>
      <c r="D218" t="s">
        <v>48</v>
      </c>
      <c r="E218" t="s">
        <v>3048</v>
      </c>
      <c r="F218" t="s">
        <v>3075</v>
      </c>
      <c r="G218" t="s">
        <v>237</v>
      </c>
      <c r="H218">
        <v>9029542262</v>
      </c>
      <c r="I218" t="s">
        <v>24</v>
      </c>
      <c r="J218" t="s">
        <v>69</v>
      </c>
      <c r="K218" t="s">
        <v>119</v>
      </c>
      <c r="L218" t="s">
        <v>63</v>
      </c>
      <c r="M218" t="s">
        <v>64</v>
      </c>
      <c r="N218" t="s">
        <v>777</v>
      </c>
      <c r="O218">
        <v>11</v>
      </c>
      <c r="P218">
        <v>11874.55</v>
      </c>
      <c r="Q218">
        <v>10</v>
      </c>
      <c r="R218" s="39">
        <v>13062</v>
      </c>
      <c r="S218" s="39">
        <v>117558.05</v>
      </c>
      <c r="T218" s="39">
        <v>19430.63</v>
      </c>
      <c r="U218" t="str">
        <f t="shared" si="7"/>
        <v>Office Supplies</v>
      </c>
      <c r="V218">
        <f t="shared" si="8"/>
        <v>19430.63</v>
      </c>
      <c r="W218" t="str">
        <f>IF(Sales[[#This Row],[Quantity]]&gt;=15, "Large","Small")</f>
        <v>Small</v>
      </c>
      <c r="X218" t="str">
        <f>IF(Sales[[#This Row],[Quantity]]&gt;=15,"Large",IF(Sales[[#This Row],[Quantity]]=14,"Medium","Small"))</f>
        <v>Small</v>
      </c>
      <c r="Y218" t="str">
        <f>IF(AND(Sales[[#This Row],[Unit Price (₦)]]&gt;68000,Sales[[#This Row],[Quantity]]&gt;15),"Offer Discount", "No Discount")</f>
        <v>No Discount</v>
      </c>
    </row>
    <row r="219" spans="1:25" ht="15" customHeight="1" x14ac:dyDescent="0.25">
      <c r="A219" t="s">
        <v>2053</v>
      </c>
      <c r="B219" s="8">
        <v>45537</v>
      </c>
      <c r="C219" s="8">
        <v>45545</v>
      </c>
      <c r="D219" t="s">
        <v>48</v>
      </c>
      <c r="E219" t="s">
        <v>3097</v>
      </c>
      <c r="F219" t="s">
        <v>3036</v>
      </c>
      <c r="G219" t="s">
        <v>2056</v>
      </c>
      <c r="H219">
        <v>8152410406</v>
      </c>
      <c r="I219" t="s">
        <v>43</v>
      </c>
      <c r="J219" t="s">
        <v>69</v>
      </c>
      <c r="K219" t="s">
        <v>119</v>
      </c>
      <c r="L219" t="s">
        <v>63</v>
      </c>
      <c r="M219" t="s">
        <v>64</v>
      </c>
      <c r="N219" t="s">
        <v>501</v>
      </c>
      <c r="O219">
        <v>17</v>
      </c>
      <c r="P219">
        <v>4190.1899999999996</v>
      </c>
      <c r="Q219">
        <v>15</v>
      </c>
      <c r="R219" s="39">
        <v>10684.98</v>
      </c>
      <c r="S219" s="39">
        <v>60548.25</v>
      </c>
      <c r="T219" s="39">
        <v>9370.2099999999991</v>
      </c>
      <c r="U219" t="str">
        <f t="shared" si="7"/>
        <v>Office Supplies</v>
      </c>
      <c r="V219">
        <f t="shared" si="8"/>
        <v>9370.2099999999991</v>
      </c>
      <c r="W219" t="str">
        <f>IF(Sales[[#This Row],[Quantity]]&gt;=15, "Large","Small")</f>
        <v>Large</v>
      </c>
      <c r="X219" t="str">
        <f>IF(Sales[[#This Row],[Quantity]]&gt;=15,"Large",IF(Sales[[#This Row],[Quantity]]=14,"Medium","Small"))</f>
        <v>Large</v>
      </c>
      <c r="Y219" t="str">
        <f>IF(AND(Sales[[#This Row],[Unit Price (₦)]]&gt;68000,Sales[[#This Row],[Quantity]]&gt;15),"Offer Discount", "No Discount")</f>
        <v>No Discount</v>
      </c>
    </row>
    <row r="220" spans="1:25" ht="15" customHeight="1" x14ac:dyDescent="0.25">
      <c r="A220" t="s">
        <v>2678</v>
      </c>
      <c r="B220" s="8">
        <v>45540</v>
      </c>
      <c r="C220" s="8">
        <v>45545</v>
      </c>
      <c r="D220" t="s">
        <v>48</v>
      </c>
      <c r="E220" t="s">
        <v>3094</v>
      </c>
      <c r="F220" t="s">
        <v>3062</v>
      </c>
      <c r="G220" t="s">
        <v>2679</v>
      </c>
      <c r="H220">
        <v>9077937523</v>
      </c>
      <c r="I220" t="s">
        <v>35</v>
      </c>
      <c r="J220" t="s">
        <v>61</v>
      </c>
      <c r="K220" t="s">
        <v>84</v>
      </c>
      <c r="L220" t="s">
        <v>63</v>
      </c>
      <c r="M220" t="s">
        <v>54</v>
      </c>
      <c r="N220" t="s">
        <v>55</v>
      </c>
      <c r="O220">
        <f>O219</f>
        <v>17</v>
      </c>
      <c r="P220">
        <v>10456.59</v>
      </c>
      <c r="Q220">
        <v>0</v>
      </c>
      <c r="R220" s="39">
        <v>0</v>
      </c>
      <c r="S220" s="39">
        <v>146392.26</v>
      </c>
      <c r="T220" s="39">
        <v>54516.66</v>
      </c>
      <c r="U220" t="str">
        <f t="shared" si="7"/>
        <v>Office Supplies</v>
      </c>
      <c r="V220">
        <f t="shared" si="8"/>
        <v>54516.66</v>
      </c>
      <c r="W220" t="str">
        <f>IF(Sales[[#This Row],[Quantity]]&gt;=15, "Large","Small")</f>
        <v>Large</v>
      </c>
      <c r="X220" t="str">
        <f>IF(Sales[[#This Row],[Quantity]]&gt;=15,"Large",IF(Sales[[#This Row],[Quantity]]=14,"Medium","Small"))</f>
        <v>Large</v>
      </c>
      <c r="Y220" t="str">
        <f>IF(AND(Sales[[#This Row],[Unit Price (₦)]]&gt;68000,Sales[[#This Row],[Quantity]]&gt;15),"Offer Discount", "No Discount")</f>
        <v>No Discount</v>
      </c>
    </row>
    <row r="221" spans="1:25" ht="15" customHeight="1" x14ac:dyDescent="0.25">
      <c r="A221" t="s">
        <v>1387</v>
      </c>
      <c r="B221" s="8">
        <v>45544</v>
      </c>
      <c r="C221" s="8">
        <v>45551</v>
      </c>
      <c r="D221" t="s">
        <v>48</v>
      </c>
      <c r="E221" t="s">
        <v>3093</v>
      </c>
      <c r="F221" t="s">
        <v>3078</v>
      </c>
      <c r="G221" t="s">
        <v>1388</v>
      </c>
      <c r="H221">
        <v>8108414487</v>
      </c>
      <c r="I221" t="s">
        <v>35</v>
      </c>
      <c r="J221" t="s">
        <v>25</v>
      </c>
      <c r="K221" t="s">
        <v>26</v>
      </c>
      <c r="L221" t="s">
        <v>27</v>
      </c>
      <c r="M221" t="s">
        <v>173</v>
      </c>
      <c r="N221" t="s">
        <v>174</v>
      </c>
      <c r="O221">
        <v>10</v>
      </c>
      <c r="P221">
        <v>1626</v>
      </c>
      <c r="Q221">
        <v>0</v>
      </c>
      <c r="R221" s="39">
        <v>0</v>
      </c>
      <c r="S221" s="39">
        <v>16260</v>
      </c>
      <c r="T221" s="39">
        <v>4823.95</v>
      </c>
      <c r="U221" t="str">
        <f t="shared" si="7"/>
        <v>Food &amp; Beverages</v>
      </c>
      <c r="V221">
        <f t="shared" si="8"/>
        <v>4823.95</v>
      </c>
      <c r="W221" t="str">
        <f>IF(Sales[[#This Row],[Quantity]]&gt;=15, "Large","Small")</f>
        <v>Small</v>
      </c>
      <c r="X221" t="str">
        <f>IF(Sales[[#This Row],[Quantity]]&gt;=15,"Large",IF(Sales[[#This Row],[Quantity]]=14,"Medium","Small"))</f>
        <v>Small</v>
      </c>
      <c r="Y221" t="str">
        <f>IF(AND(Sales[[#This Row],[Unit Price (₦)]]&gt;68000,Sales[[#This Row],[Quantity]]&gt;15),"Offer Discount", "No Discount")</f>
        <v>No Discount</v>
      </c>
    </row>
    <row r="222" spans="1:25" ht="15" customHeight="1" x14ac:dyDescent="0.25">
      <c r="A222" t="s">
        <v>1796</v>
      </c>
      <c r="B222" s="8">
        <v>45549</v>
      </c>
      <c r="C222" s="8">
        <v>45555</v>
      </c>
      <c r="D222" t="s">
        <v>48</v>
      </c>
      <c r="E222" t="s">
        <v>3059</v>
      </c>
      <c r="F222" t="s">
        <v>3052</v>
      </c>
      <c r="G222" t="s">
        <v>1797</v>
      </c>
      <c r="H222">
        <v>9022500416</v>
      </c>
      <c r="I222" t="s">
        <v>43</v>
      </c>
      <c r="J222" t="s">
        <v>69</v>
      </c>
      <c r="K222" t="s">
        <v>119</v>
      </c>
      <c r="L222" t="s">
        <v>96</v>
      </c>
      <c r="M222" t="s">
        <v>189</v>
      </c>
      <c r="N222" t="s">
        <v>287</v>
      </c>
      <c r="O222">
        <v>11</v>
      </c>
      <c r="P222">
        <v>84702.35</v>
      </c>
      <c r="Q222">
        <v>15</v>
      </c>
      <c r="R222" s="39">
        <v>139758.88</v>
      </c>
      <c r="S222" s="39">
        <v>791966.97</v>
      </c>
      <c r="T222" s="39">
        <v>245339.72</v>
      </c>
      <c r="U222" t="str">
        <f t="shared" si="7"/>
        <v>Technology</v>
      </c>
      <c r="V222">
        <f t="shared" si="8"/>
        <v>245339.72</v>
      </c>
      <c r="W222" t="str">
        <f>IF(Sales[[#This Row],[Quantity]]&gt;=15, "Large","Small")</f>
        <v>Small</v>
      </c>
      <c r="X222" t="str">
        <f>IF(Sales[[#This Row],[Quantity]]&gt;=15,"Large",IF(Sales[[#This Row],[Quantity]]=14,"Medium","Small"))</f>
        <v>Small</v>
      </c>
      <c r="Y222" t="str">
        <f>IF(AND(Sales[[#This Row],[Unit Price (₦)]]&gt;68000,Sales[[#This Row],[Quantity]]&gt;15),"Offer Discount", "No Discount")</f>
        <v>No Discount</v>
      </c>
    </row>
    <row r="223" spans="1:25" ht="15" customHeight="1" x14ac:dyDescent="0.25">
      <c r="A223" t="s">
        <v>1706</v>
      </c>
      <c r="B223" s="8">
        <v>45585</v>
      </c>
      <c r="C223" s="8">
        <v>45592</v>
      </c>
      <c r="D223" t="s">
        <v>48</v>
      </c>
      <c r="E223" t="s">
        <v>3095</v>
      </c>
      <c r="F223" t="s">
        <v>3043</v>
      </c>
      <c r="G223" t="s">
        <v>1708</v>
      </c>
      <c r="H223">
        <v>7067767404</v>
      </c>
      <c r="I223" t="s">
        <v>24</v>
      </c>
      <c r="J223" t="s">
        <v>61</v>
      </c>
      <c r="K223" t="s">
        <v>182</v>
      </c>
      <c r="L223" t="s">
        <v>27</v>
      </c>
      <c r="M223" t="s">
        <v>45</v>
      </c>
      <c r="N223" t="s">
        <v>838</v>
      </c>
      <c r="O223">
        <v>19</v>
      </c>
      <c r="P223">
        <v>4819.55</v>
      </c>
      <c r="Q223">
        <v>0</v>
      </c>
      <c r="R223" s="39">
        <v>0</v>
      </c>
      <c r="S223" s="39">
        <v>91571.45</v>
      </c>
      <c r="T223" s="39">
        <v>36929.53</v>
      </c>
      <c r="U223" t="str">
        <f t="shared" si="7"/>
        <v>Food &amp; Beverages</v>
      </c>
      <c r="V223">
        <f t="shared" si="8"/>
        <v>36929.53</v>
      </c>
      <c r="W223" t="str">
        <f>IF(Sales[[#This Row],[Quantity]]&gt;=15, "Large","Small")</f>
        <v>Large</v>
      </c>
      <c r="X223" t="str">
        <f>IF(Sales[[#This Row],[Quantity]]&gt;=15,"Large",IF(Sales[[#This Row],[Quantity]]=14,"Medium","Small"))</f>
        <v>Large</v>
      </c>
      <c r="Y223" t="str">
        <f>IF(AND(Sales[[#This Row],[Unit Price (₦)]]&gt;68000,Sales[[#This Row],[Quantity]]&gt;15),"Offer Discount", "No Discount")</f>
        <v>No Discount</v>
      </c>
    </row>
    <row r="224" spans="1:25" ht="15" customHeight="1" x14ac:dyDescent="0.25">
      <c r="A224" t="s">
        <v>1837</v>
      </c>
      <c r="B224" s="8">
        <v>45598</v>
      </c>
      <c r="C224" s="8">
        <v>45605</v>
      </c>
      <c r="D224" t="s">
        <v>48</v>
      </c>
      <c r="E224" t="s">
        <v>3073</v>
      </c>
      <c r="F224" t="s">
        <v>3077</v>
      </c>
      <c r="G224" t="s">
        <v>1839</v>
      </c>
      <c r="H224">
        <v>7061001435</v>
      </c>
      <c r="I224" t="s">
        <v>35</v>
      </c>
      <c r="J224" t="s">
        <v>51</v>
      </c>
      <c r="K224" t="s">
        <v>52</v>
      </c>
      <c r="L224" t="s">
        <v>85</v>
      </c>
      <c r="M224" t="s">
        <v>243</v>
      </c>
      <c r="N224" t="s">
        <v>1054</v>
      </c>
      <c r="O224">
        <v>17</v>
      </c>
      <c r="P224">
        <v>170748.91</v>
      </c>
      <c r="Q224">
        <v>10</v>
      </c>
      <c r="R224" s="39">
        <v>290273.15000000002</v>
      </c>
      <c r="S224" s="39">
        <v>2612458.3199999998</v>
      </c>
      <c r="T224" s="39">
        <v>641344.27</v>
      </c>
      <c r="U224" t="str">
        <f t="shared" si="7"/>
        <v>Furniture</v>
      </c>
      <c r="V224">
        <f t="shared" si="8"/>
        <v>641344.27</v>
      </c>
      <c r="W224" t="str">
        <f>IF(Sales[[#This Row],[Quantity]]&gt;=15, "Large","Small")</f>
        <v>Large</v>
      </c>
      <c r="X224" t="str">
        <f>IF(Sales[[#This Row],[Quantity]]&gt;=15,"Large",IF(Sales[[#This Row],[Quantity]]=14,"Medium","Small"))</f>
        <v>Large</v>
      </c>
      <c r="Y224" t="str">
        <f>IF(AND(Sales[[#This Row],[Unit Price (₦)]]&gt;68000,Sales[[#This Row],[Quantity]]&gt;15),"Offer Discount", "No Discount")</f>
        <v>Offer Discount</v>
      </c>
    </row>
    <row r="225" spans="1:25" ht="15" customHeight="1" x14ac:dyDescent="0.25">
      <c r="A225" t="s">
        <v>2610</v>
      </c>
      <c r="B225" s="8">
        <v>45609</v>
      </c>
      <c r="C225" s="8">
        <v>45614</v>
      </c>
      <c r="D225" t="s">
        <v>48</v>
      </c>
      <c r="E225" t="s">
        <v>3033</v>
      </c>
      <c r="F225" t="s">
        <v>3083</v>
      </c>
      <c r="G225" t="s">
        <v>2611</v>
      </c>
      <c r="H225">
        <v>8063347324</v>
      </c>
      <c r="I225" t="s">
        <v>24</v>
      </c>
      <c r="J225" t="s">
        <v>51</v>
      </c>
      <c r="K225" t="s">
        <v>227</v>
      </c>
      <c r="L225" t="s">
        <v>85</v>
      </c>
      <c r="M225" t="s">
        <v>86</v>
      </c>
      <c r="N225" t="s">
        <v>238</v>
      </c>
      <c r="O225">
        <v>8</v>
      </c>
      <c r="P225">
        <v>36101.660000000003</v>
      </c>
      <c r="Q225">
        <v>0</v>
      </c>
      <c r="R225" s="39">
        <v>0</v>
      </c>
      <c r="S225" s="39">
        <v>288813.28000000003</v>
      </c>
      <c r="T225" s="39">
        <v>87451.43</v>
      </c>
      <c r="U225" t="str">
        <f t="shared" si="7"/>
        <v>Furniture</v>
      </c>
      <c r="V225">
        <f t="shared" si="8"/>
        <v>87451.43</v>
      </c>
      <c r="W225" t="str">
        <f>IF(Sales[[#This Row],[Quantity]]&gt;=15, "Large","Small")</f>
        <v>Small</v>
      </c>
      <c r="X225" t="str">
        <f>IF(Sales[[#This Row],[Quantity]]&gt;=15,"Large",IF(Sales[[#This Row],[Quantity]]=14,"Medium","Small"))</f>
        <v>Small</v>
      </c>
      <c r="Y225" t="str">
        <f>IF(AND(Sales[[#This Row],[Unit Price (₦)]]&gt;68000,Sales[[#This Row],[Quantity]]&gt;15),"Offer Discount", "No Discount")</f>
        <v>No Discount</v>
      </c>
    </row>
    <row r="226" spans="1:25" ht="15" customHeight="1" x14ac:dyDescent="0.25">
      <c r="A226" t="s">
        <v>2870</v>
      </c>
      <c r="B226" s="8">
        <v>45622</v>
      </c>
      <c r="C226" s="8">
        <v>45628</v>
      </c>
      <c r="D226" t="s">
        <v>48</v>
      </c>
      <c r="E226" t="s">
        <v>3085</v>
      </c>
      <c r="F226" t="s">
        <v>3071</v>
      </c>
      <c r="G226" t="s">
        <v>1662</v>
      </c>
      <c r="H226">
        <v>7062344809</v>
      </c>
      <c r="I226" t="s">
        <v>35</v>
      </c>
      <c r="J226" t="s">
        <v>61</v>
      </c>
      <c r="K226" t="s">
        <v>62</v>
      </c>
      <c r="L226" t="s">
        <v>63</v>
      </c>
      <c r="M226" t="s">
        <v>64</v>
      </c>
      <c r="N226" t="s">
        <v>501</v>
      </c>
      <c r="O226">
        <v>11</v>
      </c>
      <c r="P226">
        <v>17192.8</v>
      </c>
      <c r="Q226">
        <v>0</v>
      </c>
      <c r="R226" s="39">
        <v>0</v>
      </c>
      <c r="S226" s="39">
        <v>189120.8</v>
      </c>
      <c r="T226" s="39">
        <v>-24611.49</v>
      </c>
      <c r="U226" t="str">
        <f t="shared" si="7"/>
        <v>Office Supplies</v>
      </c>
      <c r="V226">
        <f t="shared" si="8"/>
        <v>24611.49</v>
      </c>
      <c r="W226" t="str">
        <f>IF(Sales[[#This Row],[Quantity]]&gt;=15, "Large","Small")</f>
        <v>Small</v>
      </c>
      <c r="X226" t="str">
        <f>IF(Sales[[#This Row],[Quantity]]&gt;=15,"Large",IF(Sales[[#This Row],[Quantity]]=14,"Medium","Small"))</f>
        <v>Small</v>
      </c>
      <c r="Y226" t="str">
        <f>IF(AND(Sales[[#This Row],[Unit Price (₦)]]&gt;68000,Sales[[#This Row],[Quantity]]&gt;15),"Offer Discount", "No Discount")</f>
        <v>No Discount</v>
      </c>
    </row>
    <row r="227" spans="1:25" ht="15" customHeight="1" x14ac:dyDescent="0.25">
      <c r="A227" t="s">
        <v>1138</v>
      </c>
      <c r="B227" s="8">
        <v>45622</v>
      </c>
      <c r="C227" s="8">
        <v>45628</v>
      </c>
      <c r="D227" t="s">
        <v>48</v>
      </c>
      <c r="E227" t="s">
        <v>3093</v>
      </c>
      <c r="F227" t="s">
        <v>3046</v>
      </c>
      <c r="G227" t="s">
        <v>1140</v>
      </c>
      <c r="H227">
        <v>8134604128</v>
      </c>
      <c r="I227" t="s">
        <v>43</v>
      </c>
      <c r="J227" t="s">
        <v>25</v>
      </c>
      <c r="K227" t="s">
        <v>26</v>
      </c>
      <c r="L227" t="s">
        <v>63</v>
      </c>
      <c r="M227" t="s">
        <v>249</v>
      </c>
      <c r="N227" t="s">
        <v>1141</v>
      </c>
      <c r="O227">
        <v>17</v>
      </c>
      <c r="P227">
        <v>23018.25</v>
      </c>
      <c r="Q227">
        <v>25</v>
      </c>
      <c r="R227" s="39">
        <v>97827.56</v>
      </c>
      <c r="S227" s="39">
        <v>293482.69</v>
      </c>
      <c r="T227" s="39">
        <v>56466.34</v>
      </c>
      <c r="U227" t="str">
        <f t="shared" si="7"/>
        <v>Office Supplies</v>
      </c>
      <c r="V227">
        <f t="shared" si="8"/>
        <v>56466.34</v>
      </c>
      <c r="W227" t="str">
        <f>IF(Sales[[#This Row],[Quantity]]&gt;=15, "Large","Small")</f>
        <v>Large</v>
      </c>
      <c r="X227" t="str">
        <f>IF(Sales[[#This Row],[Quantity]]&gt;=15,"Large",IF(Sales[[#This Row],[Quantity]]=14,"Medium","Small"))</f>
        <v>Large</v>
      </c>
      <c r="Y227" t="str">
        <f>IF(AND(Sales[[#This Row],[Unit Price (₦)]]&gt;68000,Sales[[#This Row],[Quantity]]&gt;15),"Offer Discount", "No Discount")</f>
        <v>No Discount</v>
      </c>
    </row>
    <row r="228" spans="1:25" ht="15" customHeight="1" x14ac:dyDescent="0.25">
      <c r="A228" t="s">
        <v>1434</v>
      </c>
      <c r="B228" s="8">
        <v>45626</v>
      </c>
      <c r="C228" s="8">
        <v>45632</v>
      </c>
      <c r="D228" t="s">
        <v>48</v>
      </c>
      <c r="E228" t="s">
        <v>3089</v>
      </c>
      <c r="F228" t="s">
        <v>3096</v>
      </c>
      <c r="G228" t="s">
        <v>1436</v>
      </c>
      <c r="H228">
        <v>9015836389</v>
      </c>
      <c r="I228" t="s">
        <v>43</v>
      </c>
      <c r="J228" t="s">
        <v>51</v>
      </c>
      <c r="K228" t="s">
        <v>52</v>
      </c>
      <c r="L228" t="s">
        <v>27</v>
      </c>
      <c r="M228" t="s">
        <v>79</v>
      </c>
      <c r="N228" t="s">
        <v>145</v>
      </c>
      <c r="O228">
        <v>4</v>
      </c>
      <c r="P228">
        <v>2826.49</v>
      </c>
      <c r="Q228">
        <v>15</v>
      </c>
      <c r="R228" s="39">
        <v>1695.89</v>
      </c>
      <c r="S228" s="39">
        <v>9610.07</v>
      </c>
      <c r="T228" s="39">
        <v>193.8</v>
      </c>
      <c r="U228" t="str">
        <f t="shared" si="7"/>
        <v>Food &amp; Beverages</v>
      </c>
      <c r="V228">
        <f t="shared" si="8"/>
        <v>193.8</v>
      </c>
      <c r="W228" t="str">
        <f>IF(Sales[[#This Row],[Quantity]]&gt;=15, "Large","Small")</f>
        <v>Small</v>
      </c>
      <c r="X228" t="str">
        <f>IF(Sales[[#This Row],[Quantity]]&gt;=15,"Large",IF(Sales[[#This Row],[Quantity]]=14,"Medium","Small"))</f>
        <v>Small</v>
      </c>
      <c r="Y228" t="str">
        <f>IF(AND(Sales[[#This Row],[Unit Price (₦)]]&gt;68000,Sales[[#This Row],[Quantity]]&gt;15),"Offer Discount", "No Discount")</f>
        <v>No Discount</v>
      </c>
    </row>
    <row r="229" spans="1:25" ht="15" customHeight="1" x14ac:dyDescent="0.25">
      <c r="A229" t="s">
        <v>1184</v>
      </c>
      <c r="B229" s="8">
        <v>45628</v>
      </c>
      <c r="C229" s="8">
        <v>45633</v>
      </c>
      <c r="D229" t="s">
        <v>48</v>
      </c>
      <c r="E229" t="s">
        <v>3053</v>
      </c>
      <c r="F229" t="s">
        <v>3071</v>
      </c>
      <c r="G229" t="s">
        <v>1185</v>
      </c>
      <c r="H229">
        <v>8139702386</v>
      </c>
      <c r="I229" t="s">
        <v>43</v>
      </c>
      <c r="J229" t="s">
        <v>69</v>
      </c>
      <c r="K229" t="s">
        <v>144</v>
      </c>
      <c r="L229" t="s">
        <v>27</v>
      </c>
      <c r="M229" t="s">
        <v>28</v>
      </c>
      <c r="N229" t="s">
        <v>29</v>
      </c>
      <c r="O229">
        <v>17</v>
      </c>
      <c r="P229">
        <v>4594.3</v>
      </c>
      <c r="Q229">
        <v>0</v>
      </c>
      <c r="R229" s="39">
        <v>0</v>
      </c>
      <c r="S229" s="39">
        <v>78103.100000000006</v>
      </c>
      <c r="T229" s="39">
        <v>-2818.72</v>
      </c>
      <c r="U229" t="str">
        <f t="shared" si="7"/>
        <v>Food &amp; Beverages</v>
      </c>
      <c r="V229">
        <f t="shared" si="8"/>
        <v>2818.72</v>
      </c>
      <c r="W229" t="str">
        <f>IF(Sales[[#This Row],[Quantity]]&gt;=15, "Large","Small")</f>
        <v>Large</v>
      </c>
      <c r="X229" t="str">
        <f>IF(Sales[[#This Row],[Quantity]]&gt;=15,"Large",IF(Sales[[#This Row],[Quantity]]=14,"Medium","Small"))</f>
        <v>Large</v>
      </c>
      <c r="Y229" t="str">
        <f>IF(AND(Sales[[#This Row],[Unit Price (₦)]]&gt;68000,Sales[[#This Row],[Quantity]]&gt;15),"Offer Discount", "No Discount")</f>
        <v>No Discount</v>
      </c>
    </row>
    <row r="230" spans="1:25" ht="15" customHeight="1" x14ac:dyDescent="0.25">
      <c r="A230" t="s">
        <v>892</v>
      </c>
      <c r="B230" s="8">
        <v>45627</v>
      </c>
      <c r="C230" s="8">
        <v>45634</v>
      </c>
      <c r="D230" t="s">
        <v>48</v>
      </c>
      <c r="E230" t="s">
        <v>3085</v>
      </c>
      <c r="F230" t="s">
        <v>3088</v>
      </c>
      <c r="G230" t="s">
        <v>894</v>
      </c>
      <c r="H230">
        <v>7062760168</v>
      </c>
      <c r="I230" t="s">
        <v>43</v>
      </c>
      <c r="J230" t="s">
        <v>25</v>
      </c>
      <c r="K230" t="s">
        <v>44</v>
      </c>
      <c r="L230" t="s">
        <v>27</v>
      </c>
      <c r="M230" t="s">
        <v>173</v>
      </c>
      <c r="N230" t="s">
        <v>279</v>
      </c>
      <c r="O230">
        <v>4</v>
      </c>
      <c r="P230">
        <v>2476.84</v>
      </c>
      <c r="Q230">
        <v>110</v>
      </c>
      <c r="R230" s="39">
        <v>1981.47</v>
      </c>
      <c r="S230" s="39">
        <v>7925.89</v>
      </c>
      <c r="T230" s="39">
        <v>-244.21</v>
      </c>
      <c r="U230" t="str">
        <f t="shared" si="7"/>
        <v>Food &amp; Beverages</v>
      </c>
      <c r="V230">
        <f t="shared" si="8"/>
        <v>244.21</v>
      </c>
      <c r="W230" t="str">
        <f>IF(Sales[[#This Row],[Quantity]]&gt;=15, "Large","Small")</f>
        <v>Small</v>
      </c>
      <c r="X230" t="str">
        <f>IF(Sales[[#This Row],[Quantity]]&gt;=15,"Large",IF(Sales[[#This Row],[Quantity]]=14,"Medium","Small"))</f>
        <v>Small</v>
      </c>
      <c r="Y230" t="str">
        <f>IF(AND(Sales[[#This Row],[Unit Price (₦)]]&gt;68000,Sales[[#This Row],[Quantity]]&gt;15),"Offer Discount", "No Discount")</f>
        <v>No Discount</v>
      </c>
    </row>
    <row r="231" spans="1:25" ht="15" customHeight="1" x14ac:dyDescent="0.25">
      <c r="A231" t="s">
        <v>892</v>
      </c>
      <c r="B231" s="8">
        <v>45627</v>
      </c>
      <c r="C231" s="8">
        <v>45634</v>
      </c>
      <c r="D231" t="s">
        <v>48</v>
      </c>
      <c r="E231" t="s">
        <v>3085</v>
      </c>
      <c r="F231" t="s">
        <v>3088</v>
      </c>
      <c r="G231" t="s">
        <v>894</v>
      </c>
      <c r="H231" t="s">
        <v>1508</v>
      </c>
      <c r="I231" t="s">
        <v>43</v>
      </c>
      <c r="J231" t="s">
        <v>25</v>
      </c>
      <c r="K231" t="s">
        <v>44</v>
      </c>
      <c r="L231" t="s">
        <v>27</v>
      </c>
      <c r="M231" t="s">
        <v>173</v>
      </c>
      <c r="N231" t="s">
        <v>279</v>
      </c>
      <c r="O231">
        <v>4</v>
      </c>
      <c r="P231">
        <v>2476.84</v>
      </c>
      <c r="Q231">
        <v>20</v>
      </c>
      <c r="R231" s="39">
        <v>1981.47</v>
      </c>
      <c r="S231" s="39">
        <v>7925.89</v>
      </c>
      <c r="T231" s="39">
        <v>-244.21</v>
      </c>
      <c r="U231" t="str">
        <f t="shared" si="7"/>
        <v>Food &amp; Beverages</v>
      </c>
      <c r="V231">
        <f t="shared" si="8"/>
        <v>244.21</v>
      </c>
      <c r="W231" t="str">
        <f>IF(Sales[[#This Row],[Quantity]]&gt;=15, "Large","Small")</f>
        <v>Small</v>
      </c>
      <c r="X231" t="str">
        <f>IF(Sales[[#This Row],[Quantity]]&gt;=15,"Large",IF(Sales[[#This Row],[Quantity]]=14,"Medium","Small"))</f>
        <v>Small</v>
      </c>
      <c r="Y231" t="str">
        <f>IF(AND(Sales[[#This Row],[Unit Price (₦)]]&gt;68000,Sales[[#This Row],[Quantity]]&gt;15),"Offer Discount", "No Discount")</f>
        <v>No Discount</v>
      </c>
    </row>
    <row r="232" spans="1:25" ht="15" customHeight="1" x14ac:dyDescent="0.25">
      <c r="A232" t="s">
        <v>1731</v>
      </c>
      <c r="B232" s="8">
        <v>45632</v>
      </c>
      <c r="C232" s="8">
        <v>45637</v>
      </c>
      <c r="D232" t="s">
        <v>48</v>
      </c>
      <c r="E232" t="s">
        <v>3098</v>
      </c>
      <c r="F232" t="s">
        <v>3078</v>
      </c>
      <c r="G232" t="s">
        <v>1374</v>
      </c>
      <c r="H232">
        <v>8141879382</v>
      </c>
      <c r="I232" t="s">
        <v>24</v>
      </c>
      <c r="J232" t="s">
        <v>61</v>
      </c>
      <c r="K232" t="s">
        <v>204</v>
      </c>
      <c r="L232" t="s">
        <v>27</v>
      </c>
      <c r="M232" t="s">
        <v>79</v>
      </c>
      <c r="N232" t="s">
        <v>145</v>
      </c>
      <c r="O232">
        <v>7</v>
      </c>
      <c r="P232">
        <v>6247.55</v>
      </c>
      <c r="Q232">
        <v>5</v>
      </c>
      <c r="R232" s="39">
        <v>2186.64</v>
      </c>
      <c r="S232" s="39">
        <v>41546.21</v>
      </c>
      <c r="T232" s="39">
        <v>3107.11</v>
      </c>
      <c r="U232" t="str">
        <f t="shared" si="7"/>
        <v>Food &amp; Beverages</v>
      </c>
      <c r="V232">
        <f t="shared" si="8"/>
        <v>3107.11</v>
      </c>
      <c r="W232" t="str">
        <f>IF(Sales[[#This Row],[Quantity]]&gt;=15, "Large","Small")</f>
        <v>Small</v>
      </c>
      <c r="X232" t="str">
        <f>IF(Sales[[#This Row],[Quantity]]&gt;=15,"Large",IF(Sales[[#This Row],[Quantity]]=14,"Medium","Small"))</f>
        <v>Small</v>
      </c>
      <c r="Y232" t="str">
        <f>IF(AND(Sales[[#This Row],[Unit Price (₦)]]&gt;68000,Sales[[#This Row],[Quantity]]&gt;15),"Offer Discount", "No Discount")</f>
        <v>No Discount</v>
      </c>
    </row>
    <row r="233" spans="1:25" ht="15" customHeight="1" x14ac:dyDescent="0.25">
      <c r="A233" t="s">
        <v>2883</v>
      </c>
      <c r="B233" s="8">
        <v>45638</v>
      </c>
      <c r="C233" s="8">
        <v>45644</v>
      </c>
      <c r="D233" t="s">
        <v>48</v>
      </c>
      <c r="E233" t="s">
        <v>3033</v>
      </c>
      <c r="F233" t="s">
        <v>3050</v>
      </c>
      <c r="G233" t="s">
        <v>2885</v>
      </c>
      <c r="H233">
        <v>8161788304</v>
      </c>
      <c r="I233" t="s">
        <v>43</v>
      </c>
      <c r="J233" t="s">
        <v>69</v>
      </c>
      <c r="K233" t="s">
        <v>155</v>
      </c>
      <c r="L233" t="s">
        <v>96</v>
      </c>
      <c r="M233" t="s">
        <v>189</v>
      </c>
      <c r="N233" t="s">
        <v>325</v>
      </c>
      <c r="O233">
        <v>4</v>
      </c>
      <c r="P233">
        <v>378180.72</v>
      </c>
      <c r="Q233">
        <v>25</v>
      </c>
      <c r="R233" s="39">
        <v>378180.72</v>
      </c>
      <c r="S233" s="39">
        <v>1134542.1599999999</v>
      </c>
      <c r="T233" s="39">
        <v>452842.23999999999</v>
      </c>
      <c r="U233" t="str">
        <f t="shared" si="7"/>
        <v>Technology</v>
      </c>
      <c r="V233">
        <f t="shared" si="8"/>
        <v>452842.23999999999</v>
      </c>
      <c r="W233" t="str">
        <f>IF(Sales[[#This Row],[Quantity]]&gt;=15, "Large","Small")</f>
        <v>Small</v>
      </c>
      <c r="X233" t="str">
        <f>IF(Sales[[#This Row],[Quantity]]&gt;=15,"Large",IF(Sales[[#This Row],[Quantity]]=14,"Medium","Small"))</f>
        <v>Small</v>
      </c>
      <c r="Y233" t="str">
        <f>IF(AND(Sales[[#This Row],[Unit Price (₦)]]&gt;68000,Sales[[#This Row],[Quantity]]&gt;15),"Offer Discount", "No Discount")</f>
        <v>No Discount</v>
      </c>
    </row>
    <row r="234" spans="1:25" ht="15" customHeight="1" x14ac:dyDescent="0.25">
      <c r="A234" t="s">
        <v>733</v>
      </c>
      <c r="B234" s="8">
        <v>45643</v>
      </c>
      <c r="C234" s="8">
        <v>45648</v>
      </c>
      <c r="D234" t="s">
        <v>48</v>
      </c>
      <c r="E234" t="s">
        <v>3073</v>
      </c>
      <c r="F234" t="s">
        <v>3074</v>
      </c>
      <c r="G234" t="s">
        <v>735</v>
      </c>
      <c r="H234">
        <v>7068060918</v>
      </c>
      <c r="I234" t="s">
        <v>391</v>
      </c>
      <c r="J234" t="s">
        <v>61</v>
      </c>
      <c r="K234" t="s">
        <v>204</v>
      </c>
      <c r="L234" t="s">
        <v>63</v>
      </c>
      <c r="M234" t="s">
        <v>312</v>
      </c>
      <c r="N234" t="s">
        <v>736</v>
      </c>
      <c r="O234">
        <v>3</v>
      </c>
      <c r="P234">
        <v>19186.79</v>
      </c>
      <c r="Q234">
        <v>0</v>
      </c>
      <c r="R234" s="39">
        <v>0</v>
      </c>
      <c r="S234" s="39">
        <v>57560.37</v>
      </c>
      <c r="T234" s="39">
        <v>11651.26</v>
      </c>
      <c r="U234" t="str">
        <f t="shared" si="7"/>
        <v>Office Supplies</v>
      </c>
      <c r="V234">
        <f t="shared" si="8"/>
        <v>11651.26</v>
      </c>
      <c r="W234" t="str">
        <f>IF(Sales[[#This Row],[Quantity]]&gt;=15, "Large","Small")</f>
        <v>Small</v>
      </c>
      <c r="X234" t="str">
        <f>IF(Sales[[#This Row],[Quantity]]&gt;=15,"Large",IF(Sales[[#This Row],[Quantity]]=14,"Medium","Small"))</f>
        <v>Small</v>
      </c>
      <c r="Y234" t="str">
        <f>IF(AND(Sales[[#This Row],[Unit Price (₦)]]&gt;68000,Sales[[#This Row],[Quantity]]&gt;15),"Offer Discount", "No Discount")</f>
        <v>No Discount</v>
      </c>
    </row>
    <row r="235" spans="1:25" ht="15" customHeight="1" x14ac:dyDescent="0.25">
      <c r="A235" t="s">
        <v>1654</v>
      </c>
      <c r="B235" s="8">
        <v>45653</v>
      </c>
      <c r="C235" s="8">
        <v>45660</v>
      </c>
      <c r="D235" t="s">
        <v>48</v>
      </c>
      <c r="E235" t="s">
        <v>3060</v>
      </c>
      <c r="F235" t="s">
        <v>3071</v>
      </c>
      <c r="G235" t="s">
        <v>759</v>
      </c>
      <c r="H235">
        <v>7061870113</v>
      </c>
      <c r="I235" t="s">
        <v>24</v>
      </c>
      <c r="J235" t="s">
        <v>51</v>
      </c>
      <c r="K235" t="s">
        <v>131</v>
      </c>
      <c r="L235" t="s">
        <v>63</v>
      </c>
      <c r="M235" t="s">
        <v>64</v>
      </c>
      <c r="N235" t="s">
        <v>104</v>
      </c>
      <c r="O235">
        <v>17</v>
      </c>
      <c r="P235">
        <v>7213.87</v>
      </c>
      <c r="Q235">
        <v>20</v>
      </c>
      <c r="R235" s="39">
        <v>24527.16</v>
      </c>
      <c r="S235" s="39">
        <v>98108.63</v>
      </c>
      <c r="T235" s="39">
        <v>14455.8</v>
      </c>
      <c r="U235" t="str">
        <f t="shared" si="7"/>
        <v>Office Supplies</v>
      </c>
      <c r="V235">
        <f t="shared" si="8"/>
        <v>14455.8</v>
      </c>
      <c r="W235" t="str">
        <f>IF(Sales[[#This Row],[Quantity]]&gt;=15, "Large","Small")</f>
        <v>Large</v>
      </c>
      <c r="X235" t="str">
        <f>IF(Sales[[#This Row],[Quantity]]&gt;=15,"Large",IF(Sales[[#This Row],[Quantity]]=14,"Medium","Small"))</f>
        <v>Large</v>
      </c>
      <c r="Y235" t="str">
        <f>IF(AND(Sales[[#This Row],[Unit Price (₦)]]&gt;68000,Sales[[#This Row],[Quantity]]&gt;15),"Offer Discount", "No Discount")</f>
        <v>No Discount</v>
      </c>
    </row>
    <row r="236" spans="1:25" ht="15" customHeight="1" x14ac:dyDescent="0.25">
      <c r="A236" t="s">
        <v>2440</v>
      </c>
      <c r="B236" s="8">
        <v>45653</v>
      </c>
      <c r="C236" s="8">
        <v>45660</v>
      </c>
      <c r="D236" t="s">
        <v>48</v>
      </c>
      <c r="E236" t="s">
        <v>3037</v>
      </c>
      <c r="F236" t="s">
        <v>3043</v>
      </c>
      <c r="G236" t="s">
        <v>2442</v>
      </c>
      <c r="H236">
        <v>7033663379</v>
      </c>
      <c r="I236" t="s">
        <v>24</v>
      </c>
      <c r="J236" t="s">
        <v>61</v>
      </c>
      <c r="K236" t="s">
        <v>84</v>
      </c>
      <c r="L236" t="s">
        <v>96</v>
      </c>
      <c r="M236" t="s">
        <v>385</v>
      </c>
      <c r="N236" t="s">
        <v>1010</v>
      </c>
      <c r="O236">
        <v>5</v>
      </c>
      <c r="P236">
        <v>113422.01</v>
      </c>
      <c r="Q236">
        <v>25</v>
      </c>
      <c r="R236" s="39">
        <v>141777.51</v>
      </c>
      <c r="S236" s="39">
        <v>425332.54</v>
      </c>
      <c r="T236" s="39">
        <v>176647.07</v>
      </c>
      <c r="U236" t="str">
        <f t="shared" si="7"/>
        <v>Technology</v>
      </c>
      <c r="V236">
        <f t="shared" si="8"/>
        <v>176647.07</v>
      </c>
      <c r="W236" t="str">
        <f>IF(Sales[[#This Row],[Quantity]]&gt;=15, "Large","Small")</f>
        <v>Small</v>
      </c>
      <c r="X236" t="str">
        <f>IF(Sales[[#This Row],[Quantity]]&gt;=15,"Large",IF(Sales[[#This Row],[Quantity]]=14,"Medium","Small"))</f>
        <v>Small</v>
      </c>
      <c r="Y236" t="str">
        <f>IF(AND(Sales[[#This Row],[Unit Price (₦)]]&gt;68000,Sales[[#This Row],[Quantity]]&gt;15),"Offer Discount", "No Discount")</f>
        <v>No Discount</v>
      </c>
    </row>
    <row r="237" spans="1:25" ht="15" customHeight="1" x14ac:dyDescent="0.25">
      <c r="A237" t="s">
        <v>1179</v>
      </c>
      <c r="B237" s="8">
        <v>45538</v>
      </c>
      <c r="C237" s="8">
        <f>C236</f>
        <v>45660</v>
      </c>
      <c r="D237" t="s">
        <v>48</v>
      </c>
      <c r="E237" t="s">
        <v>3092</v>
      </c>
      <c r="F237" t="s">
        <v>3086</v>
      </c>
      <c r="G237" t="s">
        <v>1180</v>
      </c>
      <c r="H237">
        <v>9017273997</v>
      </c>
      <c r="I237" t="s">
        <v>43</v>
      </c>
      <c r="J237" t="s">
        <v>61</v>
      </c>
      <c r="K237" t="s">
        <v>95</v>
      </c>
      <c r="L237" t="s">
        <v>85</v>
      </c>
      <c r="M237" t="s">
        <v>486</v>
      </c>
      <c r="N237" t="s">
        <v>1018</v>
      </c>
      <c r="O237">
        <v>6</v>
      </c>
      <c r="P237">
        <v>89501.67</v>
      </c>
      <c r="Q237">
        <v>5</v>
      </c>
      <c r="R237" s="39">
        <v>26850.5</v>
      </c>
      <c r="S237" s="39">
        <v>510159.52</v>
      </c>
      <c r="T237" s="39">
        <v>-7262.71</v>
      </c>
      <c r="U237" t="str">
        <f t="shared" si="7"/>
        <v>Furniture</v>
      </c>
      <c r="V237">
        <f t="shared" si="8"/>
        <v>7262.71</v>
      </c>
      <c r="W237" t="str">
        <f>IF(Sales[[#This Row],[Quantity]]&gt;=15, "Large","Small")</f>
        <v>Small</v>
      </c>
      <c r="X237" t="str">
        <f>IF(Sales[[#This Row],[Quantity]]&gt;=15,"Large",IF(Sales[[#This Row],[Quantity]]=14,"Medium","Small"))</f>
        <v>Small</v>
      </c>
      <c r="Y237" t="str">
        <f>IF(AND(Sales[[#This Row],[Unit Price (₦)]]&gt;68000,Sales[[#This Row],[Quantity]]&gt;15),"Offer Discount", "No Discount")</f>
        <v>No Discount</v>
      </c>
    </row>
    <row r="238" spans="1:25" ht="15" customHeight="1" x14ac:dyDescent="0.25">
      <c r="A238" t="s">
        <v>1040</v>
      </c>
      <c r="B238" s="8">
        <v>44562</v>
      </c>
      <c r="C238" s="8">
        <v>44565</v>
      </c>
      <c r="D238" t="s">
        <v>73</v>
      </c>
      <c r="E238" t="s">
        <v>3081</v>
      </c>
      <c r="F238" t="s">
        <v>3036</v>
      </c>
      <c r="G238" t="s">
        <v>1042</v>
      </c>
      <c r="H238">
        <v>7037629401</v>
      </c>
      <c r="I238" t="s">
        <v>43</v>
      </c>
      <c r="J238" t="s">
        <v>61</v>
      </c>
      <c r="K238" t="s">
        <v>95</v>
      </c>
      <c r="L238" t="s">
        <v>108</v>
      </c>
      <c r="M238" t="s">
        <v>189</v>
      </c>
      <c r="N238" t="s">
        <v>190</v>
      </c>
      <c r="O238">
        <v>3</v>
      </c>
      <c r="P238">
        <v>24262.94</v>
      </c>
      <c r="Q238">
        <v>0</v>
      </c>
      <c r="R238" s="39">
        <v>0</v>
      </c>
      <c r="S238" s="39">
        <v>72788.820000000007</v>
      </c>
      <c r="T238" s="39">
        <v>13084.2</v>
      </c>
      <c r="U238" t="str">
        <f t="shared" si="7"/>
        <v>Clothing</v>
      </c>
      <c r="V238">
        <f t="shared" si="8"/>
        <v>13084.2</v>
      </c>
      <c r="W238" t="str">
        <f>IF(Sales[[#This Row],[Quantity]]&gt;=15, "Large","Small")</f>
        <v>Small</v>
      </c>
      <c r="X238" t="str">
        <f>IF(Sales[[#This Row],[Quantity]]&gt;=15,"Large",IF(Sales[[#This Row],[Quantity]]=14,"Medium","Small"))</f>
        <v>Small</v>
      </c>
      <c r="Y238" t="str">
        <f>IF(AND(Sales[[#This Row],[Unit Price (₦)]]&gt;68000,Sales[[#This Row],[Quantity]]&gt;15),"Offer Discount", "No Discount")</f>
        <v>No Discount</v>
      </c>
    </row>
    <row r="239" spans="1:25" ht="15" customHeight="1" x14ac:dyDescent="0.25">
      <c r="A239" t="s">
        <v>1637</v>
      </c>
      <c r="B239" s="8">
        <v>44563</v>
      </c>
      <c r="C239" s="8">
        <v>44566</v>
      </c>
      <c r="D239" t="s">
        <v>73</v>
      </c>
      <c r="E239" t="s">
        <v>3055</v>
      </c>
      <c r="F239" t="s">
        <v>3036</v>
      </c>
      <c r="G239" t="s">
        <v>1639</v>
      </c>
      <c r="H239">
        <v>8037377917</v>
      </c>
      <c r="I239" t="s">
        <v>43</v>
      </c>
      <c r="J239" t="s">
        <v>69</v>
      </c>
      <c r="K239" t="s">
        <v>155</v>
      </c>
      <c r="L239" t="s">
        <v>1640</v>
      </c>
      <c r="M239" t="s">
        <v>194</v>
      </c>
      <c r="N239" t="s">
        <v>336</v>
      </c>
      <c r="O239">
        <v>17</v>
      </c>
      <c r="P239">
        <v>14836.4</v>
      </c>
      <c r="Q239">
        <v>10</v>
      </c>
      <c r="R239" s="39">
        <v>25221.88</v>
      </c>
      <c r="S239" s="39">
        <v>226996.92</v>
      </c>
      <c r="T239" s="39">
        <v>-27854.6</v>
      </c>
      <c r="U239" t="str">
        <f t="shared" si="7"/>
        <v>Office Supplies</v>
      </c>
      <c r="V239">
        <f t="shared" si="8"/>
        <v>27854.6</v>
      </c>
      <c r="W239" t="str">
        <f>IF(Sales[[#This Row],[Quantity]]&gt;=15, "Large","Small")</f>
        <v>Large</v>
      </c>
      <c r="X239" t="str">
        <f>IF(Sales[[#This Row],[Quantity]]&gt;=15,"Large",IF(Sales[[#This Row],[Quantity]]=14,"Medium","Small"))</f>
        <v>Large</v>
      </c>
      <c r="Y239" t="str">
        <f>IF(AND(Sales[[#This Row],[Unit Price (₦)]]&gt;68000,Sales[[#This Row],[Quantity]]&gt;15),"Offer Discount", "No Discount")</f>
        <v>No Discount</v>
      </c>
    </row>
    <row r="240" spans="1:25" ht="15" customHeight="1" x14ac:dyDescent="0.25">
      <c r="A240" t="s">
        <v>2649</v>
      </c>
      <c r="B240" s="8">
        <v>44563</v>
      </c>
      <c r="C240" s="8">
        <v>44568</v>
      </c>
      <c r="D240" t="s">
        <v>73</v>
      </c>
      <c r="E240" t="s">
        <v>3072</v>
      </c>
      <c r="F240" t="s">
        <v>3083</v>
      </c>
      <c r="G240" t="s">
        <v>1723</v>
      </c>
      <c r="H240">
        <v>8066143155</v>
      </c>
      <c r="I240" t="s">
        <v>24</v>
      </c>
      <c r="J240" t="s">
        <v>69</v>
      </c>
      <c r="K240" t="s">
        <v>119</v>
      </c>
      <c r="L240" t="s">
        <v>85</v>
      </c>
      <c r="M240" t="s">
        <v>486</v>
      </c>
      <c r="N240" t="s">
        <v>2650</v>
      </c>
      <c r="O240">
        <v>18</v>
      </c>
      <c r="P240">
        <v>149939.9</v>
      </c>
      <c r="Q240">
        <v>0</v>
      </c>
      <c r="R240" s="39">
        <v>0</v>
      </c>
      <c r="S240" s="39">
        <v>2698918.2</v>
      </c>
      <c r="T240" s="39">
        <v>1136056.56</v>
      </c>
      <c r="U240" t="str">
        <f t="shared" si="7"/>
        <v>Furniture</v>
      </c>
      <c r="V240">
        <f t="shared" si="8"/>
        <v>1136056.56</v>
      </c>
      <c r="W240" t="str">
        <f>IF(Sales[[#This Row],[Quantity]]&gt;=15, "Large","Small")</f>
        <v>Large</v>
      </c>
      <c r="X240" t="str">
        <f>IF(Sales[[#This Row],[Quantity]]&gt;=15,"Large",IF(Sales[[#This Row],[Quantity]]=14,"Medium","Small"))</f>
        <v>Large</v>
      </c>
      <c r="Y240" t="str">
        <f>IF(AND(Sales[[#This Row],[Unit Price (₦)]]&gt;68000,Sales[[#This Row],[Quantity]]&gt;15),"Offer Discount", "No Discount")</f>
        <v>Offer Discount</v>
      </c>
    </row>
    <row r="241" spans="1:25" ht="15" customHeight="1" x14ac:dyDescent="0.25">
      <c r="A241" t="s">
        <v>1792</v>
      </c>
      <c r="B241" s="8">
        <v>44568</v>
      </c>
      <c r="C241" s="8">
        <v>44573</v>
      </c>
      <c r="D241" t="s">
        <v>73</v>
      </c>
      <c r="E241" t="s">
        <v>3041</v>
      </c>
      <c r="F241" t="s">
        <v>3046</v>
      </c>
      <c r="G241" t="s">
        <v>1793</v>
      </c>
      <c r="H241">
        <v>8031767629</v>
      </c>
      <c r="I241" t="s">
        <v>43</v>
      </c>
      <c r="J241" t="s">
        <v>69</v>
      </c>
      <c r="K241" t="s">
        <v>155</v>
      </c>
      <c r="L241" t="s">
        <v>63</v>
      </c>
      <c r="M241" t="s">
        <v>469</v>
      </c>
      <c r="N241" t="s">
        <v>546</v>
      </c>
      <c r="O241">
        <v>16</v>
      </c>
      <c r="P241">
        <v>6222.19</v>
      </c>
      <c r="Q241">
        <v>15</v>
      </c>
      <c r="R241" s="39">
        <v>14933.26</v>
      </c>
      <c r="S241" s="39">
        <v>84621.78</v>
      </c>
      <c r="T241" s="39">
        <v>24838.42</v>
      </c>
      <c r="U241" t="str">
        <f t="shared" si="7"/>
        <v>Office Supplies</v>
      </c>
      <c r="V241">
        <f t="shared" si="8"/>
        <v>24838.42</v>
      </c>
      <c r="W241" t="str">
        <f>IF(Sales[[#This Row],[Quantity]]&gt;=15, "Large","Small")</f>
        <v>Large</v>
      </c>
      <c r="X241" t="str">
        <f>IF(Sales[[#This Row],[Quantity]]&gt;=15,"Large",IF(Sales[[#This Row],[Quantity]]=14,"Medium","Small"))</f>
        <v>Large</v>
      </c>
      <c r="Y241" t="str">
        <f>IF(AND(Sales[[#This Row],[Unit Price (₦)]]&gt;68000,Sales[[#This Row],[Quantity]]&gt;15),"Offer Discount", "No Discount")</f>
        <v>No Discount</v>
      </c>
    </row>
    <row r="242" spans="1:25" ht="15" customHeight="1" x14ac:dyDescent="0.25">
      <c r="A242" t="s">
        <v>2122</v>
      </c>
      <c r="B242" s="8">
        <v>44572</v>
      </c>
      <c r="C242" s="8">
        <v>44576</v>
      </c>
      <c r="D242" t="s">
        <v>73</v>
      </c>
      <c r="E242" t="s">
        <v>3051</v>
      </c>
      <c r="F242" t="s">
        <v>3057</v>
      </c>
      <c r="G242" t="s">
        <v>2124</v>
      </c>
      <c r="H242">
        <v>7034108891</v>
      </c>
      <c r="I242" t="s">
        <v>35</v>
      </c>
      <c r="J242" t="s">
        <v>25</v>
      </c>
      <c r="K242" t="s">
        <v>126</v>
      </c>
      <c r="L242" t="s">
        <v>27</v>
      </c>
      <c r="M242" t="s">
        <v>28</v>
      </c>
      <c r="N242" t="s">
        <v>508</v>
      </c>
      <c r="O242">
        <v>19</v>
      </c>
      <c r="P242">
        <v>6709.5</v>
      </c>
      <c r="Q242">
        <v>20</v>
      </c>
      <c r="R242" s="39">
        <v>25496.1</v>
      </c>
      <c r="S242" s="39">
        <v>101984.4</v>
      </c>
      <c r="T242" s="39">
        <v>15349.69</v>
      </c>
      <c r="U242" t="str">
        <f t="shared" si="7"/>
        <v>Food &amp; Beverages</v>
      </c>
      <c r="V242">
        <f t="shared" si="8"/>
        <v>15349.69</v>
      </c>
      <c r="W242" t="str">
        <f>IF(Sales[[#This Row],[Quantity]]&gt;=15, "Large","Small")</f>
        <v>Large</v>
      </c>
      <c r="X242" t="str">
        <f>IF(Sales[[#This Row],[Quantity]]&gt;=15,"Large",IF(Sales[[#This Row],[Quantity]]=14,"Medium","Small"))</f>
        <v>Large</v>
      </c>
      <c r="Y242" t="str">
        <f>IF(AND(Sales[[#This Row],[Unit Price (₦)]]&gt;68000,Sales[[#This Row],[Quantity]]&gt;15),"Offer Discount", "No Discount")</f>
        <v>No Discount</v>
      </c>
    </row>
    <row r="243" spans="1:25" ht="15" customHeight="1" x14ac:dyDescent="0.25">
      <c r="A243" t="s">
        <v>1680</v>
      </c>
      <c r="B243" s="8">
        <v>44575</v>
      </c>
      <c r="C243" s="8">
        <v>44579</v>
      </c>
      <c r="D243" t="s">
        <v>73</v>
      </c>
      <c r="E243" t="s">
        <v>3049</v>
      </c>
      <c r="F243" t="s">
        <v>3050</v>
      </c>
      <c r="G243" t="s">
        <v>1681</v>
      </c>
      <c r="H243">
        <v>8032932555</v>
      </c>
      <c r="I243" t="s">
        <v>43</v>
      </c>
      <c r="J243" t="s">
        <v>69</v>
      </c>
      <c r="K243" t="s">
        <v>119</v>
      </c>
      <c r="L243" t="s">
        <v>85</v>
      </c>
      <c r="M243" t="s">
        <v>243</v>
      </c>
      <c r="N243" t="s">
        <v>439</v>
      </c>
      <c r="O243">
        <v>19</v>
      </c>
      <c r="P243">
        <v>41437.39</v>
      </c>
      <c r="Q243">
        <v>10</v>
      </c>
      <c r="R243" s="39">
        <v>78731.039999999994</v>
      </c>
      <c r="S243" s="39">
        <v>708579.37</v>
      </c>
      <c r="T243" s="39">
        <v>-87620.87</v>
      </c>
      <c r="U243" t="str">
        <f t="shared" si="7"/>
        <v>Furniture</v>
      </c>
      <c r="V243">
        <f t="shared" si="8"/>
        <v>87620.87</v>
      </c>
      <c r="W243" t="str">
        <f>IF(Sales[[#This Row],[Quantity]]&gt;=15, "Large","Small")</f>
        <v>Large</v>
      </c>
      <c r="X243" t="str">
        <f>IF(Sales[[#This Row],[Quantity]]&gt;=15,"Large",IF(Sales[[#This Row],[Quantity]]=14,"Medium","Small"))</f>
        <v>Large</v>
      </c>
      <c r="Y243" t="str">
        <f>IF(AND(Sales[[#This Row],[Unit Price (₦)]]&gt;68000,Sales[[#This Row],[Quantity]]&gt;15),"Offer Discount", "No Discount")</f>
        <v>No Discount</v>
      </c>
    </row>
    <row r="244" spans="1:25" ht="15" customHeight="1" x14ac:dyDescent="0.25">
      <c r="A244" t="s">
        <v>1822</v>
      </c>
      <c r="B244" s="8">
        <v>44580</v>
      </c>
      <c r="C244" s="8">
        <v>44584</v>
      </c>
      <c r="D244" t="s">
        <v>73</v>
      </c>
      <c r="E244" t="s">
        <v>3094</v>
      </c>
      <c r="F244" t="s">
        <v>3038</v>
      </c>
      <c r="G244" t="s">
        <v>1825</v>
      </c>
      <c r="H244">
        <v>7068165734</v>
      </c>
      <c r="I244" t="s">
        <v>24</v>
      </c>
      <c r="J244" t="s">
        <v>61</v>
      </c>
      <c r="K244" t="s">
        <v>62</v>
      </c>
      <c r="L244" t="s">
        <v>85</v>
      </c>
      <c r="M244" t="s">
        <v>86</v>
      </c>
      <c r="N244" t="s">
        <v>584</v>
      </c>
      <c r="O244">
        <v>16</v>
      </c>
      <c r="P244">
        <v>69160.42</v>
      </c>
      <c r="Q244">
        <v>0</v>
      </c>
      <c r="R244" s="39">
        <v>0</v>
      </c>
      <c r="S244" s="39">
        <v>1106566.72</v>
      </c>
      <c r="T244" s="39">
        <v>461480.28</v>
      </c>
      <c r="U244" t="str">
        <f t="shared" si="7"/>
        <v>Furniture</v>
      </c>
      <c r="V244">
        <f t="shared" si="8"/>
        <v>461480.28</v>
      </c>
      <c r="W244" t="str">
        <f>IF(Sales[[#This Row],[Quantity]]&gt;=15, "Large","Small")</f>
        <v>Large</v>
      </c>
      <c r="X244" t="str">
        <f>IF(Sales[[#This Row],[Quantity]]&gt;=15,"Large",IF(Sales[[#This Row],[Quantity]]=14,"Medium","Small"))</f>
        <v>Large</v>
      </c>
      <c r="Y244" t="str">
        <f>IF(AND(Sales[[#This Row],[Unit Price (₦)]]&gt;68000,Sales[[#This Row],[Quantity]]&gt;15),"Offer Discount", "No Discount")</f>
        <v>Offer Discount</v>
      </c>
    </row>
    <row r="245" spans="1:25" ht="15" customHeight="1" x14ac:dyDescent="0.25">
      <c r="A245" t="s">
        <v>1904</v>
      </c>
      <c r="B245" s="8">
        <v>44580</v>
      </c>
      <c r="C245" s="8">
        <v>44585</v>
      </c>
      <c r="D245" t="s">
        <v>73</v>
      </c>
      <c r="E245" t="s">
        <v>3039</v>
      </c>
      <c r="F245" t="s">
        <v>3075</v>
      </c>
      <c r="G245" t="s">
        <v>1906</v>
      </c>
      <c r="H245">
        <v>8164696630</v>
      </c>
      <c r="I245" t="s">
        <v>24</v>
      </c>
      <c r="J245" t="s">
        <v>25</v>
      </c>
      <c r="K245" t="s">
        <v>126</v>
      </c>
      <c r="L245" t="s">
        <v>63</v>
      </c>
      <c r="M245" t="s">
        <v>469</v>
      </c>
      <c r="N245" t="s">
        <v>1082</v>
      </c>
      <c r="O245">
        <v>6</v>
      </c>
      <c r="P245">
        <v>14027.7</v>
      </c>
      <c r="Q245">
        <v>5</v>
      </c>
      <c r="R245" s="39">
        <v>4208.3100000000004</v>
      </c>
      <c r="S245" s="39">
        <v>79957.89</v>
      </c>
      <c r="T245" s="39">
        <v>-9805.44</v>
      </c>
      <c r="U245" t="str">
        <f t="shared" si="7"/>
        <v>Office Supplies</v>
      </c>
      <c r="V245">
        <f t="shared" si="8"/>
        <v>9805.44</v>
      </c>
      <c r="W245" t="str">
        <f>IF(Sales[[#This Row],[Quantity]]&gt;=15, "Large","Small")</f>
        <v>Small</v>
      </c>
      <c r="X245" t="str">
        <f>IF(Sales[[#This Row],[Quantity]]&gt;=15,"Large",IF(Sales[[#This Row],[Quantity]]=14,"Medium","Small"))</f>
        <v>Small</v>
      </c>
      <c r="Y245" t="str">
        <f>IF(AND(Sales[[#This Row],[Unit Price (₦)]]&gt;68000,Sales[[#This Row],[Quantity]]&gt;15),"Offer Discount", "No Discount")</f>
        <v>No Discount</v>
      </c>
    </row>
    <row r="246" spans="1:25" ht="15" customHeight="1" x14ac:dyDescent="0.25">
      <c r="A246" t="s">
        <v>2744</v>
      </c>
      <c r="B246" s="8">
        <v>44584</v>
      </c>
      <c r="C246" s="8">
        <v>44587</v>
      </c>
      <c r="D246" t="s">
        <v>73</v>
      </c>
      <c r="E246" t="s">
        <v>3084</v>
      </c>
      <c r="F246" t="s">
        <v>3034</v>
      </c>
      <c r="G246" t="s">
        <v>3126</v>
      </c>
      <c r="H246">
        <v>8031414120</v>
      </c>
      <c r="I246" t="s">
        <v>43</v>
      </c>
      <c r="J246" t="s">
        <v>51</v>
      </c>
      <c r="K246" t="s">
        <v>131</v>
      </c>
      <c r="L246" t="s">
        <v>27</v>
      </c>
      <c r="M246" t="s">
        <v>354</v>
      </c>
      <c r="N246" t="s">
        <v>789</v>
      </c>
      <c r="O246">
        <v>15</v>
      </c>
      <c r="P246">
        <v>3158.75</v>
      </c>
      <c r="Q246">
        <v>15</v>
      </c>
      <c r="R246" s="39">
        <v>7107.19</v>
      </c>
      <c r="S246" s="39">
        <v>40274.06</v>
      </c>
      <c r="T246" s="39">
        <v>2030.8</v>
      </c>
      <c r="U246" t="str">
        <f t="shared" si="7"/>
        <v>Food &amp; Beverages</v>
      </c>
      <c r="V246">
        <f t="shared" si="8"/>
        <v>2030.8</v>
      </c>
      <c r="W246" t="str">
        <f>IF(Sales[[#This Row],[Quantity]]&gt;=15, "Large","Small")</f>
        <v>Large</v>
      </c>
      <c r="X246" t="str">
        <f>IF(Sales[[#This Row],[Quantity]]&gt;=15,"Large",IF(Sales[[#This Row],[Quantity]]=14,"Medium","Small"))</f>
        <v>Large</v>
      </c>
      <c r="Y246" t="str">
        <f>IF(AND(Sales[[#This Row],[Unit Price (₦)]]&gt;68000,Sales[[#This Row],[Quantity]]&gt;15),"Offer Discount", "No Discount")</f>
        <v>No Discount</v>
      </c>
    </row>
    <row r="247" spans="1:25" ht="15" customHeight="1" x14ac:dyDescent="0.25">
      <c r="A247" t="s">
        <v>1770</v>
      </c>
      <c r="B247" s="8">
        <v>44587</v>
      </c>
      <c r="C247" s="8">
        <v>44590</v>
      </c>
      <c r="D247" t="s">
        <v>73</v>
      </c>
      <c r="E247" t="s">
        <v>3081</v>
      </c>
      <c r="F247" t="s">
        <v>3040</v>
      </c>
      <c r="G247" t="s">
        <v>1772</v>
      </c>
      <c r="H247">
        <v>7062348021</v>
      </c>
      <c r="I247" t="s">
        <v>35</v>
      </c>
      <c r="J247" t="s">
        <v>61</v>
      </c>
      <c r="K247" t="s">
        <v>182</v>
      </c>
      <c r="L247" t="s">
        <v>27</v>
      </c>
      <c r="M247" t="s">
        <v>354</v>
      </c>
      <c r="N247" t="s">
        <v>433</v>
      </c>
      <c r="O247">
        <v>14</v>
      </c>
      <c r="P247">
        <v>1576.84</v>
      </c>
      <c r="Q247">
        <v>10</v>
      </c>
      <c r="R247" s="39">
        <v>2207.58</v>
      </c>
      <c r="S247" s="39">
        <v>19868.18</v>
      </c>
      <c r="T247" s="39">
        <v>5267.1</v>
      </c>
      <c r="U247" t="str">
        <f t="shared" si="7"/>
        <v>Food &amp; Beverages</v>
      </c>
      <c r="V247">
        <f t="shared" si="8"/>
        <v>5267.1</v>
      </c>
      <c r="W247" t="str">
        <f>IF(Sales[[#This Row],[Quantity]]&gt;=15, "Large","Small")</f>
        <v>Small</v>
      </c>
      <c r="X247" t="str">
        <f>IF(Sales[[#This Row],[Quantity]]&gt;=15,"Large",IF(Sales[[#This Row],[Quantity]]=14,"Medium","Small"))</f>
        <v>Medium</v>
      </c>
      <c r="Y247" t="str">
        <f>IF(AND(Sales[[#This Row],[Unit Price (₦)]]&gt;68000,Sales[[#This Row],[Quantity]]&gt;15),"Offer Discount", "No Discount")</f>
        <v>No Discount</v>
      </c>
    </row>
    <row r="248" spans="1:25" ht="15" customHeight="1" x14ac:dyDescent="0.25">
      <c r="A248" t="s">
        <v>2792</v>
      </c>
      <c r="B248" s="8">
        <v>44591</v>
      </c>
      <c r="C248" s="8">
        <v>44596</v>
      </c>
      <c r="D248" t="s">
        <v>73</v>
      </c>
      <c r="E248" t="s">
        <v>3068</v>
      </c>
      <c r="F248" t="s">
        <v>3050</v>
      </c>
      <c r="G248" t="s">
        <v>2793</v>
      </c>
      <c r="H248">
        <v>9075120422</v>
      </c>
      <c r="I248" t="s">
        <v>24</v>
      </c>
      <c r="J248" t="s">
        <v>51</v>
      </c>
      <c r="K248" t="s">
        <v>131</v>
      </c>
      <c r="L248" t="s">
        <v>108</v>
      </c>
      <c r="M248" t="s">
        <v>114</v>
      </c>
      <c r="N248" t="s">
        <v>291</v>
      </c>
      <c r="O248">
        <v>9</v>
      </c>
      <c r="P248">
        <v>7584.73</v>
      </c>
      <c r="Q248">
        <v>0</v>
      </c>
      <c r="R248" s="39">
        <v>0</v>
      </c>
      <c r="S248" s="39">
        <v>68262.570000000007</v>
      </c>
      <c r="T248" s="39">
        <v>16688.439999999999</v>
      </c>
      <c r="U248" t="str">
        <f t="shared" si="7"/>
        <v>Clothing</v>
      </c>
      <c r="V248">
        <f t="shared" si="8"/>
        <v>16688.439999999999</v>
      </c>
      <c r="W248" t="str">
        <f>IF(Sales[[#This Row],[Quantity]]&gt;=15, "Large","Small")</f>
        <v>Small</v>
      </c>
      <c r="X248" t="str">
        <f>IF(Sales[[#This Row],[Quantity]]&gt;=15,"Large",IF(Sales[[#This Row],[Quantity]]=14,"Medium","Small"))</f>
        <v>Small</v>
      </c>
      <c r="Y248" t="str">
        <f>IF(AND(Sales[[#This Row],[Unit Price (₦)]]&gt;68000,Sales[[#This Row],[Quantity]]&gt;15),"Offer Discount", "No Discount")</f>
        <v>No Discount</v>
      </c>
    </row>
    <row r="249" spans="1:25" ht="15" customHeight="1" x14ac:dyDescent="0.25">
      <c r="A249" t="s">
        <v>2738</v>
      </c>
      <c r="B249" s="8">
        <v>44595</v>
      </c>
      <c r="C249" s="8">
        <v>44598</v>
      </c>
      <c r="D249" t="s">
        <v>73</v>
      </c>
      <c r="E249" t="s">
        <v>3053</v>
      </c>
      <c r="F249" t="s">
        <v>3036</v>
      </c>
      <c r="G249" t="s">
        <v>2739</v>
      </c>
      <c r="H249">
        <v>7068824038</v>
      </c>
      <c r="I249" t="s">
        <v>35</v>
      </c>
      <c r="J249" t="s">
        <v>51</v>
      </c>
      <c r="K249" t="s">
        <v>316</v>
      </c>
      <c r="L249" t="s">
        <v>108</v>
      </c>
      <c r="M249" t="s">
        <v>38</v>
      </c>
      <c r="N249" t="s">
        <v>303</v>
      </c>
      <c r="O249">
        <v>14</v>
      </c>
      <c r="P249">
        <v>21921.87</v>
      </c>
      <c r="Q249">
        <v>0</v>
      </c>
      <c r="R249" s="39">
        <v>0</v>
      </c>
      <c r="S249" s="39">
        <v>306906.18</v>
      </c>
      <c r="T249" s="39">
        <v>-853.32</v>
      </c>
      <c r="U249" t="str">
        <f t="shared" si="7"/>
        <v>Clothing</v>
      </c>
      <c r="V249">
        <f t="shared" si="8"/>
        <v>853.32</v>
      </c>
      <c r="W249" t="str">
        <f>IF(Sales[[#This Row],[Quantity]]&gt;=15, "Large","Small")</f>
        <v>Small</v>
      </c>
      <c r="X249" t="str">
        <f>IF(Sales[[#This Row],[Quantity]]&gt;=15,"Large",IF(Sales[[#This Row],[Quantity]]=14,"Medium","Small"))</f>
        <v>Medium</v>
      </c>
      <c r="Y249" t="str">
        <f>IF(AND(Sales[[#This Row],[Unit Price (₦)]]&gt;68000,Sales[[#This Row],[Quantity]]&gt;15),"Offer Discount", "No Discount")</f>
        <v>No Discount</v>
      </c>
    </row>
    <row r="250" spans="1:25" ht="15" customHeight="1" x14ac:dyDescent="0.25">
      <c r="A250" t="s">
        <v>2925</v>
      </c>
      <c r="B250" s="8">
        <v>44594</v>
      </c>
      <c r="C250" s="8">
        <v>44599</v>
      </c>
      <c r="D250" t="s">
        <v>73</v>
      </c>
      <c r="E250" t="s">
        <v>3053</v>
      </c>
      <c r="F250" t="s">
        <v>3036</v>
      </c>
      <c r="G250" t="s">
        <v>2926</v>
      </c>
      <c r="H250">
        <v>7068058810</v>
      </c>
      <c r="I250" t="s">
        <v>43</v>
      </c>
      <c r="J250" t="s">
        <v>25</v>
      </c>
      <c r="K250" t="s">
        <v>44</v>
      </c>
      <c r="L250" t="s">
        <v>27</v>
      </c>
      <c r="M250" t="s">
        <v>173</v>
      </c>
      <c r="N250" t="s">
        <v>662</v>
      </c>
      <c r="O250">
        <v>10</v>
      </c>
      <c r="P250">
        <v>6995.77</v>
      </c>
      <c r="Q250">
        <v>25</v>
      </c>
      <c r="R250" s="39">
        <v>17489.43</v>
      </c>
      <c r="S250" s="39">
        <v>52468.27</v>
      </c>
      <c r="T250" s="39">
        <v>12332.65</v>
      </c>
      <c r="U250" t="str">
        <f t="shared" si="7"/>
        <v>Food &amp; Beverages</v>
      </c>
      <c r="V250">
        <f t="shared" si="8"/>
        <v>12332.65</v>
      </c>
      <c r="W250" t="str">
        <f>IF(Sales[[#This Row],[Quantity]]&gt;=15, "Large","Small")</f>
        <v>Small</v>
      </c>
      <c r="X250" t="str">
        <f>IF(Sales[[#This Row],[Quantity]]&gt;=15,"Large",IF(Sales[[#This Row],[Quantity]]=14,"Medium","Small"))</f>
        <v>Small</v>
      </c>
      <c r="Y250" t="str">
        <f>IF(AND(Sales[[#This Row],[Unit Price (₦)]]&gt;68000,Sales[[#This Row],[Quantity]]&gt;15),"Offer Discount", "No Discount")</f>
        <v>No Discount</v>
      </c>
    </row>
    <row r="251" spans="1:25" ht="15" customHeight="1" x14ac:dyDescent="0.25">
      <c r="A251" t="s">
        <v>2029</v>
      </c>
      <c r="B251" s="8">
        <v>44605</v>
      </c>
      <c r="C251" s="8">
        <v>44609</v>
      </c>
      <c r="D251" t="s">
        <v>73</v>
      </c>
      <c r="E251" t="s">
        <v>3047</v>
      </c>
      <c r="F251" t="s">
        <v>3040</v>
      </c>
      <c r="G251" t="s">
        <v>2030</v>
      </c>
      <c r="H251">
        <v>8145770866</v>
      </c>
      <c r="I251" t="s">
        <v>43</v>
      </c>
      <c r="J251" t="s">
        <v>51</v>
      </c>
      <c r="K251" t="s">
        <v>227</v>
      </c>
      <c r="L251" t="s">
        <v>85</v>
      </c>
      <c r="M251" t="s">
        <v>486</v>
      </c>
      <c r="N251" t="s">
        <v>487</v>
      </c>
      <c r="O251">
        <v>17</v>
      </c>
      <c r="P251">
        <v>162082.68</v>
      </c>
      <c r="Q251">
        <v>0</v>
      </c>
      <c r="R251" s="39">
        <v>0</v>
      </c>
      <c r="S251" s="39">
        <v>2755405.56</v>
      </c>
      <c r="T251" s="39">
        <v>144476.72</v>
      </c>
      <c r="U251" t="str">
        <f t="shared" si="7"/>
        <v>Furniture</v>
      </c>
      <c r="V251">
        <f t="shared" si="8"/>
        <v>144476.72</v>
      </c>
      <c r="W251" t="str">
        <f>IF(Sales[[#This Row],[Quantity]]&gt;=15, "Large","Small")</f>
        <v>Large</v>
      </c>
      <c r="X251" t="str">
        <f>IF(Sales[[#This Row],[Quantity]]&gt;=15,"Large",IF(Sales[[#This Row],[Quantity]]=14,"Medium","Small"))</f>
        <v>Large</v>
      </c>
      <c r="Y251" t="str">
        <f>IF(AND(Sales[[#This Row],[Unit Price (₦)]]&gt;68000,Sales[[#This Row],[Quantity]]&gt;15),"Offer Discount", "No Discount")</f>
        <v>Offer Discount</v>
      </c>
    </row>
    <row r="252" spans="1:25" ht="15" customHeight="1" x14ac:dyDescent="0.25">
      <c r="A252" t="s">
        <v>2755</v>
      </c>
      <c r="B252" s="8">
        <v>44607</v>
      </c>
      <c r="C252" s="8">
        <v>44611</v>
      </c>
      <c r="D252" t="s">
        <v>73</v>
      </c>
      <c r="E252" t="s">
        <v>3055</v>
      </c>
      <c r="F252" t="s">
        <v>3036</v>
      </c>
      <c r="G252" t="s">
        <v>1639</v>
      </c>
      <c r="H252">
        <v>8156042710</v>
      </c>
      <c r="I252" t="s">
        <v>35</v>
      </c>
      <c r="J252" t="s">
        <v>51</v>
      </c>
      <c r="K252" t="s">
        <v>227</v>
      </c>
      <c r="L252" t="s">
        <v>108</v>
      </c>
      <c r="M252" t="s">
        <v>183</v>
      </c>
      <c r="N252" t="s">
        <v>719</v>
      </c>
      <c r="O252">
        <v>10</v>
      </c>
      <c r="P252">
        <v>42940.32</v>
      </c>
      <c r="Q252">
        <v>10</v>
      </c>
      <c r="R252" s="39">
        <v>42940.32</v>
      </c>
      <c r="S252" s="39">
        <v>386462.88</v>
      </c>
      <c r="T252" s="39">
        <v>-33275.199999999997</v>
      </c>
      <c r="U252" t="str">
        <f t="shared" si="7"/>
        <v>Clothing</v>
      </c>
      <c r="V252">
        <f t="shared" si="8"/>
        <v>33275.199999999997</v>
      </c>
      <c r="W252" t="str">
        <f>IF(Sales[[#This Row],[Quantity]]&gt;=15, "Large","Small")</f>
        <v>Small</v>
      </c>
      <c r="X252" t="str">
        <f>IF(Sales[[#This Row],[Quantity]]&gt;=15,"Large",IF(Sales[[#This Row],[Quantity]]=14,"Medium","Small"))</f>
        <v>Small</v>
      </c>
      <c r="Y252" t="str">
        <f>IF(AND(Sales[[#This Row],[Unit Price (₦)]]&gt;68000,Sales[[#This Row],[Quantity]]&gt;15),"Offer Discount", "No Discount")</f>
        <v>No Discount</v>
      </c>
    </row>
    <row r="253" spans="1:25" ht="15" customHeight="1" x14ac:dyDescent="0.25">
      <c r="A253" t="s">
        <v>1926</v>
      </c>
      <c r="B253" s="8">
        <v>44611</v>
      </c>
      <c r="C253" s="8">
        <v>44614</v>
      </c>
      <c r="D253" t="s">
        <v>73</v>
      </c>
      <c r="E253" t="s">
        <v>3068</v>
      </c>
      <c r="F253" t="s">
        <v>3045</v>
      </c>
      <c r="G253" t="s">
        <v>1928</v>
      </c>
      <c r="H253">
        <v>7035812480</v>
      </c>
      <c r="I253" t="s">
        <v>35</v>
      </c>
      <c r="J253" t="s">
        <v>69</v>
      </c>
      <c r="K253" t="s">
        <v>119</v>
      </c>
      <c r="L253" t="s">
        <v>85</v>
      </c>
      <c r="M253" t="s">
        <v>486</v>
      </c>
      <c r="N253" t="s">
        <v>487</v>
      </c>
      <c r="O253">
        <v>4</v>
      </c>
      <c r="P253">
        <v>92593.14</v>
      </c>
      <c r="Q253">
        <v>5</v>
      </c>
      <c r="R253" s="39">
        <v>18518.63</v>
      </c>
      <c r="S253" s="39">
        <v>351853.93</v>
      </c>
      <c r="T253" s="39">
        <v>-31300.31</v>
      </c>
      <c r="U253" t="str">
        <f t="shared" si="7"/>
        <v>Furniture</v>
      </c>
      <c r="V253">
        <f t="shared" si="8"/>
        <v>31300.31</v>
      </c>
      <c r="W253" t="str">
        <f>IF(Sales[[#This Row],[Quantity]]&gt;=15, "Large","Small")</f>
        <v>Small</v>
      </c>
      <c r="X253" t="str">
        <f>IF(Sales[[#This Row],[Quantity]]&gt;=15,"Large",IF(Sales[[#This Row],[Quantity]]=14,"Medium","Small"))</f>
        <v>Small</v>
      </c>
      <c r="Y253" t="str">
        <f>IF(AND(Sales[[#This Row],[Unit Price (₦)]]&gt;68000,Sales[[#This Row],[Quantity]]&gt;15),"Offer Discount", "No Discount")</f>
        <v>No Discount</v>
      </c>
    </row>
    <row r="254" spans="1:25" ht="15" customHeight="1" x14ac:dyDescent="0.25">
      <c r="A254" t="s">
        <v>2857</v>
      </c>
      <c r="B254" s="8">
        <v>44626</v>
      </c>
      <c r="C254" s="8">
        <v>44629</v>
      </c>
      <c r="D254" t="s">
        <v>73</v>
      </c>
      <c r="E254" t="s">
        <v>3082</v>
      </c>
      <c r="F254" t="s">
        <v>3039</v>
      </c>
      <c r="G254" t="s">
        <v>2859</v>
      </c>
      <c r="H254">
        <v>8038244779</v>
      </c>
      <c r="I254" t="s">
        <v>24</v>
      </c>
      <c r="J254" t="s">
        <v>69</v>
      </c>
      <c r="K254" t="s">
        <v>119</v>
      </c>
      <c r="L254" t="s">
        <v>841</v>
      </c>
      <c r="M254" t="s">
        <v>86</v>
      </c>
      <c r="N254" t="s">
        <v>87</v>
      </c>
      <c r="O254">
        <v>1</v>
      </c>
      <c r="P254">
        <v>89481.57</v>
      </c>
      <c r="Q254">
        <v>0</v>
      </c>
      <c r="R254" s="39">
        <v>0</v>
      </c>
      <c r="S254" s="39">
        <v>89481.57</v>
      </c>
      <c r="T254" s="39">
        <v>6686.19</v>
      </c>
      <c r="U254" t="str">
        <f t="shared" si="7"/>
        <v>Furniture</v>
      </c>
      <c r="V254">
        <f t="shared" si="8"/>
        <v>6686.19</v>
      </c>
      <c r="W254" t="str">
        <f>IF(Sales[[#This Row],[Quantity]]&gt;=15, "Large","Small")</f>
        <v>Small</v>
      </c>
      <c r="X254" t="str">
        <f>IF(Sales[[#This Row],[Quantity]]&gt;=15,"Large",IF(Sales[[#This Row],[Quantity]]=14,"Medium","Small"))</f>
        <v>Small</v>
      </c>
      <c r="Y254" t="str">
        <f>IF(AND(Sales[[#This Row],[Unit Price (₦)]]&gt;68000,Sales[[#This Row],[Quantity]]&gt;15),"Offer Discount", "No Discount")</f>
        <v>No Discount</v>
      </c>
    </row>
    <row r="255" spans="1:25" ht="15" customHeight="1" x14ac:dyDescent="0.25">
      <c r="A255" t="s">
        <v>1745</v>
      </c>
      <c r="B255" s="8">
        <v>44639</v>
      </c>
      <c r="C255" s="8">
        <v>44642</v>
      </c>
      <c r="D255" t="s">
        <v>73</v>
      </c>
      <c r="E255" t="s">
        <v>3080</v>
      </c>
      <c r="F255" t="s">
        <v>3071</v>
      </c>
      <c r="G255" t="s">
        <v>1747</v>
      </c>
      <c r="H255">
        <v>8105666187</v>
      </c>
      <c r="I255" t="s">
        <v>43</v>
      </c>
      <c r="J255" t="s">
        <v>61</v>
      </c>
      <c r="K255" t="s">
        <v>62</v>
      </c>
      <c r="L255" t="s">
        <v>63</v>
      </c>
      <c r="M255" t="s">
        <v>469</v>
      </c>
      <c r="N255" t="s">
        <v>470</v>
      </c>
      <c r="O255">
        <v>14</v>
      </c>
      <c r="P255">
        <v>13261.39</v>
      </c>
      <c r="Q255">
        <v>10</v>
      </c>
      <c r="R255" s="39">
        <v>18565.95</v>
      </c>
      <c r="S255" s="39">
        <v>167093.51</v>
      </c>
      <c r="T255" s="39">
        <v>50183.29</v>
      </c>
      <c r="U255" t="str">
        <f t="shared" si="7"/>
        <v>Office Supplies</v>
      </c>
      <c r="V255">
        <f t="shared" si="8"/>
        <v>50183.29</v>
      </c>
      <c r="W255" t="str">
        <f>IF(Sales[[#This Row],[Quantity]]&gt;=15, "Large","Small")</f>
        <v>Small</v>
      </c>
      <c r="X255" t="str">
        <f>IF(Sales[[#This Row],[Quantity]]&gt;=15,"Large",IF(Sales[[#This Row],[Quantity]]=14,"Medium","Small"))</f>
        <v>Medium</v>
      </c>
      <c r="Y255" t="str">
        <f>IF(AND(Sales[[#This Row],[Unit Price (₦)]]&gt;68000,Sales[[#This Row],[Quantity]]&gt;15),"Offer Discount", "No Discount")</f>
        <v>No Discount</v>
      </c>
    </row>
    <row r="256" spans="1:25" ht="15" customHeight="1" x14ac:dyDescent="0.25">
      <c r="A256" t="s">
        <v>964</v>
      </c>
      <c r="B256" s="8">
        <v>44643</v>
      </c>
      <c r="C256" s="8">
        <v>44648</v>
      </c>
      <c r="D256" t="s">
        <v>73</v>
      </c>
      <c r="E256" t="s">
        <v>3041</v>
      </c>
      <c r="F256" t="s">
        <v>3045</v>
      </c>
      <c r="G256" t="s">
        <v>966</v>
      </c>
      <c r="H256">
        <v>7065304875</v>
      </c>
      <c r="I256" t="s">
        <v>35</v>
      </c>
      <c r="J256" t="s">
        <v>51</v>
      </c>
      <c r="K256" t="s">
        <v>316</v>
      </c>
      <c r="L256" t="s">
        <v>27</v>
      </c>
      <c r="M256" t="s">
        <v>45</v>
      </c>
      <c r="N256" t="s">
        <v>308</v>
      </c>
      <c r="O256">
        <v>12</v>
      </c>
      <c r="P256">
        <v>7317.29</v>
      </c>
      <c r="Q256">
        <v>25</v>
      </c>
      <c r="R256" s="39">
        <v>21951.87</v>
      </c>
      <c r="S256" s="39">
        <v>65855.61</v>
      </c>
      <c r="T256" s="39">
        <v>21843.65</v>
      </c>
      <c r="U256" t="str">
        <f t="shared" si="7"/>
        <v>Food &amp; Beverages</v>
      </c>
      <c r="V256">
        <f t="shared" si="8"/>
        <v>21843.65</v>
      </c>
      <c r="W256" t="str">
        <f>IF(Sales[[#This Row],[Quantity]]&gt;=15, "Large","Small")</f>
        <v>Small</v>
      </c>
      <c r="X256" t="str">
        <f>IF(Sales[[#This Row],[Quantity]]&gt;=15,"Large",IF(Sales[[#This Row],[Quantity]]=14,"Medium","Small"))</f>
        <v>Small</v>
      </c>
      <c r="Y256" t="str">
        <f>IF(AND(Sales[[#This Row],[Unit Price (₦)]]&gt;68000,Sales[[#This Row],[Quantity]]&gt;15),"Offer Discount", "No Discount")</f>
        <v>No Discount</v>
      </c>
    </row>
    <row r="257" spans="1:25" ht="15" customHeight="1" x14ac:dyDescent="0.25">
      <c r="A257" t="s">
        <v>835</v>
      </c>
      <c r="B257" s="8">
        <v>44649</v>
      </c>
      <c r="C257" s="8">
        <v>44653</v>
      </c>
      <c r="D257" t="s">
        <v>73</v>
      </c>
      <c r="E257" t="s">
        <v>3081</v>
      </c>
      <c r="F257" t="s">
        <v>3069</v>
      </c>
      <c r="G257" t="s">
        <v>837</v>
      </c>
      <c r="H257">
        <v>8133480985</v>
      </c>
      <c r="I257" t="s">
        <v>35</v>
      </c>
      <c r="J257" t="s">
        <v>61</v>
      </c>
      <c r="K257" t="s">
        <v>62</v>
      </c>
      <c r="L257" t="s">
        <v>27</v>
      </c>
      <c r="M257" t="s">
        <v>45</v>
      </c>
      <c r="N257" t="s">
        <v>838</v>
      </c>
      <c r="O257">
        <v>3</v>
      </c>
      <c r="P257">
        <v>7313.19</v>
      </c>
      <c r="Q257">
        <v>0</v>
      </c>
      <c r="R257" s="39">
        <v>0</v>
      </c>
      <c r="S257" s="39">
        <v>21939.57</v>
      </c>
      <c r="T257" s="39">
        <v>1817.9</v>
      </c>
      <c r="U257" t="str">
        <f t="shared" si="7"/>
        <v>Food &amp; Beverages</v>
      </c>
      <c r="V257">
        <f t="shared" si="8"/>
        <v>1817.9</v>
      </c>
      <c r="W257" t="str">
        <f>IF(Sales[[#This Row],[Quantity]]&gt;=15, "Large","Small")</f>
        <v>Small</v>
      </c>
      <c r="X257" t="str">
        <f>IF(Sales[[#This Row],[Quantity]]&gt;=15,"Large",IF(Sales[[#This Row],[Quantity]]=14,"Medium","Small"))</f>
        <v>Small</v>
      </c>
      <c r="Y257" t="str">
        <f>IF(AND(Sales[[#This Row],[Unit Price (₦)]]&gt;68000,Sales[[#This Row],[Quantity]]&gt;15),"Offer Discount", "No Discount")</f>
        <v>No Discount</v>
      </c>
    </row>
    <row r="258" spans="1:25" ht="15" customHeight="1" x14ac:dyDescent="0.25">
      <c r="A258" t="s">
        <v>2729</v>
      </c>
      <c r="B258" s="8">
        <v>44661</v>
      </c>
      <c r="C258" s="8">
        <v>44665</v>
      </c>
      <c r="D258" t="s">
        <v>73</v>
      </c>
      <c r="E258" t="s">
        <v>3084</v>
      </c>
      <c r="F258" t="s">
        <v>3086</v>
      </c>
      <c r="G258" t="s">
        <v>2731</v>
      </c>
      <c r="H258">
        <v>8137160440</v>
      </c>
      <c r="I258" t="s">
        <v>35</v>
      </c>
      <c r="J258" t="s">
        <v>25</v>
      </c>
      <c r="K258" t="s">
        <v>168</v>
      </c>
      <c r="L258" t="s">
        <v>27</v>
      </c>
      <c r="M258" t="s">
        <v>45</v>
      </c>
      <c r="N258" t="s">
        <v>875</v>
      </c>
      <c r="O258">
        <v>6</v>
      </c>
      <c r="P258">
        <v>2192.5700000000002</v>
      </c>
      <c r="Q258">
        <v>0</v>
      </c>
      <c r="R258" s="39">
        <v>0</v>
      </c>
      <c r="S258" s="39">
        <v>13155.42</v>
      </c>
      <c r="T258" s="39">
        <v>3657.97</v>
      </c>
      <c r="U258" t="str">
        <f t="shared" ref="U258:U321" si="9">PROPER(L258)</f>
        <v>Food &amp; Beverages</v>
      </c>
      <c r="V258">
        <f t="shared" si="8"/>
        <v>3657.97</v>
      </c>
      <c r="W258" t="str">
        <f>IF(Sales[[#This Row],[Quantity]]&gt;=15, "Large","Small")</f>
        <v>Small</v>
      </c>
      <c r="X258" t="str">
        <f>IF(Sales[[#This Row],[Quantity]]&gt;=15,"Large",IF(Sales[[#This Row],[Quantity]]=14,"Medium","Small"))</f>
        <v>Small</v>
      </c>
      <c r="Y258" t="str">
        <f>IF(AND(Sales[[#This Row],[Unit Price (₦)]]&gt;68000,Sales[[#This Row],[Quantity]]&gt;15),"Offer Discount", "No Discount")</f>
        <v>No Discount</v>
      </c>
    </row>
    <row r="259" spans="1:25" ht="15" customHeight="1" x14ac:dyDescent="0.25">
      <c r="A259" t="s">
        <v>2763</v>
      </c>
      <c r="B259" s="8">
        <v>44667</v>
      </c>
      <c r="C259" s="8">
        <v>44670</v>
      </c>
      <c r="D259" t="s">
        <v>73</v>
      </c>
      <c r="E259" t="s">
        <v>3055</v>
      </c>
      <c r="F259" t="s">
        <v>3062</v>
      </c>
      <c r="G259" t="s">
        <v>2765</v>
      </c>
      <c r="H259">
        <v>8105889267</v>
      </c>
      <c r="I259" t="s">
        <v>24</v>
      </c>
      <c r="J259" t="s">
        <v>69</v>
      </c>
      <c r="K259" t="s">
        <v>307</v>
      </c>
      <c r="L259" t="s">
        <v>63</v>
      </c>
      <c r="M259" t="s">
        <v>469</v>
      </c>
      <c r="N259" t="s">
        <v>1082</v>
      </c>
      <c r="O259">
        <v>3</v>
      </c>
      <c r="P259">
        <v>16818.43</v>
      </c>
      <c r="Q259">
        <v>0</v>
      </c>
      <c r="R259" s="39">
        <v>0</v>
      </c>
      <c r="S259" s="39">
        <v>13155.42</v>
      </c>
      <c r="T259" s="39">
        <v>-2566.5100000000002</v>
      </c>
      <c r="U259" t="str">
        <f t="shared" si="9"/>
        <v>Office Supplies</v>
      </c>
      <c r="V259">
        <f t="shared" ref="V259:V322" si="10">ABS(T259)</f>
        <v>2566.5100000000002</v>
      </c>
      <c r="W259" t="str">
        <f>IF(Sales[[#This Row],[Quantity]]&gt;=15, "Large","Small")</f>
        <v>Small</v>
      </c>
      <c r="X259" t="str">
        <f>IF(Sales[[#This Row],[Quantity]]&gt;=15,"Large",IF(Sales[[#This Row],[Quantity]]=14,"Medium","Small"))</f>
        <v>Small</v>
      </c>
      <c r="Y259" t="str">
        <f>IF(AND(Sales[[#This Row],[Unit Price (₦)]]&gt;68000,Sales[[#This Row],[Quantity]]&gt;15),"Offer Discount", "No Discount")</f>
        <v>No Discount</v>
      </c>
    </row>
    <row r="260" spans="1:25" ht="15" customHeight="1" x14ac:dyDescent="0.25">
      <c r="A260" t="s">
        <v>2950</v>
      </c>
      <c r="B260" s="8">
        <v>44665</v>
      </c>
      <c r="C260" s="8">
        <v>44670</v>
      </c>
      <c r="D260" t="s">
        <v>73</v>
      </c>
      <c r="E260" t="s">
        <v>3073</v>
      </c>
      <c r="F260" t="s">
        <v>3043</v>
      </c>
      <c r="G260" t="s">
        <v>2952</v>
      </c>
      <c r="H260">
        <v>8161282157</v>
      </c>
      <c r="I260" t="s">
        <v>24</v>
      </c>
      <c r="J260" t="s">
        <v>69</v>
      </c>
      <c r="K260" t="s">
        <v>70</v>
      </c>
      <c r="L260" t="s">
        <v>108</v>
      </c>
      <c r="M260" t="s">
        <v>183</v>
      </c>
      <c r="N260" t="s">
        <v>869</v>
      </c>
      <c r="O260">
        <v>13</v>
      </c>
      <c r="P260">
        <v>27749.94</v>
      </c>
      <c r="Q260">
        <v>0</v>
      </c>
      <c r="R260" s="39">
        <v>0</v>
      </c>
      <c r="S260" s="39">
        <v>360749.22</v>
      </c>
      <c r="T260" s="39">
        <v>-41518.92</v>
      </c>
      <c r="U260" t="str">
        <f t="shared" si="9"/>
        <v>Clothing</v>
      </c>
      <c r="V260">
        <f t="shared" si="10"/>
        <v>41518.92</v>
      </c>
      <c r="W260" t="str">
        <f>IF(Sales[[#This Row],[Quantity]]&gt;=15, "Large","Small")</f>
        <v>Small</v>
      </c>
      <c r="X260" t="str">
        <f>IF(Sales[[#This Row],[Quantity]]&gt;=15,"Large",IF(Sales[[#This Row],[Quantity]]=14,"Medium","Small"))</f>
        <v>Small</v>
      </c>
      <c r="Y260" t="str">
        <f>IF(AND(Sales[[#This Row],[Unit Price (₦)]]&gt;68000,Sales[[#This Row],[Quantity]]&gt;15),"Offer Discount", "No Discount")</f>
        <v>No Discount</v>
      </c>
    </row>
    <row r="261" spans="1:25" ht="15" customHeight="1" x14ac:dyDescent="0.25">
      <c r="A261" t="s">
        <v>1106</v>
      </c>
      <c r="B261" s="8">
        <v>44676</v>
      </c>
      <c r="C261" s="8">
        <v>44673</v>
      </c>
      <c r="D261" t="s">
        <v>73</v>
      </c>
      <c r="E261" t="s">
        <v>3058</v>
      </c>
      <c r="F261" t="s">
        <v>3050</v>
      </c>
      <c r="G261" t="s">
        <v>1107</v>
      </c>
      <c r="H261">
        <v>8104224451</v>
      </c>
      <c r="I261" t="s">
        <v>35</v>
      </c>
      <c r="J261" t="s">
        <v>25</v>
      </c>
      <c r="K261" t="s">
        <v>3127</v>
      </c>
      <c r="L261" t="s">
        <v>63</v>
      </c>
      <c r="M261" t="s">
        <v>194</v>
      </c>
      <c r="N261" t="s">
        <v>257</v>
      </c>
      <c r="O261">
        <v>4</v>
      </c>
      <c r="P261">
        <v>20792.18</v>
      </c>
      <c r="Q261">
        <v>5</v>
      </c>
      <c r="R261" s="39">
        <v>4158.4399999999996</v>
      </c>
      <c r="S261" s="39">
        <v>79010.28</v>
      </c>
      <c r="T261" s="39">
        <v>6390.25</v>
      </c>
      <c r="U261" t="str">
        <f t="shared" si="9"/>
        <v>Office Supplies</v>
      </c>
      <c r="V261">
        <f t="shared" si="10"/>
        <v>6390.25</v>
      </c>
      <c r="W261" t="str">
        <f>IF(Sales[[#This Row],[Quantity]]&gt;=15, "Large","Small")</f>
        <v>Small</v>
      </c>
      <c r="X261" t="str">
        <f>IF(Sales[[#This Row],[Quantity]]&gt;=15,"Large",IF(Sales[[#This Row],[Quantity]]=14,"Medium","Small"))</f>
        <v>Small</v>
      </c>
      <c r="Y261" t="str">
        <f>IF(AND(Sales[[#This Row],[Unit Price (₦)]]&gt;68000,Sales[[#This Row],[Quantity]]&gt;15),"Offer Discount", "No Discount")</f>
        <v>No Discount</v>
      </c>
    </row>
    <row r="262" spans="1:25" ht="15" customHeight="1" x14ac:dyDescent="0.25">
      <c r="A262" t="s">
        <v>1619</v>
      </c>
      <c r="B262" s="8">
        <v>44670</v>
      </c>
      <c r="C262" s="8">
        <v>44675</v>
      </c>
      <c r="D262" t="s">
        <v>73</v>
      </c>
      <c r="E262" t="s">
        <v>3070</v>
      </c>
      <c r="F262" t="s">
        <v>3052</v>
      </c>
      <c r="G262" t="s">
        <v>1621</v>
      </c>
      <c r="H262">
        <v>8151313131</v>
      </c>
      <c r="I262" t="s">
        <v>35</v>
      </c>
      <c r="J262" t="s">
        <v>25</v>
      </c>
      <c r="K262" t="s">
        <v>36</v>
      </c>
      <c r="L262" t="s">
        <v>96</v>
      </c>
      <c r="M262" t="s">
        <v>254</v>
      </c>
      <c r="N262" t="s">
        <v>255</v>
      </c>
      <c r="O262">
        <v>9</v>
      </c>
      <c r="P262">
        <v>433633.89</v>
      </c>
      <c r="Q262">
        <v>5</v>
      </c>
      <c r="R262" s="39">
        <v>195135.25</v>
      </c>
      <c r="S262" s="39">
        <v>3707569.76</v>
      </c>
      <c r="T262" s="39">
        <v>-10484.950000000001</v>
      </c>
      <c r="U262" t="str">
        <f t="shared" si="9"/>
        <v>Technology</v>
      </c>
      <c r="V262">
        <f t="shared" si="10"/>
        <v>10484.950000000001</v>
      </c>
      <c r="W262" t="str">
        <f>IF(Sales[[#This Row],[Quantity]]&gt;=15, "Large","Small")</f>
        <v>Small</v>
      </c>
      <c r="X262" t="str">
        <f>IF(Sales[[#This Row],[Quantity]]&gt;=15,"Large",IF(Sales[[#This Row],[Quantity]]=14,"Medium","Small"))</f>
        <v>Small</v>
      </c>
      <c r="Y262" t="str">
        <f>IF(AND(Sales[[#This Row],[Unit Price (₦)]]&gt;68000,Sales[[#This Row],[Quantity]]&gt;15),"Offer Discount", "No Discount")</f>
        <v>No Discount</v>
      </c>
    </row>
    <row r="263" spans="1:25" ht="15" customHeight="1" x14ac:dyDescent="0.25">
      <c r="A263" t="s">
        <v>1063</v>
      </c>
      <c r="B263" s="8">
        <v>44672</v>
      </c>
      <c r="C263" s="8">
        <v>44677</v>
      </c>
      <c r="D263" t="s">
        <v>73</v>
      </c>
      <c r="E263" t="s">
        <v>3068</v>
      </c>
      <c r="F263" t="s">
        <v>3083</v>
      </c>
      <c r="G263" t="s">
        <v>1065</v>
      </c>
      <c r="H263">
        <v>8156826541</v>
      </c>
      <c r="I263" t="s">
        <v>35</v>
      </c>
      <c r="J263" t="s">
        <v>51</v>
      </c>
      <c r="K263" t="s">
        <v>316</v>
      </c>
      <c r="L263" t="s">
        <v>108</v>
      </c>
      <c r="M263" t="s">
        <v>109</v>
      </c>
      <c r="N263" t="s">
        <v>690</v>
      </c>
      <c r="O263">
        <v>17</v>
      </c>
      <c r="P263">
        <v>43989.81</v>
      </c>
      <c r="Q263">
        <v>20</v>
      </c>
      <c r="R263" s="39">
        <v>149565.35</v>
      </c>
      <c r="S263" s="39">
        <v>598261.42000000004</v>
      </c>
      <c r="T263" s="39">
        <v>23565.97</v>
      </c>
      <c r="U263" t="str">
        <f t="shared" si="9"/>
        <v>Clothing</v>
      </c>
      <c r="V263">
        <f t="shared" si="10"/>
        <v>23565.97</v>
      </c>
      <c r="W263" t="str">
        <f>IF(Sales[[#This Row],[Quantity]]&gt;=15, "Large","Small")</f>
        <v>Large</v>
      </c>
      <c r="X263" t="str">
        <f>IF(Sales[[#This Row],[Quantity]]&gt;=15,"Large",IF(Sales[[#This Row],[Quantity]]=14,"Medium","Small"))</f>
        <v>Large</v>
      </c>
      <c r="Y263" t="str">
        <f>IF(AND(Sales[[#This Row],[Unit Price (₦)]]&gt;68000,Sales[[#This Row],[Quantity]]&gt;15),"Offer Discount", "No Discount")</f>
        <v>No Discount</v>
      </c>
    </row>
    <row r="264" spans="1:25" ht="15" customHeight="1" x14ac:dyDescent="0.25">
      <c r="A264" t="s">
        <v>1214</v>
      </c>
      <c r="B264" s="8">
        <v>44681</v>
      </c>
      <c r="C264" s="8">
        <v>44684</v>
      </c>
      <c r="D264" t="s">
        <v>73</v>
      </c>
      <c r="E264" t="s">
        <v>3094</v>
      </c>
      <c r="F264" t="s">
        <v>3034</v>
      </c>
      <c r="G264" t="s">
        <v>1216</v>
      </c>
      <c r="H264">
        <v>8145818203</v>
      </c>
      <c r="I264" t="s">
        <v>35</v>
      </c>
      <c r="J264" t="s">
        <v>69</v>
      </c>
      <c r="K264" t="s">
        <v>155</v>
      </c>
      <c r="L264" t="s">
        <v>108</v>
      </c>
      <c r="M264" t="s">
        <v>189</v>
      </c>
      <c r="N264" t="s">
        <v>325</v>
      </c>
      <c r="O264">
        <v>19</v>
      </c>
      <c r="P264">
        <v>13165.38</v>
      </c>
      <c r="Q264">
        <v>10</v>
      </c>
      <c r="R264" s="39">
        <v>25014.22</v>
      </c>
      <c r="S264" s="39">
        <v>225128</v>
      </c>
      <c r="T264" s="39">
        <v>91461.23</v>
      </c>
      <c r="U264" t="str">
        <f t="shared" si="9"/>
        <v>Clothing</v>
      </c>
      <c r="V264">
        <f t="shared" si="10"/>
        <v>91461.23</v>
      </c>
      <c r="W264" t="str">
        <f>IF(Sales[[#This Row],[Quantity]]&gt;=15, "Large","Small")</f>
        <v>Large</v>
      </c>
      <c r="X264" t="str">
        <f>IF(Sales[[#This Row],[Quantity]]&gt;=15,"Large",IF(Sales[[#This Row],[Quantity]]=14,"Medium","Small"))</f>
        <v>Large</v>
      </c>
      <c r="Y264" t="str">
        <f>IF(AND(Sales[[#This Row],[Unit Price (₦)]]&gt;68000,Sales[[#This Row],[Quantity]]&gt;15),"Offer Discount", "No Discount")</f>
        <v>No Discount</v>
      </c>
    </row>
    <row r="265" spans="1:25" ht="15" customHeight="1" x14ac:dyDescent="0.25">
      <c r="A265" t="s">
        <v>1337</v>
      </c>
      <c r="B265" s="8">
        <v>44692</v>
      </c>
      <c r="C265" s="8">
        <v>44695</v>
      </c>
      <c r="D265" t="s">
        <v>73</v>
      </c>
      <c r="E265" t="s">
        <v>3056</v>
      </c>
      <c r="F265" t="s">
        <v>3083</v>
      </c>
      <c r="G265" t="s">
        <v>1339</v>
      </c>
      <c r="H265">
        <v>8064399754</v>
      </c>
      <c r="I265" t="s">
        <v>24</v>
      </c>
      <c r="J265" t="s">
        <v>25</v>
      </c>
      <c r="K265" t="s">
        <v>168</v>
      </c>
      <c r="L265" t="s">
        <v>108</v>
      </c>
      <c r="M265" t="s">
        <v>38</v>
      </c>
      <c r="N265" t="s">
        <v>213</v>
      </c>
      <c r="O265">
        <v>19</v>
      </c>
      <c r="P265">
        <v>15942.1</v>
      </c>
      <c r="Q265">
        <v>25</v>
      </c>
      <c r="R265" s="39">
        <v>75724.98</v>
      </c>
      <c r="S265" s="39">
        <v>227174.92</v>
      </c>
      <c r="T265" s="39">
        <v>-15357.56</v>
      </c>
      <c r="U265" t="str">
        <f t="shared" si="9"/>
        <v>Clothing</v>
      </c>
      <c r="V265">
        <f t="shared" si="10"/>
        <v>15357.56</v>
      </c>
      <c r="W265" t="str">
        <f>IF(Sales[[#This Row],[Quantity]]&gt;=15, "Large","Small")</f>
        <v>Large</v>
      </c>
      <c r="X265" t="str">
        <f>IF(Sales[[#This Row],[Quantity]]&gt;=15,"Large",IF(Sales[[#This Row],[Quantity]]=14,"Medium","Small"))</f>
        <v>Large</v>
      </c>
      <c r="Y265" t="str">
        <f>IF(AND(Sales[[#This Row],[Unit Price (₦)]]&gt;68000,Sales[[#This Row],[Quantity]]&gt;15),"Offer Discount", "No Discount")</f>
        <v>No Discount</v>
      </c>
    </row>
    <row r="266" spans="1:25" ht="15" customHeight="1" x14ac:dyDescent="0.25">
      <c r="A266" t="s">
        <v>2125</v>
      </c>
      <c r="B266" s="8">
        <v>44699</v>
      </c>
      <c r="C266" s="8">
        <v>44703</v>
      </c>
      <c r="D266" t="s">
        <v>73</v>
      </c>
      <c r="E266" t="s">
        <v>3068</v>
      </c>
      <c r="F266" t="s">
        <v>3040</v>
      </c>
      <c r="G266" t="s">
        <v>2126</v>
      </c>
      <c r="H266">
        <v>8032188961</v>
      </c>
      <c r="I266" t="s">
        <v>24</v>
      </c>
      <c r="J266" t="s">
        <v>51</v>
      </c>
      <c r="K266" t="s">
        <v>227</v>
      </c>
      <c r="L266" t="s">
        <v>27</v>
      </c>
      <c r="M266" t="s">
        <v>79</v>
      </c>
      <c r="N266" t="s">
        <v>490</v>
      </c>
      <c r="O266">
        <v>10</v>
      </c>
      <c r="P266">
        <v>6324.38</v>
      </c>
      <c r="Q266">
        <v>0</v>
      </c>
      <c r="R266" s="39">
        <v>0</v>
      </c>
      <c r="S266" s="39">
        <v>63243.8</v>
      </c>
      <c r="T266" s="39">
        <v>-5011.66</v>
      </c>
      <c r="U266" t="str">
        <f t="shared" si="9"/>
        <v>Food &amp; Beverages</v>
      </c>
      <c r="V266">
        <f t="shared" si="10"/>
        <v>5011.66</v>
      </c>
      <c r="W266" t="str">
        <f>IF(Sales[[#This Row],[Quantity]]&gt;=15, "Large","Small")</f>
        <v>Small</v>
      </c>
      <c r="X266" t="str">
        <f>IF(Sales[[#This Row],[Quantity]]&gt;=15,"Large",IF(Sales[[#This Row],[Quantity]]=14,"Medium","Small"))</f>
        <v>Small</v>
      </c>
      <c r="Y266" t="str">
        <f>IF(AND(Sales[[#This Row],[Unit Price (₦)]]&gt;68000,Sales[[#This Row],[Quantity]]&gt;15),"Offer Discount", "No Discount")</f>
        <v>No Discount</v>
      </c>
    </row>
    <row r="267" spans="1:25" ht="15" customHeight="1" x14ac:dyDescent="0.25">
      <c r="A267" t="s">
        <v>616</v>
      </c>
      <c r="B267" s="8">
        <v>44701</v>
      </c>
      <c r="C267" s="8">
        <v>44706</v>
      </c>
      <c r="D267" t="s">
        <v>73</v>
      </c>
      <c r="E267" t="s">
        <v>3084</v>
      </c>
      <c r="F267" t="s">
        <v>3046</v>
      </c>
      <c r="G267" t="s">
        <v>3126</v>
      </c>
      <c r="H267">
        <v>8158650572</v>
      </c>
      <c r="I267" t="s">
        <v>24</v>
      </c>
      <c r="J267" t="s">
        <v>69</v>
      </c>
      <c r="K267" t="s">
        <v>119</v>
      </c>
      <c r="L267" t="s">
        <v>63</v>
      </c>
      <c r="M267" t="s">
        <v>249</v>
      </c>
      <c r="N267" t="s">
        <v>250</v>
      </c>
      <c r="O267">
        <v>20</v>
      </c>
      <c r="P267">
        <v>16124.35</v>
      </c>
      <c r="Q267">
        <v>20</v>
      </c>
      <c r="R267" s="39">
        <v>64497.4</v>
      </c>
      <c r="S267" s="39">
        <v>257989.6</v>
      </c>
      <c r="T267" s="39">
        <v>63354.66</v>
      </c>
      <c r="U267" t="str">
        <f t="shared" si="9"/>
        <v>Office Supplies</v>
      </c>
      <c r="V267">
        <f t="shared" si="10"/>
        <v>63354.66</v>
      </c>
      <c r="W267" t="str">
        <f>IF(Sales[[#This Row],[Quantity]]&gt;=15, "Large","Small")</f>
        <v>Large</v>
      </c>
      <c r="X267" t="str">
        <f>IF(Sales[[#This Row],[Quantity]]&gt;=15,"Large",IF(Sales[[#This Row],[Quantity]]=14,"Medium","Small"))</f>
        <v>Large</v>
      </c>
      <c r="Y267" t="str">
        <f>IF(AND(Sales[[#This Row],[Unit Price (₦)]]&gt;68000,Sales[[#This Row],[Quantity]]&gt;15),"Offer Discount", "No Discount")</f>
        <v>No Discount</v>
      </c>
    </row>
    <row r="268" spans="1:25" ht="15" customHeight="1" x14ac:dyDescent="0.25">
      <c r="A268" t="s">
        <v>1129</v>
      </c>
      <c r="B268" s="8">
        <v>44707</v>
      </c>
      <c r="C268" s="8">
        <v>44710</v>
      </c>
      <c r="D268" t="s">
        <v>73</v>
      </c>
      <c r="E268" t="s">
        <v>3082</v>
      </c>
      <c r="F268" t="s">
        <v>3040</v>
      </c>
      <c r="G268" t="s">
        <v>1131</v>
      </c>
      <c r="H268">
        <v>8032341452</v>
      </c>
      <c r="I268" t="s">
        <v>43</v>
      </c>
      <c r="J268" t="s">
        <v>51</v>
      </c>
      <c r="K268" t="s">
        <v>52</v>
      </c>
      <c r="L268" t="s">
        <v>108</v>
      </c>
      <c r="M268" t="s">
        <v>114</v>
      </c>
      <c r="N268" t="s">
        <v>482</v>
      </c>
      <c r="O268">
        <v>14</v>
      </c>
      <c r="P268">
        <v>25994.86</v>
      </c>
      <c r="Q268">
        <v>10</v>
      </c>
      <c r="R268" s="39">
        <v>36392.800000000003</v>
      </c>
      <c r="S268" s="39">
        <v>327535.24</v>
      </c>
      <c r="T268" s="39">
        <v>106956.55</v>
      </c>
      <c r="U268" t="str">
        <f t="shared" si="9"/>
        <v>Clothing</v>
      </c>
      <c r="V268">
        <f t="shared" si="10"/>
        <v>106956.55</v>
      </c>
      <c r="W268" t="str">
        <f>IF(Sales[[#This Row],[Quantity]]&gt;=15, "Large","Small")</f>
        <v>Small</v>
      </c>
      <c r="X268" t="str">
        <f>IF(Sales[[#This Row],[Quantity]]&gt;=15,"Large",IF(Sales[[#This Row],[Quantity]]=14,"Medium","Small"))</f>
        <v>Medium</v>
      </c>
      <c r="Y268" t="str">
        <f>IF(AND(Sales[[#This Row],[Unit Price (₦)]]&gt;68000,Sales[[#This Row],[Quantity]]&gt;15),"Offer Discount", "No Discount")</f>
        <v>No Discount</v>
      </c>
    </row>
    <row r="269" spans="1:25" ht="15" customHeight="1" x14ac:dyDescent="0.25">
      <c r="A269" t="s">
        <v>273</v>
      </c>
      <c r="B269" s="8">
        <v>44708</v>
      </c>
      <c r="C269" s="8">
        <v>44711</v>
      </c>
      <c r="D269" t="s">
        <v>73</v>
      </c>
      <c r="E269" t="s">
        <v>3048</v>
      </c>
      <c r="F269" t="s">
        <v>3079</v>
      </c>
      <c r="G269" t="s">
        <v>275</v>
      </c>
      <c r="H269">
        <v>9055842082</v>
      </c>
      <c r="I269" t="s">
        <v>43</v>
      </c>
      <c r="J269" t="s">
        <v>61</v>
      </c>
      <c r="K269" t="s">
        <v>62</v>
      </c>
      <c r="L269" t="s">
        <v>108</v>
      </c>
      <c r="M269" t="s">
        <v>114</v>
      </c>
      <c r="N269" t="s">
        <v>115</v>
      </c>
      <c r="O269">
        <v>13</v>
      </c>
      <c r="P269">
        <v>31613.15</v>
      </c>
      <c r="Q269">
        <v>10</v>
      </c>
      <c r="R269" s="39">
        <v>41097.1</v>
      </c>
      <c r="S269" s="39">
        <v>369873.85</v>
      </c>
      <c r="T269" s="39">
        <v>55585.87</v>
      </c>
      <c r="U269" t="str">
        <f t="shared" si="9"/>
        <v>Clothing</v>
      </c>
      <c r="V269">
        <f t="shared" si="10"/>
        <v>55585.87</v>
      </c>
      <c r="W269" t="str">
        <f>IF(Sales[[#This Row],[Quantity]]&gt;=15, "Large","Small")</f>
        <v>Small</v>
      </c>
      <c r="X269" t="str">
        <f>IF(Sales[[#This Row],[Quantity]]&gt;=15,"Large",IF(Sales[[#This Row],[Quantity]]=14,"Medium","Small"))</f>
        <v>Small</v>
      </c>
      <c r="Y269" t="str">
        <f>IF(AND(Sales[[#This Row],[Unit Price (₦)]]&gt;68000,Sales[[#This Row],[Quantity]]&gt;15),"Offer Discount", "No Discount")</f>
        <v>No Discount</v>
      </c>
    </row>
    <row r="270" spans="1:25" ht="15" customHeight="1" x14ac:dyDescent="0.25">
      <c r="A270" t="s">
        <v>1660</v>
      </c>
      <c r="B270" s="8">
        <v>44711</v>
      </c>
      <c r="C270" s="8">
        <v>44716</v>
      </c>
      <c r="D270" t="s">
        <v>73</v>
      </c>
      <c r="E270" t="s">
        <v>3085</v>
      </c>
      <c r="F270" t="s">
        <v>3071</v>
      </c>
      <c r="G270" t="s">
        <v>1662</v>
      </c>
      <c r="H270">
        <v>9078490291</v>
      </c>
      <c r="I270" t="s">
        <v>24</v>
      </c>
      <c r="J270" t="s">
        <v>25</v>
      </c>
      <c r="K270" t="s">
        <v>44</v>
      </c>
      <c r="L270" t="s">
        <v>27</v>
      </c>
      <c r="M270" t="s">
        <v>79</v>
      </c>
      <c r="N270" t="s">
        <v>145</v>
      </c>
      <c r="O270">
        <v>2</v>
      </c>
      <c r="P270">
        <v>7803.85</v>
      </c>
      <c r="Q270">
        <v>15</v>
      </c>
      <c r="R270" s="39">
        <v>2341.16</v>
      </c>
      <c r="S270" s="39">
        <v>13266.54</v>
      </c>
      <c r="T270" s="39">
        <v>503.7</v>
      </c>
      <c r="U270" t="str">
        <f t="shared" si="9"/>
        <v>Food &amp; Beverages</v>
      </c>
      <c r="V270">
        <f t="shared" si="10"/>
        <v>503.7</v>
      </c>
      <c r="W270" t="str">
        <f>IF(Sales[[#This Row],[Quantity]]&gt;=15, "Large","Small")</f>
        <v>Small</v>
      </c>
      <c r="X270" t="str">
        <f>IF(Sales[[#This Row],[Quantity]]&gt;=15,"Large",IF(Sales[[#This Row],[Quantity]]=14,"Medium","Small"))</f>
        <v>Small</v>
      </c>
      <c r="Y270" t="str">
        <f>IF(AND(Sales[[#This Row],[Unit Price (₦)]]&gt;68000,Sales[[#This Row],[Quantity]]&gt;15),"Offer Discount", "No Discount")</f>
        <v>No Discount</v>
      </c>
    </row>
    <row r="271" spans="1:25" ht="15" customHeight="1" x14ac:dyDescent="0.25">
      <c r="A271" t="s">
        <v>406</v>
      </c>
      <c r="B271" s="8">
        <v>44716</v>
      </c>
      <c r="C271" s="8">
        <v>44719</v>
      </c>
      <c r="D271" t="s">
        <v>73</v>
      </c>
      <c r="E271" t="s">
        <v>3089</v>
      </c>
      <c r="F271" t="s">
        <v>3071</v>
      </c>
      <c r="G271" t="s">
        <v>408</v>
      </c>
      <c r="H271">
        <v>9076422534</v>
      </c>
      <c r="I271" t="s">
        <v>35</v>
      </c>
      <c r="J271" t="s">
        <v>51</v>
      </c>
      <c r="K271" t="s">
        <v>131</v>
      </c>
      <c r="L271" t="s">
        <v>63</v>
      </c>
      <c r="M271" t="s">
        <v>54</v>
      </c>
      <c r="N271" t="s">
        <v>409</v>
      </c>
      <c r="O271">
        <v>15</v>
      </c>
      <c r="P271">
        <v>2173.0100000000002</v>
      </c>
      <c r="Q271">
        <v>10</v>
      </c>
      <c r="R271" s="39">
        <v>3259.51</v>
      </c>
      <c r="S271" s="39">
        <v>29335.64</v>
      </c>
      <c r="T271" s="39">
        <v>9616.16</v>
      </c>
      <c r="U271" t="str">
        <f t="shared" si="9"/>
        <v>Office Supplies</v>
      </c>
      <c r="V271">
        <f t="shared" si="10"/>
        <v>9616.16</v>
      </c>
      <c r="W271" t="str">
        <f>IF(Sales[[#This Row],[Quantity]]&gt;=15, "Large","Small")</f>
        <v>Large</v>
      </c>
      <c r="X271" t="str">
        <f>IF(Sales[[#This Row],[Quantity]]&gt;=15,"Large",IF(Sales[[#This Row],[Quantity]]=14,"Medium","Small"))</f>
        <v>Large</v>
      </c>
      <c r="Y271" t="str">
        <f>IF(AND(Sales[[#This Row],[Unit Price (₦)]]&gt;68000,Sales[[#This Row],[Quantity]]&gt;15),"Offer Discount", "No Discount")</f>
        <v>No Discount</v>
      </c>
    </row>
    <row r="272" spans="1:25" ht="15" customHeight="1" x14ac:dyDescent="0.25">
      <c r="A272" t="s">
        <v>2252</v>
      </c>
      <c r="B272" s="8">
        <v>44720</v>
      </c>
      <c r="C272" s="8">
        <v>44725</v>
      </c>
      <c r="D272" t="s">
        <v>73</v>
      </c>
      <c r="E272" t="s">
        <v>3084</v>
      </c>
      <c r="F272" t="s">
        <v>3038</v>
      </c>
      <c r="G272" t="s">
        <v>2198</v>
      </c>
      <c r="H272">
        <v>8163991801</v>
      </c>
      <c r="I272" t="s">
        <v>24</v>
      </c>
      <c r="J272" t="s">
        <v>69</v>
      </c>
      <c r="K272" t="s">
        <v>144</v>
      </c>
      <c r="L272" t="s">
        <v>63</v>
      </c>
      <c r="M272" t="s">
        <v>312</v>
      </c>
      <c r="N272" t="s">
        <v>628</v>
      </c>
      <c r="O272">
        <v>17</v>
      </c>
      <c r="P272">
        <v>3604.25</v>
      </c>
      <c r="Q272">
        <v>15</v>
      </c>
      <c r="R272" s="39">
        <v>9190.84</v>
      </c>
      <c r="S272" s="39">
        <v>52081.41</v>
      </c>
      <c r="T272" s="39">
        <v>2504.91</v>
      </c>
      <c r="U272" t="str">
        <f t="shared" si="9"/>
        <v>Office Supplies</v>
      </c>
      <c r="V272">
        <f t="shared" si="10"/>
        <v>2504.91</v>
      </c>
      <c r="W272" t="str">
        <f>IF(Sales[[#This Row],[Quantity]]&gt;=15, "Large","Small")</f>
        <v>Large</v>
      </c>
      <c r="X272" t="str">
        <f>IF(Sales[[#This Row],[Quantity]]&gt;=15,"Large",IF(Sales[[#This Row],[Quantity]]=14,"Medium","Small"))</f>
        <v>Large</v>
      </c>
      <c r="Y272" t="str">
        <f>IF(AND(Sales[[#This Row],[Unit Price (₦)]]&gt;68000,Sales[[#This Row],[Quantity]]&gt;15),"Offer Discount", "No Discount")</f>
        <v>No Discount</v>
      </c>
    </row>
    <row r="273" spans="1:25" ht="15" customHeight="1" x14ac:dyDescent="0.25">
      <c r="A273" t="s">
        <v>1921</v>
      </c>
      <c r="B273" s="8">
        <v>44733</v>
      </c>
      <c r="C273" s="8">
        <v>44737</v>
      </c>
      <c r="D273" t="s">
        <v>73</v>
      </c>
      <c r="E273" t="s">
        <v>3084</v>
      </c>
      <c r="F273" t="s">
        <v>3040</v>
      </c>
      <c r="G273" t="s">
        <v>1923</v>
      </c>
      <c r="H273">
        <v>9021157641</v>
      </c>
      <c r="I273" t="s">
        <v>35</v>
      </c>
      <c r="J273" t="s">
        <v>25</v>
      </c>
      <c r="K273" t="s">
        <v>26</v>
      </c>
      <c r="L273" t="s">
        <v>96</v>
      </c>
      <c r="M273" t="s">
        <v>254</v>
      </c>
      <c r="N273" t="s">
        <v>455</v>
      </c>
      <c r="O273">
        <v>3</v>
      </c>
      <c r="P273">
        <v>385933.29</v>
      </c>
      <c r="Q273">
        <v>5</v>
      </c>
      <c r="R273" s="39">
        <v>57889.99</v>
      </c>
      <c r="S273" s="39">
        <v>1099909.8799999999</v>
      </c>
      <c r="T273" s="39">
        <v>-73102.149999999994</v>
      </c>
      <c r="U273" t="str">
        <f t="shared" si="9"/>
        <v>Technology</v>
      </c>
      <c r="V273">
        <f t="shared" si="10"/>
        <v>73102.149999999994</v>
      </c>
      <c r="W273" t="str">
        <f>IF(Sales[[#This Row],[Quantity]]&gt;=15, "Large","Small")</f>
        <v>Small</v>
      </c>
      <c r="X273" t="str">
        <f>IF(Sales[[#This Row],[Quantity]]&gt;=15,"Large",IF(Sales[[#This Row],[Quantity]]=14,"Medium","Small"))</f>
        <v>Small</v>
      </c>
      <c r="Y273" t="str">
        <f>IF(AND(Sales[[#This Row],[Unit Price (₦)]]&gt;68000,Sales[[#This Row],[Quantity]]&gt;15),"Offer Discount", "No Discount")</f>
        <v>No Discount</v>
      </c>
    </row>
    <row r="274" spans="1:25" ht="15" customHeight="1" x14ac:dyDescent="0.25">
      <c r="A274" t="s">
        <v>1865</v>
      </c>
      <c r="B274" s="8">
        <v>44735</v>
      </c>
      <c r="C274" s="8">
        <v>44740</v>
      </c>
      <c r="D274" t="s">
        <v>73</v>
      </c>
      <c r="E274" t="s">
        <v>3092</v>
      </c>
      <c r="F274" t="s">
        <v>3054</v>
      </c>
      <c r="G274" t="s">
        <v>996</v>
      </c>
      <c r="H274">
        <v>8069177419</v>
      </c>
      <c r="I274" t="s">
        <v>43</v>
      </c>
      <c r="J274" t="s">
        <v>25</v>
      </c>
      <c r="K274" t="s">
        <v>3127</v>
      </c>
      <c r="L274" t="s">
        <v>96</v>
      </c>
      <c r="M274" t="s">
        <v>385</v>
      </c>
      <c r="N274" t="s">
        <v>386</v>
      </c>
      <c r="O274">
        <v>13</v>
      </c>
      <c r="P274">
        <v>113351.43</v>
      </c>
      <c r="Q274">
        <v>10</v>
      </c>
      <c r="R274" s="39">
        <v>147356.85999999999</v>
      </c>
      <c r="S274" s="39">
        <v>1326211.73</v>
      </c>
      <c r="T274" s="39">
        <v>39217.370000000003</v>
      </c>
      <c r="U274" t="str">
        <f t="shared" si="9"/>
        <v>Technology</v>
      </c>
      <c r="V274">
        <f t="shared" si="10"/>
        <v>39217.370000000003</v>
      </c>
      <c r="W274" t="str">
        <f>IF(Sales[[#This Row],[Quantity]]&gt;=15, "Large","Small")</f>
        <v>Small</v>
      </c>
      <c r="X274" t="str">
        <f>IF(Sales[[#This Row],[Quantity]]&gt;=15,"Large",IF(Sales[[#This Row],[Quantity]]=14,"Medium","Small"))</f>
        <v>Small</v>
      </c>
      <c r="Y274" t="str">
        <f>IF(AND(Sales[[#This Row],[Unit Price (₦)]]&gt;68000,Sales[[#This Row],[Quantity]]&gt;15),"Offer Discount", "No Discount")</f>
        <v>No Discount</v>
      </c>
    </row>
    <row r="275" spans="1:25" ht="15" customHeight="1" x14ac:dyDescent="0.25">
      <c r="A275" t="s">
        <v>2086</v>
      </c>
      <c r="B275" s="8">
        <v>44738</v>
      </c>
      <c r="C275" s="8">
        <v>44743</v>
      </c>
      <c r="D275" t="s">
        <v>73</v>
      </c>
      <c r="E275" t="s">
        <v>3091</v>
      </c>
      <c r="F275" t="s">
        <v>3054</v>
      </c>
      <c r="G275" t="s">
        <v>2088</v>
      </c>
      <c r="H275">
        <v>7062354222</v>
      </c>
      <c r="I275" t="s">
        <v>43</v>
      </c>
      <c r="J275" t="s">
        <v>61</v>
      </c>
      <c r="K275" t="s">
        <v>182</v>
      </c>
      <c r="L275" t="s">
        <v>1441</v>
      </c>
      <c r="M275" t="s">
        <v>54</v>
      </c>
      <c r="N275" t="s">
        <v>1039</v>
      </c>
      <c r="O275">
        <v>12</v>
      </c>
      <c r="P275">
        <v>12092.86</v>
      </c>
      <c r="Q275">
        <v>5</v>
      </c>
      <c r="R275" s="39">
        <v>7255.72</v>
      </c>
      <c r="S275" s="39">
        <v>137858.6</v>
      </c>
      <c r="T275" s="39">
        <v>46461.86</v>
      </c>
      <c r="U275" t="str">
        <f t="shared" si="9"/>
        <v>Office Supplies</v>
      </c>
      <c r="V275">
        <f t="shared" si="10"/>
        <v>46461.86</v>
      </c>
      <c r="W275" t="str">
        <f>IF(Sales[[#This Row],[Quantity]]&gt;=15, "Large","Small")</f>
        <v>Small</v>
      </c>
      <c r="X275" t="str">
        <f>IF(Sales[[#This Row],[Quantity]]&gt;=15,"Large",IF(Sales[[#This Row],[Quantity]]=14,"Medium","Small"))</f>
        <v>Small</v>
      </c>
      <c r="Y275" t="str">
        <f>IF(AND(Sales[[#This Row],[Unit Price (₦)]]&gt;68000,Sales[[#This Row],[Quantity]]&gt;15),"Offer Discount", "No Discount")</f>
        <v>No Discount</v>
      </c>
    </row>
    <row r="276" spans="1:25" ht="15" customHeight="1" x14ac:dyDescent="0.25">
      <c r="A276" t="s">
        <v>2671</v>
      </c>
      <c r="B276" s="8">
        <v>44738</v>
      </c>
      <c r="C276" s="8">
        <v>44743</v>
      </c>
      <c r="D276" t="s">
        <v>73</v>
      </c>
      <c r="E276" t="s">
        <v>3065</v>
      </c>
      <c r="F276" t="s">
        <v>3069</v>
      </c>
      <c r="G276" t="s">
        <v>2672</v>
      </c>
      <c r="H276">
        <v>8147263217</v>
      </c>
      <c r="I276" t="s">
        <v>35</v>
      </c>
      <c r="J276" t="s">
        <v>61</v>
      </c>
      <c r="K276" t="s">
        <v>95</v>
      </c>
      <c r="L276" t="s">
        <v>27</v>
      </c>
      <c r="M276" t="s">
        <v>45</v>
      </c>
      <c r="N276" t="s">
        <v>875</v>
      </c>
      <c r="O276">
        <v>6</v>
      </c>
      <c r="P276">
        <v>814.51</v>
      </c>
      <c r="Q276">
        <v>15</v>
      </c>
      <c r="R276" s="39">
        <v>733.06</v>
      </c>
      <c r="S276" s="39">
        <v>4154</v>
      </c>
      <c r="T276" s="39">
        <v>-334.36</v>
      </c>
      <c r="U276" t="str">
        <f t="shared" si="9"/>
        <v>Food &amp; Beverages</v>
      </c>
      <c r="V276">
        <f t="shared" si="10"/>
        <v>334.36</v>
      </c>
      <c r="W276" t="str">
        <f>IF(Sales[[#This Row],[Quantity]]&gt;=15, "Large","Small")</f>
        <v>Small</v>
      </c>
      <c r="X276" t="str">
        <f>IF(Sales[[#This Row],[Quantity]]&gt;=15,"Large",IF(Sales[[#This Row],[Quantity]]=14,"Medium","Small"))</f>
        <v>Small</v>
      </c>
      <c r="Y276" t="str">
        <f>IF(AND(Sales[[#This Row],[Unit Price (₦)]]&gt;68000,Sales[[#This Row],[Quantity]]&gt;15),"Offer Discount", "No Discount")</f>
        <v>No Discount</v>
      </c>
    </row>
    <row r="277" spans="1:25" ht="15" customHeight="1" x14ac:dyDescent="0.25">
      <c r="A277" t="s">
        <v>1091</v>
      </c>
      <c r="B277" s="8">
        <v>44745</v>
      </c>
      <c r="C277" s="8">
        <v>44749</v>
      </c>
      <c r="D277" t="s">
        <v>73</v>
      </c>
      <c r="E277" t="s">
        <v>3093</v>
      </c>
      <c r="F277" t="s">
        <v>3039</v>
      </c>
      <c r="G277" t="s">
        <v>1093</v>
      </c>
      <c r="H277">
        <v>8163612506</v>
      </c>
      <c r="I277" t="s">
        <v>43</v>
      </c>
      <c r="J277" t="s">
        <v>51</v>
      </c>
      <c r="K277" t="s">
        <v>223</v>
      </c>
      <c r="L277" t="s">
        <v>63</v>
      </c>
      <c r="M277" t="s">
        <v>249</v>
      </c>
      <c r="N277" t="s">
        <v>465</v>
      </c>
      <c r="O277">
        <v>5</v>
      </c>
      <c r="P277">
        <v>13321.25</v>
      </c>
      <c r="Q277">
        <v>10</v>
      </c>
      <c r="R277" s="39">
        <v>6660.62</v>
      </c>
      <c r="S277" s="39">
        <v>59945.63</v>
      </c>
      <c r="T277" s="39">
        <v>1322.24</v>
      </c>
      <c r="U277" t="str">
        <f t="shared" si="9"/>
        <v>Office Supplies</v>
      </c>
      <c r="V277">
        <f t="shared" si="10"/>
        <v>1322.24</v>
      </c>
      <c r="W277" t="str">
        <f>IF(Sales[[#This Row],[Quantity]]&gt;=15, "Large","Small")</f>
        <v>Small</v>
      </c>
      <c r="X277" t="str">
        <f>IF(Sales[[#This Row],[Quantity]]&gt;=15,"Large",IF(Sales[[#This Row],[Quantity]]=14,"Medium","Small"))</f>
        <v>Small</v>
      </c>
      <c r="Y277" t="str">
        <f>IF(AND(Sales[[#This Row],[Unit Price (₦)]]&gt;68000,Sales[[#This Row],[Quantity]]&gt;15),"Offer Discount", "No Discount")</f>
        <v>No Discount</v>
      </c>
    </row>
    <row r="278" spans="1:25" ht="15" customHeight="1" x14ac:dyDescent="0.25">
      <c r="A278" t="s">
        <v>1369</v>
      </c>
      <c r="B278" s="8">
        <v>44747</v>
      </c>
      <c r="C278" s="8">
        <v>44750</v>
      </c>
      <c r="D278" t="s">
        <v>73</v>
      </c>
      <c r="E278" t="s">
        <v>3055</v>
      </c>
      <c r="F278" t="s">
        <v>3069</v>
      </c>
      <c r="G278" t="s">
        <v>1371</v>
      </c>
      <c r="H278">
        <v>8108705487</v>
      </c>
      <c r="I278" t="s">
        <v>43</v>
      </c>
      <c r="J278" t="s">
        <v>61</v>
      </c>
      <c r="K278" t="s">
        <v>182</v>
      </c>
      <c r="L278" t="s">
        <v>27</v>
      </c>
      <c r="M278" t="s">
        <v>173</v>
      </c>
      <c r="N278" t="s">
        <v>279</v>
      </c>
      <c r="O278">
        <v>15</v>
      </c>
      <c r="P278">
        <v>7818.44</v>
      </c>
      <c r="Q278">
        <v>0</v>
      </c>
      <c r="R278" s="39">
        <v>0</v>
      </c>
      <c r="S278" s="39">
        <v>117276.6</v>
      </c>
      <c r="T278" s="39">
        <v>43922.36</v>
      </c>
      <c r="U278" t="str">
        <f t="shared" si="9"/>
        <v>Food &amp; Beverages</v>
      </c>
      <c r="V278">
        <f t="shared" si="10"/>
        <v>43922.36</v>
      </c>
      <c r="W278" t="str">
        <f>IF(Sales[[#This Row],[Quantity]]&gt;=15, "Large","Small")</f>
        <v>Large</v>
      </c>
      <c r="X278" t="str">
        <f>IF(Sales[[#This Row],[Quantity]]&gt;=15,"Large",IF(Sales[[#This Row],[Quantity]]=14,"Medium","Small"))</f>
        <v>Large</v>
      </c>
      <c r="Y278" t="str">
        <f>IF(AND(Sales[[#This Row],[Unit Price (₦)]]&gt;68000,Sales[[#This Row],[Quantity]]&gt;15),"Offer Discount", "No Discount")</f>
        <v>No Discount</v>
      </c>
    </row>
    <row r="279" spans="1:25" ht="15" customHeight="1" x14ac:dyDescent="0.25">
      <c r="A279" t="s">
        <v>2423</v>
      </c>
      <c r="B279" s="8">
        <v>44750</v>
      </c>
      <c r="C279" s="8">
        <v>44754</v>
      </c>
      <c r="D279" t="s">
        <v>73</v>
      </c>
      <c r="E279" t="s">
        <v>3044</v>
      </c>
      <c r="F279" t="s">
        <v>3038</v>
      </c>
      <c r="G279" t="s">
        <v>2425</v>
      </c>
      <c r="H279">
        <v>8147963833</v>
      </c>
      <c r="I279" t="s">
        <v>43</v>
      </c>
      <c r="J279" t="s">
        <v>25</v>
      </c>
      <c r="K279" t="s">
        <v>26</v>
      </c>
      <c r="L279" t="s">
        <v>27</v>
      </c>
      <c r="M279" t="s">
        <v>28</v>
      </c>
      <c r="N279" t="s">
        <v>508</v>
      </c>
      <c r="O279">
        <v>1</v>
      </c>
      <c r="P279">
        <v>6898.25</v>
      </c>
      <c r="Q279">
        <v>10</v>
      </c>
      <c r="R279" s="39">
        <v>689.83</v>
      </c>
      <c r="S279" s="39">
        <v>6208.42</v>
      </c>
      <c r="T279" s="39">
        <v>842.77</v>
      </c>
      <c r="U279" t="str">
        <f t="shared" si="9"/>
        <v>Food &amp; Beverages</v>
      </c>
      <c r="V279">
        <f t="shared" si="10"/>
        <v>842.77</v>
      </c>
      <c r="W279" t="str">
        <f>IF(Sales[[#This Row],[Quantity]]&gt;=15, "Large","Small")</f>
        <v>Small</v>
      </c>
      <c r="X279" t="str">
        <f>IF(Sales[[#This Row],[Quantity]]&gt;=15,"Large",IF(Sales[[#This Row],[Quantity]]=14,"Medium","Small"))</f>
        <v>Small</v>
      </c>
      <c r="Y279" t="str">
        <f>IF(AND(Sales[[#This Row],[Unit Price (₦)]]&gt;68000,Sales[[#This Row],[Quantity]]&gt;15),"Offer Discount", "No Discount")</f>
        <v>No Discount</v>
      </c>
    </row>
    <row r="280" spans="1:25" ht="15" customHeight="1" x14ac:dyDescent="0.25">
      <c r="A280" t="s">
        <v>2813</v>
      </c>
      <c r="B280" s="8">
        <v>44752</v>
      </c>
      <c r="C280" s="8">
        <v>44755</v>
      </c>
      <c r="D280" t="s">
        <v>73</v>
      </c>
      <c r="E280" t="s">
        <v>3070</v>
      </c>
      <c r="F280" t="s">
        <v>3088</v>
      </c>
      <c r="G280" t="s">
        <v>2815</v>
      </c>
      <c r="H280">
        <v>7032902103</v>
      </c>
      <c r="I280" t="s">
        <v>43</v>
      </c>
      <c r="J280" t="s">
        <v>25</v>
      </c>
      <c r="K280" t="s">
        <v>44</v>
      </c>
      <c r="L280" t="s">
        <v>96</v>
      </c>
      <c r="M280" t="s">
        <v>97</v>
      </c>
      <c r="N280" t="s">
        <v>1416</v>
      </c>
      <c r="O280">
        <v>4</v>
      </c>
      <c r="P280">
        <v>153465.60000000001</v>
      </c>
      <c r="Q280">
        <v>0</v>
      </c>
      <c r="R280" s="39">
        <v>0</v>
      </c>
      <c r="S280" s="39">
        <v>613862.40000000002</v>
      </c>
      <c r="T280" s="39">
        <v>120223</v>
      </c>
      <c r="U280" t="str">
        <f t="shared" si="9"/>
        <v>Technology</v>
      </c>
      <c r="V280">
        <f t="shared" si="10"/>
        <v>120223</v>
      </c>
      <c r="W280" t="str">
        <f>IF(Sales[[#This Row],[Quantity]]&gt;=15, "Large","Small")</f>
        <v>Small</v>
      </c>
      <c r="X280" t="str">
        <f>IF(Sales[[#This Row],[Quantity]]&gt;=15,"Large",IF(Sales[[#This Row],[Quantity]]=14,"Medium","Small"))</f>
        <v>Small</v>
      </c>
      <c r="Y280" t="str">
        <f>IF(AND(Sales[[#This Row],[Unit Price (₦)]]&gt;68000,Sales[[#This Row],[Quantity]]&gt;15),"Offer Discount", "No Discount")</f>
        <v>No Discount</v>
      </c>
    </row>
    <row r="281" spans="1:25" ht="15" customHeight="1" x14ac:dyDescent="0.25">
      <c r="A281" t="s">
        <v>2224</v>
      </c>
      <c r="B281" s="8">
        <v>44757</v>
      </c>
      <c r="C281" s="8">
        <v>44762</v>
      </c>
      <c r="D281" t="s">
        <v>73</v>
      </c>
      <c r="E281" t="s">
        <v>3035</v>
      </c>
      <c r="F281" t="s">
        <v>3079</v>
      </c>
      <c r="G281" t="s">
        <v>2226</v>
      </c>
      <c r="H281">
        <v>8136237674</v>
      </c>
      <c r="I281" t="s">
        <v>35</v>
      </c>
      <c r="J281" t="s">
        <v>69</v>
      </c>
      <c r="K281" t="s">
        <v>307</v>
      </c>
      <c r="L281" t="s">
        <v>63</v>
      </c>
      <c r="M281" t="s">
        <v>64</v>
      </c>
      <c r="N281" t="s">
        <v>777</v>
      </c>
      <c r="O281">
        <v>10</v>
      </c>
      <c r="P281">
        <v>18715.34</v>
      </c>
      <c r="Q281">
        <v>10</v>
      </c>
      <c r="R281" s="39">
        <v>18715.34</v>
      </c>
      <c r="S281" s="39">
        <v>168438.06</v>
      </c>
      <c r="T281" s="39">
        <v>21112.6</v>
      </c>
      <c r="U281" t="str">
        <f t="shared" si="9"/>
        <v>Office Supplies</v>
      </c>
      <c r="V281">
        <f t="shared" si="10"/>
        <v>21112.6</v>
      </c>
      <c r="W281" t="str">
        <f>IF(Sales[[#This Row],[Quantity]]&gt;=15, "Large","Small")</f>
        <v>Small</v>
      </c>
      <c r="X281" t="str">
        <f>IF(Sales[[#This Row],[Quantity]]&gt;=15,"Large",IF(Sales[[#This Row],[Quantity]]=14,"Medium","Small"))</f>
        <v>Small</v>
      </c>
      <c r="Y281" t="str">
        <f>IF(AND(Sales[[#This Row],[Unit Price (₦)]]&gt;68000,Sales[[#This Row],[Quantity]]&gt;15),"Offer Discount", "No Discount")</f>
        <v>No Discount</v>
      </c>
    </row>
    <row r="282" spans="1:25" ht="15" customHeight="1" x14ac:dyDescent="0.25">
      <c r="A282" t="s">
        <v>2472</v>
      </c>
      <c r="B282" s="8">
        <v>44759</v>
      </c>
      <c r="C282" s="8">
        <v>44764</v>
      </c>
      <c r="D282" t="s">
        <v>73</v>
      </c>
      <c r="E282" t="s">
        <v>3055</v>
      </c>
      <c r="F282" t="s">
        <v>3077</v>
      </c>
      <c r="G282" t="s">
        <v>2473</v>
      </c>
      <c r="H282">
        <v>8064822259</v>
      </c>
      <c r="I282" t="s">
        <v>24</v>
      </c>
      <c r="J282" t="s">
        <v>61</v>
      </c>
      <c r="K282" t="s">
        <v>84</v>
      </c>
      <c r="L282" t="s">
        <v>63</v>
      </c>
      <c r="M282" t="s">
        <v>469</v>
      </c>
      <c r="N282" t="s">
        <v>1099</v>
      </c>
      <c r="O282">
        <v>8</v>
      </c>
      <c r="P282">
        <v>20616.400000000001</v>
      </c>
      <c r="Q282">
        <v>20</v>
      </c>
      <c r="R282" s="39">
        <v>32986.239999999998</v>
      </c>
      <c r="S282" s="39">
        <v>131944.95999999999</v>
      </c>
      <c r="T282" s="39">
        <v>1514.74</v>
      </c>
      <c r="U282" t="str">
        <f t="shared" si="9"/>
        <v>Office Supplies</v>
      </c>
      <c r="V282">
        <f t="shared" si="10"/>
        <v>1514.74</v>
      </c>
      <c r="W282" t="str">
        <f>IF(Sales[[#This Row],[Quantity]]&gt;=15, "Large","Small")</f>
        <v>Small</v>
      </c>
      <c r="X282" t="str">
        <f>IF(Sales[[#This Row],[Quantity]]&gt;=15,"Large",IF(Sales[[#This Row],[Quantity]]=14,"Medium","Small"))</f>
        <v>Small</v>
      </c>
      <c r="Y282" t="str">
        <f>IF(AND(Sales[[#This Row],[Unit Price (₦)]]&gt;68000,Sales[[#This Row],[Quantity]]&gt;15),"Offer Discount", "No Discount")</f>
        <v>No Discount</v>
      </c>
    </row>
    <row r="283" spans="1:25" ht="15" customHeight="1" x14ac:dyDescent="0.25">
      <c r="A283" t="s">
        <v>2710</v>
      </c>
      <c r="B283" s="8">
        <v>44767</v>
      </c>
      <c r="C283" s="8">
        <v>44770</v>
      </c>
      <c r="D283" t="s">
        <v>73</v>
      </c>
      <c r="E283" t="s">
        <v>3051</v>
      </c>
      <c r="F283" t="s">
        <v>3078</v>
      </c>
      <c r="G283" t="s">
        <v>2711</v>
      </c>
      <c r="H283">
        <v>8143523050</v>
      </c>
      <c r="I283" t="s">
        <v>35</v>
      </c>
      <c r="J283" t="s">
        <v>69</v>
      </c>
      <c r="K283" t="s">
        <v>70</v>
      </c>
      <c r="L283" t="s">
        <v>108</v>
      </c>
      <c r="M283" t="s">
        <v>189</v>
      </c>
      <c r="N283" t="s">
        <v>478</v>
      </c>
      <c r="O283">
        <v>9</v>
      </c>
      <c r="P283">
        <v>2990.14</v>
      </c>
      <c r="Q283">
        <v>5</v>
      </c>
      <c r="R283" s="39">
        <v>1345.56</v>
      </c>
      <c r="S283" s="39">
        <v>25565.7</v>
      </c>
      <c r="T283" s="39">
        <v>9691.5400000000009</v>
      </c>
      <c r="U283" t="str">
        <f t="shared" si="9"/>
        <v>Clothing</v>
      </c>
      <c r="V283">
        <f t="shared" si="10"/>
        <v>9691.5400000000009</v>
      </c>
      <c r="W283" t="str">
        <f>IF(Sales[[#This Row],[Quantity]]&gt;=15, "Large","Small")</f>
        <v>Small</v>
      </c>
      <c r="X283" t="str">
        <f>IF(Sales[[#This Row],[Quantity]]&gt;=15,"Large",IF(Sales[[#This Row],[Quantity]]=14,"Medium","Small"))</f>
        <v>Small</v>
      </c>
      <c r="Y283" t="str">
        <f>IF(AND(Sales[[#This Row],[Unit Price (₦)]]&gt;68000,Sales[[#This Row],[Quantity]]&gt;15),"Offer Discount", "No Discount")</f>
        <v>No Discount</v>
      </c>
    </row>
    <row r="284" spans="1:25" ht="15" customHeight="1" x14ac:dyDescent="0.25">
      <c r="A284" t="s">
        <v>1418</v>
      </c>
      <c r="B284" s="8">
        <v>44771</v>
      </c>
      <c r="C284" s="8">
        <v>44774</v>
      </c>
      <c r="D284" t="s">
        <v>73</v>
      </c>
      <c r="E284" t="s">
        <v>3084</v>
      </c>
      <c r="F284" t="s">
        <v>3075</v>
      </c>
      <c r="G284" t="s">
        <v>1420</v>
      </c>
      <c r="H284">
        <v>8034161109</v>
      </c>
      <c r="I284" t="s">
        <v>43</v>
      </c>
      <c r="J284" t="s">
        <v>69</v>
      </c>
      <c r="K284" t="s">
        <v>70</v>
      </c>
      <c r="L284" t="s">
        <v>27</v>
      </c>
      <c r="M284" t="s">
        <v>173</v>
      </c>
      <c r="N284" t="s">
        <v>1421</v>
      </c>
      <c r="O284">
        <v>18</v>
      </c>
      <c r="P284">
        <v>6814.74</v>
      </c>
      <c r="Q284">
        <v>0</v>
      </c>
      <c r="R284" s="39">
        <v>0</v>
      </c>
      <c r="S284" s="39">
        <v>122665.32</v>
      </c>
      <c r="T284" s="39">
        <v>12316.55</v>
      </c>
      <c r="U284" t="str">
        <f t="shared" si="9"/>
        <v>Food &amp; Beverages</v>
      </c>
      <c r="V284">
        <f t="shared" si="10"/>
        <v>12316.55</v>
      </c>
      <c r="W284" t="str">
        <f>IF(Sales[[#This Row],[Quantity]]&gt;=15, "Large","Small")</f>
        <v>Large</v>
      </c>
      <c r="X284" t="str">
        <f>IF(Sales[[#This Row],[Quantity]]&gt;=15,"Large",IF(Sales[[#This Row],[Quantity]]=14,"Medium","Small"))</f>
        <v>Large</v>
      </c>
      <c r="Y284" t="str">
        <f>IF(AND(Sales[[#This Row],[Unit Price (₦)]]&gt;68000,Sales[[#This Row],[Quantity]]&gt;15),"Offer Discount", "No Discount")</f>
        <v>No Discount</v>
      </c>
    </row>
    <row r="285" spans="1:25" ht="15" customHeight="1" x14ac:dyDescent="0.25">
      <c r="A285" t="s">
        <v>772</v>
      </c>
      <c r="B285" s="8">
        <v>44778</v>
      </c>
      <c r="C285" s="8">
        <v>44781</v>
      </c>
      <c r="D285" t="s">
        <v>73</v>
      </c>
      <c r="E285" t="s">
        <v>3053</v>
      </c>
      <c r="F285" t="s">
        <v>3071</v>
      </c>
      <c r="G285" t="s">
        <v>774</v>
      </c>
      <c r="H285">
        <v>7063025626</v>
      </c>
      <c r="I285" t="s">
        <v>35</v>
      </c>
      <c r="J285" t="s">
        <v>61</v>
      </c>
      <c r="K285" t="s">
        <v>84</v>
      </c>
      <c r="L285" t="s">
        <v>27</v>
      </c>
      <c r="M285" t="s">
        <v>45</v>
      </c>
      <c r="N285" t="s">
        <v>523</v>
      </c>
      <c r="O285">
        <v>15</v>
      </c>
      <c r="P285">
        <v>3779.76</v>
      </c>
      <c r="Q285">
        <v>10</v>
      </c>
      <c r="R285" s="39">
        <v>5669.64</v>
      </c>
      <c r="S285" s="39">
        <v>51026.76</v>
      </c>
      <c r="T285" s="39">
        <v>18445.63</v>
      </c>
      <c r="U285" t="str">
        <f t="shared" si="9"/>
        <v>Food &amp; Beverages</v>
      </c>
      <c r="V285">
        <f t="shared" si="10"/>
        <v>18445.63</v>
      </c>
      <c r="W285" t="str">
        <f>IF(Sales[[#This Row],[Quantity]]&gt;=15, "Large","Small")</f>
        <v>Large</v>
      </c>
      <c r="X285" t="str">
        <f>IF(Sales[[#This Row],[Quantity]]&gt;=15,"Large",IF(Sales[[#This Row],[Quantity]]=14,"Medium","Small"))</f>
        <v>Large</v>
      </c>
      <c r="Y285" t="str">
        <f>IF(AND(Sales[[#This Row],[Unit Price (₦)]]&gt;68000,Sales[[#This Row],[Quantity]]&gt;15),"Offer Discount", "No Discount")</f>
        <v>No Discount</v>
      </c>
    </row>
    <row r="286" spans="1:25" ht="15" customHeight="1" x14ac:dyDescent="0.25">
      <c r="A286" t="s">
        <v>2835</v>
      </c>
      <c r="B286" s="8">
        <v>44786</v>
      </c>
      <c r="C286" s="8">
        <v>44790</v>
      </c>
      <c r="D286" t="s">
        <v>73</v>
      </c>
      <c r="E286" t="s">
        <v>3073</v>
      </c>
      <c r="F286" t="s">
        <v>3075</v>
      </c>
      <c r="G286" t="s">
        <v>2837</v>
      </c>
      <c r="H286">
        <v>9012658169</v>
      </c>
      <c r="I286" t="s">
        <v>35</v>
      </c>
      <c r="J286" t="s">
        <v>69</v>
      </c>
      <c r="K286" t="s">
        <v>70</v>
      </c>
      <c r="L286" t="s">
        <v>63</v>
      </c>
      <c r="M286" t="s">
        <v>194</v>
      </c>
      <c r="N286" t="s">
        <v>195</v>
      </c>
      <c r="O286">
        <f>O285</f>
        <v>15</v>
      </c>
      <c r="P286">
        <v>20086.8</v>
      </c>
      <c r="Q286">
        <v>0</v>
      </c>
      <c r="R286" s="39">
        <v>0</v>
      </c>
      <c r="S286" s="39">
        <v>261128.4</v>
      </c>
      <c r="T286" s="39">
        <v>-29303.66</v>
      </c>
      <c r="U286" t="str">
        <f t="shared" si="9"/>
        <v>Office Supplies</v>
      </c>
      <c r="V286">
        <f t="shared" si="10"/>
        <v>29303.66</v>
      </c>
      <c r="W286" t="str">
        <f>IF(Sales[[#This Row],[Quantity]]&gt;=15, "Large","Small")</f>
        <v>Large</v>
      </c>
      <c r="X286" t="str">
        <f>IF(Sales[[#This Row],[Quantity]]&gt;=15,"Large",IF(Sales[[#This Row],[Quantity]]=14,"Medium","Small"))</f>
        <v>Large</v>
      </c>
      <c r="Y286" t="str">
        <f>IF(AND(Sales[[#This Row],[Unit Price (₦)]]&gt;68000,Sales[[#This Row],[Quantity]]&gt;15),"Offer Discount", "No Discount")</f>
        <v>No Discount</v>
      </c>
    </row>
    <row r="287" spans="1:25" ht="15" customHeight="1" x14ac:dyDescent="0.25">
      <c r="A287" t="s">
        <v>2061</v>
      </c>
      <c r="B287" s="8">
        <v>44789</v>
      </c>
      <c r="C287" s="8">
        <v>44792</v>
      </c>
      <c r="D287" t="s">
        <v>73</v>
      </c>
      <c r="E287" t="str">
        <f t="shared" ref="E287:E288" si="11">E288</f>
        <v>Gbenga</v>
      </c>
      <c r="F287" t="str">
        <f>F286</f>
        <v>Dangote</v>
      </c>
      <c r="G287" t="s">
        <v>2062</v>
      </c>
      <c r="H287">
        <v>9055465729</v>
      </c>
      <c r="I287" t="s">
        <v>24</v>
      </c>
      <c r="J287" t="s">
        <v>25</v>
      </c>
      <c r="K287" t="s">
        <v>26</v>
      </c>
      <c r="L287" t="s">
        <v>85</v>
      </c>
      <c r="M287" t="s">
        <v>86</v>
      </c>
      <c r="N287" t="s">
        <v>238</v>
      </c>
      <c r="O287">
        <v>8</v>
      </c>
      <c r="P287">
        <v>25377.5</v>
      </c>
      <c r="Q287">
        <v>15</v>
      </c>
      <c r="R287" s="39">
        <v>30453</v>
      </c>
      <c r="S287" s="39">
        <v>172567</v>
      </c>
      <c r="T287" s="39">
        <v>14693.19</v>
      </c>
      <c r="U287" t="str">
        <f t="shared" si="9"/>
        <v>Furniture</v>
      </c>
      <c r="V287">
        <f t="shared" si="10"/>
        <v>14693.19</v>
      </c>
      <c r="W287" t="str">
        <f>IF(Sales[[#This Row],[Quantity]]&gt;=15, "Large","Small")</f>
        <v>Small</v>
      </c>
      <c r="X287" t="str">
        <f>IF(Sales[[#This Row],[Quantity]]&gt;=15,"Large",IF(Sales[[#This Row],[Quantity]]=14,"Medium","Small"))</f>
        <v>Small</v>
      </c>
      <c r="Y287" t="str">
        <f>IF(AND(Sales[[#This Row],[Unit Price (₦)]]&gt;68000,Sales[[#This Row],[Quantity]]&gt;15),"Offer Discount", "No Discount")</f>
        <v>No Discount</v>
      </c>
    </row>
    <row r="288" spans="1:25" ht="15" customHeight="1" x14ac:dyDescent="0.25">
      <c r="A288" t="s">
        <v>1377</v>
      </c>
      <c r="B288" s="8">
        <v>44794</v>
      </c>
      <c r="C288" s="8">
        <v>44799</v>
      </c>
      <c r="D288" t="s">
        <v>73</v>
      </c>
      <c r="E288" t="str">
        <f t="shared" si="11"/>
        <v>Gbenga</v>
      </c>
      <c r="F288" t="s">
        <v>3055</v>
      </c>
      <c r="G288" t="s">
        <v>1379</v>
      </c>
      <c r="H288">
        <v>9024782209</v>
      </c>
      <c r="I288" t="s">
        <v>43</v>
      </c>
      <c r="J288" t="s">
        <v>61</v>
      </c>
      <c r="K288" t="s">
        <v>62</v>
      </c>
      <c r="L288" t="s">
        <v>63</v>
      </c>
      <c r="M288" t="s">
        <v>558</v>
      </c>
      <c r="N288" t="s">
        <v>1380</v>
      </c>
      <c r="O288">
        <v>14</v>
      </c>
      <c r="P288">
        <v>12837.37</v>
      </c>
      <c r="Q288">
        <v>10</v>
      </c>
      <c r="R288" s="39">
        <v>17972.32</v>
      </c>
      <c r="S288" s="39">
        <v>161750.85999999999</v>
      </c>
      <c r="T288" s="39">
        <v>-18977.259999999998</v>
      </c>
      <c r="U288" t="str">
        <f t="shared" si="9"/>
        <v>Office Supplies</v>
      </c>
      <c r="V288">
        <f t="shared" si="10"/>
        <v>18977.259999999998</v>
      </c>
      <c r="W288" t="str">
        <f>IF(Sales[[#This Row],[Quantity]]&gt;=15, "Large","Small")</f>
        <v>Small</v>
      </c>
      <c r="X288" t="str">
        <f>IF(Sales[[#This Row],[Quantity]]&gt;=15,"Large",IF(Sales[[#This Row],[Quantity]]=14,"Medium","Small"))</f>
        <v>Medium</v>
      </c>
      <c r="Y288" t="str">
        <f>IF(AND(Sales[[#This Row],[Unit Price (₦)]]&gt;68000,Sales[[#This Row],[Quantity]]&gt;15),"Offer Discount", "No Discount")</f>
        <v>No Discount</v>
      </c>
    </row>
    <row r="289" spans="1:25" ht="15" customHeight="1" x14ac:dyDescent="0.25">
      <c r="A289" t="s">
        <v>1860</v>
      </c>
      <c r="B289" s="8">
        <v>44803</v>
      </c>
      <c r="C289" s="8">
        <v>44807</v>
      </c>
      <c r="D289" t="s">
        <v>73</v>
      </c>
      <c r="E289" t="s">
        <v>3093</v>
      </c>
      <c r="F289" t="s">
        <v>3083</v>
      </c>
      <c r="G289" t="s">
        <v>1861</v>
      </c>
      <c r="H289">
        <v>8164574653</v>
      </c>
      <c r="I289" t="s">
        <v>24</v>
      </c>
      <c r="J289" t="s">
        <v>25</v>
      </c>
      <c r="K289" t="s">
        <v>44</v>
      </c>
      <c r="L289" t="s">
        <v>96</v>
      </c>
      <c r="M289" t="s">
        <v>254</v>
      </c>
      <c r="N289" t="s">
        <v>530</v>
      </c>
      <c r="O289">
        <v>10</v>
      </c>
      <c r="P289">
        <v>109596.49</v>
      </c>
      <c r="Q289">
        <v>25</v>
      </c>
      <c r="R289" s="39">
        <v>273991.23</v>
      </c>
      <c r="S289" s="39">
        <v>821973.67</v>
      </c>
      <c r="T289" s="39">
        <v>283939.65000000002</v>
      </c>
      <c r="U289" t="str">
        <f t="shared" si="9"/>
        <v>Technology</v>
      </c>
      <c r="V289">
        <f t="shared" si="10"/>
        <v>283939.65000000002</v>
      </c>
      <c r="W289" t="str">
        <f>IF(Sales[[#This Row],[Quantity]]&gt;=15, "Large","Small")</f>
        <v>Small</v>
      </c>
      <c r="X289" t="str">
        <f>IF(Sales[[#This Row],[Quantity]]&gt;=15,"Large",IF(Sales[[#This Row],[Quantity]]=14,"Medium","Small"))</f>
        <v>Small</v>
      </c>
      <c r="Y289" t="str">
        <f>IF(AND(Sales[[#This Row],[Unit Price (₦)]]&gt;68000,Sales[[#This Row],[Quantity]]&gt;15),"Offer Discount", "No Discount")</f>
        <v>No Discount</v>
      </c>
    </row>
    <row r="290" spans="1:25" ht="15" customHeight="1" x14ac:dyDescent="0.25">
      <c r="A290" t="s">
        <v>1937</v>
      </c>
      <c r="B290" s="8">
        <v>44802</v>
      </c>
      <c r="C290" s="8">
        <v>44807</v>
      </c>
      <c r="D290" t="s">
        <v>73</v>
      </c>
      <c r="E290" t="s">
        <v>3084</v>
      </c>
      <c r="F290" t="s">
        <v>3045</v>
      </c>
      <c r="G290" t="s">
        <v>1939</v>
      </c>
      <c r="H290">
        <v>9018125430</v>
      </c>
      <c r="I290" t="s">
        <v>24</v>
      </c>
      <c r="J290" t="s">
        <v>61</v>
      </c>
      <c r="K290" t="s">
        <v>95</v>
      </c>
      <c r="L290" t="s">
        <v>63</v>
      </c>
      <c r="M290" t="s">
        <v>249</v>
      </c>
      <c r="N290" t="s">
        <v>465</v>
      </c>
      <c r="O290">
        <v>3</v>
      </c>
      <c r="P290">
        <v>16737.310000000001</v>
      </c>
      <c r="Q290">
        <v>20</v>
      </c>
      <c r="R290" s="39">
        <v>10042.39</v>
      </c>
      <c r="S290" s="39">
        <v>40169.54</v>
      </c>
      <c r="T290" s="39">
        <v>14158.25</v>
      </c>
      <c r="U290" t="str">
        <f t="shared" si="9"/>
        <v>Office Supplies</v>
      </c>
      <c r="V290">
        <f t="shared" si="10"/>
        <v>14158.25</v>
      </c>
      <c r="W290" t="str">
        <f>IF(Sales[[#This Row],[Quantity]]&gt;=15, "Large","Small")</f>
        <v>Small</v>
      </c>
      <c r="X290" t="str">
        <f>IF(Sales[[#This Row],[Quantity]]&gt;=15,"Large",IF(Sales[[#This Row],[Quantity]]=14,"Medium","Small"))</f>
        <v>Small</v>
      </c>
      <c r="Y290" t="str">
        <f>IF(AND(Sales[[#This Row],[Unit Price (₦)]]&gt;68000,Sales[[#This Row],[Quantity]]&gt;15),"Offer Discount", "No Discount")</f>
        <v>No Discount</v>
      </c>
    </row>
    <row r="291" spans="1:25" ht="15" customHeight="1" x14ac:dyDescent="0.25">
      <c r="A291" t="s">
        <v>744</v>
      </c>
      <c r="B291" s="8">
        <v>44806</v>
      </c>
      <c r="C291" s="8">
        <v>44809</v>
      </c>
      <c r="D291" t="s">
        <v>73</v>
      </c>
      <c r="E291" t="s">
        <v>3033</v>
      </c>
      <c r="F291" t="s">
        <v>3078</v>
      </c>
      <c r="G291" t="s">
        <v>746</v>
      </c>
      <c r="H291">
        <v>8109328426</v>
      </c>
      <c r="I291" t="s">
        <v>24</v>
      </c>
      <c r="J291" t="s">
        <v>25</v>
      </c>
      <c r="K291" t="s">
        <v>44</v>
      </c>
      <c r="L291" t="s">
        <v>63</v>
      </c>
      <c r="M291" t="s">
        <v>312</v>
      </c>
      <c r="N291" t="s">
        <v>686</v>
      </c>
      <c r="O291">
        <v>9</v>
      </c>
      <c r="P291">
        <v>19683.18</v>
      </c>
      <c r="Q291">
        <v>0</v>
      </c>
      <c r="R291" s="39">
        <v>0</v>
      </c>
      <c r="S291" s="39">
        <v>177148.62</v>
      </c>
      <c r="T291" s="39">
        <v>12953.4</v>
      </c>
      <c r="U291" t="str">
        <f t="shared" si="9"/>
        <v>Office Supplies</v>
      </c>
      <c r="V291">
        <f t="shared" si="10"/>
        <v>12953.4</v>
      </c>
      <c r="W291" t="str">
        <f>IF(Sales[[#This Row],[Quantity]]&gt;=15, "Large","Small")</f>
        <v>Small</v>
      </c>
      <c r="X291" t="str">
        <f>IF(Sales[[#This Row],[Quantity]]&gt;=15,"Large",IF(Sales[[#This Row],[Quantity]]=14,"Medium","Small"))</f>
        <v>Small</v>
      </c>
      <c r="Y291" t="str">
        <f>IF(AND(Sales[[#This Row],[Unit Price (₦)]]&gt;68000,Sales[[#This Row],[Quantity]]&gt;15),"Offer Discount", "No Discount")</f>
        <v>No Discount</v>
      </c>
    </row>
    <row r="292" spans="1:25" ht="15" customHeight="1" x14ac:dyDescent="0.25">
      <c r="A292" t="s">
        <v>1487</v>
      </c>
      <c r="B292" s="8">
        <v>44812</v>
      </c>
      <c r="C292" s="8">
        <v>44816</v>
      </c>
      <c r="D292" t="s">
        <v>73</v>
      </c>
      <c r="E292" t="s">
        <v>3095</v>
      </c>
      <c r="F292" t="s">
        <v>3042</v>
      </c>
      <c r="G292" t="s">
        <v>1489</v>
      </c>
      <c r="H292">
        <v>9024958384</v>
      </c>
      <c r="I292" t="s">
        <v>35</v>
      </c>
      <c r="J292" t="s">
        <v>51</v>
      </c>
      <c r="K292" t="s">
        <v>316</v>
      </c>
      <c r="L292" t="s">
        <v>37</v>
      </c>
      <c r="M292" t="s">
        <v>109</v>
      </c>
      <c r="N292" t="s">
        <v>1258</v>
      </c>
      <c r="O292">
        <v>7</v>
      </c>
      <c r="P292">
        <v>6593</v>
      </c>
      <c r="Q292">
        <v>10</v>
      </c>
      <c r="R292" s="39">
        <v>4615.1000000000004</v>
      </c>
      <c r="S292" s="39">
        <v>41535.9</v>
      </c>
      <c r="T292" s="39">
        <v>4722.0200000000004</v>
      </c>
      <c r="U292" t="str">
        <f t="shared" si="9"/>
        <v>Clothing</v>
      </c>
      <c r="V292">
        <f t="shared" si="10"/>
        <v>4722.0200000000004</v>
      </c>
      <c r="W292" t="str">
        <f>IF(Sales[[#This Row],[Quantity]]&gt;=15, "Large","Small")</f>
        <v>Small</v>
      </c>
      <c r="X292" t="str">
        <f>IF(Sales[[#This Row],[Quantity]]&gt;=15,"Large",IF(Sales[[#This Row],[Quantity]]=14,"Medium","Small"))</f>
        <v>Small</v>
      </c>
      <c r="Y292" t="str">
        <f>IF(AND(Sales[[#This Row],[Unit Price (₦)]]&gt;68000,Sales[[#This Row],[Quantity]]&gt;15),"Offer Discount", "No Discount")</f>
        <v>No Discount</v>
      </c>
    </row>
    <row r="293" spans="1:25" ht="15" customHeight="1" x14ac:dyDescent="0.25">
      <c r="A293" t="s">
        <v>2595</v>
      </c>
      <c r="B293" s="8">
        <v>44822</v>
      </c>
      <c r="C293" s="8">
        <v>44826</v>
      </c>
      <c r="D293" t="s">
        <v>73</v>
      </c>
      <c r="E293" t="s">
        <v>3094</v>
      </c>
      <c r="F293" t="s">
        <v>3043</v>
      </c>
      <c r="G293" t="s">
        <v>2597</v>
      </c>
      <c r="H293">
        <v>8035179188</v>
      </c>
      <c r="I293" t="s">
        <v>43</v>
      </c>
      <c r="J293" t="s">
        <v>51</v>
      </c>
      <c r="K293" t="s">
        <v>227</v>
      </c>
      <c r="L293" t="s">
        <v>108</v>
      </c>
      <c r="M293" t="s">
        <v>189</v>
      </c>
      <c r="N293" t="s">
        <v>478</v>
      </c>
      <c r="O293">
        <v>11</v>
      </c>
      <c r="P293">
        <v>40293.949999999997</v>
      </c>
      <c r="Q293">
        <v>25</v>
      </c>
      <c r="R293" s="39">
        <v>110808.36</v>
      </c>
      <c r="S293" s="39">
        <v>332425.09000000003</v>
      </c>
      <c r="T293" s="39">
        <v>125801.92</v>
      </c>
      <c r="U293" t="str">
        <f t="shared" si="9"/>
        <v>Clothing</v>
      </c>
      <c r="V293">
        <f t="shared" si="10"/>
        <v>125801.92</v>
      </c>
      <c r="W293" t="str">
        <f>IF(Sales[[#This Row],[Quantity]]&gt;=15, "Large","Small")</f>
        <v>Small</v>
      </c>
      <c r="X293" t="str">
        <f>IF(Sales[[#This Row],[Quantity]]&gt;=15,"Large",IF(Sales[[#This Row],[Quantity]]=14,"Medium","Small"))</f>
        <v>Small</v>
      </c>
      <c r="Y293" t="str">
        <f>IF(AND(Sales[[#This Row],[Unit Price (₦)]]&gt;68000,Sales[[#This Row],[Quantity]]&gt;15),"Offer Discount", "No Discount")</f>
        <v>No Discount</v>
      </c>
    </row>
    <row r="294" spans="1:25" ht="15" customHeight="1" x14ac:dyDescent="0.25">
      <c r="A294" t="s">
        <v>491</v>
      </c>
      <c r="B294" s="8">
        <v>44826</v>
      </c>
      <c r="C294" s="8">
        <v>44830</v>
      </c>
      <c r="D294" t="s">
        <v>73</v>
      </c>
      <c r="E294" t="s">
        <v>3092</v>
      </c>
      <c r="F294" t="s">
        <v>3086</v>
      </c>
      <c r="G294" t="s">
        <v>493</v>
      </c>
      <c r="H294">
        <v>8033083077</v>
      </c>
      <c r="I294" t="s">
        <v>24</v>
      </c>
      <c r="J294" t="s">
        <v>51</v>
      </c>
      <c r="K294" t="s">
        <v>131</v>
      </c>
      <c r="L294" t="s">
        <v>27</v>
      </c>
      <c r="M294" t="s">
        <v>354</v>
      </c>
      <c r="N294" t="s">
        <v>494</v>
      </c>
      <c r="O294">
        <v>11</v>
      </c>
      <c r="P294">
        <v>1567.86</v>
      </c>
      <c r="Q294">
        <v>5</v>
      </c>
      <c r="R294" s="39">
        <v>862.32</v>
      </c>
      <c r="S294" s="39">
        <v>16384.14</v>
      </c>
      <c r="T294" s="39">
        <v>943.95</v>
      </c>
      <c r="U294" t="str">
        <f t="shared" si="9"/>
        <v>Food &amp; Beverages</v>
      </c>
      <c r="V294">
        <f t="shared" si="10"/>
        <v>943.95</v>
      </c>
      <c r="W294" t="str">
        <f>IF(Sales[[#This Row],[Quantity]]&gt;=15, "Large","Small")</f>
        <v>Small</v>
      </c>
      <c r="X294" t="str">
        <f>IF(Sales[[#This Row],[Quantity]]&gt;=15,"Large",IF(Sales[[#This Row],[Quantity]]=14,"Medium","Small"))</f>
        <v>Small</v>
      </c>
      <c r="Y294" t="str">
        <f>IF(AND(Sales[[#This Row],[Unit Price (₦)]]&gt;68000,Sales[[#This Row],[Quantity]]&gt;15),"Offer Discount", "No Discount")</f>
        <v>No Discount</v>
      </c>
    </row>
    <row r="295" spans="1:25" ht="15" customHeight="1" x14ac:dyDescent="0.25">
      <c r="A295" t="s">
        <v>800</v>
      </c>
      <c r="B295" s="8">
        <v>44829</v>
      </c>
      <c r="C295" s="8">
        <v>44833</v>
      </c>
      <c r="D295" t="s">
        <v>73</v>
      </c>
      <c r="E295" t="s">
        <v>3065</v>
      </c>
      <c r="F295" t="s">
        <v>3079</v>
      </c>
      <c r="G295" t="s">
        <v>802</v>
      </c>
      <c r="H295">
        <v>8031367637</v>
      </c>
      <c r="I295" t="s">
        <v>43</v>
      </c>
      <c r="J295" t="s">
        <v>69</v>
      </c>
      <c r="K295" t="s">
        <v>307</v>
      </c>
      <c r="L295" t="s">
        <v>85</v>
      </c>
      <c r="M295" t="s">
        <v>266</v>
      </c>
      <c r="N295" t="s">
        <v>803</v>
      </c>
      <c r="O295">
        <v>17</v>
      </c>
      <c r="P295">
        <v>141191.04000000001</v>
      </c>
      <c r="Q295">
        <v>10</v>
      </c>
      <c r="R295" s="39">
        <v>240024.77</v>
      </c>
      <c r="S295" s="39">
        <v>2160222.91</v>
      </c>
      <c r="T295" s="39">
        <v>920979.17</v>
      </c>
      <c r="U295" t="str">
        <f t="shared" si="9"/>
        <v>Furniture</v>
      </c>
      <c r="V295">
        <f t="shared" si="10"/>
        <v>920979.17</v>
      </c>
      <c r="W295" t="str">
        <f>IF(Sales[[#This Row],[Quantity]]&gt;=15, "Large","Small")</f>
        <v>Large</v>
      </c>
      <c r="X295" t="str">
        <f>IF(Sales[[#This Row],[Quantity]]&gt;=15,"Large",IF(Sales[[#This Row],[Quantity]]=14,"Medium","Small"))</f>
        <v>Large</v>
      </c>
      <c r="Y295" t="str">
        <f>IF(AND(Sales[[#This Row],[Unit Price (₦)]]&gt;68000,Sales[[#This Row],[Quantity]]&gt;15),"Offer Discount", "No Discount")</f>
        <v>Offer Discount</v>
      </c>
    </row>
    <row r="296" spans="1:25" ht="15" customHeight="1" x14ac:dyDescent="0.25">
      <c r="A296" t="s">
        <v>1554</v>
      </c>
      <c r="B296" s="8">
        <v>44838</v>
      </c>
      <c r="C296" s="8">
        <v>44841</v>
      </c>
      <c r="D296" t="s">
        <v>73</v>
      </c>
      <c r="E296" t="s">
        <v>3050</v>
      </c>
      <c r="F296" t="s">
        <v>3038</v>
      </c>
      <c r="G296" t="s">
        <v>1555</v>
      </c>
      <c r="H296">
        <v>9014157826</v>
      </c>
      <c r="I296" t="s">
        <v>35</v>
      </c>
      <c r="J296" t="s">
        <v>69</v>
      </c>
      <c r="K296" t="s">
        <v>144</v>
      </c>
      <c r="L296" t="s">
        <v>96</v>
      </c>
      <c r="M296" t="s">
        <v>385</v>
      </c>
      <c r="N296" t="s">
        <v>942</v>
      </c>
      <c r="O296">
        <v>8</v>
      </c>
      <c r="P296">
        <v>297151.09999999998</v>
      </c>
      <c r="Q296">
        <v>15</v>
      </c>
      <c r="R296" s="39">
        <v>356581.32</v>
      </c>
      <c r="S296" s="39">
        <v>2020627.48</v>
      </c>
      <c r="T296" s="39">
        <v>717835.64</v>
      </c>
      <c r="U296" t="str">
        <f t="shared" si="9"/>
        <v>Technology</v>
      </c>
      <c r="V296">
        <f t="shared" si="10"/>
        <v>717835.64</v>
      </c>
      <c r="W296" t="str">
        <f>IF(Sales[[#This Row],[Quantity]]&gt;=15, "Large","Small")</f>
        <v>Small</v>
      </c>
      <c r="X296" t="str">
        <f>IF(Sales[[#This Row],[Quantity]]&gt;=15,"Large",IF(Sales[[#This Row],[Quantity]]=14,"Medium","Small"))</f>
        <v>Small</v>
      </c>
      <c r="Y296" t="str">
        <f>IF(AND(Sales[[#This Row],[Unit Price (₦)]]&gt;68000,Sales[[#This Row],[Quantity]]&gt;15),"Offer Discount", "No Discount")</f>
        <v>No Discount</v>
      </c>
    </row>
    <row r="297" spans="1:25" ht="15" customHeight="1" x14ac:dyDescent="0.25">
      <c r="A297" t="s">
        <v>2565</v>
      </c>
      <c r="B297" s="8">
        <v>44838</v>
      </c>
      <c r="C297" s="8">
        <v>44843</v>
      </c>
      <c r="D297" t="s">
        <v>73</v>
      </c>
      <c r="E297" t="s">
        <v>3093</v>
      </c>
      <c r="F297" t="s">
        <v>3069</v>
      </c>
      <c r="G297" t="s">
        <v>2566</v>
      </c>
      <c r="H297">
        <v>8102861798</v>
      </c>
      <c r="I297" t="s">
        <v>35</v>
      </c>
      <c r="J297" t="s">
        <v>25</v>
      </c>
      <c r="K297" t="s">
        <v>44</v>
      </c>
      <c r="L297" t="s">
        <v>85</v>
      </c>
      <c r="M297" t="s">
        <v>243</v>
      </c>
      <c r="N297" t="s">
        <v>404</v>
      </c>
      <c r="O297">
        <v>3</v>
      </c>
      <c r="P297">
        <v>130362.21</v>
      </c>
      <c r="Q297">
        <v>10</v>
      </c>
      <c r="R297" s="39">
        <v>39108.660000000003</v>
      </c>
      <c r="S297" s="39">
        <v>351977.97</v>
      </c>
      <c r="T297" s="39">
        <v>74509.350000000006</v>
      </c>
      <c r="U297" t="str">
        <f t="shared" si="9"/>
        <v>Furniture</v>
      </c>
      <c r="V297">
        <f t="shared" si="10"/>
        <v>74509.350000000006</v>
      </c>
      <c r="W297" t="str">
        <f>IF(Sales[[#This Row],[Quantity]]&gt;=15, "Large","Small")</f>
        <v>Small</v>
      </c>
      <c r="X297" t="str">
        <f>IF(Sales[[#This Row],[Quantity]]&gt;=15,"Large",IF(Sales[[#This Row],[Quantity]]=14,"Medium","Small"))</f>
        <v>Small</v>
      </c>
      <c r="Y297" t="str">
        <f>IF(AND(Sales[[#This Row],[Unit Price (₦)]]&gt;68000,Sales[[#This Row],[Quantity]]&gt;15),"Offer Discount", "No Discount")</f>
        <v>No Discount</v>
      </c>
    </row>
    <row r="298" spans="1:25" ht="15" customHeight="1" x14ac:dyDescent="0.25">
      <c r="A298" t="s">
        <v>2646</v>
      </c>
      <c r="B298" s="8">
        <v>44847</v>
      </c>
      <c r="C298" s="8">
        <v>44850</v>
      </c>
      <c r="D298" t="s">
        <v>73</v>
      </c>
      <c r="E298" t="s">
        <v>3058</v>
      </c>
      <c r="F298" t="s">
        <v>3050</v>
      </c>
      <c r="G298" t="s">
        <v>1107</v>
      </c>
      <c r="H298">
        <v>8069411821</v>
      </c>
      <c r="I298" t="s">
        <v>43</v>
      </c>
      <c r="J298" t="s">
        <v>61</v>
      </c>
      <c r="K298" t="s">
        <v>84</v>
      </c>
      <c r="L298" t="s">
        <v>27</v>
      </c>
      <c r="M298" t="s">
        <v>79</v>
      </c>
      <c r="N298" t="s">
        <v>234</v>
      </c>
      <c r="O298">
        <v>1</v>
      </c>
      <c r="P298">
        <v>1099.3800000000001</v>
      </c>
      <c r="Q298">
        <v>10</v>
      </c>
      <c r="R298" s="39">
        <v>109.94</v>
      </c>
      <c r="S298" s="39">
        <v>989.44</v>
      </c>
      <c r="T298" s="39">
        <v>406.37</v>
      </c>
      <c r="U298" t="str">
        <f t="shared" si="9"/>
        <v>Food &amp; Beverages</v>
      </c>
      <c r="V298">
        <f t="shared" si="10"/>
        <v>406.37</v>
      </c>
      <c r="W298" t="str">
        <f>IF(Sales[[#This Row],[Quantity]]&gt;=15, "Large","Small")</f>
        <v>Small</v>
      </c>
      <c r="X298" t="str">
        <f>IF(Sales[[#This Row],[Quantity]]&gt;=15,"Large",IF(Sales[[#This Row],[Quantity]]=14,"Medium","Small"))</f>
        <v>Small</v>
      </c>
      <c r="Y298" t="str">
        <f>IF(AND(Sales[[#This Row],[Unit Price (₦)]]&gt;68000,Sales[[#This Row],[Quantity]]&gt;15),"Offer Discount", "No Discount")</f>
        <v>No Discount</v>
      </c>
    </row>
    <row r="299" spans="1:25" ht="15" customHeight="1" x14ac:dyDescent="0.25">
      <c r="A299" t="s">
        <v>2667</v>
      </c>
      <c r="B299" s="8">
        <v>44847</v>
      </c>
      <c r="C299" s="8">
        <v>44850</v>
      </c>
      <c r="D299" t="s">
        <v>73</v>
      </c>
      <c r="E299" t="s">
        <v>3080</v>
      </c>
      <c r="F299" t="s">
        <v>3057</v>
      </c>
      <c r="G299" t="s">
        <v>1014</v>
      </c>
      <c r="H299">
        <v>8149323942</v>
      </c>
      <c r="I299" t="s">
        <v>35</v>
      </c>
      <c r="J299" t="s">
        <v>69</v>
      </c>
      <c r="K299" t="s">
        <v>307</v>
      </c>
      <c r="L299" t="s">
        <v>63</v>
      </c>
      <c r="M299" t="s">
        <v>194</v>
      </c>
      <c r="N299" t="s">
        <v>257</v>
      </c>
      <c r="O299">
        <v>17</v>
      </c>
      <c r="P299">
        <v>1003.17</v>
      </c>
      <c r="Q299">
        <v>10</v>
      </c>
      <c r="R299" s="39">
        <v>1705.39</v>
      </c>
      <c r="S299" s="39">
        <v>15348.5</v>
      </c>
      <c r="T299" s="39">
        <v>3543.96</v>
      </c>
      <c r="U299" t="str">
        <f t="shared" si="9"/>
        <v>Office Supplies</v>
      </c>
      <c r="V299">
        <f t="shared" si="10"/>
        <v>3543.96</v>
      </c>
      <c r="W299" t="str">
        <f>IF(Sales[[#This Row],[Quantity]]&gt;=15, "Large","Small")</f>
        <v>Large</v>
      </c>
      <c r="X299" t="str">
        <f>IF(Sales[[#This Row],[Quantity]]&gt;=15,"Large",IF(Sales[[#This Row],[Quantity]]=14,"Medium","Small"))</f>
        <v>Large</v>
      </c>
      <c r="Y299" t="str">
        <f>IF(AND(Sales[[#This Row],[Unit Price (₦)]]&gt;68000,Sales[[#This Row],[Quantity]]&gt;15),"Offer Discount", "No Discount")</f>
        <v>No Discount</v>
      </c>
    </row>
    <row r="300" spans="1:25" ht="15" customHeight="1" x14ac:dyDescent="0.25">
      <c r="A300" t="s">
        <v>2245</v>
      </c>
      <c r="B300" s="8">
        <v>44851</v>
      </c>
      <c r="C300" s="8">
        <v>44855</v>
      </c>
      <c r="D300" t="s">
        <v>73</v>
      </c>
      <c r="E300" t="s">
        <v>3070</v>
      </c>
      <c r="F300" t="s">
        <v>3069</v>
      </c>
      <c r="G300" t="s">
        <v>3126</v>
      </c>
      <c r="H300">
        <v>9027228596</v>
      </c>
      <c r="I300" t="s">
        <v>24</v>
      </c>
      <c r="J300" t="s">
        <v>51</v>
      </c>
      <c r="K300" t="s">
        <v>227</v>
      </c>
      <c r="L300" t="s">
        <v>27</v>
      </c>
      <c r="M300" t="s">
        <v>173</v>
      </c>
      <c r="N300" t="s">
        <v>174</v>
      </c>
      <c r="O300">
        <v>7</v>
      </c>
      <c r="P300">
        <v>3935.25</v>
      </c>
      <c r="Q300">
        <v>10</v>
      </c>
      <c r="R300" s="39">
        <v>2754.68</v>
      </c>
      <c r="S300" s="39">
        <v>24792.07</v>
      </c>
      <c r="T300" s="39">
        <v>10071.719999999999</v>
      </c>
      <c r="U300" t="str">
        <f t="shared" si="9"/>
        <v>Food &amp; Beverages</v>
      </c>
      <c r="V300">
        <f t="shared" si="10"/>
        <v>10071.719999999999</v>
      </c>
      <c r="W300" t="str">
        <f>IF(Sales[[#This Row],[Quantity]]&gt;=15, "Large","Small")</f>
        <v>Small</v>
      </c>
      <c r="X300" t="str">
        <f>IF(Sales[[#This Row],[Quantity]]&gt;=15,"Large",IF(Sales[[#This Row],[Quantity]]=14,"Medium","Small"))</f>
        <v>Small</v>
      </c>
      <c r="Y300" t="str">
        <f>IF(AND(Sales[[#This Row],[Unit Price (₦)]]&gt;68000,Sales[[#This Row],[Quantity]]&gt;15),"Offer Discount", "No Discount")</f>
        <v>No Discount</v>
      </c>
    </row>
    <row r="301" spans="1:25" ht="15" customHeight="1" x14ac:dyDescent="0.25">
      <c r="A301" t="s">
        <v>610</v>
      </c>
      <c r="B301" s="8">
        <v>44860</v>
      </c>
      <c r="C301" s="8">
        <v>44863</v>
      </c>
      <c r="D301" t="s">
        <v>73</v>
      </c>
      <c r="E301" t="s">
        <v>3061</v>
      </c>
      <c r="F301" t="s">
        <v>3077</v>
      </c>
      <c r="G301" t="s">
        <v>612</v>
      </c>
      <c r="H301">
        <v>8163557039</v>
      </c>
      <c r="I301" t="s">
        <v>24</v>
      </c>
      <c r="J301" t="s">
        <v>69</v>
      </c>
      <c r="K301" t="s">
        <v>307</v>
      </c>
      <c r="L301" t="s">
        <v>85</v>
      </c>
      <c r="M301" t="s">
        <v>243</v>
      </c>
      <c r="N301" t="s">
        <v>613</v>
      </c>
      <c r="O301">
        <v>8</v>
      </c>
      <c r="P301">
        <v>73332.44</v>
      </c>
      <c r="Q301">
        <v>20</v>
      </c>
      <c r="R301" s="39">
        <v>117331.9</v>
      </c>
      <c r="S301" s="39">
        <v>469327.62</v>
      </c>
      <c r="T301" s="39">
        <v>84659.91</v>
      </c>
      <c r="U301" t="str">
        <f t="shared" si="9"/>
        <v>Furniture</v>
      </c>
      <c r="V301">
        <f t="shared" si="10"/>
        <v>84659.91</v>
      </c>
      <c r="W301" t="str">
        <f>IF(Sales[[#This Row],[Quantity]]&gt;=15, "Large","Small")</f>
        <v>Small</v>
      </c>
      <c r="X301" t="str">
        <f>IF(Sales[[#This Row],[Quantity]]&gt;=15,"Large",IF(Sales[[#This Row],[Quantity]]=14,"Medium","Small"))</f>
        <v>Small</v>
      </c>
      <c r="Y301" t="str">
        <f>IF(AND(Sales[[#This Row],[Unit Price (₦)]]&gt;68000,Sales[[#This Row],[Quantity]]&gt;15),"Offer Discount", "No Discount")</f>
        <v>No Discount</v>
      </c>
    </row>
    <row r="302" spans="1:25" ht="15" customHeight="1" x14ac:dyDescent="0.25">
      <c r="A302" t="s">
        <v>762</v>
      </c>
      <c r="B302" s="8">
        <v>44870</v>
      </c>
      <c r="C302" s="8">
        <v>44865</v>
      </c>
      <c r="D302" t="s">
        <v>73</v>
      </c>
      <c r="E302" t="s">
        <v>3051</v>
      </c>
      <c r="F302" t="s">
        <v>3046</v>
      </c>
      <c r="G302" t="s">
        <v>764</v>
      </c>
      <c r="H302">
        <v>8156812025</v>
      </c>
      <c r="I302" t="s">
        <v>24</v>
      </c>
      <c r="J302" t="s">
        <v>69</v>
      </c>
      <c r="K302" t="s">
        <v>119</v>
      </c>
      <c r="L302" t="s">
        <v>96</v>
      </c>
      <c r="M302" t="s">
        <v>97</v>
      </c>
      <c r="N302" t="s">
        <v>98</v>
      </c>
      <c r="O302">
        <v>13</v>
      </c>
      <c r="P302">
        <v>345134.18</v>
      </c>
      <c r="Q302">
        <v>10</v>
      </c>
      <c r="R302" s="39">
        <v>448674.43</v>
      </c>
      <c r="S302" s="39">
        <v>4038069.91</v>
      </c>
      <c r="T302" s="39">
        <v>-353858.44</v>
      </c>
      <c r="U302" t="str">
        <f t="shared" si="9"/>
        <v>Technology</v>
      </c>
      <c r="V302">
        <f t="shared" si="10"/>
        <v>353858.44</v>
      </c>
      <c r="W302" t="str">
        <f>IF(Sales[[#This Row],[Quantity]]&gt;=15, "Large","Small")</f>
        <v>Small</v>
      </c>
      <c r="X302" t="str">
        <f>IF(Sales[[#This Row],[Quantity]]&gt;=15,"Large",IF(Sales[[#This Row],[Quantity]]=14,"Medium","Small"))</f>
        <v>Small</v>
      </c>
      <c r="Y302" t="str">
        <f>IF(AND(Sales[[#This Row],[Unit Price (₦)]]&gt;68000,Sales[[#This Row],[Quantity]]&gt;15),"Offer Discount", "No Discount")</f>
        <v>No Discount</v>
      </c>
    </row>
    <row r="303" spans="1:25" ht="15" customHeight="1" x14ac:dyDescent="0.25">
      <c r="A303" t="s">
        <v>179</v>
      </c>
      <c r="B303" s="8">
        <v>44863</v>
      </c>
      <c r="C303" s="8">
        <v>44866</v>
      </c>
      <c r="D303" t="s">
        <v>73</v>
      </c>
      <c r="E303" t="s">
        <v>3063</v>
      </c>
      <c r="F303" t="s">
        <v>3043</v>
      </c>
      <c r="G303" t="s">
        <v>181</v>
      </c>
      <c r="H303">
        <v>9052221854</v>
      </c>
      <c r="I303" t="s">
        <v>35</v>
      </c>
      <c r="J303" t="s">
        <v>61</v>
      </c>
      <c r="K303" t="s">
        <v>182</v>
      </c>
      <c r="L303" t="s">
        <v>108</v>
      </c>
      <c r="M303" t="s">
        <v>183</v>
      </c>
      <c r="N303" t="s">
        <v>184</v>
      </c>
      <c r="O303">
        <v>13</v>
      </c>
      <c r="P303">
        <v>10360.719999999999</v>
      </c>
      <c r="Q303">
        <v>20</v>
      </c>
      <c r="R303" s="39">
        <v>26937.87</v>
      </c>
      <c r="S303" s="39">
        <v>107751.49</v>
      </c>
      <c r="T303" s="39">
        <v>9675.19</v>
      </c>
      <c r="U303" t="str">
        <f t="shared" si="9"/>
        <v>Clothing</v>
      </c>
      <c r="V303">
        <f t="shared" si="10"/>
        <v>9675.19</v>
      </c>
      <c r="W303" t="str">
        <f>IF(Sales[[#This Row],[Quantity]]&gt;=15, "Large","Small")</f>
        <v>Small</v>
      </c>
      <c r="X303" t="str">
        <f>IF(Sales[[#This Row],[Quantity]]&gt;=15,"Large",IF(Sales[[#This Row],[Quantity]]=14,"Medium","Small"))</f>
        <v>Small</v>
      </c>
      <c r="Y303" t="str">
        <f>IF(AND(Sales[[#This Row],[Unit Price (₦)]]&gt;68000,Sales[[#This Row],[Quantity]]&gt;15),"Offer Discount", "No Discount")</f>
        <v>No Discount</v>
      </c>
    </row>
    <row r="304" spans="1:25" ht="15" customHeight="1" x14ac:dyDescent="0.25">
      <c r="A304" t="s">
        <v>2357</v>
      </c>
      <c r="B304" s="8">
        <v>44862</v>
      </c>
      <c r="C304" s="8">
        <v>44867</v>
      </c>
      <c r="D304" t="s">
        <v>73</v>
      </c>
      <c r="E304" t="s">
        <v>3076</v>
      </c>
      <c r="F304" t="s">
        <v>3086</v>
      </c>
      <c r="G304" t="s">
        <v>2359</v>
      </c>
      <c r="H304">
        <v>8164823830</v>
      </c>
      <c r="I304" t="s">
        <v>24</v>
      </c>
      <c r="J304" t="s">
        <v>51</v>
      </c>
      <c r="K304" t="s">
        <v>131</v>
      </c>
      <c r="L304" t="s">
        <v>96</v>
      </c>
      <c r="M304" t="s">
        <v>385</v>
      </c>
      <c r="N304" t="s">
        <v>1010</v>
      </c>
      <c r="O304">
        <v>19</v>
      </c>
      <c r="P304">
        <v>146786.10999999999</v>
      </c>
      <c r="Q304">
        <v>0</v>
      </c>
      <c r="R304" s="39">
        <v>0</v>
      </c>
      <c r="S304" s="39">
        <v>2788936.09</v>
      </c>
      <c r="T304" s="39">
        <v>15765.03</v>
      </c>
      <c r="U304" t="str">
        <f t="shared" si="9"/>
        <v>Technology</v>
      </c>
      <c r="V304">
        <f t="shared" si="10"/>
        <v>15765.03</v>
      </c>
      <c r="W304" t="str">
        <f>IF(Sales[[#This Row],[Quantity]]&gt;=15, "Large","Small")</f>
        <v>Large</v>
      </c>
      <c r="X304" t="str">
        <f>IF(Sales[[#This Row],[Quantity]]&gt;=15,"Large",IF(Sales[[#This Row],[Quantity]]=14,"Medium","Small"))</f>
        <v>Large</v>
      </c>
      <c r="Y304" t="str">
        <f>IF(AND(Sales[[#This Row],[Unit Price (₦)]]&gt;68000,Sales[[#This Row],[Quantity]]&gt;15),"Offer Discount", "No Discount")</f>
        <v>Offer Discount</v>
      </c>
    </row>
    <row r="305" spans="1:25" ht="15" customHeight="1" x14ac:dyDescent="0.25">
      <c r="A305" t="s">
        <v>2783</v>
      </c>
      <c r="B305" s="8">
        <v>44864</v>
      </c>
      <c r="C305" s="8">
        <v>44868</v>
      </c>
      <c r="D305" t="s">
        <v>73</v>
      </c>
      <c r="E305" t="s">
        <v>3092</v>
      </c>
      <c r="F305" t="s">
        <v>3036</v>
      </c>
      <c r="G305" t="s">
        <v>2784</v>
      </c>
      <c r="H305">
        <v>8154299424</v>
      </c>
      <c r="I305" t="s">
        <v>35</v>
      </c>
      <c r="J305" t="s">
        <v>69</v>
      </c>
      <c r="K305" t="s">
        <v>155</v>
      </c>
      <c r="L305" t="s">
        <v>108</v>
      </c>
      <c r="M305" t="s">
        <v>114</v>
      </c>
      <c r="N305" t="s">
        <v>115</v>
      </c>
      <c r="O305">
        <v>19</v>
      </c>
      <c r="P305">
        <v>43458.13</v>
      </c>
      <c r="Q305">
        <v>25</v>
      </c>
      <c r="R305" s="39">
        <v>206426.12</v>
      </c>
      <c r="S305" s="39">
        <v>619278.35</v>
      </c>
      <c r="T305" s="39">
        <v>14934.5</v>
      </c>
      <c r="U305" t="str">
        <f t="shared" si="9"/>
        <v>Clothing</v>
      </c>
      <c r="V305">
        <f t="shared" si="10"/>
        <v>14934.5</v>
      </c>
      <c r="W305" t="str">
        <f>IF(Sales[[#This Row],[Quantity]]&gt;=15, "Large","Small")</f>
        <v>Large</v>
      </c>
      <c r="X305" t="str">
        <f>IF(Sales[[#This Row],[Quantity]]&gt;=15,"Large",IF(Sales[[#This Row],[Quantity]]=14,"Medium","Small"))</f>
        <v>Large</v>
      </c>
      <c r="Y305" t="str">
        <f>IF(AND(Sales[[#This Row],[Unit Price (₦)]]&gt;68000,Sales[[#This Row],[Quantity]]&gt;15),"Offer Discount", "No Discount")</f>
        <v>No Discount</v>
      </c>
    </row>
    <row r="306" spans="1:25" ht="15" customHeight="1" x14ac:dyDescent="0.25">
      <c r="A306" t="s">
        <v>2556</v>
      </c>
      <c r="B306" s="8">
        <v>44870</v>
      </c>
      <c r="C306" s="8">
        <v>44873</v>
      </c>
      <c r="D306" t="s">
        <v>73</v>
      </c>
      <c r="E306" t="s">
        <v>3093</v>
      </c>
      <c r="F306" t="s">
        <v>3042</v>
      </c>
      <c r="G306" t="s">
        <v>2558</v>
      </c>
      <c r="H306">
        <v>7036293212</v>
      </c>
      <c r="I306" t="s">
        <v>43</v>
      </c>
      <c r="J306" t="s">
        <v>25</v>
      </c>
      <c r="K306" t="s">
        <v>44</v>
      </c>
      <c r="L306" t="s">
        <v>27</v>
      </c>
      <c r="M306" t="s">
        <v>28</v>
      </c>
      <c r="N306" t="s">
        <v>262</v>
      </c>
      <c r="O306">
        <v>6</v>
      </c>
      <c r="P306">
        <v>2907.38</v>
      </c>
      <c r="Q306">
        <v>10</v>
      </c>
      <c r="R306" s="39">
        <v>1744.43</v>
      </c>
      <c r="S306" s="39">
        <v>15699.85</v>
      </c>
      <c r="T306" s="39">
        <v>501.52</v>
      </c>
      <c r="U306" t="str">
        <f t="shared" si="9"/>
        <v>Food &amp; Beverages</v>
      </c>
      <c r="V306">
        <f t="shared" si="10"/>
        <v>501.52</v>
      </c>
      <c r="W306" t="str">
        <f>IF(Sales[[#This Row],[Quantity]]&gt;=15, "Large","Small")</f>
        <v>Small</v>
      </c>
      <c r="X306" t="str">
        <f>IF(Sales[[#This Row],[Quantity]]&gt;=15,"Large",IF(Sales[[#This Row],[Quantity]]=14,"Medium","Small"))</f>
        <v>Small</v>
      </c>
      <c r="Y306" t="str">
        <f>IF(AND(Sales[[#This Row],[Unit Price (₦)]]&gt;68000,Sales[[#This Row],[Quantity]]&gt;15),"Offer Discount", "No Discount")</f>
        <v>No Discount</v>
      </c>
    </row>
    <row r="307" spans="1:25" ht="15" customHeight="1" x14ac:dyDescent="0.25">
      <c r="A307" t="s">
        <v>2705</v>
      </c>
      <c r="B307" s="8">
        <v>44872</v>
      </c>
      <c r="C307" s="8">
        <v>44875</v>
      </c>
      <c r="D307" t="s">
        <v>73</v>
      </c>
      <c r="E307" t="s">
        <v>3060</v>
      </c>
      <c r="F307" t="s">
        <v>3057</v>
      </c>
      <c r="G307" t="s">
        <v>2707</v>
      </c>
      <c r="H307">
        <v>9024688845</v>
      </c>
      <c r="I307" t="s">
        <v>43</v>
      </c>
      <c r="J307" t="s">
        <v>51</v>
      </c>
      <c r="K307" t="s">
        <v>227</v>
      </c>
      <c r="L307" t="s">
        <v>85</v>
      </c>
      <c r="M307" t="s">
        <v>486</v>
      </c>
      <c r="N307" t="s">
        <v>1193</v>
      </c>
      <c r="O307">
        <v>1</v>
      </c>
      <c r="P307">
        <v>101174.34</v>
      </c>
      <c r="Q307">
        <v>0</v>
      </c>
      <c r="R307" s="39">
        <v>0</v>
      </c>
      <c r="S307" s="39">
        <v>101174.34</v>
      </c>
      <c r="T307" s="39">
        <v>-9641.24</v>
      </c>
      <c r="U307" t="str">
        <f t="shared" si="9"/>
        <v>Furniture</v>
      </c>
      <c r="V307">
        <f t="shared" si="10"/>
        <v>9641.24</v>
      </c>
      <c r="W307" t="str">
        <f>IF(Sales[[#This Row],[Quantity]]&gt;=15, "Large","Small")</f>
        <v>Small</v>
      </c>
      <c r="X307" t="str">
        <f>IF(Sales[[#This Row],[Quantity]]&gt;=15,"Large",IF(Sales[[#This Row],[Quantity]]=14,"Medium","Small"))</f>
        <v>Small</v>
      </c>
      <c r="Y307" t="str">
        <f>IF(AND(Sales[[#This Row],[Unit Price (₦)]]&gt;68000,Sales[[#This Row],[Quantity]]&gt;15),"Offer Discount", "No Discount")</f>
        <v>No Discount</v>
      </c>
    </row>
    <row r="308" spans="1:25" ht="15" customHeight="1" x14ac:dyDescent="0.25">
      <c r="A308" t="s">
        <v>1296</v>
      </c>
      <c r="B308" s="8">
        <v>44877</v>
      </c>
      <c r="C308" s="8">
        <v>44881</v>
      </c>
      <c r="D308" t="s">
        <v>73</v>
      </c>
      <c r="E308" t="s">
        <v>3051</v>
      </c>
      <c r="F308" t="s">
        <v>3096</v>
      </c>
      <c r="G308" t="s">
        <v>1298</v>
      </c>
      <c r="H308">
        <v>8138385078</v>
      </c>
      <c r="I308" t="s">
        <v>35</v>
      </c>
      <c r="J308" t="s">
        <v>25</v>
      </c>
      <c r="K308" t="s">
        <v>44</v>
      </c>
      <c r="L308" t="s">
        <v>85</v>
      </c>
      <c r="M308" t="s">
        <v>218</v>
      </c>
      <c r="N308" t="s">
        <v>842</v>
      </c>
      <c r="O308">
        <v>12</v>
      </c>
      <c r="P308">
        <v>134310.10999999999</v>
      </c>
      <c r="Q308">
        <v>0</v>
      </c>
      <c r="R308" s="39">
        <v>0</v>
      </c>
      <c r="S308" s="39">
        <v>1611721.32</v>
      </c>
      <c r="T308" s="39">
        <v>379329.34</v>
      </c>
      <c r="U308" t="str">
        <f t="shared" si="9"/>
        <v>Furniture</v>
      </c>
      <c r="V308">
        <f t="shared" si="10"/>
        <v>379329.34</v>
      </c>
      <c r="W308" t="str">
        <f>IF(Sales[[#This Row],[Quantity]]&gt;=15, "Large","Small")</f>
        <v>Small</v>
      </c>
      <c r="X308" t="str">
        <f>IF(Sales[[#This Row],[Quantity]]&gt;=15,"Large",IF(Sales[[#This Row],[Quantity]]=14,"Medium","Small"))</f>
        <v>Small</v>
      </c>
      <c r="Y308" t="str">
        <f>IF(AND(Sales[[#This Row],[Unit Price (₦)]]&gt;68000,Sales[[#This Row],[Quantity]]&gt;15),"Offer Discount", "No Discount")</f>
        <v>No Discount</v>
      </c>
    </row>
    <row r="309" spans="1:25" ht="15" customHeight="1" x14ac:dyDescent="0.25">
      <c r="A309" t="s">
        <v>673</v>
      </c>
      <c r="B309" s="8">
        <v>44889</v>
      </c>
      <c r="C309" s="8">
        <v>44893</v>
      </c>
      <c r="D309" t="s">
        <v>73</v>
      </c>
      <c r="E309" t="s">
        <v>3060</v>
      </c>
      <c r="F309" t="s">
        <v>3066</v>
      </c>
      <c r="G309" t="s">
        <v>675</v>
      </c>
      <c r="H309">
        <v>8137795568</v>
      </c>
      <c r="I309" t="s">
        <v>24</v>
      </c>
      <c r="J309" t="s">
        <v>61</v>
      </c>
      <c r="K309" t="s">
        <v>62</v>
      </c>
      <c r="L309" t="s">
        <v>85</v>
      </c>
      <c r="M309" t="s">
        <v>218</v>
      </c>
      <c r="N309" t="s">
        <v>219</v>
      </c>
      <c r="O309">
        <v>20</v>
      </c>
      <c r="P309">
        <v>76040.17</v>
      </c>
      <c r="Q309">
        <v>5</v>
      </c>
      <c r="R309" s="39">
        <v>76040.17</v>
      </c>
      <c r="S309" s="39">
        <v>1444763.23</v>
      </c>
      <c r="T309" s="39">
        <v>173003.18</v>
      </c>
      <c r="U309" t="str">
        <f t="shared" si="9"/>
        <v>Furniture</v>
      </c>
      <c r="V309">
        <f t="shared" si="10"/>
        <v>173003.18</v>
      </c>
      <c r="W309" t="str">
        <f>IF(Sales[[#This Row],[Quantity]]&gt;=15, "Large","Small")</f>
        <v>Large</v>
      </c>
      <c r="X309" t="str">
        <f>IF(Sales[[#This Row],[Quantity]]&gt;=15,"Large",IF(Sales[[#This Row],[Quantity]]=14,"Medium","Small"))</f>
        <v>Large</v>
      </c>
      <c r="Y309" t="str">
        <f>IF(AND(Sales[[#This Row],[Unit Price (₦)]]&gt;68000,Sales[[#This Row],[Quantity]]&gt;15),"Offer Discount", "No Discount")</f>
        <v>Offer Discount</v>
      </c>
    </row>
    <row r="310" spans="1:25" ht="15" customHeight="1" x14ac:dyDescent="0.25">
      <c r="A310" t="s">
        <v>981</v>
      </c>
      <c r="B310" s="8">
        <v>44891</v>
      </c>
      <c r="C310" s="8">
        <v>44894</v>
      </c>
      <c r="D310" t="s">
        <v>73</v>
      </c>
      <c r="E310" t="s">
        <v>3067</v>
      </c>
      <c r="F310" t="s">
        <v>3088</v>
      </c>
      <c r="G310" t="s">
        <v>983</v>
      </c>
      <c r="H310">
        <v>8132923047</v>
      </c>
      <c r="I310" t="s">
        <v>43</v>
      </c>
      <c r="J310" t="s">
        <v>51</v>
      </c>
      <c r="K310" t="s">
        <v>131</v>
      </c>
      <c r="L310" t="s">
        <v>85</v>
      </c>
      <c r="M310" t="s">
        <v>266</v>
      </c>
      <c r="N310" t="s">
        <v>267</v>
      </c>
      <c r="O310">
        <v>18</v>
      </c>
      <c r="P310">
        <v>154438.69</v>
      </c>
      <c r="Q310">
        <v>20</v>
      </c>
      <c r="R310" s="39">
        <v>555979.28</v>
      </c>
      <c r="S310" s="39">
        <v>2223917.14</v>
      </c>
      <c r="T310" s="39">
        <v>526634.05000000005</v>
      </c>
      <c r="U310" t="str">
        <f t="shared" si="9"/>
        <v>Furniture</v>
      </c>
      <c r="V310">
        <f t="shared" si="10"/>
        <v>526634.05000000005</v>
      </c>
      <c r="W310" t="str">
        <f>IF(Sales[[#This Row],[Quantity]]&gt;=15, "Large","Small")</f>
        <v>Large</v>
      </c>
      <c r="X310" t="str">
        <f>IF(Sales[[#This Row],[Quantity]]&gt;=15,"Large",IF(Sales[[#This Row],[Quantity]]=14,"Medium","Small"))</f>
        <v>Large</v>
      </c>
      <c r="Y310" t="str">
        <f>IF(AND(Sales[[#This Row],[Unit Price (₦)]]&gt;68000,Sales[[#This Row],[Quantity]]&gt;15),"Offer Discount", "No Discount")</f>
        <v>Offer Discount</v>
      </c>
    </row>
    <row r="311" spans="1:25" ht="15" customHeight="1" x14ac:dyDescent="0.25">
      <c r="A311" t="s">
        <v>1392</v>
      </c>
      <c r="B311" s="8">
        <v>44892</v>
      </c>
      <c r="C311" s="8">
        <v>44895</v>
      </c>
      <c r="D311" t="s">
        <v>73</v>
      </c>
      <c r="E311" t="s">
        <v>3056</v>
      </c>
      <c r="F311" t="s">
        <v>3090</v>
      </c>
      <c r="G311" t="s">
        <v>1394</v>
      </c>
      <c r="H311">
        <v>9053121873</v>
      </c>
      <c r="I311" t="s">
        <v>959</v>
      </c>
      <c r="J311" t="s">
        <v>51</v>
      </c>
      <c r="K311" t="s">
        <v>131</v>
      </c>
      <c r="L311" t="s">
        <v>108</v>
      </c>
      <c r="M311" t="s">
        <v>38</v>
      </c>
      <c r="N311" t="s">
        <v>39</v>
      </c>
      <c r="O311">
        <v>18</v>
      </c>
      <c r="P311">
        <v>9933.35</v>
      </c>
      <c r="Q311">
        <v>0</v>
      </c>
      <c r="R311" s="39">
        <v>0</v>
      </c>
      <c r="S311" s="39">
        <v>178800.3</v>
      </c>
      <c r="T311" s="39">
        <v>44580.63</v>
      </c>
      <c r="U311" t="str">
        <f t="shared" si="9"/>
        <v>Clothing</v>
      </c>
      <c r="V311">
        <f t="shared" si="10"/>
        <v>44580.63</v>
      </c>
      <c r="W311" t="str">
        <f>IF(Sales[[#This Row],[Quantity]]&gt;=15, "Large","Small")</f>
        <v>Large</v>
      </c>
      <c r="X311" t="str">
        <f>IF(Sales[[#This Row],[Quantity]]&gt;=15,"Large",IF(Sales[[#This Row],[Quantity]]=14,"Medium","Small"))</f>
        <v>Large</v>
      </c>
      <c r="Y311" t="str">
        <f>IF(AND(Sales[[#This Row],[Unit Price (₦)]]&gt;68000,Sales[[#This Row],[Quantity]]&gt;15),"Offer Discount", "No Discount")</f>
        <v>No Discount</v>
      </c>
    </row>
    <row r="312" spans="1:25" ht="15" customHeight="1" x14ac:dyDescent="0.25">
      <c r="A312" t="s">
        <v>1991</v>
      </c>
      <c r="B312" s="8">
        <v>44895</v>
      </c>
      <c r="C312" s="8">
        <v>44900</v>
      </c>
      <c r="D312" t="s">
        <v>73</v>
      </c>
      <c r="E312" t="s">
        <v>3068</v>
      </c>
      <c r="F312" t="s">
        <v>3045</v>
      </c>
      <c r="G312" t="s">
        <v>1992</v>
      </c>
      <c r="H312">
        <v>8038339925</v>
      </c>
      <c r="I312" t="s">
        <v>43</v>
      </c>
      <c r="J312" t="s">
        <v>69</v>
      </c>
      <c r="K312" t="s">
        <v>70</v>
      </c>
      <c r="L312" t="s">
        <v>63</v>
      </c>
      <c r="M312" t="s">
        <v>469</v>
      </c>
      <c r="N312" t="s">
        <v>1099</v>
      </c>
      <c r="O312">
        <v>4</v>
      </c>
      <c r="P312">
        <v>23478.59</v>
      </c>
      <c r="Q312">
        <v>0</v>
      </c>
      <c r="R312" s="39">
        <v>0</v>
      </c>
      <c r="S312" s="39">
        <v>93914.36</v>
      </c>
      <c r="T312" s="39">
        <v>31326.44</v>
      </c>
      <c r="U312" t="str">
        <f t="shared" si="9"/>
        <v>Office Supplies</v>
      </c>
      <c r="V312">
        <f t="shared" si="10"/>
        <v>31326.44</v>
      </c>
      <c r="W312" t="str">
        <f>IF(Sales[[#This Row],[Quantity]]&gt;=15, "Large","Small")</f>
        <v>Small</v>
      </c>
      <c r="X312" t="str">
        <f>IF(Sales[[#This Row],[Quantity]]&gt;=15,"Large",IF(Sales[[#This Row],[Quantity]]=14,"Medium","Small"))</f>
        <v>Small</v>
      </c>
      <c r="Y312" t="str">
        <f>IF(AND(Sales[[#This Row],[Unit Price (₦)]]&gt;68000,Sales[[#This Row],[Quantity]]&gt;15),"Offer Discount", "No Discount")</f>
        <v>No Discount</v>
      </c>
    </row>
    <row r="313" spans="1:25" ht="15" customHeight="1" x14ac:dyDescent="0.25">
      <c r="A313" t="s">
        <v>2105</v>
      </c>
      <c r="B313" s="8">
        <v>44911</v>
      </c>
      <c r="C313" s="8">
        <v>44916</v>
      </c>
      <c r="D313" t="s">
        <v>73</v>
      </c>
      <c r="E313" t="s">
        <v>3037</v>
      </c>
      <c r="F313" t="s">
        <v>3052</v>
      </c>
      <c r="G313" t="s">
        <v>698</v>
      </c>
      <c r="H313">
        <v>8145865999</v>
      </c>
      <c r="I313" t="s">
        <v>35</v>
      </c>
      <c r="J313" t="s">
        <v>25</v>
      </c>
      <c r="K313" t="s">
        <v>126</v>
      </c>
      <c r="L313" t="s">
        <v>63</v>
      </c>
      <c r="M313" t="s">
        <v>469</v>
      </c>
      <c r="N313" t="s">
        <v>470</v>
      </c>
      <c r="O313">
        <v>16</v>
      </c>
      <c r="P313">
        <v>23997.74</v>
      </c>
      <c r="Q313">
        <v>10</v>
      </c>
      <c r="R313" s="39">
        <v>38396.379999999997</v>
      </c>
      <c r="S313" s="39">
        <v>345567.46</v>
      </c>
      <c r="T313" s="39">
        <v>86606.05</v>
      </c>
      <c r="U313" t="str">
        <f t="shared" si="9"/>
        <v>Office Supplies</v>
      </c>
      <c r="V313">
        <f t="shared" si="10"/>
        <v>86606.05</v>
      </c>
      <c r="W313" t="str">
        <f>IF(Sales[[#This Row],[Quantity]]&gt;=15, "Large","Small")</f>
        <v>Large</v>
      </c>
      <c r="X313" t="str">
        <f>IF(Sales[[#This Row],[Quantity]]&gt;=15,"Large",IF(Sales[[#This Row],[Quantity]]=14,"Medium","Small"))</f>
        <v>Large</v>
      </c>
      <c r="Y313" t="str">
        <f>IF(AND(Sales[[#This Row],[Unit Price (₦)]]&gt;68000,Sales[[#This Row],[Quantity]]&gt;15),"Offer Discount", "No Discount")</f>
        <v>No Discount</v>
      </c>
    </row>
    <row r="314" spans="1:25" ht="15" customHeight="1" x14ac:dyDescent="0.25">
      <c r="A314" t="s">
        <v>1275</v>
      </c>
      <c r="B314" s="8">
        <v>44917</v>
      </c>
      <c r="C314" s="8">
        <v>44921</v>
      </c>
      <c r="D314" t="s">
        <v>73</v>
      </c>
      <c r="E314" t="s">
        <v>3033</v>
      </c>
      <c r="F314" t="s">
        <v>3052</v>
      </c>
      <c r="G314" t="s">
        <v>3126</v>
      </c>
      <c r="H314">
        <v>8037044627</v>
      </c>
      <c r="I314" t="s">
        <v>43</v>
      </c>
      <c r="J314" t="s">
        <v>69</v>
      </c>
      <c r="K314" t="s">
        <v>70</v>
      </c>
      <c r="L314" t="s">
        <v>108</v>
      </c>
      <c r="M314" t="s">
        <v>109</v>
      </c>
      <c r="N314" t="s">
        <v>157</v>
      </c>
      <c r="O314">
        <v>5</v>
      </c>
      <c r="P314">
        <v>44890.61</v>
      </c>
      <c r="Q314">
        <v>0</v>
      </c>
      <c r="R314" s="39">
        <v>0</v>
      </c>
      <c r="S314" s="39">
        <v>224453.05</v>
      </c>
      <c r="T314" s="39">
        <v>-32105.39</v>
      </c>
      <c r="U314" t="str">
        <f t="shared" si="9"/>
        <v>Clothing</v>
      </c>
      <c r="V314">
        <f t="shared" si="10"/>
        <v>32105.39</v>
      </c>
      <c r="W314" t="str">
        <f>IF(Sales[[#This Row],[Quantity]]&gt;=15, "Large","Small")</f>
        <v>Small</v>
      </c>
      <c r="X314" t="str">
        <f>IF(Sales[[#This Row],[Quantity]]&gt;=15,"Large",IF(Sales[[#This Row],[Quantity]]=14,"Medium","Small"))</f>
        <v>Small</v>
      </c>
      <c r="Y314" t="str">
        <f>IF(AND(Sales[[#This Row],[Unit Price (₦)]]&gt;68000,Sales[[#This Row],[Quantity]]&gt;15),"Offer Discount", "No Discount")</f>
        <v>No Discount</v>
      </c>
    </row>
    <row r="315" spans="1:25" ht="15" customHeight="1" x14ac:dyDescent="0.25">
      <c r="A315" t="s">
        <v>1275</v>
      </c>
      <c r="B315" s="8">
        <v>44917</v>
      </c>
      <c r="C315" s="8">
        <v>44921</v>
      </c>
      <c r="D315" t="s">
        <v>73</v>
      </c>
      <c r="E315" t="s">
        <v>3033</v>
      </c>
      <c r="F315" t="s">
        <v>3052</v>
      </c>
      <c r="G315" t="s">
        <v>3126</v>
      </c>
      <c r="H315">
        <v>8037044627</v>
      </c>
      <c r="I315" t="s">
        <v>43</v>
      </c>
      <c r="J315" t="s">
        <v>69</v>
      </c>
      <c r="K315" t="s">
        <v>70</v>
      </c>
      <c r="L315" t="s">
        <v>108</v>
      </c>
      <c r="M315" t="s">
        <v>109</v>
      </c>
      <c r="N315" t="s">
        <v>157</v>
      </c>
      <c r="O315">
        <v>5</v>
      </c>
      <c r="P315">
        <v>44890.61</v>
      </c>
      <c r="Q315">
        <v>0</v>
      </c>
      <c r="R315" s="39">
        <v>0</v>
      </c>
      <c r="S315" s="39">
        <v>224453.05</v>
      </c>
      <c r="T315" s="39">
        <v>-32105.39</v>
      </c>
      <c r="U315" t="str">
        <f t="shared" si="9"/>
        <v>Clothing</v>
      </c>
      <c r="V315">
        <f t="shared" si="10"/>
        <v>32105.39</v>
      </c>
      <c r="W315" t="str">
        <f>IF(Sales[[#This Row],[Quantity]]&gt;=15, "Large","Small")</f>
        <v>Small</v>
      </c>
      <c r="X315" t="str">
        <f>IF(Sales[[#This Row],[Quantity]]&gt;=15,"Large",IF(Sales[[#This Row],[Quantity]]=14,"Medium","Small"))</f>
        <v>Small</v>
      </c>
      <c r="Y315" t="str">
        <f>IF(AND(Sales[[#This Row],[Unit Price (₦)]]&gt;68000,Sales[[#This Row],[Quantity]]&gt;15),"Offer Discount", "No Discount")</f>
        <v>No Discount</v>
      </c>
    </row>
    <row r="316" spans="1:25" ht="15" customHeight="1" x14ac:dyDescent="0.25">
      <c r="A316" t="s">
        <v>1077</v>
      </c>
      <c r="B316" s="8">
        <v>44919</v>
      </c>
      <c r="C316" s="8">
        <v>44923</v>
      </c>
      <c r="D316" t="s">
        <v>73</v>
      </c>
      <c r="E316" t="s">
        <v>3097</v>
      </c>
      <c r="F316" t="s">
        <v>3074</v>
      </c>
      <c r="G316" t="s">
        <v>1078</v>
      </c>
      <c r="H316">
        <v>9028498243</v>
      </c>
      <c r="I316" t="s">
        <v>24</v>
      </c>
      <c r="J316" t="s">
        <v>25</v>
      </c>
      <c r="K316" t="s">
        <v>44</v>
      </c>
      <c r="L316" t="s">
        <v>96</v>
      </c>
      <c r="M316" t="s">
        <v>189</v>
      </c>
      <c r="N316" t="s">
        <v>205</v>
      </c>
      <c r="O316">
        <v>5</v>
      </c>
      <c r="P316">
        <v>139637.76000000001</v>
      </c>
      <c r="Q316">
        <v>0</v>
      </c>
      <c r="R316" s="39">
        <v>0</v>
      </c>
      <c r="S316" s="39">
        <v>698188.80000000005</v>
      </c>
      <c r="T316" s="39">
        <v>163619.42000000001</v>
      </c>
      <c r="U316" t="str">
        <f t="shared" si="9"/>
        <v>Technology</v>
      </c>
      <c r="V316">
        <f t="shared" si="10"/>
        <v>163619.42000000001</v>
      </c>
      <c r="W316" t="str">
        <f>IF(Sales[[#This Row],[Quantity]]&gt;=15, "Large","Small")</f>
        <v>Small</v>
      </c>
      <c r="X316" t="str">
        <f>IF(Sales[[#This Row],[Quantity]]&gt;=15,"Large",IF(Sales[[#This Row],[Quantity]]=14,"Medium","Small"))</f>
        <v>Small</v>
      </c>
      <c r="Y316" t="str">
        <f>IF(AND(Sales[[#This Row],[Unit Price (₦)]]&gt;68000,Sales[[#This Row],[Quantity]]&gt;15),"Offer Discount", "No Discount")</f>
        <v>No Discount</v>
      </c>
    </row>
    <row r="317" spans="1:25" ht="15" customHeight="1" x14ac:dyDescent="0.25">
      <c r="A317" t="s">
        <v>2877</v>
      </c>
      <c r="B317" s="8">
        <v>44921</v>
      </c>
      <c r="C317" s="8">
        <v>44925</v>
      </c>
      <c r="D317" t="s">
        <v>73</v>
      </c>
      <c r="E317" t="str">
        <f>E318</f>
        <v>Ibrahim</v>
      </c>
      <c r="F317" t="str">
        <f>F316</f>
        <v>Osei</v>
      </c>
      <c r="G317" t="s">
        <v>2878</v>
      </c>
      <c r="H317">
        <v>7037366035</v>
      </c>
      <c r="I317" t="s">
        <v>35</v>
      </c>
      <c r="J317" t="s">
        <v>69</v>
      </c>
      <c r="K317" t="s">
        <v>155</v>
      </c>
      <c r="L317" t="s">
        <v>108</v>
      </c>
      <c r="M317" t="s">
        <v>114</v>
      </c>
      <c r="N317" t="s">
        <v>891</v>
      </c>
      <c r="O317">
        <v>1</v>
      </c>
      <c r="P317">
        <v>20691.669999999998</v>
      </c>
      <c r="Q317">
        <v>0</v>
      </c>
      <c r="R317" s="39">
        <v>0</v>
      </c>
      <c r="S317" s="39">
        <v>20691.669999999998</v>
      </c>
      <c r="T317" s="39">
        <v>4335.46</v>
      </c>
      <c r="U317" t="str">
        <f t="shared" si="9"/>
        <v>Clothing</v>
      </c>
      <c r="V317">
        <f t="shared" si="10"/>
        <v>4335.46</v>
      </c>
      <c r="W317" t="str">
        <f>IF(Sales[[#This Row],[Quantity]]&gt;=15, "Large","Small")</f>
        <v>Small</v>
      </c>
      <c r="X317" t="str">
        <f>IF(Sales[[#This Row],[Quantity]]&gt;=15,"Large",IF(Sales[[#This Row],[Quantity]]=14,"Medium","Small"))</f>
        <v>Small</v>
      </c>
      <c r="Y317" t="str">
        <f>IF(AND(Sales[[#This Row],[Unit Price (₦)]]&gt;68000,Sales[[#This Row],[Quantity]]&gt;15),"Offer Discount", "No Discount")</f>
        <v>No Discount</v>
      </c>
    </row>
    <row r="318" spans="1:25" ht="15" customHeight="1" x14ac:dyDescent="0.25">
      <c r="A318" t="s">
        <v>2627</v>
      </c>
      <c r="B318" s="8">
        <v>44932</v>
      </c>
      <c r="C318" s="8">
        <v>44936</v>
      </c>
      <c r="D318" t="s">
        <v>73</v>
      </c>
      <c r="E318" t="s">
        <v>3082</v>
      </c>
      <c r="F318" t="s">
        <v>3083</v>
      </c>
      <c r="G318" t="s">
        <v>2628</v>
      </c>
      <c r="H318">
        <v>9016492169</v>
      </c>
      <c r="I318" t="s">
        <v>35</v>
      </c>
      <c r="J318" t="s">
        <v>25</v>
      </c>
      <c r="K318" t="s">
        <v>44</v>
      </c>
      <c r="L318" t="s">
        <v>108</v>
      </c>
      <c r="M318" t="s">
        <v>183</v>
      </c>
      <c r="N318" t="s">
        <v>184</v>
      </c>
      <c r="O318">
        <v>16</v>
      </c>
      <c r="P318">
        <v>34415.919999999998</v>
      </c>
      <c r="Q318">
        <v>20</v>
      </c>
      <c r="R318" s="39">
        <v>110130.94</v>
      </c>
      <c r="S318" s="39">
        <v>440523.78</v>
      </c>
      <c r="T318" s="39">
        <v>82156.77</v>
      </c>
      <c r="U318" t="str">
        <f t="shared" si="9"/>
        <v>Clothing</v>
      </c>
      <c r="V318">
        <f t="shared" si="10"/>
        <v>82156.77</v>
      </c>
      <c r="W318" t="str">
        <f>IF(Sales[[#This Row],[Quantity]]&gt;=15, "Large","Small")</f>
        <v>Large</v>
      </c>
      <c r="X318" t="str">
        <f>IF(Sales[[#This Row],[Quantity]]&gt;=15,"Large",IF(Sales[[#This Row],[Quantity]]=14,"Medium","Small"))</f>
        <v>Large</v>
      </c>
      <c r="Y318" t="str">
        <f>IF(AND(Sales[[#This Row],[Unit Price (₦)]]&gt;68000,Sales[[#This Row],[Quantity]]&gt;15),"Offer Discount", "No Discount")</f>
        <v>No Discount</v>
      </c>
    </row>
    <row r="319" spans="1:25" ht="15" customHeight="1" x14ac:dyDescent="0.25">
      <c r="A319" t="s">
        <v>2187</v>
      </c>
      <c r="B319" s="8">
        <v>44937</v>
      </c>
      <c r="C319" s="8">
        <v>44942</v>
      </c>
      <c r="D319" t="s">
        <v>73</v>
      </c>
      <c r="E319" t="s">
        <v>3035</v>
      </c>
      <c r="F319" t="s">
        <v>3042</v>
      </c>
      <c r="G319" t="s">
        <v>2189</v>
      </c>
      <c r="H319">
        <v>8101130589</v>
      </c>
      <c r="I319" t="s">
        <v>43</v>
      </c>
      <c r="J319" t="s">
        <v>69</v>
      </c>
      <c r="K319" t="s">
        <v>144</v>
      </c>
      <c r="L319" t="s">
        <v>27</v>
      </c>
      <c r="M319" t="s">
        <v>173</v>
      </c>
      <c r="N319" t="s">
        <v>174</v>
      </c>
      <c r="O319">
        <v>15</v>
      </c>
      <c r="P319">
        <v>5489.08</v>
      </c>
      <c r="Q319">
        <v>15</v>
      </c>
      <c r="R319" s="39">
        <v>12350.43</v>
      </c>
      <c r="S319" s="39">
        <v>69985.77</v>
      </c>
      <c r="T319" s="39">
        <v>2957.75</v>
      </c>
      <c r="U319" t="str">
        <f t="shared" si="9"/>
        <v>Food &amp; Beverages</v>
      </c>
      <c r="V319">
        <f t="shared" si="10"/>
        <v>2957.75</v>
      </c>
      <c r="W319" t="str">
        <f>IF(Sales[[#This Row],[Quantity]]&gt;=15, "Large","Small")</f>
        <v>Large</v>
      </c>
      <c r="X319" t="str">
        <f>IF(Sales[[#This Row],[Quantity]]&gt;=15,"Large",IF(Sales[[#This Row],[Quantity]]=14,"Medium","Small"))</f>
        <v>Large</v>
      </c>
      <c r="Y319" t="str">
        <f>IF(AND(Sales[[#This Row],[Unit Price (₦)]]&gt;68000,Sales[[#This Row],[Quantity]]&gt;15),"Offer Discount", "No Discount")</f>
        <v>No Discount</v>
      </c>
    </row>
    <row r="320" spans="1:25" ht="15" customHeight="1" x14ac:dyDescent="0.25">
      <c r="A320" t="s">
        <v>2395</v>
      </c>
      <c r="B320" s="8">
        <v>44939</v>
      </c>
      <c r="C320" s="8">
        <v>44943</v>
      </c>
      <c r="D320" t="s">
        <v>73</v>
      </c>
      <c r="E320" t="s">
        <v>3039</v>
      </c>
      <c r="F320" t="s">
        <v>3043</v>
      </c>
      <c r="G320" t="s">
        <v>2397</v>
      </c>
      <c r="H320">
        <v>7036587015</v>
      </c>
      <c r="I320" t="s">
        <v>24</v>
      </c>
      <c r="J320" t="s">
        <v>51</v>
      </c>
      <c r="K320" t="s">
        <v>316</v>
      </c>
      <c r="L320" t="s">
        <v>85</v>
      </c>
      <c r="M320" t="s">
        <v>243</v>
      </c>
      <c r="N320" t="s">
        <v>404</v>
      </c>
      <c r="O320">
        <v>1</v>
      </c>
      <c r="P320">
        <v>111822.11</v>
      </c>
      <c r="Q320">
        <v>0</v>
      </c>
      <c r="R320" s="39">
        <v>0</v>
      </c>
      <c r="S320" s="39">
        <v>111822.11</v>
      </c>
      <c r="T320" s="39">
        <v>-8776.44</v>
      </c>
      <c r="U320" t="str">
        <f t="shared" si="9"/>
        <v>Furniture</v>
      </c>
      <c r="V320">
        <f t="shared" si="10"/>
        <v>8776.44</v>
      </c>
      <c r="W320" t="str">
        <f>IF(Sales[[#This Row],[Quantity]]&gt;=15, "Large","Small")</f>
        <v>Small</v>
      </c>
      <c r="X320" t="str">
        <f>IF(Sales[[#This Row],[Quantity]]&gt;=15,"Large",IF(Sales[[#This Row],[Quantity]]=14,"Medium","Small"))</f>
        <v>Small</v>
      </c>
      <c r="Y320" t="str">
        <f>IF(AND(Sales[[#This Row],[Unit Price (₦)]]&gt;68000,Sales[[#This Row],[Quantity]]&gt;15),"Offer Discount", "No Discount")</f>
        <v>No Discount</v>
      </c>
    </row>
    <row r="321" spans="1:25" ht="15" customHeight="1" x14ac:dyDescent="0.25">
      <c r="A321" t="s">
        <v>1780</v>
      </c>
      <c r="B321" s="8">
        <v>44942</v>
      </c>
      <c r="C321" s="8">
        <v>44945</v>
      </c>
      <c r="D321" t="s">
        <v>73</v>
      </c>
      <c r="E321" t="s">
        <v>3087</v>
      </c>
      <c r="F321" t="s">
        <v>3034</v>
      </c>
      <c r="G321" t="s">
        <v>1782</v>
      </c>
      <c r="H321">
        <v>9024219293</v>
      </c>
      <c r="I321" t="s">
        <v>24</v>
      </c>
      <c r="J321" t="s">
        <v>25</v>
      </c>
      <c r="K321" t="s">
        <v>168</v>
      </c>
      <c r="L321" t="s">
        <v>63</v>
      </c>
      <c r="M321" t="s">
        <v>194</v>
      </c>
      <c r="N321" t="s">
        <v>257</v>
      </c>
      <c r="O321">
        <v>20</v>
      </c>
      <c r="P321">
        <v>11297.9</v>
      </c>
      <c r="Q321">
        <v>0</v>
      </c>
      <c r="R321" s="39">
        <v>0</v>
      </c>
      <c r="S321" s="39">
        <v>225958</v>
      </c>
      <c r="T321" s="39">
        <v>83834.3</v>
      </c>
      <c r="U321" t="str">
        <f t="shared" si="9"/>
        <v>Office Supplies</v>
      </c>
      <c r="V321">
        <f t="shared" si="10"/>
        <v>83834.3</v>
      </c>
      <c r="W321" t="str">
        <f>IF(Sales[[#This Row],[Quantity]]&gt;=15, "Large","Small")</f>
        <v>Large</v>
      </c>
      <c r="X321" t="str">
        <f>IF(Sales[[#This Row],[Quantity]]&gt;=15,"Large",IF(Sales[[#This Row],[Quantity]]=14,"Medium","Small"))</f>
        <v>Large</v>
      </c>
      <c r="Y321" t="str">
        <f>IF(AND(Sales[[#This Row],[Unit Price (₦)]]&gt;68000,Sales[[#This Row],[Quantity]]&gt;15),"Offer Discount", "No Discount")</f>
        <v>No Discount</v>
      </c>
    </row>
    <row r="322" spans="1:25" ht="15" customHeight="1" x14ac:dyDescent="0.25">
      <c r="A322" t="s">
        <v>1280</v>
      </c>
      <c r="B322" s="8">
        <v>44942</v>
      </c>
      <c r="C322" s="8">
        <v>44946</v>
      </c>
      <c r="D322" t="s">
        <v>73</v>
      </c>
      <c r="E322" t="s">
        <v>3080</v>
      </c>
      <c r="F322" t="s">
        <v>3046</v>
      </c>
      <c r="G322" t="s">
        <v>1283</v>
      </c>
      <c r="H322">
        <v>8034972005</v>
      </c>
      <c r="I322" t="s">
        <v>43</v>
      </c>
      <c r="J322" t="s">
        <v>69</v>
      </c>
      <c r="K322" t="s">
        <v>70</v>
      </c>
      <c r="L322" t="s">
        <v>27</v>
      </c>
      <c r="M322" t="s">
        <v>45</v>
      </c>
      <c r="N322" t="s">
        <v>875</v>
      </c>
      <c r="O322">
        <v>19</v>
      </c>
      <c r="P322">
        <v>7434.55</v>
      </c>
      <c r="Q322">
        <v>10</v>
      </c>
      <c r="R322" s="39">
        <v>14125.65</v>
      </c>
      <c r="S322" s="39">
        <v>127130.8</v>
      </c>
      <c r="T322" s="39">
        <v>-16517.2</v>
      </c>
      <c r="U322" t="str">
        <f t="shared" ref="U322:U385" si="12">PROPER(L322)</f>
        <v>Food &amp; Beverages</v>
      </c>
      <c r="V322">
        <f t="shared" si="10"/>
        <v>16517.2</v>
      </c>
      <c r="W322" t="str">
        <f>IF(Sales[[#This Row],[Quantity]]&gt;=15, "Large","Small")</f>
        <v>Large</v>
      </c>
      <c r="X322" t="str">
        <f>IF(Sales[[#This Row],[Quantity]]&gt;=15,"Large",IF(Sales[[#This Row],[Quantity]]=14,"Medium","Small"))</f>
        <v>Large</v>
      </c>
      <c r="Y322" t="str">
        <f>IF(AND(Sales[[#This Row],[Unit Price (₦)]]&gt;68000,Sales[[#This Row],[Quantity]]&gt;15),"Offer Discount", "No Discount")</f>
        <v>No Discount</v>
      </c>
    </row>
    <row r="323" spans="1:25" ht="15" customHeight="1" x14ac:dyDescent="0.25">
      <c r="A323" t="s">
        <v>2818</v>
      </c>
      <c r="B323" s="8">
        <v>44941</v>
      </c>
      <c r="C323" s="8">
        <v>44946</v>
      </c>
      <c r="D323" t="s">
        <v>73</v>
      </c>
      <c r="E323" t="s">
        <v>3094</v>
      </c>
      <c r="F323" t="s">
        <v>3078</v>
      </c>
      <c r="G323" t="s">
        <v>2820</v>
      </c>
      <c r="H323">
        <v>9071282620</v>
      </c>
      <c r="I323" t="s">
        <v>43</v>
      </c>
      <c r="J323" t="s">
        <v>61</v>
      </c>
      <c r="K323" t="s">
        <v>95</v>
      </c>
      <c r="L323" t="s">
        <v>534</v>
      </c>
      <c r="M323" t="s">
        <v>109</v>
      </c>
      <c r="N323" t="s">
        <v>1258</v>
      </c>
      <c r="O323">
        <v>17</v>
      </c>
      <c r="P323">
        <v>9282.89</v>
      </c>
      <c r="Q323">
        <v>5</v>
      </c>
      <c r="R323" s="39">
        <v>7890.46</v>
      </c>
      <c r="S323" s="39">
        <v>149918.67000000001</v>
      </c>
      <c r="T323" s="39">
        <v>66532.12</v>
      </c>
      <c r="U323" t="str">
        <f t="shared" si="12"/>
        <v>Clothing</v>
      </c>
      <c r="V323">
        <f t="shared" ref="V323:V386" si="13">ABS(T323)</f>
        <v>66532.12</v>
      </c>
      <c r="W323" t="str">
        <f>IF(Sales[[#This Row],[Quantity]]&gt;=15, "Large","Small")</f>
        <v>Large</v>
      </c>
      <c r="X323" t="str">
        <f>IF(Sales[[#This Row],[Quantity]]&gt;=15,"Large",IF(Sales[[#This Row],[Quantity]]=14,"Medium","Small"))</f>
        <v>Large</v>
      </c>
      <c r="Y323" t="str">
        <f>IF(AND(Sales[[#This Row],[Unit Price (₦)]]&gt;68000,Sales[[#This Row],[Quantity]]&gt;15),"Offer Discount", "No Discount")</f>
        <v>No Discount</v>
      </c>
    </row>
    <row r="324" spans="1:25" ht="15" customHeight="1" x14ac:dyDescent="0.25">
      <c r="A324" t="s">
        <v>930</v>
      </c>
      <c r="B324" s="8">
        <v>44946</v>
      </c>
      <c r="C324" s="8">
        <v>44949</v>
      </c>
      <c r="D324" t="s">
        <v>73</v>
      </c>
      <c r="E324" t="s">
        <v>3058</v>
      </c>
      <c r="F324" t="s">
        <v>3052</v>
      </c>
      <c r="G324" t="s">
        <v>932</v>
      </c>
      <c r="H324">
        <v>8034197381</v>
      </c>
      <c r="I324" t="s">
        <v>43</v>
      </c>
      <c r="J324" t="s">
        <v>69</v>
      </c>
      <c r="K324" t="s">
        <v>307</v>
      </c>
      <c r="L324" t="s">
        <v>63</v>
      </c>
      <c r="M324" t="s">
        <v>249</v>
      </c>
      <c r="N324" t="s">
        <v>329</v>
      </c>
      <c r="O324">
        <v>19</v>
      </c>
      <c r="P324">
        <v>1639.26</v>
      </c>
      <c r="Q324">
        <v>0</v>
      </c>
      <c r="R324" s="39">
        <v>0</v>
      </c>
      <c r="S324" s="39">
        <v>31145.94</v>
      </c>
      <c r="T324" s="39">
        <v>9757.6200000000008</v>
      </c>
      <c r="U324" t="str">
        <f t="shared" si="12"/>
        <v>Office Supplies</v>
      </c>
      <c r="V324">
        <f t="shared" si="13"/>
        <v>9757.6200000000008</v>
      </c>
      <c r="W324" t="str">
        <f>IF(Sales[[#This Row],[Quantity]]&gt;=15, "Large","Small")</f>
        <v>Large</v>
      </c>
      <c r="X324" t="str">
        <f>IF(Sales[[#This Row],[Quantity]]&gt;=15,"Large",IF(Sales[[#This Row],[Quantity]]=14,"Medium","Small"))</f>
        <v>Large</v>
      </c>
      <c r="Y324" t="str">
        <f>IF(AND(Sales[[#This Row],[Unit Price (₦)]]&gt;68000,Sales[[#This Row],[Quantity]]&gt;15),"Offer Discount", "No Discount")</f>
        <v>No Discount</v>
      </c>
    </row>
    <row r="325" spans="1:25" ht="15" customHeight="1" x14ac:dyDescent="0.25">
      <c r="A325" t="s">
        <v>105</v>
      </c>
      <c r="B325" s="8">
        <v>44951</v>
      </c>
      <c r="C325" s="8">
        <v>44956</v>
      </c>
      <c r="D325" t="s">
        <v>73</v>
      </c>
      <c r="E325" t="s">
        <v>3053</v>
      </c>
      <c r="F325" t="s">
        <v>3054</v>
      </c>
      <c r="G325" t="s">
        <v>107</v>
      </c>
      <c r="H325">
        <v>8105673212</v>
      </c>
      <c r="I325" t="s">
        <v>35</v>
      </c>
      <c r="J325" t="s">
        <v>51</v>
      </c>
      <c r="K325" t="s">
        <v>52</v>
      </c>
      <c r="L325" t="s">
        <v>108</v>
      </c>
      <c r="M325" t="s">
        <v>109</v>
      </c>
      <c r="N325" t="s">
        <v>110</v>
      </c>
      <c r="O325">
        <v>18</v>
      </c>
      <c r="P325">
        <v>21054.62</v>
      </c>
      <c r="Q325">
        <v>0</v>
      </c>
      <c r="R325" s="39">
        <v>0</v>
      </c>
      <c r="S325" s="39">
        <v>378983.16</v>
      </c>
      <c r="T325" s="39">
        <v>-45344.2</v>
      </c>
      <c r="U325" t="str">
        <f t="shared" si="12"/>
        <v>Clothing</v>
      </c>
      <c r="V325">
        <f t="shared" si="13"/>
        <v>45344.2</v>
      </c>
      <c r="W325" t="str">
        <f>IF(Sales[[#This Row],[Quantity]]&gt;=15, "Large","Small")</f>
        <v>Large</v>
      </c>
      <c r="X325" t="str">
        <f>IF(Sales[[#This Row],[Quantity]]&gt;=15,"Large",IF(Sales[[#This Row],[Quantity]]=14,"Medium","Small"))</f>
        <v>Large</v>
      </c>
      <c r="Y325" t="str">
        <f>IF(AND(Sales[[#This Row],[Unit Price (₦)]]&gt;68000,Sales[[#This Row],[Quantity]]&gt;15),"Offer Discount", "No Discount")</f>
        <v>No Discount</v>
      </c>
    </row>
    <row r="326" spans="1:25" ht="15" customHeight="1" x14ac:dyDescent="0.25">
      <c r="A326" t="s">
        <v>1895</v>
      </c>
      <c r="B326" s="8">
        <v>44957</v>
      </c>
      <c r="C326" s="8">
        <v>44962</v>
      </c>
      <c r="D326" t="s">
        <v>73</v>
      </c>
      <c r="E326" t="s">
        <v>3053</v>
      </c>
      <c r="F326" t="s">
        <v>3038</v>
      </c>
      <c r="G326" t="s">
        <v>1897</v>
      </c>
      <c r="H326">
        <v>8156752873</v>
      </c>
      <c r="I326" t="s">
        <v>24</v>
      </c>
      <c r="J326" t="s">
        <v>25</v>
      </c>
      <c r="K326" t="s">
        <v>26</v>
      </c>
      <c r="L326" t="s">
        <v>63</v>
      </c>
      <c r="M326" t="s">
        <v>469</v>
      </c>
      <c r="N326" t="s">
        <v>546</v>
      </c>
      <c r="O326">
        <v>7</v>
      </c>
      <c r="P326">
        <v>24746.29</v>
      </c>
      <c r="Q326">
        <v>25</v>
      </c>
      <c r="R326" s="39">
        <v>43306.01</v>
      </c>
      <c r="S326" s="39">
        <v>129918.02</v>
      </c>
      <c r="T326" s="39">
        <v>36696.86</v>
      </c>
      <c r="U326" t="str">
        <f t="shared" si="12"/>
        <v>Office Supplies</v>
      </c>
      <c r="V326">
        <f t="shared" si="13"/>
        <v>36696.86</v>
      </c>
      <c r="W326" t="str">
        <f>IF(Sales[[#This Row],[Quantity]]&gt;=15, "Large","Small")</f>
        <v>Small</v>
      </c>
      <c r="X326" t="str">
        <f>IF(Sales[[#This Row],[Quantity]]&gt;=15,"Large",IF(Sales[[#This Row],[Quantity]]=14,"Medium","Small"))</f>
        <v>Small</v>
      </c>
      <c r="Y326" t="str">
        <f>IF(AND(Sales[[#This Row],[Unit Price (₦)]]&gt;68000,Sales[[#This Row],[Quantity]]&gt;15),"Offer Discount", "No Discount")</f>
        <v>No Discount</v>
      </c>
    </row>
    <row r="327" spans="1:25" ht="15" customHeight="1" x14ac:dyDescent="0.25">
      <c r="A327" t="s">
        <v>1043</v>
      </c>
      <c r="B327" s="8">
        <v>44960</v>
      </c>
      <c r="C327" s="8">
        <v>44964</v>
      </c>
      <c r="D327" t="s">
        <v>73</v>
      </c>
      <c r="E327" t="s">
        <v>3058</v>
      </c>
      <c r="F327" t="s">
        <v>3057</v>
      </c>
      <c r="G327" t="s">
        <v>1046</v>
      </c>
      <c r="H327">
        <v>8163936596</v>
      </c>
      <c r="I327" t="s">
        <v>43</v>
      </c>
      <c r="J327" t="s">
        <v>51</v>
      </c>
      <c r="K327" t="s">
        <v>223</v>
      </c>
      <c r="L327" t="s">
        <v>108</v>
      </c>
      <c r="M327" t="s">
        <v>189</v>
      </c>
      <c r="N327" t="s">
        <v>287</v>
      </c>
      <c r="O327">
        <v>17</v>
      </c>
      <c r="P327">
        <v>26021.119999999999</v>
      </c>
      <c r="Q327">
        <v>10</v>
      </c>
      <c r="R327" s="39">
        <v>44235.9</v>
      </c>
      <c r="S327" s="39">
        <v>398123.14</v>
      </c>
      <c r="T327" s="39">
        <v>21490.5</v>
      </c>
      <c r="U327" t="str">
        <f t="shared" si="12"/>
        <v>Clothing</v>
      </c>
      <c r="V327">
        <f t="shared" si="13"/>
        <v>21490.5</v>
      </c>
      <c r="W327" t="str">
        <f>IF(Sales[[#This Row],[Quantity]]&gt;=15, "Large","Small")</f>
        <v>Large</v>
      </c>
      <c r="X327" t="str">
        <f>IF(Sales[[#This Row],[Quantity]]&gt;=15,"Large",IF(Sales[[#This Row],[Quantity]]=14,"Medium","Small"))</f>
        <v>Large</v>
      </c>
      <c r="Y327" t="str">
        <f>IF(AND(Sales[[#This Row],[Unit Price (₦)]]&gt;68000,Sales[[#This Row],[Quantity]]&gt;15),"Offer Discount", "No Discount")</f>
        <v>No Discount</v>
      </c>
    </row>
    <row r="328" spans="1:25" ht="15" customHeight="1" x14ac:dyDescent="0.25">
      <c r="A328" t="s">
        <v>1305</v>
      </c>
      <c r="B328" s="8">
        <v>44961</v>
      </c>
      <c r="C328" s="8">
        <v>44966</v>
      </c>
      <c r="D328" t="s">
        <v>73</v>
      </c>
      <c r="E328" t="s">
        <v>3095</v>
      </c>
      <c r="F328" t="s">
        <v>3069</v>
      </c>
      <c r="G328" t="s">
        <v>1306</v>
      </c>
      <c r="H328">
        <v>7031177469</v>
      </c>
      <c r="I328" t="s">
        <v>24</v>
      </c>
      <c r="J328" t="s">
        <v>69</v>
      </c>
      <c r="K328" t="s">
        <v>70</v>
      </c>
      <c r="L328" t="s">
        <v>96</v>
      </c>
      <c r="M328" t="s">
        <v>120</v>
      </c>
      <c r="N328" t="s">
        <v>1307</v>
      </c>
      <c r="O328">
        <v>17</v>
      </c>
      <c r="P328">
        <v>193893.21</v>
      </c>
      <c r="Q328">
        <v>0</v>
      </c>
      <c r="R328" s="39">
        <v>0</v>
      </c>
      <c r="S328" s="39">
        <v>3296184.57</v>
      </c>
      <c r="T328" s="39">
        <v>861292.14</v>
      </c>
      <c r="U328" t="str">
        <f t="shared" si="12"/>
        <v>Technology</v>
      </c>
      <c r="V328">
        <f t="shared" si="13"/>
        <v>861292.14</v>
      </c>
      <c r="W328" t="str">
        <f>IF(Sales[[#This Row],[Quantity]]&gt;=15, "Large","Small")</f>
        <v>Large</v>
      </c>
      <c r="X328" t="str">
        <f>IF(Sales[[#This Row],[Quantity]]&gt;=15,"Large",IF(Sales[[#This Row],[Quantity]]=14,"Medium","Small"))</f>
        <v>Large</v>
      </c>
      <c r="Y328" t="str">
        <f>IF(AND(Sales[[#This Row],[Unit Price (₦)]]&gt;68000,Sales[[#This Row],[Quantity]]&gt;15),"Offer Discount", "No Discount")</f>
        <v>Offer Discount</v>
      </c>
    </row>
    <row r="329" spans="1:25" ht="15" customHeight="1" x14ac:dyDescent="0.25">
      <c r="A329" t="s">
        <v>2119</v>
      </c>
      <c r="B329" s="8">
        <v>44962</v>
      </c>
      <c r="C329" s="8">
        <v>44966</v>
      </c>
      <c r="D329" t="s">
        <v>73</v>
      </c>
      <c r="E329" t="s">
        <v>3089</v>
      </c>
      <c r="F329" t="s">
        <v>3071</v>
      </c>
      <c r="G329" t="s">
        <v>2121</v>
      </c>
      <c r="H329">
        <v>8134375454</v>
      </c>
      <c r="I329" t="s">
        <v>35</v>
      </c>
      <c r="J329" t="s">
        <v>69</v>
      </c>
      <c r="K329" t="s">
        <v>70</v>
      </c>
      <c r="L329" t="s">
        <v>85</v>
      </c>
      <c r="M329" t="s">
        <v>486</v>
      </c>
      <c r="N329" t="s">
        <v>527</v>
      </c>
      <c r="O329">
        <v>7</v>
      </c>
      <c r="P329">
        <v>147091.62</v>
      </c>
      <c r="Q329">
        <v>0</v>
      </c>
      <c r="R329" s="39">
        <v>0</v>
      </c>
      <c r="S329" s="39">
        <v>1029641.34</v>
      </c>
      <c r="T329" s="39">
        <v>205171.24</v>
      </c>
      <c r="U329" t="str">
        <f t="shared" si="12"/>
        <v>Furniture</v>
      </c>
      <c r="V329">
        <f t="shared" si="13"/>
        <v>205171.24</v>
      </c>
      <c r="W329" t="str">
        <f>IF(Sales[[#This Row],[Quantity]]&gt;=15, "Large","Small")</f>
        <v>Small</v>
      </c>
      <c r="X329" t="str">
        <f>IF(Sales[[#This Row],[Quantity]]&gt;=15,"Large",IF(Sales[[#This Row],[Quantity]]=14,"Medium","Small"))</f>
        <v>Small</v>
      </c>
      <c r="Y329" t="str">
        <f>IF(AND(Sales[[#This Row],[Unit Price (₦)]]&gt;68000,Sales[[#This Row],[Quantity]]&gt;15),"Offer Discount", "No Discount")</f>
        <v>No Discount</v>
      </c>
    </row>
    <row r="330" spans="1:25" ht="15" customHeight="1" x14ac:dyDescent="0.25">
      <c r="A330" t="s">
        <v>1979</v>
      </c>
      <c r="B330" s="8">
        <v>44968</v>
      </c>
      <c r="C330" s="8">
        <v>44972</v>
      </c>
      <c r="D330" t="s">
        <v>73</v>
      </c>
      <c r="E330" t="s">
        <v>3051</v>
      </c>
      <c r="F330" t="s">
        <v>3083</v>
      </c>
      <c r="G330" t="s">
        <v>1981</v>
      </c>
      <c r="H330">
        <v>8153695916</v>
      </c>
      <c r="I330" t="s">
        <v>43</v>
      </c>
      <c r="J330" t="s">
        <v>69</v>
      </c>
      <c r="K330" t="s">
        <v>144</v>
      </c>
      <c r="L330" t="s">
        <v>108</v>
      </c>
      <c r="M330" t="s">
        <v>38</v>
      </c>
      <c r="N330" t="s">
        <v>296</v>
      </c>
      <c r="O330">
        <v>1</v>
      </c>
      <c r="P330">
        <v>18732.93</v>
      </c>
      <c r="Q330">
        <v>25</v>
      </c>
      <c r="R330" s="39">
        <v>4683.2299999999996</v>
      </c>
      <c r="S330" s="39">
        <v>14049.7</v>
      </c>
      <c r="T330" s="39">
        <v>4493.7</v>
      </c>
      <c r="U330" t="str">
        <f t="shared" si="12"/>
        <v>Clothing</v>
      </c>
      <c r="V330">
        <f t="shared" si="13"/>
        <v>4493.7</v>
      </c>
      <c r="W330" t="str">
        <f>IF(Sales[[#This Row],[Quantity]]&gt;=15, "Large","Small")</f>
        <v>Small</v>
      </c>
      <c r="X330" t="str">
        <f>IF(Sales[[#This Row],[Quantity]]&gt;=15,"Large",IF(Sales[[#This Row],[Quantity]]=14,"Medium","Small"))</f>
        <v>Small</v>
      </c>
      <c r="Y330" t="str">
        <f>IF(AND(Sales[[#This Row],[Unit Price (₦)]]&gt;68000,Sales[[#This Row],[Quantity]]&gt;15),"Offer Discount", "No Discount")</f>
        <v>No Discount</v>
      </c>
    </row>
    <row r="331" spans="1:25" ht="15" customHeight="1" x14ac:dyDescent="0.25">
      <c r="A331" t="s">
        <v>1870</v>
      </c>
      <c r="B331" s="8">
        <v>44969</v>
      </c>
      <c r="C331" s="8">
        <v>44973</v>
      </c>
      <c r="D331" t="s">
        <v>73</v>
      </c>
      <c r="E331" t="s">
        <v>3091</v>
      </c>
      <c r="F331" t="s">
        <v>3038</v>
      </c>
      <c r="G331" t="s">
        <v>3126</v>
      </c>
      <c r="H331">
        <v>8149314244</v>
      </c>
      <c r="I331" t="s">
        <v>35</v>
      </c>
      <c r="J331" t="s">
        <v>69</v>
      </c>
      <c r="K331" t="s">
        <v>144</v>
      </c>
      <c r="L331" t="s">
        <v>85</v>
      </c>
      <c r="M331" t="s">
        <v>243</v>
      </c>
      <c r="N331" t="s">
        <v>439</v>
      </c>
      <c r="O331">
        <v>13</v>
      </c>
      <c r="P331">
        <v>94319.679999999993</v>
      </c>
      <c r="Q331">
        <v>0</v>
      </c>
      <c r="R331" s="39">
        <v>0</v>
      </c>
      <c r="S331" s="39">
        <v>1226155.8400000001</v>
      </c>
      <c r="T331" s="39">
        <v>-103193.68</v>
      </c>
      <c r="U331" t="str">
        <f t="shared" si="12"/>
        <v>Furniture</v>
      </c>
      <c r="V331">
        <f t="shared" si="13"/>
        <v>103193.68</v>
      </c>
      <c r="W331" t="str">
        <f>IF(Sales[[#This Row],[Quantity]]&gt;=15, "Large","Small")</f>
        <v>Small</v>
      </c>
      <c r="X331" t="str">
        <f>IF(Sales[[#This Row],[Quantity]]&gt;=15,"Large",IF(Sales[[#This Row],[Quantity]]=14,"Medium","Small"))</f>
        <v>Small</v>
      </c>
      <c r="Y331" t="str">
        <f>IF(AND(Sales[[#This Row],[Unit Price (₦)]]&gt;68000,Sales[[#This Row],[Quantity]]&gt;15),"Offer Discount", "No Discount")</f>
        <v>No Discount</v>
      </c>
    </row>
    <row r="332" spans="1:25" ht="15" customHeight="1" x14ac:dyDescent="0.25">
      <c r="A332" t="s">
        <v>2286</v>
      </c>
      <c r="B332" s="8">
        <v>44972</v>
      </c>
      <c r="C332" s="8">
        <v>44975</v>
      </c>
      <c r="D332" t="s">
        <v>73</v>
      </c>
      <c r="E332" t="s">
        <v>3093</v>
      </c>
      <c r="F332" t="s">
        <v>3064</v>
      </c>
      <c r="G332" t="s">
        <v>2288</v>
      </c>
      <c r="H332">
        <v>8104962502</v>
      </c>
      <c r="I332" t="s">
        <v>35</v>
      </c>
      <c r="J332" t="s">
        <v>69</v>
      </c>
      <c r="K332" t="s">
        <v>204</v>
      </c>
      <c r="L332" t="s">
        <v>85</v>
      </c>
      <c r="M332" t="s">
        <v>486</v>
      </c>
      <c r="N332" t="s">
        <v>487</v>
      </c>
      <c r="O332">
        <v>5</v>
      </c>
      <c r="P332">
        <v>132551.10999999999</v>
      </c>
      <c r="Q332">
        <v>25</v>
      </c>
      <c r="R332" s="39">
        <v>165688.89000000001</v>
      </c>
      <c r="S332" s="39">
        <v>497066.66</v>
      </c>
      <c r="T332" s="39">
        <v>177652.14</v>
      </c>
      <c r="U332" t="str">
        <f t="shared" si="12"/>
        <v>Furniture</v>
      </c>
      <c r="V332">
        <f t="shared" si="13"/>
        <v>177652.14</v>
      </c>
      <c r="W332" t="str">
        <f>IF(Sales[[#This Row],[Quantity]]&gt;=15, "Large","Small")</f>
        <v>Small</v>
      </c>
      <c r="X332" t="str">
        <f>IF(Sales[[#This Row],[Quantity]]&gt;=15,"Large",IF(Sales[[#This Row],[Quantity]]=14,"Medium","Small"))</f>
        <v>Small</v>
      </c>
      <c r="Y332" t="str">
        <f>IF(AND(Sales[[#This Row],[Unit Price (₦)]]&gt;68000,Sales[[#This Row],[Quantity]]&gt;15),"Offer Discount", "No Discount")</f>
        <v>No Discount</v>
      </c>
    </row>
    <row r="333" spans="1:25" ht="15" customHeight="1" x14ac:dyDescent="0.25">
      <c r="A333" t="s">
        <v>937</v>
      </c>
      <c r="B333" s="8">
        <v>44973</v>
      </c>
      <c r="C333" s="8">
        <v>44976</v>
      </c>
      <c r="D333" t="s">
        <v>73</v>
      </c>
      <c r="E333" t="str">
        <f>E334</f>
        <v>Gbenga</v>
      </c>
      <c r="F333" t="str">
        <f>F332</f>
        <v>Eze</v>
      </c>
      <c r="G333" t="s">
        <v>938</v>
      </c>
      <c r="H333">
        <v>9076793064</v>
      </c>
      <c r="I333" t="s">
        <v>43</v>
      </c>
      <c r="J333" t="s">
        <v>51</v>
      </c>
      <c r="K333" t="s">
        <v>227</v>
      </c>
      <c r="L333" t="s">
        <v>85</v>
      </c>
      <c r="M333" t="s">
        <v>218</v>
      </c>
      <c r="N333" t="s">
        <v>842</v>
      </c>
      <c r="O333">
        <v>11</v>
      </c>
      <c r="P333">
        <v>101308.53</v>
      </c>
      <c r="Q333">
        <v>0</v>
      </c>
      <c r="R333" s="39">
        <v>0</v>
      </c>
      <c r="S333" s="39">
        <v>1114393.83</v>
      </c>
      <c r="T333" s="39">
        <v>341522.72</v>
      </c>
      <c r="U333" t="str">
        <f t="shared" si="12"/>
        <v>Furniture</v>
      </c>
      <c r="V333">
        <f t="shared" si="13"/>
        <v>341522.72</v>
      </c>
      <c r="W333" t="str">
        <f>IF(Sales[[#This Row],[Quantity]]&gt;=15, "Large","Small")</f>
        <v>Small</v>
      </c>
      <c r="X333" t="str">
        <f>IF(Sales[[#This Row],[Quantity]]&gt;=15,"Large",IF(Sales[[#This Row],[Quantity]]=14,"Medium","Small"))</f>
        <v>Small</v>
      </c>
      <c r="Y333" t="str">
        <f>IF(AND(Sales[[#This Row],[Unit Price (₦)]]&gt;68000,Sales[[#This Row],[Quantity]]&gt;15),"Offer Discount", "No Discount")</f>
        <v>No Discount</v>
      </c>
    </row>
    <row r="334" spans="1:25" ht="15" customHeight="1" x14ac:dyDescent="0.25">
      <c r="A334" t="s">
        <v>2625</v>
      </c>
      <c r="B334" s="8">
        <v>44971</v>
      </c>
      <c r="C334" s="8">
        <v>44976</v>
      </c>
      <c r="D334" t="s">
        <v>73</v>
      </c>
      <c r="E334" t="s">
        <v>3093</v>
      </c>
      <c r="F334" t="s">
        <v>3042</v>
      </c>
      <c r="G334" t="s">
        <v>2626</v>
      </c>
      <c r="H334">
        <v>9056089714</v>
      </c>
      <c r="I334" t="s">
        <v>24</v>
      </c>
      <c r="J334" t="s">
        <v>69</v>
      </c>
      <c r="K334" t="s">
        <v>307</v>
      </c>
      <c r="L334" t="s">
        <v>1441</v>
      </c>
      <c r="M334" t="s">
        <v>64</v>
      </c>
      <c r="N334" t="s">
        <v>815</v>
      </c>
      <c r="O334">
        <v>8</v>
      </c>
      <c r="P334">
        <v>16371.84</v>
      </c>
      <c r="Q334">
        <v>10</v>
      </c>
      <c r="R334" s="39">
        <v>13097.47</v>
      </c>
      <c r="S334" s="39">
        <v>117877.25</v>
      </c>
      <c r="T334" s="39">
        <v>-2347.69</v>
      </c>
      <c r="U334" t="str">
        <f t="shared" si="12"/>
        <v>Office Supplies</v>
      </c>
      <c r="V334">
        <f t="shared" si="13"/>
        <v>2347.69</v>
      </c>
      <c r="W334" t="str">
        <f>IF(Sales[[#This Row],[Quantity]]&gt;=15, "Large","Small")</f>
        <v>Small</v>
      </c>
      <c r="X334" t="str">
        <f>IF(Sales[[#This Row],[Quantity]]&gt;=15,"Large",IF(Sales[[#This Row],[Quantity]]=14,"Medium","Small"))</f>
        <v>Small</v>
      </c>
      <c r="Y334" t="str">
        <f>IF(AND(Sales[[#This Row],[Unit Price (₦)]]&gt;68000,Sales[[#This Row],[Quantity]]&gt;15),"Offer Discount", "No Discount")</f>
        <v>No Discount</v>
      </c>
    </row>
    <row r="335" spans="1:25" ht="15" customHeight="1" x14ac:dyDescent="0.25">
      <c r="A335" t="s">
        <v>1674</v>
      </c>
      <c r="B335" s="8">
        <v>44972</v>
      </c>
      <c r="C335" s="8">
        <v>44977</v>
      </c>
      <c r="D335" t="s">
        <v>73</v>
      </c>
      <c r="E335" t="s">
        <v>3050</v>
      </c>
      <c r="F335" t="s">
        <v>3079</v>
      </c>
      <c r="G335" t="s">
        <v>1676</v>
      </c>
      <c r="H335">
        <v>7034176859</v>
      </c>
      <c r="I335" t="s">
        <v>43</v>
      </c>
      <c r="J335" t="s">
        <v>25</v>
      </c>
      <c r="K335" t="s">
        <v>168</v>
      </c>
      <c r="L335" t="s">
        <v>108</v>
      </c>
      <c r="M335" t="s">
        <v>183</v>
      </c>
      <c r="N335" t="s">
        <v>184</v>
      </c>
      <c r="O335">
        <v>19</v>
      </c>
      <c r="P335">
        <v>31773.8</v>
      </c>
      <c r="Q335">
        <v>10</v>
      </c>
      <c r="R335" s="39">
        <v>60370.22</v>
      </c>
      <c r="S335" s="39">
        <v>543331.98</v>
      </c>
      <c r="T335" s="39">
        <v>119349.33</v>
      </c>
      <c r="U335" t="str">
        <f t="shared" si="12"/>
        <v>Clothing</v>
      </c>
      <c r="V335">
        <f t="shared" si="13"/>
        <v>119349.33</v>
      </c>
      <c r="W335" t="str">
        <f>IF(Sales[[#This Row],[Quantity]]&gt;=15, "Large","Small")</f>
        <v>Large</v>
      </c>
      <c r="X335" t="str">
        <f>IF(Sales[[#This Row],[Quantity]]&gt;=15,"Large",IF(Sales[[#This Row],[Quantity]]=14,"Medium","Small"))</f>
        <v>Large</v>
      </c>
      <c r="Y335" t="str">
        <f>IF(AND(Sales[[#This Row],[Unit Price (₦)]]&gt;68000,Sales[[#This Row],[Quantity]]&gt;15),"Offer Discount", "No Discount")</f>
        <v>No Discount</v>
      </c>
    </row>
    <row r="336" spans="1:25" ht="15" customHeight="1" x14ac:dyDescent="0.25">
      <c r="A336" t="s">
        <v>2166</v>
      </c>
      <c r="B336" s="8">
        <v>44979</v>
      </c>
      <c r="C336" s="8">
        <v>44983</v>
      </c>
      <c r="D336" t="s">
        <v>73</v>
      </c>
      <c r="E336" t="s">
        <v>3094</v>
      </c>
      <c r="F336" t="s">
        <v>3039</v>
      </c>
      <c r="G336" t="s">
        <v>2167</v>
      </c>
      <c r="H336">
        <v>8068155068</v>
      </c>
      <c r="I336" t="s">
        <v>35</v>
      </c>
      <c r="J336" t="s">
        <v>25</v>
      </c>
      <c r="K336" t="s">
        <v>36</v>
      </c>
      <c r="L336" t="s">
        <v>63</v>
      </c>
      <c r="M336" t="s">
        <v>54</v>
      </c>
      <c r="N336" t="s">
        <v>1039</v>
      </c>
      <c r="O336">
        <v>12</v>
      </c>
      <c r="P336">
        <v>8500.24</v>
      </c>
      <c r="Q336">
        <v>10</v>
      </c>
      <c r="R336" s="39">
        <v>10200.290000000001</v>
      </c>
      <c r="S336" s="39">
        <v>91802.59</v>
      </c>
      <c r="T336" s="39">
        <v>39939.57</v>
      </c>
      <c r="U336" t="str">
        <f t="shared" si="12"/>
        <v>Office Supplies</v>
      </c>
      <c r="V336">
        <f t="shared" si="13"/>
        <v>39939.57</v>
      </c>
      <c r="W336" t="str">
        <f>IF(Sales[[#This Row],[Quantity]]&gt;=15, "Large","Small")</f>
        <v>Small</v>
      </c>
      <c r="X336" t="str">
        <f>IF(Sales[[#This Row],[Quantity]]&gt;=15,"Large",IF(Sales[[#This Row],[Quantity]]=14,"Medium","Small"))</f>
        <v>Small</v>
      </c>
      <c r="Y336" t="str">
        <f>IF(AND(Sales[[#This Row],[Unit Price (₦)]]&gt;68000,Sales[[#This Row],[Quantity]]&gt;15),"Offer Discount", "No Discount")</f>
        <v>No Discount</v>
      </c>
    </row>
    <row r="337" spans="1:25" ht="15" customHeight="1" x14ac:dyDescent="0.25">
      <c r="A337" t="s">
        <v>1159</v>
      </c>
      <c r="B337" s="8">
        <v>44979</v>
      </c>
      <c r="C337" s="8">
        <v>44984</v>
      </c>
      <c r="D337" t="s">
        <v>73</v>
      </c>
      <c r="E337" t="s">
        <v>3070</v>
      </c>
      <c r="F337" t="s">
        <v>3096</v>
      </c>
      <c r="G337" t="s">
        <v>422</v>
      </c>
      <c r="H337">
        <v>8159103837</v>
      </c>
      <c r="I337" t="s">
        <v>35</v>
      </c>
      <c r="J337" t="s">
        <v>25</v>
      </c>
      <c r="K337" t="s">
        <v>44</v>
      </c>
      <c r="L337" t="s">
        <v>27</v>
      </c>
      <c r="M337" t="s">
        <v>354</v>
      </c>
      <c r="N337" t="s">
        <v>355</v>
      </c>
      <c r="O337">
        <v>17</v>
      </c>
      <c r="P337">
        <v>3199.87</v>
      </c>
      <c r="Q337">
        <v>0</v>
      </c>
      <c r="R337" s="39">
        <v>0</v>
      </c>
      <c r="S337" s="39">
        <v>54397.79</v>
      </c>
      <c r="T337" s="39">
        <v>178.09</v>
      </c>
      <c r="U337" t="str">
        <f t="shared" si="12"/>
        <v>Food &amp; Beverages</v>
      </c>
      <c r="V337">
        <f t="shared" si="13"/>
        <v>178.09</v>
      </c>
      <c r="W337" t="str">
        <f>IF(Sales[[#This Row],[Quantity]]&gt;=15, "Large","Small")</f>
        <v>Large</v>
      </c>
      <c r="X337" t="str">
        <f>IF(Sales[[#This Row],[Quantity]]&gt;=15,"Large",IF(Sales[[#This Row],[Quantity]]=14,"Medium","Small"))</f>
        <v>Large</v>
      </c>
      <c r="Y337" t="str">
        <f>IF(AND(Sales[[#This Row],[Unit Price (₦)]]&gt;68000,Sales[[#This Row],[Quantity]]&gt;15),"Offer Discount", "No Discount")</f>
        <v>No Discount</v>
      </c>
    </row>
    <row r="338" spans="1:25" ht="15" customHeight="1" x14ac:dyDescent="0.25">
      <c r="A338" t="s">
        <v>2233</v>
      </c>
      <c r="B338" s="8">
        <v>44987</v>
      </c>
      <c r="C338" s="8">
        <v>44986</v>
      </c>
      <c r="D338" t="s">
        <v>73</v>
      </c>
      <c r="E338" t="s">
        <v>3035</v>
      </c>
      <c r="F338" t="s">
        <v>3043</v>
      </c>
      <c r="G338" t="s">
        <v>2234</v>
      </c>
      <c r="H338">
        <v>8107764490</v>
      </c>
      <c r="I338" t="s">
        <v>24</v>
      </c>
      <c r="J338" t="s">
        <v>69</v>
      </c>
      <c r="K338" t="s">
        <v>26</v>
      </c>
      <c r="L338" t="s">
        <v>27</v>
      </c>
      <c r="M338" t="s">
        <v>28</v>
      </c>
      <c r="N338" t="s">
        <v>347</v>
      </c>
      <c r="O338">
        <v>19</v>
      </c>
      <c r="P338">
        <v>5867.35</v>
      </c>
      <c r="Q338">
        <v>5</v>
      </c>
      <c r="R338" s="39">
        <v>5573.98</v>
      </c>
      <c r="S338" s="39">
        <v>105905.67</v>
      </c>
      <c r="T338" s="39">
        <v>-12141.05</v>
      </c>
      <c r="U338" t="str">
        <f t="shared" si="12"/>
        <v>Food &amp; Beverages</v>
      </c>
      <c r="V338">
        <f t="shared" si="13"/>
        <v>12141.05</v>
      </c>
      <c r="W338" t="str">
        <f>IF(Sales[[#This Row],[Quantity]]&gt;=15, "Large","Small")</f>
        <v>Large</v>
      </c>
      <c r="X338" t="str">
        <f>IF(Sales[[#This Row],[Quantity]]&gt;=15,"Large",IF(Sales[[#This Row],[Quantity]]=14,"Medium","Small"))</f>
        <v>Large</v>
      </c>
      <c r="Y338" t="str">
        <f>IF(AND(Sales[[#This Row],[Unit Price (₦)]]&gt;68000,Sales[[#This Row],[Quantity]]&gt;15),"Offer Discount", "No Discount")</f>
        <v>No Discount</v>
      </c>
    </row>
    <row r="339" spans="1:25" ht="15" customHeight="1" x14ac:dyDescent="0.25">
      <c r="A339" t="s">
        <v>677</v>
      </c>
      <c r="B339" s="8">
        <v>44983</v>
      </c>
      <c r="C339" s="8">
        <v>44987</v>
      </c>
      <c r="D339" t="s">
        <v>73</v>
      </c>
      <c r="E339" t="s">
        <v>3044</v>
      </c>
      <c r="F339" t="s">
        <v>3057</v>
      </c>
      <c r="G339" t="s">
        <v>679</v>
      </c>
      <c r="H339">
        <v>9024136665</v>
      </c>
      <c r="I339" t="s">
        <v>35</v>
      </c>
      <c r="J339" t="s">
        <v>69</v>
      </c>
      <c r="K339" t="s">
        <v>70</v>
      </c>
      <c r="L339" t="s">
        <v>63</v>
      </c>
      <c r="M339" t="s">
        <v>558</v>
      </c>
      <c r="N339" t="s">
        <v>680</v>
      </c>
      <c r="O339">
        <v>9</v>
      </c>
      <c r="P339">
        <v>11709.99</v>
      </c>
      <c r="Q339">
        <v>20</v>
      </c>
      <c r="R339" s="39">
        <v>21077.98</v>
      </c>
      <c r="S339" s="39">
        <v>84311.93</v>
      </c>
      <c r="T339" s="39">
        <v>14048.81</v>
      </c>
      <c r="U339" t="str">
        <f t="shared" si="12"/>
        <v>Office Supplies</v>
      </c>
      <c r="V339">
        <f t="shared" si="13"/>
        <v>14048.81</v>
      </c>
      <c r="W339" t="str">
        <f>IF(Sales[[#This Row],[Quantity]]&gt;=15, "Large","Small")</f>
        <v>Small</v>
      </c>
      <c r="X339" t="str">
        <f>IF(Sales[[#This Row],[Quantity]]&gt;=15,"Large",IF(Sales[[#This Row],[Quantity]]=14,"Medium","Small"))</f>
        <v>Small</v>
      </c>
      <c r="Y339" t="str">
        <f>IF(AND(Sales[[#This Row],[Unit Price (₦)]]&gt;68000,Sales[[#This Row],[Quantity]]&gt;15),"Offer Discount", "No Discount")</f>
        <v>No Discount</v>
      </c>
    </row>
    <row r="340" spans="1:25" ht="15" customHeight="1" x14ac:dyDescent="0.25">
      <c r="A340" t="s">
        <v>1748</v>
      </c>
      <c r="B340" s="8">
        <v>44983</v>
      </c>
      <c r="C340" s="8">
        <v>44988</v>
      </c>
      <c r="D340" t="s">
        <v>73</v>
      </c>
      <c r="E340" t="s">
        <v>3087</v>
      </c>
      <c r="F340" t="s">
        <v>3069</v>
      </c>
      <c r="G340" t="s">
        <v>1750</v>
      </c>
      <c r="H340">
        <v>9024731991</v>
      </c>
      <c r="I340" t="s">
        <v>43</v>
      </c>
      <c r="J340" t="s">
        <v>61</v>
      </c>
      <c r="K340" t="s">
        <v>182</v>
      </c>
      <c r="L340" t="s">
        <v>27</v>
      </c>
      <c r="M340" t="s">
        <v>28</v>
      </c>
      <c r="N340" t="s">
        <v>347</v>
      </c>
      <c r="O340">
        <f>O339</f>
        <v>9</v>
      </c>
      <c r="P340">
        <v>2776.6</v>
      </c>
      <c r="Q340">
        <v>0</v>
      </c>
      <c r="R340" s="39">
        <v>0</v>
      </c>
      <c r="S340" s="39">
        <v>41649</v>
      </c>
      <c r="T340" s="39">
        <v>-4632.6099999999997</v>
      </c>
      <c r="U340" t="str">
        <f t="shared" si="12"/>
        <v>Food &amp; Beverages</v>
      </c>
      <c r="V340">
        <f t="shared" si="13"/>
        <v>4632.6099999999997</v>
      </c>
      <c r="W340" t="str">
        <f>IF(Sales[[#This Row],[Quantity]]&gt;=15, "Large","Small")</f>
        <v>Small</v>
      </c>
      <c r="X340" t="str">
        <f>IF(Sales[[#This Row],[Quantity]]&gt;=15,"Large",IF(Sales[[#This Row],[Quantity]]=14,"Medium","Small"))</f>
        <v>Small</v>
      </c>
      <c r="Y340" t="str">
        <f>IF(AND(Sales[[#This Row],[Unit Price (₦)]]&gt;68000,Sales[[#This Row],[Quantity]]&gt;15),"Offer Discount", "No Discount")</f>
        <v>No Discount</v>
      </c>
    </row>
    <row r="341" spans="1:25" ht="15" customHeight="1" x14ac:dyDescent="0.25">
      <c r="A341" t="s">
        <v>1735</v>
      </c>
      <c r="B341" s="8">
        <v>44986</v>
      </c>
      <c r="C341" s="8">
        <v>44991</v>
      </c>
      <c r="D341" t="s">
        <v>73</v>
      </c>
      <c r="E341" t="s">
        <v>3058</v>
      </c>
      <c r="F341" t="s">
        <v>3066</v>
      </c>
      <c r="G341" t="s">
        <v>366</v>
      </c>
      <c r="H341">
        <v>8134586633</v>
      </c>
      <c r="I341" t="s">
        <v>24</v>
      </c>
      <c r="J341" t="s">
        <v>51</v>
      </c>
      <c r="K341" t="s">
        <v>223</v>
      </c>
      <c r="L341" t="s">
        <v>96</v>
      </c>
      <c r="M341" t="s">
        <v>97</v>
      </c>
      <c r="N341" t="s">
        <v>1416</v>
      </c>
      <c r="O341">
        <v>13</v>
      </c>
      <c r="P341">
        <v>90525.38</v>
      </c>
      <c r="Q341">
        <v>10</v>
      </c>
      <c r="R341" s="39">
        <v>117682.99</v>
      </c>
      <c r="S341" s="39">
        <v>1059146.95</v>
      </c>
      <c r="T341" s="39">
        <v>-151258.01999999999</v>
      </c>
      <c r="U341" t="str">
        <f t="shared" si="12"/>
        <v>Technology</v>
      </c>
      <c r="V341">
        <f t="shared" si="13"/>
        <v>151258.01999999999</v>
      </c>
      <c r="W341" t="str">
        <f>IF(Sales[[#This Row],[Quantity]]&gt;=15, "Large","Small")</f>
        <v>Small</v>
      </c>
      <c r="X341" t="str">
        <f>IF(Sales[[#This Row],[Quantity]]&gt;=15,"Large",IF(Sales[[#This Row],[Quantity]]=14,"Medium","Small"))</f>
        <v>Small</v>
      </c>
      <c r="Y341" t="str">
        <f>IF(AND(Sales[[#This Row],[Unit Price (₦)]]&gt;68000,Sales[[#This Row],[Quantity]]&gt;15),"Offer Discount", "No Discount")</f>
        <v>No Discount</v>
      </c>
    </row>
    <row r="342" spans="1:25" ht="15" customHeight="1" x14ac:dyDescent="0.25">
      <c r="A342" t="s">
        <v>1190</v>
      </c>
      <c r="B342" s="8">
        <v>44992</v>
      </c>
      <c r="C342" s="8">
        <v>44995</v>
      </c>
      <c r="D342" t="s">
        <v>73</v>
      </c>
      <c r="E342" t="s">
        <v>3081</v>
      </c>
      <c r="F342" t="s">
        <v>3045</v>
      </c>
      <c r="G342" t="s">
        <v>1192</v>
      </c>
      <c r="H342">
        <v>9079880742</v>
      </c>
      <c r="I342" t="s">
        <v>43</v>
      </c>
      <c r="J342" t="s">
        <v>25</v>
      </c>
      <c r="K342" t="s">
        <v>26</v>
      </c>
      <c r="L342" t="s">
        <v>85</v>
      </c>
      <c r="M342" t="s">
        <v>486</v>
      </c>
      <c r="N342" t="s">
        <v>1193</v>
      </c>
      <c r="O342">
        <v>16</v>
      </c>
      <c r="P342">
        <v>129816.87</v>
      </c>
      <c r="Q342">
        <v>0</v>
      </c>
      <c r="R342" s="39">
        <v>0</v>
      </c>
      <c r="S342" s="39">
        <v>2077069.92</v>
      </c>
      <c r="T342" s="39">
        <v>273189.27</v>
      </c>
      <c r="U342" t="str">
        <f t="shared" si="12"/>
        <v>Furniture</v>
      </c>
      <c r="V342">
        <f t="shared" si="13"/>
        <v>273189.27</v>
      </c>
      <c r="W342" t="str">
        <f>IF(Sales[[#This Row],[Quantity]]&gt;=15, "Large","Small")</f>
        <v>Large</v>
      </c>
      <c r="X342" t="str">
        <f>IF(Sales[[#This Row],[Quantity]]&gt;=15,"Large",IF(Sales[[#This Row],[Quantity]]=14,"Medium","Small"))</f>
        <v>Large</v>
      </c>
      <c r="Y342" t="str">
        <f>IF(AND(Sales[[#This Row],[Unit Price (₦)]]&gt;68000,Sales[[#This Row],[Quantity]]&gt;15),"Offer Discount", "No Discount")</f>
        <v>Offer Discount</v>
      </c>
    </row>
    <row r="343" spans="1:25" ht="15" customHeight="1" x14ac:dyDescent="0.25">
      <c r="A343" t="s">
        <v>2897</v>
      </c>
      <c r="B343" s="8">
        <v>45004</v>
      </c>
      <c r="C343" s="8">
        <v>45007</v>
      </c>
      <c r="D343" t="s">
        <v>73</v>
      </c>
      <c r="E343" t="s">
        <v>3097</v>
      </c>
      <c r="F343" t="s">
        <v>3052</v>
      </c>
      <c r="G343" t="s">
        <v>2899</v>
      </c>
      <c r="H343">
        <v>9056286061</v>
      </c>
      <c r="I343" t="s">
        <v>35</v>
      </c>
      <c r="J343" t="s">
        <v>25</v>
      </c>
      <c r="K343" t="s">
        <v>44</v>
      </c>
      <c r="L343" t="s">
        <v>96</v>
      </c>
      <c r="M343" t="s">
        <v>189</v>
      </c>
      <c r="N343" t="s">
        <v>190</v>
      </c>
      <c r="O343">
        <v>4</v>
      </c>
      <c r="P343">
        <v>365916.67</v>
      </c>
      <c r="Q343">
        <v>0</v>
      </c>
      <c r="R343" s="39">
        <v>0</v>
      </c>
      <c r="S343" s="39">
        <v>1463666.68</v>
      </c>
      <c r="T343" s="39">
        <v>-136494.32999999999</v>
      </c>
      <c r="U343" t="str">
        <f t="shared" si="12"/>
        <v>Technology</v>
      </c>
      <c r="V343">
        <f t="shared" si="13"/>
        <v>136494.32999999999</v>
      </c>
      <c r="W343" t="str">
        <f>IF(Sales[[#This Row],[Quantity]]&gt;=15, "Large","Small")</f>
        <v>Small</v>
      </c>
      <c r="X343" t="str">
        <f>IF(Sales[[#This Row],[Quantity]]&gt;=15,"Large",IF(Sales[[#This Row],[Quantity]]=14,"Medium","Small"))</f>
        <v>Small</v>
      </c>
      <c r="Y343" t="str">
        <f>IF(AND(Sales[[#This Row],[Unit Price (₦)]]&gt;68000,Sales[[#This Row],[Quantity]]&gt;15),"Offer Discount", "No Discount")</f>
        <v>No Discount</v>
      </c>
    </row>
    <row r="344" spans="1:25" ht="15" customHeight="1" x14ac:dyDescent="0.25">
      <c r="A344" t="s">
        <v>2588</v>
      </c>
      <c r="B344" s="8">
        <v>45006</v>
      </c>
      <c r="C344" s="8">
        <v>45009</v>
      </c>
      <c r="D344" t="s">
        <v>73</v>
      </c>
      <c r="E344" t="s">
        <v>3047</v>
      </c>
      <c r="F344" t="s">
        <v>3045</v>
      </c>
      <c r="G344" t="s">
        <v>2590</v>
      </c>
      <c r="H344">
        <v>8105544781</v>
      </c>
      <c r="I344" t="s">
        <v>24</v>
      </c>
      <c r="J344" t="s">
        <v>61</v>
      </c>
      <c r="K344" t="s">
        <v>62</v>
      </c>
      <c r="L344" t="s">
        <v>63</v>
      </c>
      <c r="M344" t="s">
        <v>54</v>
      </c>
      <c r="N344" t="s">
        <v>1039</v>
      </c>
      <c r="O344">
        <v>6</v>
      </c>
      <c r="P344">
        <v>12684.4</v>
      </c>
      <c r="Q344">
        <v>10</v>
      </c>
      <c r="R344" s="39">
        <v>7610.64</v>
      </c>
      <c r="S344" s="39">
        <v>68495.759999999995</v>
      </c>
      <c r="T344" s="39">
        <v>23827.41</v>
      </c>
      <c r="U344" t="str">
        <f t="shared" si="12"/>
        <v>Office Supplies</v>
      </c>
      <c r="V344">
        <f t="shared" si="13"/>
        <v>23827.41</v>
      </c>
      <c r="W344" t="str">
        <f>IF(Sales[[#This Row],[Quantity]]&gt;=15, "Large","Small")</f>
        <v>Small</v>
      </c>
      <c r="X344" t="str">
        <f>IF(Sales[[#This Row],[Quantity]]&gt;=15,"Large",IF(Sales[[#This Row],[Quantity]]=14,"Medium","Small"))</f>
        <v>Small</v>
      </c>
      <c r="Y344" t="str">
        <f>IF(AND(Sales[[#This Row],[Unit Price (₦)]]&gt;68000,Sales[[#This Row],[Quantity]]&gt;15),"Offer Discount", "No Discount")</f>
        <v>No Discount</v>
      </c>
    </row>
    <row r="345" spans="1:25" ht="15" customHeight="1" x14ac:dyDescent="0.25">
      <c r="A345" t="s">
        <v>569</v>
      </c>
      <c r="B345" s="8">
        <v>45010</v>
      </c>
      <c r="C345" s="8">
        <v>45013</v>
      </c>
      <c r="D345" t="s">
        <v>73</v>
      </c>
      <c r="E345" t="s">
        <v>3055</v>
      </c>
      <c r="F345" t="s">
        <v>3054</v>
      </c>
      <c r="G345" t="s">
        <v>571</v>
      </c>
      <c r="H345">
        <v>9017268384</v>
      </c>
      <c r="I345" t="s">
        <v>24</v>
      </c>
      <c r="J345" t="s">
        <v>51</v>
      </c>
      <c r="K345" t="s">
        <v>223</v>
      </c>
      <c r="L345" t="s">
        <v>108</v>
      </c>
      <c r="M345" t="s">
        <v>189</v>
      </c>
      <c r="N345" t="s">
        <v>478</v>
      </c>
      <c r="O345">
        <v>7</v>
      </c>
      <c r="P345">
        <v>34566.07</v>
      </c>
      <c r="Q345">
        <v>5</v>
      </c>
      <c r="R345" s="39">
        <v>12098.12</v>
      </c>
      <c r="S345" s="39">
        <v>229864.37</v>
      </c>
      <c r="T345" s="39">
        <v>59352.160000000003</v>
      </c>
      <c r="U345" t="str">
        <f t="shared" si="12"/>
        <v>Clothing</v>
      </c>
      <c r="V345">
        <f t="shared" si="13"/>
        <v>59352.160000000003</v>
      </c>
      <c r="W345" t="str">
        <f>IF(Sales[[#This Row],[Quantity]]&gt;=15, "Large","Small")</f>
        <v>Small</v>
      </c>
      <c r="X345" t="str">
        <f>IF(Sales[[#This Row],[Quantity]]&gt;=15,"Large",IF(Sales[[#This Row],[Quantity]]=14,"Medium","Small"))</f>
        <v>Small</v>
      </c>
      <c r="Y345" t="str">
        <f>IF(AND(Sales[[#This Row],[Unit Price (₦)]]&gt;68000,Sales[[#This Row],[Quantity]]&gt;15),"Offer Discount", "No Discount")</f>
        <v>No Discount</v>
      </c>
    </row>
    <row r="346" spans="1:25" ht="15" customHeight="1" x14ac:dyDescent="0.25">
      <c r="A346" t="s">
        <v>2719</v>
      </c>
      <c r="B346" s="8">
        <v>45010</v>
      </c>
      <c r="C346" s="8">
        <v>45015</v>
      </c>
      <c r="D346" t="s">
        <v>73</v>
      </c>
      <c r="E346" t="s">
        <v>3070</v>
      </c>
      <c r="F346" t="s">
        <v>3088</v>
      </c>
      <c r="G346" t="s">
        <v>2721</v>
      </c>
      <c r="H346">
        <v>8031608900</v>
      </c>
      <c r="I346" t="s">
        <v>35</v>
      </c>
      <c r="J346" t="s">
        <v>69</v>
      </c>
      <c r="K346" t="s">
        <v>316</v>
      </c>
      <c r="L346" t="s">
        <v>108</v>
      </c>
      <c r="M346" t="s">
        <v>38</v>
      </c>
      <c r="N346" t="s">
        <v>519</v>
      </c>
      <c r="O346">
        <v>3</v>
      </c>
      <c r="P346">
        <v>34710.54</v>
      </c>
      <c r="Q346">
        <v>0</v>
      </c>
      <c r="R346" s="39">
        <v>0</v>
      </c>
      <c r="S346" s="39">
        <v>104131.62</v>
      </c>
      <c r="T346" s="39">
        <v>-9848.14</v>
      </c>
      <c r="U346" t="str">
        <f t="shared" si="12"/>
        <v>Clothing</v>
      </c>
      <c r="V346">
        <f t="shared" si="13"/>
        <v>9848.14</v>
      </c>
      <c r="W346" t="str">
        <f>IF(Sales[[#This Row],[Quantity]]&gt;=15, "Large","Small")</f>
        <v>Small</v>
      </c>
      <c r="X346" t="str">
        <f>IF(Sales[[#This Row],[Quantity]]&gt;=15,"Large",IF(Sales[[#This Row],[Quantity]]=14,"Medium","Small"))</f>
        <v>Small</v>
      </c>
      <c r="Y346" t="str">
        <f>IF(AND(Sales[[#This Row],[Unit Price (₦)]]&gt;68000,Sales[[#This Row],[Quantity]]&gt;15),"Offer Discount", "No Discount")</f>
        <v>No Discount</v>
      </c>
    </row>
    <row r="347" spans="1:25" ht="15" customHeight="1" x14ac:dyDescent="0.25">
      <c r="A347" t="s">
        <v>858</v>
      </c>
      <c r="B347" s="8">
        <v>45015</v>
      </c>
      <c r="C347" s="8">
        <v>45020</v>
      </c>
      <c r="D347" t="s">
        <v>73</v>
      </c>
      <c r="E347" t="s">
        <v>3067</v>
      </c>
      <c r="F347" t="s">
        <v>3069</v>
      </c>
      <c r="G347" t="s">
        <v>3126</v>
      </c>
      <c r="H347">
        <v>8167870390</v>
      </c>
      <c r="I347" t="s">
        <v>35</v>
      </c>
      <c r="J347" t="s">
        <v>69</v>
      </c>
      <c r="K347" t="s">
        <v>307</v>
      </c>
      <c r="L347" t="s">
        <v>27</v>
      </c>
      <c r="M347" t="s">
        <v>79</v>
      </c>
      <c r="N347" t="s">
        <v>145</v>
      </c>
      <c r="O347">
        <v>5</v>
      </c>
      <c r="P347">
        <v>3950.55</v>
      </c>
      <c r="Q347">
        <v>0</v>
      </c>
      <c r="R347" s="39">
        <v>0</v>
      </c>
      <c r="S347" s="39">
        <v>19752.75</v>
      </c>
      <c r="T347" s="39">
        <v>4161.6099999999997</v>
      </c>
      <c r="U347" t="str">
        <f t="shared" si="12"/>
        <v>Food &amp; Beverages</v>
      </c>
      <c r="V347">
        <f t="shared" si="13"/>
        <v>4161.6099999999997</v>
      </c>
      <c r="W347" t="str">
        <f>IF(Sales[[#This Row],[Quantity]]&gt;=15, "Large","Small")</f>
        <v>Small</v>
      </c>
      <c r="X347" t="str">
        <f>IF(Sales[[#This Row],[Quantity]]&gt;=15,"Large",IF(Sales[[#This Row],[Quantity]]=14,"Medium","Small"))</f>
        <v>Small</v>
      </c>
      <c r="Y347" t="str">
        <f>IF(AND(Sales[[#This Row],[Unit Price (₦)]]&gt;68000,Sales[[#This Row],[Quantity]]&gt;15),"Offer Discount", "No Discount")</f>
        <v>No Discount</v>
      </c>
    </row>
    <row r="348" spans="1:25" ht="15" customHeight="1" x14ac:dyDescent="0.25">
      <c r="A348" t="s">
        <v>1801</v>
      </c>
      <c r="B348" s="8">
        <v>45019</v>
      </c>
      <c r="C348" s="8">
        <v>45023</v>
      </c>
      <c r="D348" t="s">
        <v>73</v>
      </c>
      <c r="E348" t="s">
        <v>3056</v>
      </c>
      <c r="F348" t="s">
        <v>3064</v>
      </c>
      <c r="G348" t="s">
        <v>1803</v>
      </c>
      <c r="H348">
        <v>8062495511</v>
      </c>
      <c r="I348" t="s">
        <v>43</v>
      </c>
      <c r="J348" t="s">
        <v>69</v>
      </c>
      <c r="K348" t="s">
        <v>155</v>
      </c>
      <c r="L348" t="s">
        <v>63</v>
      </c>
      <c r="M348" t="s">
        <v>469</v>
      </c>
      <c r="N348" t="s">
        <v>1099</v>
      </c>
      <c r="O348">
        <v>4</v>
      </c>
      <c r="P348">
        <v>23461.66</v>
      </c>
      <c r="Q348">
        <v>10</v>
      </c>
      <c r="R348" s="39">
        <v>9384.66</v>
      </c>
      <c r="S348" s="39">
        <v>84461.98</v>
      </c>
      <c r="T348" s="39">
        <v>-6212.14</v>
      </c>
      <c r="U348" t="str">
        <f t="shared" si="12"/>
        <v>Office Supplies</v>
      </c>
      <c r="V348">
        <f t="shared" si="13"/>
        <v>6212.14</v>
      </c>
      <c r="W348" t="str">
        <f>IF(Sales[[#This Row],[Quantity]]&gt;=15, "Large","Small")</f>
        <v>Small</v>
      </c>
      <c r="X348" t="str">
        <f>IF(Sales[[#This Row],[Quantity]]&gt;=15,"Large",IF(Sales[[#This Row],[Quantity]]=14,"Medium","Small"))</f>
        <v>Small</v>
      </c>
      <c r="Y348" t="str">
        <f>IF(AND(Sales[[#This Row],[Unit Price (₦)]]&gt;68000,Sales[[#This Row],[Quantity]]&gt;15),"Offer Discount", "No Discount")</f>
        <v>No Discount</v>
      </c>
    </row>
    <row r="349" spans="1:25" ht="15" customHeight="1" x14ac:dyDescent="0.25">
      <c r="A349" t="s">
        <v>2428</v>
      </c>
      <c r="B349" s="8">
        <v>45025</v>
      </c>
      <c r="C349" s="8">
        <v>45029</v>
      </c>
      <c r="D349" t="s">
        <v>73</v>
      </c>
      <c r="E349" t="s">
        <v>3065</v>
      </c>
      <c r="F349" t="s">
        <v>3034</v>
      </c>
      <c r="G349" t="s">
        <v>2429</v>
      </c>
      <c r="H349">
        <v>7038753576</v>
      </c>
      <c r="I349" t="s">
        <v>35</v>
      </c>
      <c r="J349" t="s">
        <v>51</v>
      </c>
      <c r="K349" t="s">
        <v>227</v>
      </c>
      <c r="L349" t="s">
        <v>27</v>
      </c>
      <c r="M349" t="s">
        <v>173</v>
      </c>
      <c r="N349" t="s">
        <v>1795</v>
      </c>
      <c r="O349">
        <v>9</v>
      </c>
      <c r="P349">
        <v>4744.1899999999996</v>
      </c>
      <c r="Q349">
        <v>0</v>
      </c>
      <c r="R349" s="39">
        <v>0</v>
      </c>
      <c r="S349" s="39">
        <v>42697.71</v>
      </c>
      <c r="T349" s="39">
        <v>1996.82</v>
      </c>
      <c r="U349" t="str">
        <f t="shared" si="12"/>
        <v>Food &amp; Beverages</v>
      </c>
      <c r="V349">
        <f t="shared" si="13"/>
        <v>1996.82</v>
      </c>
      <c r="W349" t="str">
        <f>IF(Sales[[#This Row],[Quantity]]&gt;=15, "Large","Small")</f>
        <v>Small</v>
      </c>
      <c r="X349" t="str">
        <f>IF(Sales[[#This Row],[Quantity]]&gt;=15,"Large",IF(Sales[[#This Row],[Quantity]]=14,"Medium","Small"))</f>
        <v>Small</v>
      </c>
      <c r="Y349" t="str">
        <f>IF(AND(Sales[[#This Row],[Unit Price (₦)]]&gt;68000,Sales[[#This Row],[Quantity]]&gt;15),"Offer Discount", "No Discount")</f>
        <v>No Discount</v>
      </c>
    </row>
    <row r="350" spans="1:25" ht="15" customHeight="1" x14ac:dyDescent="0.25">
      <c r="A350" t="s">
        <v>1422</v>
      </c>
      <c r="B350" s="8">
        <v>45026</v>
      </c>
      <c r="C350" s="8">
        <v>45030</v>
      </c>
      <c r="D350" t="s">
        <v>73</v>
      </c>
      <c r="E350" t="s">
        <v>3033</v>
      </c>
      <c r="F350" t="s">
        <v>3052</v>
      </c>
      <c r="G350" t="s">
        <v>1423</v>
      </c>
      <c r="H350">
        <v>8068127046</v>
      </c>
      <c r="I350" t="s">
        <v>35</v>
      </c>
      <c r="J350" t="s">
        <v>25</v>
      </c>
      <c r="K350" t="s">
        <v>126</v>
      </c>
      <c r="L350" t="s">
        <v>96</v>
      </c>
      <c r="M350" t="s">
        <v>120</v>
      </c>
      <c r="N350" t="s">
        <v>1307</v>
      </c>
      <c r="O350">
        <v>14</v>
      </c>
      <c r="P350">
        <v>351991.15</v>
      </c>
      <c r="Q350">
        <v>0</v>
      </c>
      <c r="R350" s="39">
        <v>0</v>
      </c>
      <c r="S350" s="39">
        <v>4927876.0999999996</v>
      </c>
      <c r="T350" s="39">
        <v>-158625.4</v>
      </c>
      <c r="U350" t="str">
        <f t="shared" si="12"/>
        <v>Technology</v>
      </c>
      <c r="V350">
        <f t="shared" si="13"/>
        <v>158625.4</v>
      </c>
      <c r="W350" t="str">
        <f>IF(Sales[[#This Row],[Quantity]]&gt;=15, "Large","Small")</f>
        <v>Small</v>
      </c>
      <c r="X350" t="str">
        <f>IF(Sales[[#This Row],[Quantity]]&gt;=15,"Large",IF(Sales[[#This Row],[Quantity]]=14,"Medium","Small"))</f>
        <v>Medium</v>
      </c>
      <c r="Y350" t="str">
        <f>IF(AND(Sales[[#This Row],[Unit Price (₦)]]&gt;68000,Sales[[#This Row],[Quantity]]&gt;15),"Offer Discount", "No Discount")</f>
        <v>No Discount</v>
      </c>
    </row>
    <row r="351" spans="1:25" ht="15" customHeight="1" x14ac:dyDescent="0.25">
      <c r="A351" t="s">
        <v>1880</v>
      </c>
      <c r="B351" s="8">
        <v>45031</v>
      </c>
      <c r="C351" s="8">
        <v>45034</v>
      </c>
      <c r="D351" t="s">
        <v>73</v>
      </c>
      <c r="E351" t="s">
        <v>3033</v>
      </c>
      <c r="F351" t="s">
        <v>3045</v>
      </c>
      <c r="G351" t="s">
        <v>1882</v>
      </c>
      <c r="H351">
        <v>8164224201</v>
      </c>
      <c r="I351" t="s">
        <v>24</v>
      </c>
      <c r="J351" t="s">
        <v>61</v>
      </c>
      <c r="K351" t="s">
        <v>84</v>
      </c>
      <c r="L351" t="s">
        <v>85</v>
      </c>
      <c r="M351" t="s">
        <v>486</v>
      </c>
      <c r="N351" t="s">
        <v>487</v>
      </c>
      <c r="O351">
        <v>3</v>
      </c>
      <c r="P351">
        <v>114032.39</v>
      </c>
      <c r="Q351">
        <v>0</v>
      </c>
      <c r="R351" s="39">
        <v>0</v>
      </c>
      <c r="S351" s="39">
        <v>342097.17</v>
      </c>
      <c r="T351" s="39">
        <v>26755.96</v>
      </c>
      <c r="U351" t="str">
        <f t="shared" si="12"/>
        <v>Furniture</v>
      </c>
      <c r="V351">
        <f t="shared" si="13"/>
        <v>26755.96</v>
      </c>
      <c r="W351" t="str">
        <f>IF(Sales[[#This Row],[Quantity]]&gt;=15, "Large","Small")</f>
        <v>Small</v>
      </c>
      <c r="X351" t="str">
        <f>IF(Sales[[#This Row],[Quantity]]&gt;=15,"Large",IF(Sales[[#This Row],[Quantity]]=14,"Medium","Small"))</f>
        <v>Small</v>
      </c>
      <c r="Y351" t="str">
        <f>IF(AND(Sales[[#This Row],[Unit Price (₦)]]&gt;68000,Sales[[#This Row],[Quantity]]&gt;15),"Offer Discount", "No Discount")</f>
        <v>No Discount</v>
      </c>
    </row>
    <row r="352" spans="1:25" ht="15" customHeight="1" x14ac:dyDescent="0.25">
      <c r="A352" t="s">
        <v>2922</v>
      </c>
      <c r="B352" s="8">
        <v>45040</v>
      </c>
      <c r="C352" s="8">
        <v>45045</v>
      </c>
      <c r="D352" t="s">
        <v>73</v>
      </c>
      <c r="E352" t="s">
        <v>3073</v>
      </c>
      <c r="F352" t="s">
        <v>3088</v>
      </c>
      <c r="G352" t="s">
        <v>2924</v>
      </c>
      <c r="H352">
        <v>8032719240</v>
      </c>
      <c r="I352" t="s">
        <v>35</v>
      </c>
      <c r="J352" t="s">
        <v>61</v>
      </c>
      <c r="K352" t="s">
        <v>204</v>
      </c>
      <c r="L352" t="s">
        <v>63</v>
      </c>
      <c r="M352" t="s">
        <v>64</v>
      </c>
      <c r="N352" t="s">
        <v>815</v>
      </c>
      <c r="O352">
        <v>2</v>
      </c>
      <c r="P352">
        <v>15339.21</v>
      </c>
      <c r="Q352">
        <v>25</v>
      </c>
      <c r="R352" s="39">
        <v>7669.6</v>
      </c>
      <c r="S352" s="39">
        <v>23008.82</v>
      </c>
      <c r="T352" s="39">
        <v>1632.38</v>
      </c>
      <c r="U352" t="str">
        <f t="shared" si="12"/>
        <v>Office Supplies</v>
      </c>
      <c r="V352">
        <f t="shared" si="13"/>
        <v>1632.38</v>
      </c>
      <c r="W352" t="str">
        <f>IF(Sales[[#This Row],[Quantity]]&gt;=15, "Large","Small")</f>
        <v>Small</v>
      </c>
      <c r="X352" t="str">
        <f>IF(Sales[[#This Row],[Quantity]]&gt;=15,"Large",IF(Sales[[#This Row],[Quantity]]=14,"Medium","Small"))</f>
        <v>Small</v>
      </c>
      <c r="Y352" t="str">
        <f>IF(AND(Sales[[#This Row],[Unit Price (₦)]]&gt;68000,Sales[[#This Row],[Quantity]]&gt;15),"Offer Discount", "No Discount")</f>
        <v>No Discount</v>
      </c>
    </row>
    <row r="353" spans="1:25" ht="15" customHeight="1" x14ac:dyDescent="0.25">
      <c r="A353" t="s">
        <v>151</v>
      </c>
      <c r="B353" s="8">
        <v>45046</v>
      </c>
      <c r="C353" s="8">
        <v>45049</v>
      </c>
      <c r="D353" t="s">
        <v>73</v>
      </c>
      <c r="E353" t="s">
        <v>3065</v>
      </c>
      <c r="F353" t="s">
        <v>3066</v>
      </c>
      <c r="G353" t="s">
        <v>153</v>
      </c>
      <c r="H353">
        <v>8106573147</v>
      </c>
      <c r="I353" t="s">
        <v>24</v>
      </c>
      <c r="J353" t="s">
        <v>69</v>
      </c>
      <c r="K353" t="s">
        <v>155</v>
      </c>
      <c r="L353" t="s">
        <v>156</v>
      </c>
      <c r="M353" t="s">
        <v>109</v>
      </c>
      <c r="N353" t="s">
        <v>157</v>
      </c>
      <c r="O353">
        <v>4</v>
      </c>
      <c r="P353">
        <v>8845.51</v>
      </c>
      <c r="Q353">
        <v>15</v>
      </c>
      <c r="R353" s="39">
        <v>5307.31</v>
      </c>
      <c r="S353" s="39">
        <v>30074.73</v>
      </c>
      <c r="T353" s="39">
        <v>11226.9</v>
      </c>
      <c r="U353" t="str">
        <f t="shared" si="12"/>
        <v>Clothing</v>
      </c>
      <c r="V353">
        <f t="shared" si="13"/>
        <v>11226.9</v>
      </c>
      <c r="W353" t="str">
        <f>IF(Sales[[#This Row],[Quantity]]&gt;=15, "Large","Small")</f>
        <v>Small</v>
      </c>
      <c r="X353" t="str">
        <f>IF(Sales[[#This Row],[Quantity]]&gt;=15,"Large",IF(Sales[[#This Row],[Quantity]]=14,"Medium","Small"))</f>
        <v>Small</v>
      </c>
      <c r="Y353" t="str">
        <f>IF(AND(Sales[[#This Row],[Unit Price (₦)]]&gt;68000,Sales[[#This Row],[Quantity]]&gt;15),"Offer Discount", "No Discount")</f>
        <v>No Discount</v>
      </c>
    </row>
    <row r="354" spans="1:25" ht="15" customHeight="1" x14ac:dyDescent="0.25">
      <c r="A354" t="s">
        <v>794</v>
      </c>
      <c r="B354" s="8">
        <v>45055</v>
      </c>
      <c r="C354" s="8">
        <v>45059</v>
      </c>
      <c r="D354" t="s">
        <v>73</v>
      </c>
      <c r="E354" t="s">
        <v>3037</v>
      </c>
      <c r="F354" t="s">
        <v>3042</v>
      </c>
      <c r="G354" t="s">
        <v>796</v>
      </c>
      <c r="H354">
        <v>9024681115</v>
      </c>
      <c r="I354" t="s">
        <v>35</v>
      </c>
      <c r="J354" t="s">
        <v>61</v>
      </c>
      <c r="K354" t="s">
        <v>62</v>
      </c>
      <c r="L354" t="s">
        <v>27</v>
      </c>
      <c r="M354" t="s">
        <v>28</v>
      </c>
      <c r="N354" t="s">
        <v>71</v>
      </c>
      <c r="O354">
        <v>6</v>
      </c>
      <c r="P354">
        <v>7501.09</v>
      </c>
      <c r="Q354">
        <v>0</v>
      </c>
      <c r="R354" s="39">
        <v>0</v>
      </c>
      <c r="S354" s="39">
        <v>30074.73</v>
      </c>
      <c r="T354" s="39">
        <v>-363.17</v>
      </c>
      <c r="U354" t="str">
        <f t="shared" si="12"/>
        <v>Food &amp; Beverages</v>
      </c>
      <c r="V354">
        <f t="shared" si="13"/>
        <v>363.17</v>
      </c>
      <c r="W354" t="str">
        <f>IF(Sales[[#This Row],[Quantity]]&gt;=15, "Large","Small")</f>
        <v>Small</v>
      </c>
      <c r="X354" t="str">
        <f>IF(Sales[[#This Row],[Quantity]]&gt;=15,"Large",IF(Sales[[#This Row],[Quantity]]=14,"Medium","Small"))</f>
        <v>Small</v>
      </c>
      <c r="Y354" t="str">
        <f>IF(AND(Sales[[#This Row],[Unit Price (₦)]]&gt;68000,Sales[[#This Row],[Quantity]]&gt;15),"Offer Discount", "No Discount")</f>
        <v>No Discount</v>
      </c>
    </row>
    <row r="355" spans="1:25" ht="15" customHeight="1" x14ac:dyDescent="0.25">
      <c r="A355" t="s">
        <v>2941</v>
      </c>
      <c r="B355" s="8">
        <v>45054</v>
      </c>
      <c r="C355" s="8">
        <v>45059</v>
      </c>
      <c r="D355" t="s">
        <v>73</v>
      </c>
      <c r="E355" t="s">
        <v>3093</v>
      </c>
      <c r="F355" t="s">
        <v>3086</v>
      </c>
      <c r="G355" t="s">
        <v>2943</v>
      </c>
      <c r="H355">
        <v>9071680518</v>
      </c>
      <c r="I355" t="s">
        <v>24</v>
      </c>
      <c r="J355" t="s">
        <v>51</v>
      </c>
      <c r="K355" t="s">
        <v>316</v>
      </c>
      <c r="L355" t="s">
        <v>96</v>
      </c>
      <c r="M355" t="s">
        <v>385</v>
      </c>
      <c r="N355" t="s">
        <v>942</v>
      </c>
      <c r="O355">
        <v>1</v>
      </c>
      <c r="P355">
        <v>342264.79</v>
      </c>
      <c r="Q355">
        <v>0</v>
      </c>
      <c r="R355" s="39">
        <v>0</v>
      </c>
      <c r="S355" s="39">
        <v>342264.79</v>
      </c>
      <c r="T355" s="39">
        <v>85781.759999999995</v>
      </c>
      <c r="U355" t="str">
        <f t="shared" si="12"/>
        <v>Technology</v>
      </c>
      <c r="V355">
        <f t="shared" si="13"/>
        <v>85781.759999999995</v>
      </c>
      <c r="W355" t="str">
        <f>IF(Sales[[#This Row],[Quantity]]&gt;=15, "Large","Small")</f>
        <v>Small</v>
      </c>
      <c r="X355" t="str">
        <f>IF(Sales[[#This Row],[Quantity]]&gt;=15,"Large",IF(Sales[[#This Row],[Quantity]]=14,"Medium","Small"))</f>
        <v>Small</v>
      </c>
      <c r="Y355" t="str">
        <f>IF(AND(Sales[[#This Row],[Unit Price (₦)]]&gt;68000,Sales[[#This Row],[Quantity]]&gt;15),"Offer Discount", "No Discount")</f>
        <v>No Discount</v>
      </c>
    </row>
    <row r="356" spans="1:25" ht="15" customHeight="1" x14ac:dyDescent="0.25">
      <c r="A356" t="s">
        <v>547</v>
      </c>
      <c r="B356" s="8">
        <v>45058</v>
      </c>
      <c r="C356" s="8">
        <v>45061</v>
      </c>
      <c r="D356" t="s">
        <v>73</v>
      </c>
      <c r="E356" t="s">
        <v>3070</v>
      </c>
      <c r="F356" t="s">
        <v>3043</v>
      </c>
      <c r="G356" t="s">
        <v>550</v>
      </c>
      <c r="H356">
        <v>8032681042</v>
      </c>
      <c r="I356" t="s">
        <v>35</v>
      </c>
      <c r="J356" t="s">
        <v>51</v>
      </c>
      <c r="K356" t="s">
        <v>131</v>
      </c>
      <c r="L356" t="s">
        <v>108</v>
      </c>
      <c r="M356" t="s">
        <v>38</v>
      </c>
      <c r="N356" t="s">
        <v>213</v>
      </c>
      <c r="O356">
        <v>5</v>
      </c>
      <c r="P356">
        <v>6323.43</v>
      </c>
      <c r="Q356">
        <v>0</v>
      </c>
      <c r="R356" s="39">
        <v>0</v>
      </c>
      <c r="S356" s="39">
        <v>31617.15</v>
      </c>
      <c r="T356" s="39">
        <v>13554.63</v>
      </c>
      <c r="U356" t="str">
        <f t="shared" si="12"/>
        <v>Clothing</v>
      </c>
      <c r="V356">
        <f t="shared" si="13"/>
        <v>13554.63</v>
      </c>
      <c r="W356" t="str">
        <f>IF(Sales[[#This Row],[Quantity]]&gt;=15, "Large","Small")</f>
        <v>Small</v>
      </c>
      <c r="X356" t="str">
        <f>IF(Sales[[#This Row],[Quantity]]&gt;=15,"Large",IF(Sales[[#This Row],[Quantity]]=14,"Medium","Small"))</f>
        <v>Small</v>
      </c>
      <c r="Y356" t="str">
        <f>IF(AND(Sales[[#This Row],[Unit Price (₦)]]&gt;68000,Sales[[#This Row],[Quantity]]&gt;15),"Offer Discount", "No Discount")</f>
        <v>No Discount</v>
      </c>
    </row>
    <row r="357" spans="1:25" ht="15" customHeight="1" x14ac:dyDescent="0.25">
      <c r="A357" t="s">
        <v>540</v>
      </c>
      <c r="B357" s="8">
        <v>45066</v>
      </c>
      <c r="C357" s="8">
        <v>45070</v>
      </c>
      <c r="D357" t="s">
        <v>73</v>
      </c>
      <c r="E357" t="s">
        <v>3060</v>
      </c>
      <c r="F357" t="s">
        <v>3064</v>
      </c>
      <c r="G357" t="s">
        <v>542</v>
      </c>
      <c r="H357">
        <v>8165848684</v>
      </c>
      <c r="I357" t="s">
        <v>43</v>
      </c>
      <c r="J357" t="s">
        <v>51</v>
      </c>
      <c r="K357" t="s">
        <v>227</v>
      </c>
      <c r="L357" t="s">
        <v>85</v>
      </c>
      <c r="M357" t="s">
        <v>486</v>
      </c>
      <c r="N357" t="s">
        <v>543</v>
      </c>
      <c r="O357">
        <v>18</v>
      </c>
      <c r="P357">
        <v>90526.19</v>
      </c>
      <c r="Q357">
        <v>10</v>
      </c>
      <c r="R357" s="39">
        <v>162947.14000000001</v>
      </c>
      <c r="S357" s="39">
        <v>1466524.28</v>
      </c>
      <c r="T357" s="39">
        <v>33251.42</v>
      </c>
      <c r="U357" t="str">
        <f t="shared" si="12"/>
        <v>Furniture</v>
      </c>
      <c r="V357">
        <f t="shared" si="13"/>
        <v>33251.42</v>
      </c>
      <c r="W357" t="str">
        <f>IF(Sales[[#This Row],[Quantity]]&gt;=15, "Large","Small")</f>
        <v>Large</v>
      </c>
      <c r="X357" t="str">
        <f>IF(Sales[[#This Row],[Quantity]]&gt;=15,"Large",IF(Sales[[#This Row],[Quantity]]=14,"Medium","Small"))</f>
        <v>Large</v>
      </c>
      <c r="Y357" t="str">
        <f>IF(AND(Sales[[#This Row],[Unit Price (₦)]]&gt;68000,Sales[[#This Row],[Quantity]]&gt;15),"Offer Discount", "No Discount")</f>
        <v>Offer Discount</v>
      </c>
    </row>
    <row r="358" spans="1:25" ht="15" customHeight="1" x14ac:dyDescent="0.25">
      <c r="A358" t="s">
        <v>1755</v>
      </c>
      <c r="B358" s="8">
        <v>45071</v>
      </c>
      <c r="C358" s="8">
        <v>45075</v>
      </c>
      <c r="D358" t="s">
        <v>73</v>
      </c>
      <c r="E358" t="s">
        <v>3076</v>
      </c>
      <c r="F358" t="s">
        <v>3057</v>
      </c>
      <c r="G358" t="s">
        <v>1757</v>
      </c>
      <c r="H358">
        <v>9074378948</v>
      </c>
      <c r="I358" t="s">
        <v>43</v>
      </c>
      <c r="J358" t="s">
        <v>61</v>
      </c>
      <c r="K358" t="s">
        <v>62</v>
      </c>
      <c r="L358" t="s">
        <v>63</v>
      </c>
      <c r="M358" t="s">
        <v>194</v>
      </c>
      <c r="N358" t="s">
        <v>257</v>
      </c>
      <c r="O358">
        <v>12</v>
      </c>
      <c r="P358">
        <v>2460.39</v>
      </c>
      <c r="Q358">
        <v>15</v>
      </c>
      <c r="R358" s="39">
        <v>4428.7</v>
      </c>
      <c r="S358" s="39">
        <v>25095.98</v>
      </c>
      <c r="T358" s="39">
        <v>1923.12</v>
      </c>
      <c r="U358" t="str">
        <f t="shared" si="12"/>
        <v>Office Supplies</v>
      </c>
      <c r="V358">
        <f t="shared" si="13"/>
        <v>1923.12</v>
      </c>
      <c r="W358" t="str">
        <f>IF(Sales[[#This Row],[Quantity]]&gt;=15, "Large","Small")</f>
        <v>Small</v>
      </c>
      <c r="X358" t="str">
        <f>IF(Sales[[#This Row],[Quantity]]&gt;=15,"Large",IF(Sales[[#This Row],[Quantity]]=14,"Medium","Small"))</f>
        <v>Small</v>
      </c>
      <c r="Y358" t="str">
        <f>IF(AND(Sales[[#This Row],[Unit Price (₦)]]&gt;68000,Sales[[#This Row],[Quantity]]&gt;15),"Offer Discount", "No Discount")</f>
        <v>No Discount</v>
      </c>
    </row>
    <row r="359" spans="1:25" ht="15" customHeight="1" x14ac:dyDescent="0.25">
      <c r="A359" t="s">
        <v>2756</v>
      </c>
      <c r="B359" s="8">
        <v>45071</v>
      </c>
      <c r="C359" s="8">
        <v>45075</v>
      </c>
      <c r="D359" t="s">
        <v>73</v>
      </c>
      <c r="E359" t="s">
        <v>3084</v>
      </c>
      <c r="F359" t="s">
        <v>3038</v>
      </c>
      <c r="G359" t="s">
        <v>2757</v>
      </c>
      <c r="H359">
        <v>7067708381</v>
      </c>
      <c r="I359" t="s">
        <v>35</v>
      </c>
      <c r="J359" t="s">
        <v>61</v>
      </c>
      <c r="K359" t="s">
        <v>84</v>
      </c>
      <c r="L359" t="s">
        <v>108</v>
      </c>
      <c r="M359" t="s">
        <v>189</v>
      </c>
      <c r="N359" t="s">
        <v>325</v>
      </c>
      <c r="O359">
        <v>8</v>
      </c>
      <c r="P359">
        <v>14860.63</v>
      </c>
      <c r="Q359">
        <v>0</v>
      </c>
      <c r="R359" s="39">
        <v>0</v>
      </c>
      <c r="S359" s="39">
        <v>118885.04</v>
      </c>
      <c r="T359" s="39">
        <v>26610.62</v>
      </c>
      <c r="U359" t="str">
        <f t="shared" si="12"/>
        <v>Clothing</v>
      </c>
      <c r="V359">
        <f t="shared" si="13"/>
        <v>26610.62</v>
      </c>
      <c r="W359" t="str">
        <f>IF(Sales[[#This Row],[Quantity]]&gt;=15, "Large","Small")</f>
        <v>Small</v>
      </c>
      <c r="X359" t="str">
        <f>IF(Sales[[#This Row],[Quantity]]&gt;=15,"Large",IF(Sales[[#This Row],[Quantity]]=14,"Medium","Small"))</f>
        <v>Small</v>
      </c>
      <c r="Y359" t="str">
        <f>IF(AND(Sales[[#This Row],[Unit Price (₦)]]&gt;68000,Sales[[#This Row],[Quantity]]&gt;15),"Offer Discount", "No Discount")</f>
        <v>No Discount</v>
      </c>
    </row>
    <row r="360" spans="1:25" ht="15" customHeight="1" x14ac:dyDescent="0.25">
      <c r="A360" t="s">
        <v>1312</v>
      </c>
      <c r="B360" s="8">
        <v>45080</v>
      </c>
      <c r="C360" s="8">
        <v>45084</v>
      </c>
      <c r="D360" t="s">
        <v>73</v>
      </c>
      <c r="E360" t="s">
        <v>3039</v>
      </c>
      <c r="F360" t="s">
        <v>3069</v>
      </c>
      <c r="G360" t="s">
        <v>1314</v>
      </c>
      <c r="H360">
        <v>9078607523</v>
      </c>
      <c r="I360" t="s">
        <v>24</v>
      </c>
      <c r="J360" t="s">
        <v>61</v>
      </c>
      <c r="K360" t="s">
        <v>95</v>
      </c>
      <c r="L360" t="s">
        <v>63</v>
      </c>
      <c r="M360" t="s">
        <v>194</v>
      </c>
      <c r="N360" t="s">
        <v>257</v>
      </c>
      <c r="O360">
        <v>11</v>
      </c>
      <c r="P360">
        <v>17459.43</v>
      </c>
      <c r="Q360">
        <v>10</v>
      </c>
      <c r="R360" s="39">
        <v>19205.37</v>
      </c>
      <c r="S360" s="39">
        <v>172848.36</v>
      </c>
      <c r="T360" s="39">
        <v>-9129.92</v>
      </c>
      <c r="U360" t="str">
        <f t="shared" si="12"/>
        <v>Office Supplies</v>
      </c>
      <c r="V360">
        <f t="shared" si="13"/>
        <v>9129.92</v>
      </c>
      <c r="W360" t="str">
        <f>IF(Sales[[#This Row],[Quantity]]&gt;=15, "Large","Small")</f>
        <v>Small</v>
      </c>
      <c r="X360" t="str">
        <f>IF(Sales[[#This Row],[Quantity]]&gt;=15,"Large",IF(Sales[[#This Row],[Quantity]]=14,"Medium","Small"))</f>
        <v>Small</v>
      </c>
      <c r="Y360" t="str">
        <f>IF(AND(Sales[[#This Row],[Unit Price (₦)]]&gt;68000,Sales[[#This Row],[Quantity]]&gt;15),"Offer Discount", "No Discount")</f>
        <v>No Discount</v>
      </c>
    </row>
    <row r="361" spans="1:25" ht="15" customHeight="1" x14ac:dyDescent="0.25">
      <c r="A361" t="s">
        <v>1493</v>
      </c>
      <c r="B361" s="8">
        <v>45080</v>
      </c>
      <c r="C361" s="8">
        <v>45085</v>
      </c>
      <c r="D361" t="s">
        <v>73</v>
      </c>
      <c r="E361" t="s">
        <v>3098</v>
      </c>
      <c r="F361" t="s">
        <v>3064</v>
      </c>
      <c r="G361" t="s">
        <v>1495</v>
      </c>
      <c r="H361">
        <v>9023047722</v>
      </c>
      <c r="I361" t="s">
        <v>24</v>
      </c>
      <c r="J361" t="s">
        <v>25</v>
      </c>
      <c r="K361" t="s">
        <v>26</v>
      </c>
      <c r="L361" t="s">
        <v>27</v>
      </c>
      <c r="M361" t="s">
        <v>354</v>
      </c>
      <c r="N361" t="s">
        <v>433</v>
      </c>
      <c r="O361">
        <v>13</v>
      </c>
      <c r="P361">
        <v>3291.23</v>
      </c>
      <c r="Q361">
        <v>10</v>
      </c>
      <c r="R361" s="39">
        <v>4278.6000000000004</v>
      </c>
      <c r="S361" s="39">
        <v>38507.39</v>
      </c>
      <c r="T361" s="39">
        <v>1175.74</v>
      </c>
      <c r="U361" t="str">
        <f t="shared" si="12"/>
        <v>Food &amp; Beverages</v>
      </c>
      <c r="V361">
        <f t="shared" si="13"/>
        <v>1175.74</v>
      </c>
      <c r="W361" t="str">
        <f>IF(Sales[[#This Row],[Quantity]]&gt;=15, "Large","Small")</f>
        <v>Small</v>
      </c>
      <c r="X361" t="str">
        <f>IF(Sales[[#This Row],[Quantity]]&gt;=15,"Large",IF(Sales[[#This Row],[Quantity]]=14,"Medium","Small"))</f>
        <v>Small</v>
      </c>
      <c r="Y361" t="str">
        <f>IF(AND(Sales[[#This Row],[Unit Price (₦)]]&gt;68000,Sales[[#This Row],[Quantity]]&gt;15),"Offer Discount", "No Discount")</f>
        <v>No Discount</v>
      </c>
    </row>
    <row r="362" spans="1:25" ht="15" customHeight="1" x14ac:dyDescent="0.25">
      <c r="A362" t="s">
        <v>165</v>
      </c>
      <c r="B362" s="8">
        <v>45083</v>
      </c>
      <c r="C362" s="8">
        <v>45086</v>
      </c>
      <c r="D362" t="s">
        <v>73</v>
      </c>
      <c r="E362" t="s">
        <v>3068</v>
      </c>
      <c r="F362" t="s">
        <v>3046</v>
      </c>
      <c r="G362" t="s">
        <v>167</v>
      </c>
      <c r="H362">
        <v>7038235969</v>
      </c>
      <c r="I362" t="s">
        <v>24</v>
      </c>
      <c r="J362" t="s">
        <v>25</v>
      </c>
      <c r="K362" t="s">
        <v>168</v>
      </c>
      <c r="L362" t="s">
        <v>96</v>
      </c>
      <c r="M362" t="s">
        <v>97</v>
      </c>
      <c r="N362" t="s">
        <v>169</v>
      </c>
      <c r="O362">
        <v>4</v>
      </c>
      <c r="P362">
        <v>151553.31</v>
      </c>
      <c r="Q362">
        <v>10</v>
      </c>
      <c r="R362" s="39">
        <v>60621.32</v>
      </c>
      <c r="S362" s="39">
        <v>38507.39</v>
      </c>
      <c r="T362" s="39">
        <v>84170.38</v>
      </c>
      <c r="U362" t="str">
        <f t="shared" si="12"/>
        <v>Technology</v>
      </c>
      <c r="V362">
        <f t="shared" si="13"/>
        <v>84170.38</v>
      </c>
      <c r="W362" t="str">
        <f>IF(Sales[[#This Row],[Quantity]]&gt;=15, "Large","Small")</f>
        <v>Small</v>
      </c>
      <c r="X362" t="str">
        <f>IF(Sales[[#This Row],[Quantity]]&gt;=15,"Large",IF(Sales[[#This Row],[Quantity]]=14,"Medium","Small"))</f>
        <v>Small</v>
      </c>
      <c r="Y362" t="str">
        <f>IF(AND(Sales[[#This Row],[Unit Price (₦)]]&gt;68000,Sales[[#This Row],[Quantity]]&gt;15),"Offer Discount", "No Discount")</f>
        <v>No Discount</v>
      </c>
    </row>
    <row r="363" spans="1:25" ht="15" customHeight="1" x14ac:dyDescent="0.25">
      <c r="A363" t="s">
        <v>2810</v>
      </c>
      <c r="B363" s="8">
        <v>45090</v>
      </c>
      <c r="C363" s="8">
        <v>45094</v>
      </c>
      <c r="D363" t="s">
        <v>73</v>
      </c>
      <c r="E363" t="s">
        <v>3084</v>
      </c>
      <c r="F363" t="s">
        <v>3036</v>
      </c>
      <c r="G363" t="s">
        <v>2812</v>
      </c>
      <c r="H363">
        <v>8037912713</v>
      </c>
      <c r="I363" t="s">
        <v>43</v>
      </c>
      <c r="J363" t="s">
        <v>25</v>
      </c>
      <c r="K363" t="s">
        <v>26</v>
      </c>
      <c r="L363" t="s">
        <v>96</v>
      </c>
      <c r="M363" t="s">
        <v>254</v>
      </c>
      <c r="N363" t="s">
        <v>455</v>
      </c>
      <c r="O363">
        <v>10</v>
      </c>
      <c r="P363">
        <v>47673.57</v>
      </c>
      <c r="Q363">
        <v>10</v>
      </c>
      <c r="R363" s="39">
        <v>47673.57</v>
      </c>
      <c r="S363" s="39">
        <v>429062.13</v>
      </c>
      <c r="T363" s="39">
        <v>40384.410000000003</v>
      </c>
      <c r="U363" t="str">
        <f t="shared" si="12"/>
        <v>Technology</v>
      </c>
      <c r="V363">
        <f t="shared" si="13"/>
        <v>40384.410000000003</v>
      </c>
      <c r="W363" t="str">
        <f>IF(Sales[[#This Row],[Quantity]]&gt;=15, "Large","Small")</f>
        <v>Small</v>
      </c>
      <c r="X363" t="str">
        <f>IF(Sales[[#This Row],[Quantity]]&gt;=15,"Large",IF(Sales[[#This Row],[Quantity]]=14,"Medium","Small"))</f>
        <v>Small</v>
      </c>
      <c r="Y363" t="str">
        <f>IF(AND(Sales[[#This Row],[Unit Price (₦)]]&gt;68000,Sales[[#This Row],[Quantity]]&gt;15),"Offer Discount", "No Discount")</f>
        <v>No Discount</v>
      </c>
    </row>
    <row r="364" spans="1:25" ht="15" customHeight="1" x14ac:dyDescent="0.25">
      <c r="A364" t="s">
        <v>1849</v>
      </c>
      <c r="B364" s="8">
        <v>45092</v>
      </c>
      <c r="C364" s="8">
        <v>45095</v>
      </c>
      <c r="D364" t="s">
        <v>73</v>
      </c>
      <c r="E364" t="s">
        <v>3092</v>
      </c>
      <c r="F364" t="s">
        <v>3078</v>
      </c>
      <c r="G364" t="s">
        <v>1850</v>
      </c>
      <c r="H364">
        <v>9073120109</v>
      </c>
      <c r="I364" t="s">
        <v>24</v>
      </c>
      <c r="J364" t="s">
        <v>69</v>
      </c>
      <c r="K364" t="s">
        <v>70</v>
      </c>
      <c r="L364" t="s">
        <v>85</v>
      </c>
      <c r="M364" t="s">
        <v>486</v>
      </c>
      <c r="N364" t="s">
        <v>527</v>
      </c>
      <c r="O364">
        <v>2</v>
      </c>
      <c r="P364">
        <v>134492.65</v>
      </c>
      <c r="Q364">
        <v>10</v>
      </c>
      <c r="R364" s="39">
        <v>26898.53</v>
      </c>
      <c r="S364" s="39">
        <v>242086.77</v>
      </c>
      <c r="T364" s="39">
        <v>66453.17</v>
      </c>
      <c r="U364" t="str">
        <f t="shared" si="12"/>
        <v>Furniture</v>
      </c>
      <c r="V364">
        <f t="shared" si="13"/>
        <v>66453.17</v>
      </c>
      <c r="W364" t="str">
        <f>IF(Sales[[#This Row],[Quantity]]&gt;=15, "Large","Small")</f>
        <v>Small</v>
      </c>
      <c r="X364" t="str">
        <f>IF(Sales[[#This Row],[Quantity]]&gt;=15,"Large",IF(Sales[[#This Row],[Quantity]]=14,"Medium","Small"))</f>
        <v>Small</v>
      </c>
      <c r="Y364" t="str">
        <f>IF(AND(Sales[[#This Row],[Unit Price (₦)]]&gt;68000,Sales[[#This Row],[Quantity]]&gt;15),"Offer Discount", "No Discount")</f>
        <v>No Discount</v>
      </c>
    </row>
    <row r="365" spans="1:25" ht="15" customHeight="1" x14ac:dyDescent="0.25">
      <c r="A365" t="s">
        <v>1521</v>
      </c>
      <c r="B365" s="8">
        <v>45095</v>
      </c>
      <c r="C365" s="8">
        <v>45098</v>
      </c>
      <c r="D365" t="s">
        <v>73</v>
      </c>
      <c r="E365" t="s">
        <v>3041</v>
      </c>
      <c r="F365" t="s">
        <v>3090</v>
      </c>
      <c r="G365" t="s">
        <v>1523</v>
      </c>
      <c r="H365">
        <v>8145714408</v>
      </c>
      <c r="I365" t="s">
        <v>43</v>
      </c>
      <c r="J365" t="s">
        <v>51</v>
      </c>
      <c r="K365" t="s">
        <v>227</v>
      </c>
      <c r="L365" t="s">
        <v>63</v>
      </c>
      <c r="M365" t="s">
        <v>64</v>
      </c>
      <c r="N365" t="s">
        <v>65</v>
      </c>
      <c r="O365">
        <v>9</v>
      </c>
      <c r="P365">
        <v>22618.42</v>
      </c>
      <c r="Q365">
        <v>10</v>
      </c>
      <c r="R365" s="39">
        <v>20356.580000000002</v>
      </c>
      <c r="S365" s="39">
        <v>183209.2</v>
      </c>
      <c r="T365" s="39">
        <v>29347.11</v>
      </c>
      <c r="U365" t="str">
        <f t="shared" si="12"/>
        <v>Office Supplies</v>
      </c>
      <c r="V365">
        <f t="shared" si="13"/>
        <v>29347.11</v>
      </c>
      <c r="W365" t="str">
        <f>IF(Sales[[#This Row],[Quantity]]&gt;=15, "Large","Small")</f>
        <v>Small</v>
      </c>
      <c r="X365" t="str">
        <f>IF(Sales[[#This Row],[Quantity]]&gt;=15,"Large",IF(Sales[[#This Row],[Quantity]]=14,"Medium","Small"))</f>
        <v>Small</v>
      </c>
      <c r="Y365" t="str">
        <f>IF(AND(Sales[[#This Row],[Unit Price (₦)]]&gt;68000,Sales[[#This Row],[Quantity]]&gt;15),"Offer Discount", "No Discount")</f>
        <v>No Discount</v>
      </c>
    </row>
    <row r="366" spans="1:25" ht="15" customHeight="1" x14ac:dyDescent="0.25">
      <c r="A366" t="s">
        <v>2179</v>
      </c>
      <c r="B366" s="8">
        <v>45095</v>
      </c>
      <c r="C366" s="8">
        <v>45099</v>
      </c>
      <c r="D366" t="s">
        <v>73</v>
      </c>
      <c r="E366" t="s">
        <v>3095</v>
      </c>
      <c r="F366" t="s">
        <v>3074</v>
      </c>
      <c r="G366" t="s">
        <v>2181</v>
      </c>
      <c r="H366">
        <v>8067853539</v>
      </c>
      <c r="I366" t="s">
        <v>24</v>
      </c>
      <c r="J366" t="s">
        <v>69</v>
      </c>
      <c r="K366" t="s">
        <v>155</v>
      </c>
      <c r="L366" t="s">
        <v>108</v>
      </c>
      <c r="M366" t="s">
        <v>189</v>
      </c>
      <c r="N366" t="s">
        <v>190</v>
      </c>
      <c r="O366">
        <v>7</v>
      </c>
      <c r="P366">
        <v>26768.51</v>
      </c>
      <c r="Q366">
        <v>0</v>
      </c>
      <c r="R366" s="39">
        <v>0</v>
      </c>
      <c r="S366" s="39">
        <v>187379.57</v>
      </c>
      <c r="T366" s="39">
        <v>70425.38</v>
      </c>
      <c r="U366" t="str">
        <f t="shared" si="12"/>
        <v>Clothing</v>
      </c>
      <c r="V366">
        <f t="shared" si="13"/>
        <v>70425.38</v>
      </c>
      <c r="W366" t="str">
        <f>IF(Sales[[#This Row],[Quantity]]&gt;=15, "Large","Small")</f>
        <v>Small</v>
      </c>
      <c r="X366" t="str">
        <f>IF(Sales[[#This Row],[Quantity]]&gt;=15,"Large",IF(Sales[[#This Row],[Quantity]]=14,"Medium","Small"))</f>
        <v>Small</v>
      </c>
      <c r="Y366" t="str">
        <f>IF(AND(Sales[[#This Row],[Unit Price (₦)]]&gt;68000,Sales[[#This Row],[Quantity]]&gt;15),"Offer Discount", "No Discount")</f>
        <v>No Discount</v>
      </c>
    </row>
    <row r="367" spans="1:25" ht="15" customHeight="1" x14ac:dyDescent="0.25">
      <c r="A367" t="s">
        <v>1499</v>
      </c>
      <c r="B367" s="8">
        <v>45096</v>
      </c>
      <c r="C367" s="8">
        <v>45101</v>
      </c>
      <c r="D367" t="s">
        <v>73</v>
      </c>
      <c r="E367" t="s">
        <v>3044</v>
      </c>
      <c r="F367" t="s">
        <v>3039</v>
      </c>
      <c r="G367" t="s">
        <v>1501</v>
      </c>
      <c r="H367">
        <v>9056482263</v>
      </c>
      <c r="I367" t="s">
        <v>35</v>
      </c>
      <c r="J367" t="s">
        <v>51</v>
      </c>
      <c r="K367" t="s">
        <v>316</v>
      </c>
      <c r="L367" t="s">
        <v>108</v>
      </c>
      <c r="M367" t="s">
        <v>114</v>
      </c>
      <c r="N367" t="s">
        <v>291</v>
      </c>
      <c r="O367">
        <v>6</v>
      </c>
      <c r="P367">
        <v>29579.03</v>
      </c>
      <c r="Q367">
        <v>20</v>
      </c>
      <c r="R367" s="39">
        <v>35494.839999999997</v>
      </c>
      <c r="S367" s="39">
        <v>141979.34</v>
      </c>
      <c r="T367" s="39">
        <v>46088.14</v>
      </c>
      <c r="U367" t="str">
        <f t="shared" si="12"/>
        <v>Clothing</v>
      </c>
      <c r="V367">
        <f t="shared" si="13"/>
        <v>46088.14</v>
      </c>
      <c r="W367" t="str">
        <f>IF(Sales[[#This Row],[Quantity]]&gt;=15, "Large","Small")</f>
        <v>Small</v>
      </c>
      <c r="X367" t="str">
        <f>IF(Sales[[#This Row],[Quantity]]&gt;=15,"Large",IF(Sales[[#This Row],[Quantity]]=14,"Medium","Small"))</f>
        <v>Small</v>
      </c>
      <c r="Y367" t="str">
        <f>IF(AND(Sales[[#This Row],[Unit Price (₦)]]&gt;68000,Sales[[#This Row],[Quantity]]&gt;15),"Offer Discount", "No Discount")</f>
        <v>No Discount</v>
      </c>
    </row>
    <row r="368" spans="1:25" ht="15" customHeight="1" x14ac:dyDescent="0.25">
      <c r="A368" t="s">
        <v>2966</v>
      </c>
      <c r="B368" s="8">
        <v>45096</v>
      </c>
      <c r="C368" s="8">
        <v>45101</v>
      </c>
      <c r="D368" t="s">
        <v>73</v>
      </c>
      <c r="E368" t="s">
        <v>3051</v>
      </c>
      <c r="F368" t="s">
        <v>3062</v>
      </c>
      <c r="G368" t="s">
        <v>2967</v>
      </c>
      <c r="H368">
        <v>9019242744</v>
      </c>
      <c r="I368" t="s">
        <v>24</v>
      </c>
      <c r="J368" t="s">
        <v>61</v>
      </c>
      <c r="K368" t="s">
        <v>3127</v>
      </c>
      <c r="L368" t="s">
        <v>27</v>
      </c>
      <c r="M368" t="s">
        <v>28</v>
      </c>
      <c r="N368" t="s">
        <v>508</v>
      </c>
      <c r="O368">
        <v>8</v>
      </c>
      <c r="P368">
        <v>6135.66</v>
      </c>
      <c r="Q368">
        <v>25</v>
      </c>
      <c r="R368" s="39">
        <v>12271.32</v>
      </c>
      <c r="S368" s="39">
        <v>36813.96</v>
      </c>
      <c r="T368" s="39">
        <v>-153.97</v>
      </c>
      <c r="U368" t="str">
        <f t="shared" si="12"/>
        <v>Food &amp; Beverages</v>
      </c>
      <c r="V368">
        <f t="shared" si="13"/>
        <v>153.97</v>
      </c>
      <c r="W368" t="str">
        <f>IF(Sales[[#This Row],[Quantity]]&gt;=15, "Large","Small")</f>
        <v>Small</v>
      </c>
      <c r="X368" t="str">
        <f>IF(Sales[[#This Row],[Quantity]]&gt;=15,"Large",IF(Sales[[#This Row],[Quantity]]=14,"Medium","Small"))</f>
        <v>Small</v>
      </c>
      <c r="Y368" t="str">
        <f>IF(AND(Sales[[#This Row],[Unit Price (₦)]]&gt;68000,Sales[[#This Row],[Quantity]]&gt;15),"Offer Discount", "No Discount")</f>
        <v>No Discount</v>
      </c>
    </row>
    <row r="369" spans="1:25" ht="15" customHeight="1" x14ac:dyDescent="0.25">
      <c r="A369" t="s">
        <v>1096</v>
      </c>
      <c r="B369" s="8">
        <v>45100</v>
      </c>
      <c r="C369" s="8">
        <v>45103</v>
      </c>
      <c r="D369" t="s">
        <v>73</v>
      </c>
      <c r="E369" t="s">
        <v>3068</v>
      </c>
      <c r="F369" t="s">
        <v>3040</v>
      </c>
      <c r="G369" t="s">
        <v>1098</v>
      </c>
      <c r="H369">
        <v>8155561139</v>
      </c>
      <c r="I369" t="s">
        <v>43</v>
      </c>
      <c r="J369" t="s">
        <v>61</v>
      </c>
      <c r="K369" t="s">
        <v>204</v>
      </c>
      <c r="L369" t="s">
        <v>63</v>
      </c>
      <c r="M369" t="s">
        <v>469</v>
      </c>
      <c r="N369" t="s">
        <v>1099</v>
      </c>
      <c r="O369">
        <v>14</v>
      </c>
      <c r="P369">
        <v>20315.810000000001</v>
      </c>
      <c r="Q369">
        <v>5</v>
      </c>
      <c r="R369" s="39">
        <v>14221.07</v>
      </c>
      <c r="S369" s="39">
        <v>270200.27</v>
      </c>
      <c r="T369" s="39">
        <v>97836.6</v>
      </c>
      <c r="U369" t="str">
        <f t="shared" si="12"/>
        <v>Office Supplies</v>
      </c>
      <c r="V369">
        <f t="shared" si="13"/>
        <v>97836.6</v>
      </c>
      <c r="W369" t="str">
        <f>IF(Sales[[#This Row],[Quantity]]&gt;=15, "Large","Small")</f>
        <v>Small</v>
      </c>
      <c r="X369" t="str">
        <f>IF(Sales[[#This Row],[Quantity]]&gt;=15,"Large",IF(Sales[[#This Row],[Quantity]]=14,"Medium","Small"))</f>
        <v>Medium</v>
      </c>
      <c r="Y369" t="str">
        <f>IF(AND(Sales[[#This Row],[Unit Price (₦)]]&gt;68000,Sales[[#This Row],[Quantity]]&gt;15),"Offer Discount", "No Discount")</f>
        <v>No Discount</v>
      </c>
    </row>
    <row r="370" spans="1:25" ht="15" customHeight="1" x14ac:dyDescent="0.25">
      <c r="A370" t="s">
        <v>1204</v>
      </c>
      <c r="B370" s="8">
        <v>45098</v>
      </c>
      <c r="C370" s="8">
        <v>45103</v>
      </c>
      <c r="D370" t="s">
        <v>73</v>
      </c>
      <c r="E370" t="s">
        <v>3048</v>
      </c>
      <c r="F370" t="s">
        <v>3090</v>
      </c>
      <c r="G370" t="s">
        <v>1206</v>
      </c>
      <c r="H370">
        <v>9058195804</v>
      </c>
      <c r="I370" t="s">
        <v>43</v>
      </c>
      <c r="J370" t="s">
        <v>61</v>
      </c>
      <c r="K370" t="s">
        <v>95</v>
      </c>
      <c r="L370" t="s">
        <v>27</v>
      </c>
      <c r="M370" t="s">
        <v>45</v>
      </c>
      <c r="N370" t="s">
        <v>523</v>
      </c>
      <c r="O370">
        <v>12</v>
      </c>
      <c r="P370">
        <v>985.77</v>
      </c>
      <c r="Q370">
        <v>0</v>
      </c>
      <c r="R370" s="39">
        <v>0</v>
      </c>
      <c r="S370" s="39">
        <v>11829.24</v>
      </c>
      <c r="T370" s="39">
        <v>4948.72</v>
      </c>
      <c r="U370" t="str">
        <f t="shared" si="12"/>
        <v>Food &amp; Beverages</v>
      </c>
      <c r="V370">
        <f t="shared" si="13"/>
        <v>4948.72</v>
      </c>
      <c r="W370" t="str">
        <f>IF(Sales[[#This Row],[Quantity]]&gt;=15, "Large","Small")</f>
        <v>Small</v>
      </c>
      <c r="X370" t="str">
        <f>IF(Sales[[#This Row],[Quantity]]&gt;=15,"Large",IF(Sales[[#This Row],[Quantity]]=14,"Medium","Small"))</f>
        <v>Small</v>
      </c>
      <c r="Y370" t="str">
        <f>IF(AND(Sales[[#This Row],[Unit Price (₦)]]&gt;68000,Sales[[#This Row],[Quantity]]&gt;15),"Offer Discount", "No Discount")</f>
        <v>No Discount</v>
      </c>
    </row>
    <row r="371" spans="1:25" ht="15" customHeight="1" x14ac:dyDescent="0.25">
      <c r="A371" t="s">
        <v>1204</v>
      </c>
      <c r="B371" s="8">
        <v>45098</v>
      </c>
      <c r="C371" s="8">
        <v>45103</v>
      </c>
      <c r="D371" t="s">
        <v>73</v>
      </c>
      <c r="E371" t="s">
        <v>3048</v>
      </c>
      <c r="F371" t="s">
        <v>3090</v>
      </c>
      <c r="G371" t="s">
        <v>1206</v>
      </c>
      <c r="H371">
        <v>9058195804</v>
      </c>
      <c r="I371" t="s">
        <v>43</v>
      </c>
      <c r="J371" t="s">
        <v>61</v>
      </c>
      <c r="K371" t="s">
        <v>95</v>
      </c>
      <c r="L371" t="s">
        <v>27</v>
      </c>
      <c r="M371" t="s">
        <v>45</v>
      </c>
      <c r="N371" t="s">
        <v>523</v>
      </c>
      <c r="O371">
        <v>12</v>
      </c>
      <c r="P371">
        <v>985.77</v>
      </c>
      <c r="Q371">
        <v>0</v>
      </c>
      <c r="R371" s="39">
        <v>0</v>
      </c>
      <c r="S371" s="39">
        <v>11829.24</v>
      </c>
      <c r="T371" s="39">
        <v>4948.72</v>
      </c>
      <c r="U371" t="str">
        <f t="shared" si="12"/>
        <v>Food &amp; Beverages</v>
      </c>
      <c r="V371">
        <f t="shared" si="13"/>
        <v>4948.72</v>
      </c>
      <c r="W371" t="str">
        <f>IF(Sales[[#This Row],[Quantity]]&gt;=15, "Large","Small")</f>
        <v>Small</v>
      </c>
      <c r="X371" t="str">
        <f>IF(Sales[[#This Row],[Quantity]]&gt;=15,"Large",IF(Sales[[#This Row],[Quantity]]=14,"Medium","Small"))</f>
        <v>Small</v>
      </c>
      <c r="Y371" t="str">
        <f>IF(AND(Sales[[#This Row],[Unit Price (₦)]]&gt;68000,Sales[[#This Row],[Quantity]]&gt;15),"Offer Discount", "No Discount")</f>
        <v>No Discount</v>
      </c>
    </row>
    <row r="372" spans="1:25" ht="15" customHeight="1" x14ac:dyDescent="0.25">
      <c r="A372" t="s">
        <v>2266</v>
      </c>
      <c r="B372" s="8">
        <v>45108</v>
      </c>
      <c r="C372" s="8">
        <v>45111</v>
      </c>
      <c r="D372" t="s">
        <v>73</v>
      </c>
      <c r="E372" t="s">
        <v>3065</v>
      </c>
      <c r="F372" t="s">
        <v>3071</v>
      </c>
      <c r="G372" t="s">
        <v>2267</v>
      </c>
      <c r="H372">
        <v>8164333354</v>
      </c>
      <c r="I372" t="s">
        <v>35</v>
      </c>
      <c r="J372" t="s">
        <v>25</v>
      </c>
      <c r="K372" t="s">
        <v>26</v>
      </c>
      <c r="L372" t="s">
        <v>27</v>
      </c>
      <c r="M372" t="s">
        <v>28</v>
      </c>
      <c r="N372" t="s">
        <v>508</v>
      </c>
      <c r="O372">
        <v>1</v>
      </c>
      <c r="P372">
        <v>5191.8100000000004</v>
      </c>
      <c r="Q372">
        <v>10</v>
      </c>
      <c r="R372" s="39">
        <v>519.17999999999995</v>
      </c>
      <c r="S372" s="39">
        <v>4672.63</v>
      </c>
      <c r="T372" s="39">
        <v>66.62</v>
      </c>
      <c r="U372" t="str">
        <f t="shared" si="12"/>
        <v>Food &amp; Beverages</v>
      </c>
      <c r="V372">
        <f t="shared" si="13"/>
        <v>66.62</v>
      </c>
      <c r="W372" t="str">
        <f>IF(Sales[[#This Row],[Quantity]]&gt;=15, "Large","Small")</f>
        <v>Small</v>
      </c>
      <c r="X372" t="str">
        <f>IF(Sales[[#This Row],[Quantity]]&gt;=15,"Large",IF(Sales[[#This Row],[Quantity]]=14,"Medium","Small"))</f>
        <v>Small</v>
      </c>
      <c r="Y372" t="str">
        <f>IF(AND(Sales[[#This Row],[Unit Price (₦)]]&gt;68000,Sales[[#This Row],[Quantity]]&gt;15),"Offer Discount", "No Discount")</f>
        <v>No Discount</v>
      </c>
    </row>
    <row r="373" spans="1:25" ht="15" customHeight="1" x14ac:dyDescent="0.25">
      <c r="A373" t="s">
        <v>495</v>
      </c>
      <c r="B373" s="8">
        <v>45124</v>
      </c>
      <c r="C373" s="8">
        <v>45127</v>
      </c>
      <c r="D373" t="s">
        <v>73</v>
      </c>
      <c r="E373" t="s">
        <v>3093</v>
      </c>
      <c r="F373" t="s">
        <v>3088</v>
      </c>
      <c r="G373" t="s">
        <v>497</v>
      </c>
      <c r="H373">
        <v>8153829240</v>
      </c>
      <c r="I373" t="s">
        <v>43</v>
      </c>
      <c r="J373" t="s">
        <v>51</v>
      </c>
      <c r="K373" t="s">
        <v>52</v>
      </c>
      <c r="L373" t="s">
        <v>27</v>
      </c>
      <c r="M373" t="s">
        <v>173</v>
      </c>
      <c r="N373" t="s">
        <v>380</v>
      </c>
      <c r="O373">
        <v>20</v>
      </c>
      <c r="P373">
        <v>1618.24</v>
      </c>
      <c r="Q373">
        <v>10</v>
      </c>
      <c r="R373" s="39">
        <v>3236.48</v>
      </c>
      <c r="S373" s="39">
        <v>29128.32</v>
      </c>
      <c r="T373" s="39">
        <v>10355.64</v>
      </c>
      <c r="U373" t="str">
        <f t="shared" si="12"/>
        <v>Food &amp; Beverages</v>
      </c>
      <c r="V373">
        <f t="shared" si="13"/>
        <v>10355.64</v>
      </c>
      <c r="W373" t="str">
        <f>IF(Sales[[#This Row],[Quantity]]&gt;=15, "Large","Small")</f>
        <v>Large</v>
      </c>
      <c r="X373" t="str">
        <f>IF(Sales[[#This Row],[Quantity]]&gt;=15,"Large",IF(Sales[[#This Row],[Quantity]]=14,"Medium","Small"))</f>
        <v>Large</v>
      </c>
      <c r="Y373" t="str">
        <f>IF(AND(Sales[[#This Row],[Unit Price (₦)]]&gt;68000,Sales[[#This Row],[Quantity]]&gt;15),"Offer Discount", "No Discount")</f>
        <v>No Discount</v>
      </c>
    </row>
    <row r="374" spans="1:25" ht="15" customHeight="1" x14ac:dyDescent="0.25">
      <c r="A374" t="s">
        <v>1350</v>
      </c>
      <c r="B374" s="8">
        <v>45128</v>
      </c>
      <c r="C374" s="8">
        <v>45131</v>
      </c>
      <c r="D374" t="s">
        <v>73</v>
      </c>
      <c r="E374" t="s">
        <v>3050</v>
      </c>
      <c r="F374" t="s">
        <v>3038</v>
      </c>
      <c r="G374" t="s">
        <v>1178</v>
      </c>
      <c r="H374">
        <v>9078959326</v>
      </c>
      <c r="I374" t="s">
        <v>24</v>
      </c>
      <c r="J374" t="s">
        <v>61</v>
      </c>
      <c r="K374" t="s">
        <v>204</v>
      </c>
      <c r="L374" t="s">
        <v>108</v>
      </c>
      <c r="M374" t="s">
        <v>109</v>
      </c>
      <c r="N374" t="s">
        <v>1258</v>
      </c>
      <c r="O374">
        <v>2</v>
      </c>
      <c r="P374">
        <v>30816.13</v>
      </c>
      <c r="Q374">
        <v>0</v>
      </c>
      <c r="R374" s="39">
        <v>0</v>
      </c>
      <c r="S374" s="39">
        <v>61632.26</v>
      </c>
      <c r="T374" s="39">
        <v>14601.7</v>
      </c>
      <c r="U374" t="str">
        <f t="shared" si="12"/>
        <v>Clothing</v>
      </c>
      <c r="V374">
        <f t="shared" si="13"/>
        <v>14601.7</v>
      </c>
      <c r="W374" t="str">
        <f>IF(Sales[[#This Row],[Quantity]]&gt;=15, "Large","Small")</f>
        <v>Small</v>
      </c>
      <c r="X374" t="str">
        <f>IF(Sales[[#This Row],[Quantity]]&gt;=15,"Large",IF(Sales[[#This Row],[Quantity]]=14,"Medium","Small"))</f>
        <v>Small</v>
      </c>
      <c r="Y374" t="str">
        <f>IF(AND(Sales[[#This Row],[Unit Price (₦)]]&gt;68000,Sales[[#This Row],[Quantity]]&gt;15),"Offer Discount", "No Discount")</f>
        <v>No Discount</v>
      </c>
    </row>
    <row r="375" spans="1:25" ht="15" customHeight="1" x14ac:dyDescent="0.25">
      <c r="A375" t="s">
        <v>1907</v>
      </c>
      <c r="B375" s="8">
        <v>45130</v>
      </c>
      <c r="C375" s="8">
        <v>45133</v>
      </c>
      <c r="D375" t="s">
        <v>73</v>
      </c>
      <c r="E375" t="s">
        <v>3091</v>
      </c>
      <c r="F375" t="s">
        <v>3086</v>
      </c>
      <c r="G375" t="s">
        <v>1909</v>
      </c>
      <c r="H375">
        <v>9075177662</v>
      </c>
      <c r="I375" t="s">
        <v>35</v>
      </c>
      <c r="J375" t="s">
        <v>61</v>
      </c>
      <c r="K375" t="s">
        <v>182</v>
      </c>
      <c r="L375" t="s">
        <v>85</v>
      </c>
      <c r="M375" t="s">
        <v>266</v>
      </c>
      <c r="N375" t="s">
        <v>267</v>
      </c>
      <c r="O375">
        <v>12</v>
      </c>
      <c r="P375">
        <v>8240.7900000000009</v>
      </c>
      <c r="Q375">
        <v>10</v>
      </c>
      <c r="R375" s="39">
        <v>9888.9500000000007</v>
      </c>
      <c r="S375" s="39">
        <v>89000.53</v>
      </c>
      <c r="T375" s="39">
        <v>3981.63</v>
      </c>
      <c r="U375" t="str">
        <f t="shared" si="12"/>
        <v>Furniture</v>
      </c>
      <c r="V375">
        <f t="shared" si="13"/>
        <v>3981.63</v>
      </c>
      <c r="W375" t="str">
        <f>IF(Sales[[#This Row],[Quantity]]&gt;=15, "Large","Small")</f>
        <v>Small</v>
      </c>
      <c r="X375" t="str">
        <f>IF(Sales[[#This Row],[Quantity]]&gt;=15,"Large",IF(Sales[[#This Row],[Quantity]]=14,"Medium","Small"))</f>
        <v>Small</v>
      </c>
      <c r="Y375" t="str">
        <f>IF(AND(Sales[[#This Row],[Unit Price (₦)]]&gt;68000,Sales[[#This Row],[Quantity]]&gt;15),"Offer Discount", "No Discount")</f>
        <v>No Discount</v>
      </c>
    </row>
    <row r="376" spans="1:25" ht="15" customHeight="1" x14ac:dyDescent="0.25">
      <c r="A376" t="s">
        <v>2201</v>
      </c>
      <c r="B376" s="8">
        <v>45132</v>
      </c>
      <c r="C376" s="8">
        <v>45137</v>
      </c>
      <c r="D376" t="s">
        <v>73</v>
      </c>
      <c r="E376" t="s">
        <v>3056</v>
      </c>
      <c r="F376" t="s">
        <v>3039</v>
      </c>
      <c r="G376" t="s">
        <v>2202</v>
      </c>
      <c r="H376">
        <v>9014731953</v>
      </c>
      <c r="I376" t="s">
        <v>35</v>
      </c>
      <c r="J376" t="s">
        <v>69</v>
      </c>
      <c r="K376" t="s">
        <v>144</v>
      </c>
      <c r="L376" t="s">
        <v>96</v>
      </c>
      <c r="M376" t="s">
        <v>97</v>
      </c>
      <c r="N376" t="s">
        <v>443</v>
      </c>
      <c r="O376">
        <v>9</v>
      </c>
      <c r="P376">
        <v>235571.18</v>
      </c>
      <c r="Q376">
        <v>20</v>
      </c>
      <c r="R376" s="39">
        <v>424028.12</v>
      </c>
      <c r="S376" s="39">
        <v>1696112.5</v>
      </c>
      <c r="T376" s="39">
        <v>387348.62</v>
      </c>
      <c r="U376" t="str">
        <f t="shared" si="12"/>
        <v>Technology</v>
      </c>
      <c r="V376">
        <f t="shared" si="13"/>
        <v>387348.62</v>
      </c>
      <c r="W376" t="str">
        <f>IF(Sales[[#This Row],[Quantity]]&gt;=15, "Large","Small")</f>
        <v>Small</v>
      </c>
      <c r="X376" t="str">
        <f>IF(Sales[[#This Row],[Quantity]]&gt;=15,"Large",IF(Sales[[#This Row],[Quantity]]=14,"Medium","Small"))</f>
        <v>Small</v>
      </c>
      <c r="Y376" t="str">
        <f>IF(AND(Sales[[#This Row],[Unit Price (₦)]]&gt;68000,Sales[[#This Row],[Quantity]]&gt;15),"Offer Discount", "No Discount")</f>
        <v>No Discount</v>
      </c>
    </row>
    <row r="377" spans="1:25" ht="15" customHeight="1" x14ac:dyDescent="0.25">
      <c r="A377" t="s">
        <v>1235</v>
      </c>
      <c r="B377" s="8">
        <v>45136</v>
      </c>
      <c r="C377" s="8">
        <v>45139</v>
      </c>
      <c r="D377" t="s">
        <v>73</v>
      </c>
      <c r="E377" t="s">
        <v>3095</v>
      </c>
      <c r="F377" t="s">
        <v>3045</v>
      </c>
      <c r="G377" t="s">
        <v>1237</v>
      </c>
      <c r="H377">
        <v>9057535837</v>
      </c>
      <c r="I377" t="s">
        <v>125</v>
      </c>
      <c r="J377" t="s">
        <v>51</v>
      </c>
      <c r="K377" t="s">
        <v>223</v>
      </c>
      <c r="L377" t="s">
        <v>85</v>
      </c>
      <c r="M377" t="s">
        <v>266</v>
      </c>
      <c r="N377" t="s">
        <v>267</v>
      </c>
      <c r="O377">
        <v>10</v>
      </c>
      <c r="P377">
        <v>156710.10999999999</v>
      </c>
      <c r="Q377">
        <v>10</v>
      </c>
      <c r="R377" s="39">
        <v>156710.10999999999</v>
      </c>
      <c r="S377" s="39">
        <v>1410390.99</v>
      </c>
      <c r="T377" s="39">
        <v>389132.53</v>
      </c>
      <c r="U377" t="str">
        <f t="shared" si="12"/>
        <v>Furniture</v>
      </c>
      <c r="V377">
        <f t="shared" si="13"/>
        <v>389132.53</v>
      </c>
      <c r="W377" t="str">
        <f>IF(Sales[[#This Row],[Quantity]]&gt;=15, "Large","Small")</f>
        <v>Small</v>
      </c>
      <c r="X377" t="str">
        <f>IF(Sales[[#This Row],[Quantity]]&gt;=15,"Large",IF(Sales[[#This Row],[Quantity]]=14,"Medium","Small"))</f>
        <v>Small</v>
      </c>
      <c r="Y377" t="str">
        <f>IF(AND(Sales[[#This Row],[Unit Price (₦)]]&gt;68000,Sales[[#This Row],[Quantity]]&gt;15),"Offer Discount", "No Discount")</f>
        <v>No Discount</v>
      </c>
    </row>
    <row r="378" spans="1:25" ht="15" customHeight="1" x14ac:dyDescent="0.25">
      <c r="A378" t="s">
        <v>2222</v>
      </c>
      <c r="B378" s="8">
        <v>45141</v>
      </c>
      <c r="C378" s="8">
        <v>45145</v>
      </c>
      <c r="D378" t="s">
        <v>73</v>
      </c>
      <c r="E378" t="s">
        <v>3047</v>
      </c>
      <c r="F378" t="s">
        <v>3043</v>
      </c>
      <c r="G378" t="s">
        <v>2223</v>
      </c>
      <c r="H378">
        <v>8035571090</v>
      </c>
      <c r="I378" t="s">
        <v>35</v>
      </c>
      <c r="J378" t="s">
        <v>69</v>
      </c>
      <c r="K378" t="s">
        <v>70</v>
      </c>
      <c r="L378" t="s">
        <v>96</v>
      </c>
      <c r="M378" t="s">
        <v>189</v>
      </c>
      <c r="N378" t="s">
        <v>478</v>
      </c>
      <c r="O378">
        <v>9</v>
      </c>
      <c r="P378">
        <v>72069.039999999994</v>
      </c>
      <c r="Q378">
        <v>0</v>
      </c>
      <c r="R378" s="39">
        <v>0</v>
      </c>
      <c r="S378" s="39">
        <v>648621.36</v>
      </c>
      <c r="T378" s="39">
        <v>-67510.94</v>
      </c>
      <c r="U378" t="str">
        <f t="shared" si="12"/>
        <v>Technology</v>
      </c>
      <c r="V378">
        <f t="shared" si="13"/>
        <v>67510.94</v>
      </c>
      <c r="W378" t="str">
        <f>IF(Sales[[#This Row],[Quantity]]&gt;=15, "Large","Small")</f>
        <v>Small</v>
      </c>
      <c r="X378" t="str">
        <f>IF(Sales[[#This Row],[Quantity]]&gt;=15,"Large",IF(Sales[[#This Row],[Quantity]]=14,"Medium","Small"))</f>
        <v>Small</v>
      </c>
      <c r="Y378" t="str">
        <f>IF(AND(Sales[[#This Row],[Unit Price (₦)]]&gt;68000,Sales[[#This Row],[Quantity]]&gt;15),"Offer Discount", "No Discount")</f>
        <v>No Discount</v>
      </c>
    </row>
    <row r="379" spans="1:25" ht="15" customHeight="1" x14ac:dyDescent="0.25">
      <c r="A379" t="s">
        <v>1625</v>
      </c>
      <c r="B379" s="8">
        <v>45146</v>
      </c>
      <c r="C379" s="8">
        <v>45149</v>
      </c>
      <c r="D379" t="s">
        <v>73</v>
      </c>
      <c r="E379" t="s">
        <v>3065</v>
      </c>
      <c r="F379" t="s">
        <v>3036</v>
      </c>
      <c r="G379" t="s">
        <v>1627</v>
      </c>
      <c r="H379">
        <v>8106147152</v>
      </c>
      <c r="I379" t="s">
        <v>24</v>
      </c>
      <c r="J379" t="s">
        <v>25</v>
      </c>
      <c r="K379" t="s">
        <v>26</v>
      </c>
      <c r="L379" t="s">
        <v>108</v>
      </c>
      <c r="M379" t="s">
        <v>109</v>
      </c>
      <c r="N379" t="s">
        <v>110</v>
      </c>
      <c r="O379">
        <f>O378</f>
        <v>9</v>
      </c>
      <c r="P379">
        <v>28422.44</v>
      </c>
      <c r="Q379">
        <v>0</v>
      </c>
      <c r="R379" s="39">
        <v>0</v>
      </c>
      <c r="S379" s="39">
        <v>312646.84000000003</v>
      </c>
      <c r="T379" s="39">
        <v>-41800.03</v>
      </c>
      <c r="U379" t="str">
        <f t="shared" si="12"/>
        <v>Clothing</v>
      </c>
      <c r="V379">
        <f t="shared" si="13"/>
        <v>41800.03</v>
      </c>
      <c r="W379" t="str">
        <f>IF(Sales[[#This Row],[Quantity]]&gt;=15, "Large","Small")</f>
        <v>Small</v>
      </c>
      <c r="X379" t="str">
        <f>IF(Sales[[#This Row],[Quantity]]&gt;=15,"Large",IF(Sales[[#This Row],[Quantity]]=14,"Medium","Small"))</f>
        <v>Small</v>
      </c>
      <c r="Y379" t="str">
        <f>IF(AND(Sales[[#This Row],[Unit Price (₦)]]&gt;68000,Sales[[#This Row],[Quantity]]&gt;15),"Offer Discount", "No Discount")</f>
        <v>No Discount</v>
      </c>
    </row>
    <row r="380" spans="1:25" ht="15" customHeight="1" x14ac:dyDescent="0.25">
      <c r="A380" t="s">
        <v>459</v>
      </c>
      <c r="B380" s="8">
        <v>45147</v>
      </c>
      <c r="C380" s="8">
        <v>45151</v>
      </c>
      <c r="D380" t="s">
        <v>73</v>
      </c>
      <c r="E380" t="s">
        <v>3087</v>
      </c>
      <c r="F380" t="s">
        <v>3086</v>
      </c>
      <c r="G380" t="s">
        <v>461</v>
      </c>
      <c r="H380">
        <v>8163088344</v>
      </c>
      <c r="I380" t="s">
        <v>35</v>
      </c>
      <c r="J380" t="s">
        <v>69</v>
      </c>
      <c r="K380" t="s">
        <v>144</v>
      </c>
      <c r="L380" t="s">
        <v>63</v>
      </c>
      <c r="M380" t="s">
        <v>64</v>
      </c>
      <c r="N380" t="s">
        <v>104</v>
      </c>
      <c r="O380">
        <v>13</v>
      </c>
      <c r="P380">
        <v>18711.04</v>
      </c>
      <c r="Q380">
        <v>10</v>
      </c>
      <c r="R380" s="39">
        <v>24324.35</v>
      </c>
      <c r="S380" s="39">
        <v>218919.17</v>
      </c>
      <c r="T380" s="39">
        <v>95062.18</v>
      </c>
      <c r="U380" t="str">
        <f t="shared" si="12"/>
        <v>Office Supplies</v>
      </c>
      <c r="V380">
        <f t="shared" si="13"/>
        <v>95062.18</v>
      </c>
      <c r="W380" t="str">
        <f>IF(Sales[[#This Row],[Quantity]]&gt;=15, "Large","Small")</f>
        <v>Small</v>
      </c>
      <c r="X380" t="str">
        <f>IF(Sales[[#This Row],[Quantity]]&gt;=15,"Large",IF(Sales[[#This Row],[Quantity]]=14,"Medium","Small"))</f>
        <v>Small</v>
      </c>
      <c r="Y380" t="str">
        <f>IF(AND(Sales[[#This Row],[Unit Price (₦)]]&gt;68000,Sales[[#This Row],[Quantity]]&gt;15),"Offer Discount", "No Discount")</f>
        <v>No Discount</v>
      </c>
    </row>
    <row r="381" spans="1:25" ht="15" customHeight="1" x14ac:dyDescent="0.25">
      <c r="A381" t="s">
        <v>268</v>
      </c>
      <c r="B381" s="8">
        <v>45152</v>
      </c>
      <c r="C381" s="8">
        <v>45157</v>
      </c>
      <c r="D381" t="s">
        <v>73</v>
      </c>
      <c r="E381" t="s">
        <v>3076</v>
      </c>
      <c r="F381" t="s">
        <v>3078</v>
      </c>
      <c r="G381" t="s">
        <v>270</v>
      </c>
      <c r="H381">
        <v>8064916201</v>
      </c>
      <c r="I381" t="s">
        <v>35</v>
      </c>
      <c r="J381" t="s">
        <v>69</v>
      </c>
      <c r="K381" t="s">
        <v>144</v>
      </c>
      <c r="L381" t="s">
        <v>63</v>
      </c>
      <c r="M381" t="s">
        <v>194</v>
      </c>
      <c r="N381" t="s">
        <v>272</v>
      </c>
      <c r="O381">
        <v>7</v>
      </c>
      <c r="P381">
        <v>16698.98</v>
      </c>
      <c r="Q381">
        <v>15</v>
      </c>
      <c r="R381" s="39">
        <v>17533.93</v>
      </c>
      <c r="S381" s="39">
        <v>99358.93</v>
      </c>
      <c r="T381" s="39">
        <v>-8061.41</v>
      </c>
      <c r="U381" t="str">
        <f t="shared" si="12"/>
        <v>Office Supplies</v>
      </c>
      <c r="V381">
        <f t="shared" si="13"/>
        <v>8061.41</v>
      </c>
      <c r="W381" t="str">
        <f>IF(Sales[[#This Row],[Quantity]]&gt;=15, "Large","Small")</f>
        <v>Small</v>
      </c>
      <c r="X381" t="str">
        <f>IF(Sales[[#This Row],[Quantity]]&gt;=15,"Large",IF(Sales[[#This Row],[Quantity]]=14,"Medium","Small"))</f>
        <v>Small</v>
      </c>
      <c r="Y381" t="str">
        <f>IF(AND(Sales[[#This Row],[Unit Price (₦)]]&gt;68000,Sales[[#This Row],[Quantity]]&gt;15),"Offer Discount", "No Discount")</f>
        <v>No Discount</v>
      </c>
    </row>
    <row r="382" spans="1:25" ht="15" customHeight="1" x14ac:dyDescent="0.25">
      <c r="A382" t="s">
        <v>2725</v>
      </c>
      <c r="B382" s="8">
        <v>45152</v>
      </c>
      <c r="C382" s="8">
        <v>45157</v>
      </c>
      <c r="D382" t="s">
        <v>73</v>
      </c>
      <c r="E382" t="s">
        <v>3055</v>
      </c>
      <c r="F382" t="s">
        <v>3066</v>
      </c>
      <c r="G382" t="s">
        <v>3126</v>
      </c>
      <c r="H382">
        <v>8131288262</v>
      </c>
      <c r="I382" t="s">
        <v>24</v>
      </c>
      <c r="J382" t="s">
        <v>25</v>
      </c>
      <c r="K382" t="s">
        <v>36</v>
      </c>
      <c r="L382" t="s">
        <v>85</v>
      </c>
      <c r="M382" t="s">
        <v>266</v>
      </c>
      <c r="N382" t="s">
        <v>267</v>
      </c>
      <c r="O382">
        <v>4</v>
      </c>
      <c r="P382">
        <v>19589.72</v>
      </c>
      <c r="Q382">
        <v>10</v>
      </c>
      <c r="R382" s="39">
        <v>7835.89</v>
      </c>
      <c r="S382" s="39">
        <v>70522.990000000005</v>
      </c>
      <c r="T382" s="39">
        <v>24004.18</v>
      </c>
      <c r="U382" t="str">
        <f t="shared" si="12"/>
        <v>Furniture</v>
      </c>
      <c r="V382">
        <f t="shared" si="13"/>
        <v>24004.18</v>
      </c>
      <c r="W382" t="str">
        <f>IF(Sales[[#This Row],[Quantity]]&gt;=15, "Large","Small")</f>
        <v>Small</v>
      </c>
      <c r="X382" t="str">
        <f>IF(Sales[[#This Row],[Quantity]]&gt;=15,"Large",IF(Sales[[#This Row],[Quantity]]=14,"Medium","Small"))</f>
        <v>Small</v>
      </c>
      <c r="Y382" t="str">
        <f>IF(AND(Sales[[#This Row],[Unit Price (₦)]]&gt;68000,Sales[[#This Row],[Quantity]]&gt;15),"Offer Discount", "No Discount")</f>
        <v>No Discount</v>
      </c>
    </row>
    <row r="383" spans="1:25" ht="15" customHeight="1" x14ac:dyDescent="0.25">
      <c r="A383" t="s">
        <v>544</v>
      </c>
      <c r="B383" s="8">
        <v>45156</v>
      </c>
      <c r="C383" s="8">
        <v>45159</v>
      </c>
      <c r="D383" t="s">
        <v>73</v>
      </c>
      <c r="E383" t="s">
        <v>3076</v>
      </c>
      <c r="F383" t="s">
        <v>3078</v>
      </c>
      <c r="G383" t="s">
        <v>545</v>
      </c>
      <c r="H383">
        <v>7038421839</v>
      </c>
      <c r="I383" t="s">
        <v>43</v>
      </c>
      <c r="J383" t="s">
        <v>69</v>
      </c>
      <c r="K383" t="s">
        <v>70</v>
      </c>
      <c r="L383" t="s">
        <v>63</v>
      </c>
      <c r="M383" t="s">
        <v>469</v>
      </c>
      <c r="N383" t="s">
        <v>546</v>
      </c>
      <c r="O383">
        <v>18</v>
      </c>
      <c r="P383">
        <v>5742.68</v>
      </c>
      <c r="Q383">
        <v>10</v>
      </c>
      <c r="R383" s="39">
        <v>10336.82</v>
      </c>
      <c r="S383" s="39">
        <v>93031.42</v>
      </c>
      <c r="T383" s="39">
        <v>38125.61</v>
      </c>
      <c r="U383" t="str">
        <f t="shared" si="12"/>
        <v>Office Supplies</v>
      </c>
      <c r="V383">
        <f t="shared" si="13"/>
        <v>38125.61</v>
      </c>
      <c r="W383" t="str">
        <f>IF(Sales[[#This Row],[Quantity]]&gt;=15, "Large","Small")</f>
        <v>Large</v>
      </c>
      <c r="X383" t="str">
        <f>IF(Sales[[#This Row],[Quantity]]&gt;=15,"Large",IF(Sales[[#This Row],[Quantity]]=14,"Medium","Small"))</f>
        <v>Large</v>
      </c>
      <c r="Y383" t="str">
        <f>IF(AND(Sales[[#This Row],[Unit Price (₦)]]&gt;68000,Sales[[#This Row],[Quantity]]&gt;15),"Offer Discount", "No Discount")</f>
        <v>No Discount</v>
      </c>
    </row>
    <row r="384" spans="1:25" ht="15" customHeight="1" x14ac:dyDescent="0.25">
      <c r="A384" t="s">
        <v>2142</v>
      </c>
      <c r="B384" s="8">
        <v>45160</v>
      </c>
      <c r="C384" s="8">
        <v>45163</v>
      </c>
      <c r="D384" t="s">
        <v>73</v>
      </c>
      <c r="E384" t="s">
        <v>3080</v>
      </c>
      <c r="F384" t="s">
        <v>3045</v>
      </c>
      <c r="G384" t="s">
        <v>2143</v>
      </c>
      <c r="H384">
        <v>9073053134</v>
      </c>
      <c r="I384" t="s">
        <v>24</v>
      </c>
      <c r="J384" t="s">
        <v>51</v>
      </c>
      <c r="K384" t="s">
        <v>223</v>
      </c>
      <c r="L384" t="s">
        <v>96</v>
      </c>
      <c r="M384" t="s">
        <v>120</v>
      </c>
      <c r="N384" t="s">
        <v>367</v>
      </c>
      <c r="O384">
        <v>7</v>
      </c>
      <c r="P384">
        <v>423191.01</v>
      </c>
      <c r="Q384">
        <v>20</v>
      </c>
      <c r="R384" s="39">
        <v>592467.41</v>
      </c>
      <c r="S384" s="39">
        <v>2369869.66</v>
      </c>
      <c r="T384" s="39">
        <v>647337.27</v>
      </c>
      <c r="U384" t="str">
        <f t="shared" si="12"/>
        <v>Technology</v>
      </c>
      <c r="V384">
        <f t="shared" si="13"/>
        <v>647337.27</v>
      </c>
      <c r="W384" t="str">
        <f>IF(Sales[[#This Row],[Quantity]]&gt;=15, "Large","Small")</f>
        <v>Small</v>
      </c>
      <c r="X384" t="str">
        <f>IF(Sales[[#This Row],[Quantity]]&gt;=15,"Large",IF(Sales[[#This Row],[Quantity]]=14,"Medium","Small"))</f>
        <v>Small</v>
      </c>
      <c r="Y384" t="str">
        <f>IF(AND(Sales[[#This Row],[Unit Price (₦)]]&gt;68000,Sales[[#This Row],[Quantity]]&gt;15),"Offer Discount", "No Discount")</f>
        <v>No Discount</v>
      </c>
    </row>
    <row r="385" spans="1:25" ht="15" customHeight="1" x14ac:dyDescent="0.25">
      <c r="A385" t="s">
        <v>2184</v>
      </c>
      <c r="B385" s="8">
        <v>45162</v>
      </c>
      <c r="C385" s="8">
        <v>45165</v>
      </c>
      <c r="D385" t="s">
        <v>73</v>
      </c>
      <c r="E385" t="s">
        <v>3095</v>
      </c>
      <c r="F385" t="s">
        <v>3042</v>
      </c>
      <c r="G385" t="s">
        <v>2185</v>
      </c>
      <c r="H385">
        <v>9052808110</v>
      </c>
      <c r="I385" t="s">
        <v>43</v>
      </c>
      <c r="J385" t="s">
        <v>51</v>
      </c>
      <c r="K385" t="s">
        <v>131</v>
      </c>
      <c r="L385" t="s">
        <v>96</v>
      </c>
      <c r="M385" t="s">
        <v>120</v>
      </c>
      <c r="N385" t="s">
        <v>367</v>
      </c>
      <c r="O385">
        <v>14</v>
      </c>
      <c r="P385">
        <v>428214.79</v>
      </c>
      <c r="Q385">
        <v>20</v>
      </c>
      <c r="R385" s="39">
        <v>1199001.4099999999</v>
      </c>
      <c r="S385" s="39">
        <v>4796005.6500000004</v>
      </c>
      <c r="T385" s="39">
        <v>1412032.73</v>
      </c>
      <c r="U385" t="str">
        <f t="shared" si="12"/>
        <v>Technology</v>
      </c>
      <c r="V385">
        <f t="shared" si="13"/>
        <v>1412032.73</v>
      </c>
      <c r="W385" t="str">
        <f>IF(Sales[[#This Row],[Quantity]]&gt;=15, "Large","Small")</f>
        <v>Small</v>
      </c>
      <c r="X385" t="str">
        <f>IF(Sales[[#This Row],[Quantity]]&gt;=15,"Large",IF(Sales[[#This Row],[Quantity]]=14,"Medium","Small"))</f>
        <v>Medium</v>
      </c>
      <c r="Y385" t="str">
        <f>IF(AND(Sales[[#This Row],[Unit Price (₦)]]&gt;68000,Sales[[#This Row],[Quantity]]&gt;15),"Offer Discount", "No Discount")</f>
        <v>No Discount</v>
      </c>
    </row>
    <row r="386" spans="1:25" ht="15" customHeight="1" x14ac:dyDescent="0.25">
      <c r="A386" t="s">
        <v>2307</v>
      </c>
      <c r="B386" s="8">
        <v>45162</v>
      </c>
      <c r="C386" s="8">
        <v>45166</v>
      </c>
      <c r="D386" t="s">
        <v>73</v>
      </c>
      <c r="E386" t="s">
        <v>3051</v>
      </c>
      <c r="F386" t="s">
        <v>3046</v>
      </c>
      <c r="G386" t="s">
        <v>2309</v>
      </c>
      <c r="H386">
        <v>7035994297</v>
      </c>
      <c r="I386" t="s">
        <v>43</v>
      </c>
      <c r="J386" t="s">
        <v>25</v>
      </c>
      <c r="K386" t="s">
        <v>36</v>
      </c>
      <c r="L386" t="s">
        <v>96</v>
      </c>
      <c r="M386" t="s">
        <v>254</v>
      </c>
      <c r="N386" t="s">
        <v>756</v>
      </c>
      <c r="O386">
        <v>2</v>
      </c>
      <c r="P386">
        <v>170401.35</v>
      </c>
      <c r="Q386">
        <v>25</v>
      </c>
      <c r="R386" s="39">
        <v>85200.68</v>
      </c>
      <c r="S386" s="39">
        <v>255602.02</v>
      </c>
      <c r="T386" s="39">
        <v>74944.600000000006</v>
      </c>
      <c r="U386" t="str">
        <f t="shared" ref="U386:U449" si="14">PROPER(L386)</f>
        <v>Technology</v>
      </c>
      <c r="V386">
        <f t="shared" si="13"/>
        <v>74944.600000000006</v>
      </c>
      <c r="W386" t="str">
        <f>IF(Sales[[#This Row],[Quantity]]&gt;=15, "Large","Small")</f>
        <v>Small</v>
      </c>
      <c r="X386" t="str">
        <f>IF(Sales[[#This Row],[Quantity]]&gt;=15,"Large",IF(Sales[[#This Row],[Quantity]]=14,"Medium","Small"))</f>
        <v>Small</v>
      </c>
      <c r="Y386" t="str">
        <f>IF(AND(Sales[[#This Row],[Unit Price (₦)]]&gt;68000,Sales[[#This Row],[Quantity]]&gt;15),"Offer Discount", "No Discount")</f>
        <v>No Discount</v>
      </c>
    </row>
    <row r="387" spans="1:25" ht="15" customHeight="1" x14ac:dyDescent="0.25">
      <c r="A387" t="s">
        <v>2892</v>
      </c>
      <c r="B387" s="8">
        <v>45163</v>
      </c>
      <c r="C387" s="8">
        <v>45166</v>
      </c>
      <c r="D387" t="s">
        <v>73</v>
      </c>
      <c r="E387" t="s">
        <v>3047</v>
      </c>
      <c r="F387" t="s">
        <v>3069</v>
      </c>
      <c r="G387" t="s">
        <v>2894</v>
      </c>
      <c r="H387">
        <v>8147329559</v>
      </c>
      <c r="I387" t="s">
        <v>43</v>
      </c>
      <c r="J387" t="s">
        <v>61</v>
      </c>
      <c r="K387" t="s">
        <v>182</v>
      </c>
      <c r="L387" t="s">
        <v>63</v>
      </c>
      <c r="M387" t="s">
        <v>64</v>
      </c>
      <c r="N387" t="s">
        <v>65</v>
      </c>
      <c r="O387">
        <v>17</v>
      </c>
      <c r="P387">
        <v>21645.56</v>
      </c>
      <c r="Q387">
        <v>25</v>
      </c>
      <c r="R387" s="39">
        <v>91993.63</v>
      </c>
      <c r="S387" s="39">
        <v>275980.89</v>
      </c>
      <c r="T387" s="39">
        <v>42260.9</v>
      </c>
      <c r="U387" t="str">
        <f t="shared" si="14"/>
        <v>Office Supplies</v>
      </c>
      <c r="V387">
        <f t="shared" ref="V387:V450" si="15">ABS(T387)</f>
        <v>42260.9</v>
      </c>
      <c r="W387" t="str">
        <f>IF(Sales[[#This Row],[Quantity]]&gt;=15, "Large","Small")</f>
        <v>Large</v>
      </c>
      <c r="X387" t="str">
        <f>IF(Sales[[#This Row],[Quantity]]&gt;=15,"Large",IF(Sales[[#This Row],[Quantity]]=14,"Medium","Small"))</f>
        <v>Large</v>
      </c>
      <c r="Y387" t="str">
        <f>IF(AND(Sales[[#This Row],[Unit Price (₦)]]&gt;68000,Sales[[#This Row],[Quantity]]&gt;15),"Offer Discount", "No Discount")</f>
        <v>No Discount</v>
      </c>
    </row>
    <row r="388" spans="1:25" ht="15" customHeight="1" x14ac:dyDescent="0.25">
      <c r="A388" t="s">
        <v>2273</v>
      </c>
      <c r="B388" s="8">
        <v>45166</v>
      </c>
      <c r="C388" s="8">
        <v>45170</v>
      </c>
      <c r="D388" t="s">
        <v>73</v>
      </c>
      <c r="E388" t="s">
        <v>3053</v>
      </c>
      <c r="F388" t="s">
        <v>3036</v>
      </c>
      <c r="G388" t="s">
        <v>2275</v>
      </c>
      <c r="H388">
        <v>8146958480</v>
      </c>
      <c r="I388" t="s">
        <v>35</v>
      </c>
      <c r="J388" t="s">
        <v>61</v>
      </c>
      <c r="K388" t="s">
        <v>182</v>
      </c>
      <c r="L388" t="s">
        <v>27</v>
      </c>
      <c r="M388" t="s">
        <v>45</v>
      </c>
      <c r="N388" t="s">
        <v>838</v>
      </c>
      <c r="O388">
        <v>17</v>
      </c>
      <c r="P388">
        <v>6247.25</v>
      </c>
      <c r="Q388">
        <v>20</v>
      </c>
      <c r="R388" s="39">
        <v>21240.65</v>
      </c>
      <c r="S388" s="39">
        <v>84962.6</v>
      </c>
      <c r="T388" s="39">
        <v>29541.5</v>
      </c>
      <c r="U388" t="str">
        <f t="shared" si="14"/>
        <v>Food &amp; Beverages</v>
      </c>
      <c r="V388">
        <f t="shared" si="15"/>
        <v>29541.5</v>
      </c>
      <c r="W388" t="str">
        <f>IF(Sales[[#This Row],[Quantity]]&gt;=15, "Large","Small")</f>
        <v>Large</v>
      </c>
      <c r="X388" t="str">
        <f>IF(Sales[[#This Row],[Quantity]]&gt;=15,"Large",IF(Sales[[#This Row],[Quantity]]=14,"Medium","Small"))</f>
        <v>Large</v>
      </c>
      <c r="Y388" t="str">
        <f>IF(AND(Sales[[#This Row],[Unit Price (₦)]]&gt;68000,Sales[[#This Row],[Quantity]]&gt;15),"Offer Discount", "No Discount")</f>
        <v>No Discount</v>
      </c>
    </row>
    <row r="389" spans="1:25" ht="15" customHeight="1" x14ac:dyDescent="0.25">
      <c r="A389" t="s">
        <v>980</v>
      </c>
      <c r="B389" s="8">
        <v>45172</v>
      </c>
      <c r="C389" s="8">
        <v>45177</v>
      </c>
      <c r="D389" t="s">
        <v>73</v>
      </c>
      <c r="E389" t="s">
        <v>3073</v>
      </c>
      <c r="F389" t="s">
        <v>3046</v>
      </c>
      <c r="G389" t="s">
        <v>3126</v>
      </c>
      <c r="H389">
        <v>8061700837</v>
      </c>
      <c r="I389" t="s">
        <v>43</v>
      </c>
      <c r="J389" t="s">
        <v>69</v>
      </c>
      <c r="K389" t="s">
        <v>155</v>
      </c>
      <c r="L389" t="s">
        <v>96</v>
      </c>
      <c r="M389" t="s">
        <v>254</v>
      </c>
      <c r="N389" t="s">
        <v>452</v>
      </c>
      <c r="O389">
        <v>18</v>
      </c>
      <c r="P389">
        <v>186425.54</v>
      </c>
      <c r="Q389">
        <v>0</v>
      </c>
      <c r="R389" s="39">
        <v>0</v>
      </c>
      <c r="S389" s="39">
        <v>3355659.72</v>
      </c>
      <c r="T389" s="39">
        <v>110114.94</v>
      </c>
      <c r="U389" t="str">
        <f t="shared" si="14"/>
        <v>Technology</v>
      </c>
      <c r="V389">
        <f t="shared" si="15"/>
        <v>110114.94</v>
      </c>
      <c r="W389" t="str">
        <f>IF(Sales[[#This Row],[Quantity]]&gt;=15, "Large","Small")</f>
        <v>Large</v>
      </c>
      <c r="X389" t="str">
        <f>IF(Sales[[#This Row],[Quantity]]&gt;=15,"Large",IF(Sales[[#This Row],[Quantity]]=14,"Medium","Small"))</f>
        <v>Large</v>
      </c>
      <c r="Y389" t="str">
        <f>IF(AND(Sales[[#This Row],[Unit Price (₦)]]&gt;68000,Sales[[#This Row],[Quantity]]&gt;15),"Offer Discount", "No Discount")</f>
        <v>Offer Discount</v>
      </c>
    </row>
    <row r="390" spans="1:25" ht="15" customHeight="1" x14ac:dyDescent="0.25">
      <c r="A390" t="s">
        <v>597</v>
      </c>
      <c r="B390" s="8">
        <v>45176</v>
      </c>
      <c r="C390" s="8">
        <v>45180</v>
      </c>
      <c r="D390" t="s">
        <v>73</v>
      </c>
      <c r="E390" t="s">
        <v>3065</v>
      </c>
      <c r="F390" t="s">
        <v>3096</v>
      </c>
      <c r="G390" t="s">
        <v>599</v>
      </c>
      <c r="H390">
        <v>8134780654</v>
      </c>
      <c r="I390" t="s">
        <v>43</v>
      </c>
      <c r="J390" t="s">
        <v>51</v>
      </c>
      <c r="K390" t="s">
        <v>316</v>
      </c>
      <c r="L390" t="s">
        <v>63</v>
      </c>
      <c r="M390" t="s">
        <v>194</v>
      </c>
      <c r="N390" t="s">
        <v>336</v>
      </c>
      <c r="O390">
        <v>2</v>
      </c>
      <c r="P390">
        <v>20241.52</v>
      </c>
      <c r="Q390">
        <v>25</v>
      </c>
      <c r="R390" s="39">
        <v>10120.76</v>
      </c>
      <c r="S390" s="39">
        <v>30362.28</v>
      </c>
      <c r="T390" s="39">
        <v>2963.56</v>
      </c>
      <c r="U390" t="str">
        <f t="shared" si="14"/>
        <v>Office Supplies</v>
      </c>
      <c r="V390">
        <f t="shared" si="15"/>
        <v>2963.56</v>
      </c>
      <c r="W390" t="str">
        <f>IF(Sales[[#This Row],[Quantity]]&gt;=15, "Large","Small")</f>
        <v>Small</v>
      </c>
      <c r="X390" t="str">
        <f>IF(Sales[[#This Row],[Quantity]]&gt;=15,"Large",IF(Sales[[#This Row],[Quantity]]=14,"Medium","Small"))</f>
        <v>Small</v>
      </c>
      <c r="Y390" t="str">
        <f>IF(AND(Sales[[#This Row],[Unit Price (₦)]]&gt;68000,Sales[[#This Row],[Quantity]]&gt;15),"Offer Discount", "No Discount")</f>
        <v>No Discount</v>
      </c>
    </row>
    <row r="391" spans="1:25" ht="15" customHeight="1" x14ac:dyDescent="0.25">
      <c r="A391" t="s">
        <v>2673</v>
      </c>
      <c r="B391" s="8">
        <v>45177</v>
      </c>
      <c r="C391" s="8">
        <v>45180</v>
      </c>
      <c r="D391" t="s">
        <v>73</v>
      </c>
      <c r="E391" t="s">
        <v>3058</v>
      </c>
      <c r="F391" t="s">
        <v>3046</v>
      </c>
      <c r="G391" t="s">
        <v>2674</v>
      </c>
      <c r="H391">
        <v>8039559668</v>
      </c>
      <c r="I391" t="s">
        <v>35</v>
      </c>
      <c r="J391" t="s">
        <v>25</v>
      </c>
      <c r="K391" t="s">
        <v>126</v>
      </c>
      <c r="L391" t="s">
        <v>96</v>
      </c>
      <c r="M391" t="s">
        <v>120</v>
      </c>
      <c r="N391" t="s">
        <v>121</v>
      </c>
      <c r="O391">
        <v>19</v>
      </c>
      <c r="P391">
        <v>304671.37</v>
      </c>
      <c r="Q391">
        <v>25</v>
      </c>
      <c r="R391" s="39">
        <v>1447189.01</v>
      </c>
      <c r="S391" s="39">
        <v>4341567.0199999996</v>
      </c>
      <c r="T391" s="39">
        <v>-628161.81999999995</v>
      </c>
      <c r="U391" t="str">
        <f t="shared" si="14"/>
        <v>Technology</v>
      </c>
      <c r="V391">
        <f t="shared" si="15"/>
        <v>628161.81999999995</v>
      </c>
      <c r="W391" t="str">
        <f>IF(Sales[[#This Row],[Quantity]]&gt;=15, "Large","Small")</f>
        <v>Large</v>
      </c>
      <c r="X391" t="str">
        <f>IF(Sales[[#This Row],[Quantity]]&gt;=15,"Large",IF(Sales[[#This Row],[Quantity]]=14,"Medium","Small"))</f>
        <v>Large</v>
      </c>
      <c r="Y391" t="str">
        <f>IF(AND(Sales[[#This Row],[Unit Price (₦)]]&gt;68000,Sales[[#This Row],[Quantity]]&gt;15),"Offer Discount", "No Discount")</f>
        <v>Offer Discount</v>
      </c>
    </row>
    <row r="392" spans="1:25" ht="15" customHeight="1" x14ac:dyDescent="0.25">
      <c r="A392" t="s">
        <v>1502</v>
      </c>
      <c r="B392" s="8">
        <v>45187</v>
      </c>
      <c r="C392" s="8">
        <v>45191</v>
      </c>
      <c r="D392" t="s">
        <v>73</v>
      </c>
      <c r="E392" t="s">
        <v>3094</v>
      </c>
      <c r="F392" t="s">
        <v>3050</v>
      </c>
      <c r="G392" t="s">
        <v>1504</v>
      </c>
      <c r="H392">
        <v>8105187652</v>
      </c>
      <c r="I392" t="s">
        <v>43</v>
      </c>
      <c r="J392" t="s">
        <v>61</v>
      </c>
      <c r="K392" t="s">
        <v>95</v>
      </c>
      <c r="L392" t="s">
        <v>27</v>
      </c>
      <c r="M392" t="s">
        <v>354</v>
      </c>
      <c r="N392" t="s">
        <v>789</v>
      </c>
      <c r="O392">
        <v>11</v>
      </c>
      <c r="P392">
        <v>5580.3</v>
      </c>
      <c r="Q392">
        <v>20</v>
      </c>
      <c r="R392" s="39">
        <v>12276.66</v>
      </c>
      <c r="S392" s="39">
        <v>49106.64</v>
      </c>
      <c r="T392" s="39">
        <v>6728.56</v>
      </c>
      <c r="U392" t="str">
        <f t="shared" si="14"/>
        <v>Food &amp; Beverages</v>
      </c>
      <c r="V392">
        <f t="shared" si="15"/>
        <v>6728.56</v>
      </c>
      <c r="W392" t="str">
        <f>IF(Sales[[#This Row],[Quantity]]&gt;=15, "Large","Small")</f>
        <v>Small</v>
      </c>
      <c r="X392" t="str">
        <f>IF(Sales[[#This Row],[Quantity]]&gt;=15,"Large",IF(Sales[[#This Row],[Quantity]]=14,"Medium","Small"))</f>
        <v>Small</v>
      </c>
      <c r="Y392" t="str">
        <f>IF(AND(Sales[[#This Row],[Unit Price (₦)]]&gt;68000,Sales[[#This Row],[Quantity]]&gt;15),"Offer Discount", "No Discount")</f>
        <v>No Discount</v>
      </c>
    </row>
    <row r="393" spans="1:25" ht="15" customHeight="1" x14ac:dyDescent="0.25">
      <c r="A393" t="s">
        <v>2146</v>
      </c>
      <c r="B393" s="8">
        <v>45186</v>
      </c>
      <c r="C393" s="8">
        <v>45191</v>
      </c>
      <c r="D393" t="s">
        <v>73</v>
      </c>
      <c r="E393" t="s">
        <v>3060</v>
      </c>
      <c r="F393" t="s">
        <v>3052</v>
      </c>
      <c r="G393" t="s">
        <v>2148</v>
      </c>
      <c r="H393">
        <v>7033381714</v>
      </c>
      <c r="I393" t="s">
        <v>24</v>
      </c>
      <c r="J393" t="s">
        <v>61</v>
      </c>
      <c r="K393" t="s">
        <v>62</v>
      </c>
      <c r="L393" t="s">
        <v>96</v>
      </c>
      <c r="M393" t="s">
        <v>385</v>
      </c>
      <c r="N393" t="s">
        <v>942</v>
      </c>
      <c r="O393">
        <v>15</v>
      </c>
      <c r="P393">
        <v>297710.02</v>
      </c>
      <c r="Q393">
        <v>0</v>
      </c>
      <c r="R393" s="39">
        <v>0</v>
      </c>
      <c r="S393" s="39">
        <v>4465650.3</v>
      </c>
      <c r="T393" s="39">
        <v>-612804.26</v>
      </c>
      <c r="U393" t="str">
        <f t="shared" si="14"/>
        <v>Technology</v>
      </c>
      <c r="V393">
        <f t="shared" si="15"/>
        <v>612804.26</v>
      </c>
      <c r="W393" t="str">
        <f>IF(Sales[[#This Row],[Quantity]]&gt;=15, "Large","Small")</f>
        <v>Large</v>
      </c>
      <c r="X393" t="str">
        <f>IF(Sales[[#This Row],[Quantity]]&gt;=15,"Large",IF(Sales[[#This Row],[Quantity]]=14,"Medium","Small"))</f>
        <v>Large</v>
      </c>
      <c r="Y393" t="str">
        <f>IF(AND(Sales[[#This Row],[Unit Price (₦)]]&gt;68000,Sales[[#This Row],[Quantity]]&gt;15),"Offer Discount", "No Discount")</f>
        <v>No Discount</v>
      </c>
    </row>
    <row r="394" spans="1:25" ht="15" customHeight="1" x14ac:dyDescent="0.25">
      <c r="A394" t="s">
        <v>434</v>
      </c>
      <c r="B394" s="8">
        <v>45195</v>
      </c>
      <c r="C394" s="8">
        <v>45199</v>
      </c>
      <c r="D394" t="s">
        <v>73</v>
      </c>
      <c r="E394" t="s">
        <v>3050</v>
      </c>
      <c r="F394" t="s">
        <v>3039</v>
      </c>
      <c r="G394" t="s">
        <v>436</v>
      </c>
      <c r="H394">
        <v>8145727345</v>
      </c>
      <c r="I394" t="s">
        <v>35</v>
      </c>
      <c r="J394" t="s">
        <v>51</v>
      </c>
      <c r="K394" t="s">
        <v>316</v>
      </c>
      <c r="L394" t="s">
        <v>108</v>
      </c>
      <c r="M394" t="s">
        <v>189</v>
      </c>
      <c r="N394" t="s">
        <v>205</v>
      </c>
      <c r="O394">
        <v>6</v>
      </c>
      <c r="P394">
        <v>20002.419999999998</v>
      </c>
      <c r="Q394">
        <v>5</v>
      </c>
      <c r="R394" s="39">
        <v>6000.73</v>
      </c>
      <c r="S394" s="39">
        <v>114013.79</v>
      </c>
      <c r="T394" s="39">
        <v>37710.69</v>
      </c>
      <c r="U394" t="str">
        <f t="shared" si="14"/>
        <v>Clothing</v>
      </c>
      <c r="V394">
        <f t="shared" si="15"/>
        <v>37710.69</v>
      </c>
      <c r="W394" t="str">
        <f>IF(Sales[[#This Row],[Quantity]]&gt;=15, "Large","Small")</f>
        <v>Small</v>
      </c>
      <c r="X394" t="str">
        <f>IF(Sales[[#This Row],[Quantity]]&gt;=15,"Large",IF(Sales[[#This Row],[Quantity]]=14,"Medium","Small"))</f>
        <v>Small</v>
      </c>
      <c r="Y394" t="str">
        <f>IF(AND(Sales[[#This Row],[Unit Price (₦)]]&gt;68000,Sales[[#This Row],[Quantity]]&gt;15),"Offer Discount", "No Discount")</f>
        <v>No Discount</v>
      </c>
    </row>
    <row r="395" spans="1:25" ht="15" customHeight="1" x14ac:dyDescent="0.25">
      <c r="A395" t="s">
        <v>1957</v>
      </c>
      <c r="B395" s="8">
        <v>45195</v>
      </c>
      <c r="C395" s="8">
        <v>45200</v>
      </c>
      <c r="D395" t="s">
        <v>73</v>
      </c>
      <c r="E395" t="s">
        <v>3081</v>
      </c>
      <c r="F395" t="s">
        <v>3083</v>
      </c>
      <c r="G395" t="s">
        <v>1959</v>
      </c>
      <c r="H395">
        <v>8146263326</v>
      </c>
      <c r="I395" t="s">
        <v>35</v>
      </c>
      <c r="J395" t="s">
        <v>69</v>
      </c>
      <c r="K395" t="s">
        <v>307</v>
      </c>
      <c r="L395" t="s">
        <v>85</v>
      </c>
      <c r="M395" t="s">
        <v>243</v>
      </c>
      <c r="N395" t="s">
        <v>613</v>
      </c>
      <c r="O395">
        <v>19</v>
      </c>
      <c r="P395">
        <v>19723.84</v>
      </c>
      <c r="Q395">
        <v>10</v>
      </c>
      <c r="R395" s="39">
        <v>37475.300000000003</v>
      </c>
      <c r="S395" s="39">
        <v>337277.66</v>
      </c>
      <c r="T395" s="39">
        <v>20918.330000000002</v>
      </c>
      <c r="U395" t="str">
        <f t="shared" si="14"/>
        <v>Furniture</v>
      </c>
      <c r="V395">
        <f t="shared" si="15"/>
        <v>20918.330000000002</v>
      </c>
      <c r="W395" t="str">
        <f>IF(Sales[[#This Row],[Quantity]]&gt;=15, "Large","Small")</f>
        <v>Large</v>
      </c>
      <c r="X395" t="str">
        <f>IF(Sales[[#This Row],[Quantity]]&gt;=15,"Large",IF(Sales[[#This Row],[Quantity]]=14,"Medium","Small"))</f>
        <v>Large</v>
      </c>
      <c r="Y395" t="str">
        <f>IF(AND(Sales[[#This Row],[Unit Price (₦)]]&gt;68000,Sales[[#This Row],[Quantity]]&gt;15),"Offer Discount", "No Discount")</f>
        <v>No Discount</v>
      </c>
    </row>
    <row r="396" spans="1:25" ht="15" customHeight="1" x14ac:dyDescent="0.25">
      <c r="A396" t="s">
        <v>2688</v>
      </c>
      <c r="B396" s="8">
        <v>45203</v>
      </c>
      <c r="C396" s="8">
        <v>45207</v>
      </c>
      <c r="D396" t="s">
        <v>73</v>
      </c>
      <c r="E396" t="s">
        <v>3059</v>
      </c>
      <c r="F396" t="s">
        <v>3057</v>
      </c>
      <c r="G396" t="s">
        <v>2690</v>
      </c>
      <c r="H396">
        <v>7036139660</v>
      </c>
      <c r="I396" t="s">
        <v>24</v>
      </c>
      <c r="J396" t="s">
        <v>51</v>
      </c>
      <c r="K396" t="s">
        <v>223</v>
      </c>
      <c r="L396" t="s">
        <v>85</v>
      </c>
      <c r="M396" t="s">
        <v>243</v>
      </c>
      <c r="N396" t="s">
        <v>244</v>
      </c>
      <c r="O396">
        <v>9</v>
      </c>
      <c r="P396">
        <v>124289.22</v>
      </c>
      <c r="Q396">
        <v>10</v>
      </c>
      <c r="R396" s="39">
        <v>111860.3</v>
      </c>
      <c r="S396" s="39">
        <v>1006742.68</v>
      </c>
      <c r="T396" s="39">
        <v>210063.21</v>
      </c>
      <c r="U396" t="str">
        <f t="shared" si="14"/>
        <v>Furniture</v>
      </c>
      <c r="V396">
        <f t="shared" si="15"/>
        <v>210063.21</v>
      </c>
      <c r="W396" t="str">
        <f>IF(Sales[[#This Row],[Quantity]]&gt;=15, "Large","Small")</f>
        <v>Small</v>
      </c>
      <c r="X396" t="str">
        <f>IF(Sales[[#This Row],[Quantity]]&gt;=15,"Large",IF(Sales[[#This Row],[Quantity]]=14,"Medium","Small"))</f>
        <v>Small</v>
      </c>
      <c r="Y396" t="str">
        <f>IF(AND(Sales[[#This Row],[Unit Price (₦)]]&gt;68000,Sales[[#This Row],[Quantity]]&gt;15),"Offer Discount", "No Discount")</f>
        <v>No Discount</v>
      </c>
    </row>
    <row r="397" spans="1:25" ht="15" customHeight="1" x14ac:dyDescent="0.25">
      <c r="A397" t="s">
        <v>2508</v>
      </c>
      <c r="B397" s="8">
        <v>45204</v>
      </c>
      <c r="C397" s="8">
        <v>45209</v>
      </c>
      <c r="D397" t="s">
        <v>73</v>
      </c>
      <c r="E397" t="s">
        <v>3087</v>
      </c>
      <c r="F397" t="s">
        <v>3077</v>
      </c>
      <c r="G397" t="s">
        <v>2510</v>
      </c>
      <c r="H397">
        <v>8036082589</v>
      </c>
      <c r="I397" t="s">
        <v>24</v>
      </c>
      <c r="J397" t="s">
        <v>51</v>
      </c>
      <c r="K397" t="s">
        <v>227</v>
      </c>
      <c r="L397" t="s">
        <v>108</v>
      </c>
      <c r="M397" t="s">
        <v>109</v>
      </c>
      <c r="N397" t="s">
        <v>157</v>
      </c>
      <c r="O397">
        <v>2</v>
      </c>
      <c r="P397">
        <v>43460.05</v>
      </c>
      <c r="Q397">
        <v>15</v>
      </c>
      <c r="R397" s="39">
        <v>13038.01</v>
      </c>
      <c r="S397" s="39">
        <v>73882.09</v>
      </c>
      <c r="T397" s="39">
        <v>21656.62</v>
      </c>
      <c r="U397" t="str">
        <f t="shared" si="14"/>
        <v>Clothing</v>
      </c>
      <c r="V397">
        <f t="shared" si="15"/>
        <v>21656.62</v>
      </c>
      <c r="W397" t="str">
        <f>IF(Sales[[#This Row],[Quantity]]&gt;=15, "Large","Small")</f>
        <v>Small</v>
      </c>
      <c r="X397" t="str">
        <f>IF(Sales[[#This Row],[Quantity]]&gt;=15,"Large",IF(Sales[[#This Row],[Quantity]]=14,"Medium","Small"))</f>
        <v>Small</v>
      </c>
      <c r="Y397" t="str">
        <f>IF(AND(Sales[[#This Row],[Unit Price (₦)]]&gt;68000,Sales[[#This Row],[Quantity]]&gt;15),"Offer Discount", "No Discount")</f>
        <v>No Discount</v>
      </c>
    </row>
    <row r="398" spans="1:25" ht="15" customHeight="1" x14ac:dyDescent="0.25">
      <c r="A398" t="s">
        <v>1051</v>
      </c>
      <c r="B398" s="8">
        <v>45208</v>
      </c>
      <c r="C398" s="8">
        <v>45212</v>
      </c>
      <c r="D398" t="s">
        <v>73</v>
      </c>
      <c r="E398" t="s">
        <v>3097</v>
      </c>
      <c r="F398" t="s">
        <v>3075</v>
      </c>
      <c r="G398" t="s">
        <v>1053</v>
      </c>
      <c r="H398">
        <v>9015418274</v>
      </c>
      <c r="I398" t="s">
        <v>24</v>
      </c>
      <c r="J398" t="s">
        <v>69</v>
      </c>
      <c r="K398" t="s">
        <v>119</v>
      </c>
      <c r="L398" t="s">
        <v>85</v>
      </c>
      <c r="M398" t="s">
        <v>243</v>
      </c>
      <c r="N398" t="s">
        <v>1054</v>
      </c>
      <c r="O398">
        <v>11</v>
      </c>
      <c r="P398">
        <v>76616.070000000007</v>
      </c>
      <c r="Q398">
        <v>0</v>
      </c>
      <c r="R398" s="39">
        <v>0</v>
      </c>
      <c r="S398" s="39">
        <v>842776.77</v>
      </c>
      <c r="T398" s="39">
        <v>154001.35999999999</v>
      </c>
      <c r="U398" t="str">
        <f t="shared" si="14"/>
        <v>Furniture</v>
      </c>
      <c r="V398">
        <f t="shared" si="15"/>
        <v>154001.35999999999</v>
      </c>
      <c r="W398" t="str">
        <f>IF(Sales[[#This Row],[Quantity]]&gt;=15, "Large","Small")</f>
        <v>Small</v>
      </c>
      <c r="X398" t="str">
        <f>IF(Sales[[#This Row],[Quantity]]&gt;=15,"Large",IF(Sales[[#This Row],[Quantity]]=14,"Medium","Small"))</f>
        <v>Small</v>
      </c>
      <c r="Y398" t="str">
        <f>IF(AND(Sales[[#This Row],[Unit Price (₦)]]&gt;68000,Sales[[#This Row],[Quantity]]&gt;15),"Offer Discount", "No Discount")</f>
        <v>No Discount</v>
      </c>
    </row>
    <row r="399" spans="1:25" ht="15" customHeight="1" x14ac:dyDescent="0.25">
      <c r="A399" t="s">
        <v>1973</v>
      </c>
      <c r="B399" s="8">
        <v>45217</v>
      </c>
      <c r="C399" s="8">
        <v>45222</v>
      </c>
      <c r="D399" t="s">
        <v>73</v>
      </c>
      <c r="E399" t="s">
        <v>3063</v>
      </c>
      <c r="F399" t="s">
        <v>3088</v>
      </c>
      <c r="G399" t="s">
        <v>1975</v>
      </c>
      <c r="H399">
        <v>8037064842</v>
      </c>
      <c r="I399" t="s">
        <v>24</v>
      </c>
      <c r="J399" t="s">
        <v>69</v>
      </c>
      <c r="K399" t="s">
        <v>119</v>
      </c>
      <c r="L399" t="s">
        <v>108</v>
      </c>
      <c r="M399" t="s">
        <v>183</v>
      </c>
      <c r="N399" t="s">
        <v>372</v>
      </c>
      <c r="O399">
        <v>1</v>
      </c>
      <c r="P399">
        <v>4325.33</v>
      </c>
      <c r="Q399">
        <v>15</v>
      </c>
      <c r="R399" s="39">
        <v>648.79999999999995</v>
      </c>
      <c r="S399" s="39">
        <v>3676.53</v>
      </c>
      <c r="T399" s="39">
        <v>43.78</v>
      </c>
      <c r="U399" t="str">
        <f t="shared" si="14"/>
        <v>Clothing</v>
      </c>
      <c r="V399">
        <f t="shared" si="15"/>
        <v>43.78</v>
      </c>
      <c r="W399" t="str">
        <f>IF(Sales[[#This Row],[Quantity]]&gt;=15, "Large","Small")</f>
        <v>Small</v>
      </c>
      <c r="X399" t="str">
        <f>IF(Sales[[#This Row],[Quantity]]&gt;=15,"Large",IF(Sales[[#This Row],[Quantity]]=14,"Medium","Small"))</f>
        <v>Small</v>
      </c>
      <c r="Y399" t="str">
        <f>IF(AND(Sales[[#This Row],[Unit Price (₦)]]&gt;68000,Sales[[#This Row],[Quantity]]&gt;15),"Offer Discount", "No Discount")</f>
        <v>No Discount</v>
      </c>
    </row>
    <row r="400" spans="1:25" ht="15" customHeight="1" x14ac:dyDescent="0.25">
      <c r="A400" t="s">
        <v>415</v>
      </c>
      <c r="B400" s="8">
        <v>45220</v>
      </c>
      <c r="C400" s="8">
        <v>45225</v>
      </c>
      <c r="D400" t="s">
        <v>73</v>
      </c>
      <c r="E400" t="s">
        <v>3055</v>
      </c>
      <c r="F400" t="s">
        <v>3075</v>
      </c>
      <c r="G400" t="s">
        <v>418</v>
      </c>
      <c r="H400">
        <v>8038558523</v>
      </c>
      <c r="I400" t="s">
        <v>24</v>
      </c>
      <c r="J400" t="s">
        <v>25</v>
      </c>
      <c r="K400" t="s">
        <v>3127</v>
      </c>
      <c r="L400" t="s">
        <v>96</v>
      </c>
      <c r="M400" t="s">
        <v>97</v>
      </c>
      <c r="N400" t="s">
        <v>98</v>
      </c>
      <c r="O400">
        <v>6</v>
      </c>
      <c r="P400">
        <v>234478.82</v>
      </c>
      <c r="Q400">
        <v>0</v>
      </c>
      <c r="R400" s="39">
        <v>0</v>
      </c>
      <c r="S400" s="39">
        <v>1406872.92</v>
      </c>
      <c r="T400" s="39">
        <v>-1904.58</v>
      </c>
      <c r="U400" t="str">
        <f t="shared" si="14"/>
        <v>Technology</v>
      </c>
      <c r="V400">
        <f t="shared" si="15"/>
        <v>1904.58</v>
      </c>
      <c r="W400" t="str">
        <f>IF(Sales[[#This Row],[Quantity]]&gt;=15, "Large","Small")</f>
        <v>Small</v>
      </c>
      <c r="X400" t="str">
        <f>IF(Sales[[#This Row],[Quantity]]&gt;=15,"Large",IF(Sales[[#This Row],[Quantity]]=14,"Medium","Small"))</f>
        <v>Small</v>
      </c>
      <c r="Y400" t="str">
        <f>IF(AND(Sales[[#This Row],[Unit Price (₦)]]&gt;68000,Sales[[#This Row],[Quantity]]&gt;15),"Offer Discount", "No Discount")</f>
        <v>No Discount</v>
      </c>
    </row>
    <row r="401" spans="1:25" ht="15" customHeight="1" x14ac:dyDescent="0.25">
      <c r="A401" t="s">
        <v>1417</v>
      </c>
      <c r="B401" s="8">
        <v>45222</v>
      </c>
      <c r="C401" s="8">
        <v>45226</v>
      </c>
      <c r="D401" t="s">
        <v>73</v>
      </c>
      <c r="E401" t="s">
        <v>3093</v>
      </c>
      <c r="F401" t="s">
        <v>3036</v>
      </c>
      <c r="G401" t="s">
        <v>609</v>
      </c>
      <c r="H401">
        <v>8069966085</v>
      </c>
      <c r="I401" t="s">
        <v>24</v>
      </c>
      <c r="J401" t="s">
        <v>61</v>
      </c>
      <c r="K401" t="s">
        <v>95</v>
      </c>
      <c r="L401" t="s">
        <v>27</v>
      </c>
      <c r="M401" t="s">
        <v>45</v>
      </c>
      <c r="N401" t="s">
        <v>523</v>
      </c>
      <c r="O401">
        <v>17</v>
      </c>
      <c r="P401">
        <v>399.31</v>
      </c>
      <c r="Q401">
        <v>10</v>
      </c>
      <c r="R401" s="39">
        <v>678.83</v>
      </c>
      <c r="S401" s="39">
        <v>6109.44</v>
      </c>
      <c r="T401" s="39">
        <v>450.93</v>
      </c>
      <c r="U401" t="str">
        <f t="shared" si="14"/>
        <v>Food &amp; Beverages</v>
      </c>
      <c r="V401">
        <f t="shared" si="15"/>
        <v>450.93</v>
      </c>
      <c r="W401" t="str">
        <f>IF(Sales[[#This Row],[Quantity]]&gt;=15, "Large","Small")</f>
        <v>Large</v>
      </c>
      <c r="X401" t="str">
        <f>IF(Sales[[#This Row],[Quantity]]&gt;=15,"Large",IF(Sales[[#This Row],[Quantity]]=14,"Medium","Small"))</f>
        <v>Large</v>
      </c>
      <c r="Y401" t="str">
        <f>IF(AND(Sales[[#This Row],[Unit Price (₦)]]&gt;68000,Sales[[#This Row],[Quantity]]&gt;15),"Offer Discount", "No Discount")</f>
        <v>No Discount</v>
      </c>
    </row>
    <row r="402" spans="1:25" ht="15" customHeight="1" x14ac:dyDescent="0.25">
      <c r="A402" t="s">
        <v>956</v>
      </c>
      <c r="B402" s="8">
        <v>45222</v>
      </c>
      <c r="C402" s="8">
        <v>45227</v>
      </c>
      <c r="D402" t="s">
        <v>73</v>
      </c>
      <c r="E402" t="s">
        <v>3087</v>
      </c>
      <c r="F402" t="s">
        <v>3096</v>
      </c>
      <c r="G402" t="s">
        <v>958</v>
      </c>
      <c r="H402">
        <v>8147007679</v>
      </c>
      <c r="I402" t="s">
        <v>959</v>
      </c>
      <c r="J402" t="s">
        <v>69</v>
      </c>
      <c r="K402" t="s">
        <v>119</v>
      </c>
      <c r="L402" t="s">
        <v>96</v>
      </c>
      <c r="M402" t="s">
        <v>97</v>
      </c>
      <c r="N402" t="s">
        <v>169</v>
      </c>
      <c r="O402">
        <v>6</v>
      </c>
      <c r="P402">
        <v>110683.48</v>
      </c>
      <c r="Q402">
        <v>25</v>
      </c>
      <c r="R402" s="39">
        <v>166025.22</v>
      </c>
      <c r="S402" s="39">
        <v>498075.66</v>
      </c>
      <c r="T402" s="39">
        <v>-54337.13</v>
      </c>
      <c r="U402" t="str">
        <f t="shared" si="14"/>
        <v>Technology</v>
      </c>
      <c r="V402">
        <f t="shared" si="15"/>
        <v>54337.13</v>
      </c>
      <c r="W402" t="str">
        <f>IF(Sales[[#This Row],[Quantity]]&gt;=15, "Large","Small")</f>
        <v>Small</v>
      </c>
      <c r="X402" t="str">
        <f>IF(Sales[[#This Row],[Quantity]]&gt;=15,"Large",IF(Sales[[#This Row],[Quantity]]=14,"Medium","Small"))</f>
        <v>Small</v>
      </c>
      <c r="Y402" t="str">
        <f>IF(AND(Sales[[#This Row],[Unit Price (₦)]]&gt;68000,Sales[[#This Row],[Quantity]]&gt;15),"Offer Discount", "No Discount")</f>
        <v>No Discount</v>
      </c>
    </row>
    <row r="403" spans="1:25" ht="15" customHeight="1" x14ac:dyDescent="0.25">
      <c r="A403" t="s">
        <v>2379</v>
      </c>
      <c r="B403" s="8">
        <v>45225</v>
      </c>
      <c r="C403" s="8">
        <v>45228</v>
      </c>
      <c r="D403" t="s">
        <v>73</v>
      </c>
      <c r="E403" t="s">
        <v>3050</v>
      </c>
      <c r="F403" t="s">
        <v>3096</v>
      </c>
      <c r="G403" t="s">
        <v>2381</v>
      </c>
      <c r="H403">
        <v>9023881944</v>
      </c>
      <c r="I403" t="s">
        <v>35</v>
      </c>
      <c r="J403" t="s">
        <v>51</v>
      </c>
      <c r="K403" t="s">
        <v>227</v>
      </c>
      <c r="L403" t="s">
        <v>85</v>
      </c>
      <c r="M403" t="s">
        <v>266</v>
      </c>
      <c r="N403" t="s">
        <v>803</v>
      </c>
      <c r="O403">
        <v>17</v>
      </c>
      <c r="P403">
        <v>64017.18</v>
      </c>
      <c r="Q403">
        <v>20</v>
      </c>
      <c r="R403" s="39">
        <v>217658.41</v>
      </c>
      <c r="S403" s="39">
        <v>870633.65</v>
      </c>
      <c r="T403" s="39">
        <v>210775.51</v>
      </c>
      <c r="U403" t="str">
        <f t="shared" si="14"/>
        <v>Furniture</v>
      </c>
      <c r="V403">
        <f t="shared" si="15"/>
        <v>210775.51</v>
      </c>
      <c r="W403" t="str">
        <f>IF(Sales[[#This Row],[Quantity]]&gt;=15, "Large","Small")</f>
        <v>Large</v>
      </c>
      <c r="X403" t="str">
        <f>IF(Sales[[#This Row],[Quantity]]&gt;=15,"Large",IF(Sales[[#This Row],[Quantity]]=14,"Medium","Small"))</f>
        <v>Large</v>
      </c>
      <c r="Y403" t="str">
        <f>IF(AND(Sales[[#This Row],[Unit Price (₦)]]&gt;68000,Sales[[#This Row],[Quantity]]&gt;15),"Offer Discount", "No Discount")</f>
        <v>No Discount</v>
      </c>
    </row>
    <row r="404" spans="1:25" ht="15" customHeight="1" x14ac:dyDescent="0.25">
      <c r="A404" t="s">
        <v>1983</v>
      </c>
      <c r="B404" s="8">
        <v>45225</v>
      </c>
      <c r="C404" s="8">
        <v>45230</v>
      </c>
      <c r="D404" t="s">
        <v>73</v>
      </c>
      <c r="E404" t="s">
        <v>3041</v>
      </c>
      <c r="F404" t="s">
        <v>3046</v>
      </c>
      <c r="G404" t="s">
        <v>1984</v>
      </c>
      <c r="H404">
        <v>8143474414</v>
      </c>
      <c r="I404" t="s">
        <v>24</v>
      </c>
      <c r="J404" t="s">
        <v>61</v>
      </c>
      <c r="K404" t="s">
        <v>95</v>
      </c>
      <c r="L404" t="s">
        <v>108</v>
      </c>
      <c r="M404" t="s">
        <v>38</v>
      </c>
      <c r="N404" t="s">
        <v>519</v>
      </c>
      <c r="O404">
        <v>14</v>
      </c>
      <c r="P404">
        <v>36056.720000000001</v>
      </c>
      <c r="Q404">
        <v>10</v>
      </c>
      <c r="R404" s="39">
        <v>50479.41</v>
      </c>
      <c r="S404" s="39">
        <v>454314.67</v>
      </c>
      <c r="T404" s="39">
        <v>73787.53</v>
      </c>
      <c r="U404" t="str">
        <f t="shared" si="14"/>
        <v>Clothing</v>
      </c>
      <c r="V404">
        <f t="shared" si="15"/>
        <v>73787.53</v>
      </c>
      <c r="W404" t="str">
        <f>IF(Sales[[#This Row],[Quantity]]&gt;=15, "Large","Small")</f>
        <v>Small</v>
      </c>
      <c r="X404" t="str">
        <f>IF(Sales[[#This Row],[Quantity]]&gt;=15,"Large",IF(Sales[[#This Row],[Quantity]]=14,"Medium","Small"))</f>
        <v>Medium</v>
      </c>
      <c r="Y404" t="str">
        <f>IF(AND(Sales[[#This Row],[Unit Price (₦)]]&gt;68000,Sales[[#This Row],[Quantity]]&gt;15),"Offer Discount", "No Discount")</f>
        <v>No Discount</v>
      </c>
    </row>
    <row r="405" spans="1:25" ht="15" customHeight="1" x14ac:dyDescent="0.25">
      <c r="A405" t="s">
        <v>2779</v>
      </c>
      <c r="B405" s="8">
        <v>45231</v>
      </c>
      <c r="C405" s="8">
        <v>45236</v>
      </c>
      <c r="D405" t="s">
        <v>73</v>
      </c>
      <c r="E405" t="s">
        <v>3068</v>
      </c>
      <c r="F405" t="s">
        <v>3069</v>
      </c>
      <c r="G405" t="s">
        <v>2781</v>
      </c>
      <c r="H405">
        <v>9024086368</v>
      </c>
      <c r="I405" t="s">
        <v>43</v>
      </c>
      <c r="J405" t="s">
        <v>69</v>
      </c>
      <c r="K405" t="s">
        <v>144</v>
      </c>
      <c r="L405" t="s">
        <v>96</v>
      </c>
      <c r="M405" t="s">
        <v>385</v>
      </c>
      <c r="N405" t="s">
        <v>386</v>
      </c>
      <c r="O405">
        <v>16</v>
      </c>
      <c r="P405">
        <v>195873.45</v>
      </c>
      <c r="Q405">
        <v>10</v>
      </c>
      <c r="R405" s="39">
        <v>313397.52</v>
      </c>
      <c r="S405" s="39">
        <v>2820577.68</v>
      </c>
      <c r="T405" s="39">
        <v>-172335.42</v>
      </c>
      <c r="U405" t="str">
        <f t="shared" si="14"/>
        <v>Technology</v>
      </c>
      <c r="V405">
        <f t="shared" si="15"/>
        <v>172335.42</v>
      </c>
      <c r="W405" t="str">
        <f>IF(Sales[[#This Row],[Quantity]]&gt;=15, "Large","Small")</f>
        <v>Large</v>
      </c>
      <c r="X405" t="str">
        <f>IF(Sales[[#This Row],[Quantity]]&gt;=15,"Large",IF(Sales[[#This Row],[Quantity]]=14,"Medium","Small"))</f>
        <v>Large</v>
      </c>
      <c r="Y405" t="str">
        <f>IF(AND(Sales[[#This Row],[Unit Price (₦)]]&gt;68000,Sales[[#This Row],[Quantity]]&gt;15),"Offer Discount", "No Discount")</f>
        <v>Offer Discount</v>
      </c>
    </row>
    <row r="406" spans="1:25" ht="15" customHeight="1" x14ac:dyDescent="0.25">
      <c r="A406" t="s">
        <v>1892</v>
      </c>
      <c r="B406" s="8">
        <v>45240</v>
      </c>
      <c r="C406" s="8">
        <v>45244</v>
      </c>
      <c r="D406" t="s">
        <v>73</v>
      </c>
      <c r="E406" t="s">
        <v>3073</v>
      </c>
      <c r="F406" t="s">
        <v>3034</v>
      </c>
      <c r="G406" t="s">
        <v>1894</v>
      </c>
      <c r="H406">
        <v>8135629621</v>
      </c>
      <c r="I406" t="s">
        <v>24</v>
      </c>
      <c r="J406" t="s">
        <v>25</v>
      </c>
      <c r="K406" t="s">
        <v>26</v>
      </c>
      <c r="L406" t="s">
        <v>841</v>
      </c>
      <c r="M406" t="s">
        <v>266</v>
      </c>
      <c r="N406" t="s">
        <v>952</v>
      </c>
      <c r="O406">
        <v>4</v>
      </c>
      <c r="P406">
        <v>23003.759999999998</v>
      </c>
      <c r="Q406">
        <v>0</v>
      </c>
      <c r="R406" s="39">
        <v>0</v>
      </c>
      <c r="S406" s="39">
        <v>92015.039999999994</v>
      </c>
      <c r="T406" s="39">
        <v>20955.060000000001</v>
      </c>
      <c r="U406" t="str">
        <f t="shared" si="14"/>
        <v>Furniture</v>
      </c>
      <c r="V406">
        <f t="shared" si="15"/>
        <v>20955.060000000001</v>
      </c>
      <c r="W406" t="str">
        <f>IF(Sales[[#This Row],[Quantity]]&gt;=15, "Large","Small")</f>
        <v>Small</v>
      </c>
      <c r="X406" t="str">
        <f>IF(Sales[[#This Row],[Quantity]]&gt;=15,"Large",IF(Sales[[#This Row],[Quantity]]=14,"Medium","Small"))</f>
        <v>Small</v>
      </c>
      <c r="Y406" t="str">
        <f>IF(AND(Sales[[#This Row],[Unit Price (₦)]]&gt;68000,Sales[[#This Row],[Quantity]]&gt;15),"Offer Discount", "No Discount")</f>
        <v>No Discount</v>
      </c>
    </row>
    <row r="407" spans="1:25" ht="15" customHeight="1" x14ac:dyDescent="0.25">
      <c r="A407" t="s">
        <v>423</v>
      </c>
      <c r="B407" s="8">
        <v>45244</v>
      </c>
      <c r="C407" s="8">
        <v>45247</v>
      </c>
      <c r="D407" t="s">
        <v>73</v>
      </c>
      <c r="E407" t="s">
        <v>3035</v>
      </c>
      <c r="F407" t="s">
        <v>3069</v>
      </c>
      <c r="G407" t="s">
        <v>425</v>
      </c>
      <c r="H407" t="s">
        <v>94</v>
      </c>
      <c r="I407" t="s">
        <v>24</v>
      </c>
      <c r="J407" t="s">
        <v>69</v>
      </c>
      <c r="K407" t="s">
        <v>223</v>
      </c>
      <c r="L407" t="s">
        <v>108</v>
      </c>
      <c r="M407" t="s">
        <v>109</v>
      </c>
      <c r="N407" t="s">
        <v>426</v>
      </c>
      <c r="O407">
        <v>-5</v>
      </c>
      <c r="P407">
        <v>32479.86</v>
      </c>
      <c r="Q407">
        <v>10</v>
      </c>
      <c r="R407" s="39">
        <v>9743.9599999999991</v>
      </c>
      <c r="S407" s="39">
        <v>87695.62</v>
      </c>
      <c r="T407" s="39">
        <v>16254.67</v>
      </c>
      <c r="U407" t="str">
        <f t="shared" si="14"/>
        <v>Clothing</v>
      </c>
      <c r="V407">
        <f t="shared" si="15"/>
        <v>16254.67</v>
      </c>
      <c r="W407" t="str">
        <f>IF(Sales[[#This Row],[Quantity]]&gt;=15, "Large","Small")</f>
        <v>Small</v>
      </c>
      <c r="X407" t="str">
        <f>IF(Sales[[#This Row],[Quantity]]&gt;=15,"Large",IF(Sales[[#This Row],[Quantity]]=14,"Medium","Small"))</f>
        <v>Small</v>
      </c>
      <c r="Y407" t="str">
        <f>IF(AND(Sales[[#This Row],[Unit Price (₦)]]&gt;68000,Sales[[#This Row],[Quantity]]&gt;15),"Offer Discount", "No Discount")</f>
        <v>No Discount</v>
      </c>
    </row>
    <row r="408" spans="1:25" ht="15" customHeight="1" x14ac:dyDescent="0.25">
      <c r="A408" t="s">
        <v>1340</v>
      </c>
      <c r="B408" s="8">
        <v>45249</v>
      </c>
      <c r="C408" s="8">
        <v>45252</v>
      </c>
      <c r="D408" t="s">
        <v>73</v>
      </c>
      <c r="E408" t="s">
        <v>3056</v>
      </c>
      <c r="F408" t="s">
        <v>3036</v>
      </c>
      <c r="G408" t="s">
        <v>1342</v>
      </c>
      <c r="H408">
        <v>9027965133</v>
      </c>
      <c r="I408" t="s">
        <v>24</v>
      </c>
      <c r="J408" t="s">
        <v>61</v>
      </c>
      <c r="K408" t="s">
        <v>95</v>
      </c>
      <c r="L408" t="s">
        <v>85</v>
      </c>
      <c r="M408" t="s">
        <v>243</v>
      </c>
      <c r="N408" t="s">
        <v>244</v>
      </c>
      <c r="O408">
        <v>8</v>
      </c>
      <c r="P408">
        <v>36381.050000000003</v>
      </c>
      <c r="Q408">
        <v>0</v>
      </c>
      <c r="R408" s="39">
        <v>0</v>
      </c>
      <c r="S408" s="39">
        <v>291048.40000000002</v>
      </c>
      <c r="T408" s="39">
        <v>-20366.830000000002</v>
      </c>
      <c r="U408" t="str">
        <f t="shared" si="14"/>
        <v>Furniture</v>
      </c>
      <c r="V408">
        <f t="shared" si="15"/>
        <v>20366.830000000002</v>
      </c>
      <c r="W408" t="str">
        <f>IF(Sales[[#This Row],[Quantity]]&gt;=15, "Large","Small")</f>
        <v>Small</v>
      </c>
      <c r="X408" t="str">
        <f>IF(Sales[[#This Row],[Quantity]]&gt;=15,"Large",IF(Sales[[#This Row],[Quantity]]=14,"Medium","Small"))</f>
        <v>Small</v>
      </c>
      <c r="Y408" t="str">
        <f>IF(AND(Sales[[#This Row],[Unit Price (₦)]]&gt;68000,Sales[[#This Row],[Quantity]]&gt;15),"Offer Discount", "No Discount")</f>
        <v>No Discount</v>
      </c>
    </row>
    <row r="409" spans="1:25" ht="15" customHeight="1" x14ac:dyDescent="0.25">
      <c r="A409" t="s">
        <v>912</v>
      </c>
      <c r="B409" s="8">
        <v>45254</v>
      </c>
      <c r="C409" s="8">
        <v>45259</v>
      </c>
      <c r="D409" t="s">
        <v>73</v>
      </c>
      <c r="E409" t="s">
        <v>3070</v>
      </c>
      <c r="F409" t="s">
        <v>3078</v>
      </c>
      <c r="G409" t="s">
        <v>914</v>
      </c>
      <c r="H409">
        <v>7065170429</v>
      </c>
      <c r="I409" t="s">
        <v>24</v>
      </c>
      <c r="J409" t="s">
        <v>51</v>
      </c>
      <c r="K409" t="s">
        <v>52</v>
      </c>
      <c r="L409" t="s">
        <v>108</v>
      </c>
      <c r="M409" t="s">
        <v>38</v>
      </c>
      <c r="N409" t="s">
        <v>213</v>
      </c>
      <c r="O409">
        <v>18</v>
      </c>
      <c r="P409">
        <v>8392.14</v>
      </c>
      <c r="Q409">
        <v>0</v>
      </c>
      <c r="R409" s="39">
        <v>0</v>
      </c>
      <c r="S409" s="39">
        <v>151058.51999999999</v>
      </c>
      <c r="T409" s="39">
        <v>-21603.34</v>
      </c>
      <c r="U409" t="str">
        <f t="shared" si="14"/>
        <v>Clothing</v>
      </c>
      <c r="V409">
        <f t="shared" si="15"/>
        <v>21603.34</v>
      </c>
      <c r="W409" t="str">
        <f>IF(Sales[[#This Row],[Quantity]]&gt;=15, "Large","Small")</f>
        <v>Large</v>
      </c>
      <c r="X409" t="str">
        <f>IF(Sales[[#This Row],[Quantity]]&gt;=15,"Large",IF(Sales[[#This Row],[Quantity]]=14,"Medium","Small"))</f>
        <v>Large</v>
      </c>
      <c r="Y409" t="str">
        <f>IF(AND(Sales[[#This Row],[Unit Price (₦)]]&gt;68000,Sales[[#This Row],[Quantity]]&gt;15),"Offer Discount", "No Discount")</f>
        <v>No Discount</v>
      </c>
    </row>
    <row r="410" spans="1:25" ht="15" customHeight="1" x14ac:dyDescent="0.25">
      <c r="A410" t="s">
        <v>2402</v>
      </c>
      <c r="B410" s="8">
        <v>45257</v>
      </c>
      <c r="C410" s="8">
        <v>45261</v>
      </c>
      <c r="D410" t="s">
        <v>73</v>
      </c>
      <c r="E410" t="s">
        <v>3070</v>
      </c>
      <c r="F410" t="s">
        <v>3096</v>
      </c>
      <c r="G410" t="s">
        <v>2403</v>
      </c>
      <c r="H410">
        <v>8037735482</v>
      </c>
      <c r="I410" t="s">
        <v>35</v>
      </c>
      <c r="J410" t="s">
        <v>61</v>
      </c>
      <c r="K410" t="s">
        <v>182</v>
      </c>
      <c r="L410" t="s">
        <v>27</v>
      </c>
      <c r="M410" t="s">
        <v>45</v>
      </c>
      <c r="N410" t="s">
        <v>308</v>
      </c>
      <c r="O410">
        <v>13</v>
      </c>
      <c r="P410">
        <v>5102.41</v>
      </c>
      <c r="Q410">
        <v>0</v>
      </c>
      <c r="R410" s="39">
        <v>0</v>
      </c>
      <c r="S410" s="39">
        <v>151058.51999999999</v>
      </c>
      <c r="T410" s="39">
        <v>-9609.9</v>
      </c>
      <c r="U410" t="str">
        <f t="shared" si="14"/>
        <v>Food &amp; Beverages</v>
      </c>
      <c r="V410">
        <f t="shared" si="15"/>
        <v>9609.9</v>
      </c>
      <c r="W410" t="str">
        <f>IF(Sales[[#This Row],[Quantity]]&gt;=15, "Large","Small")</f>
        <v>Small</v>
      </c>
      <c r="X410" t="str">
        <f>IF(Sales[[#This Row],[Quantity]]&gt;=15,"Large",IF(Sales[[#This Row],[Quantity]]=14,"Medium","Small"))</f>
        <v>Small</v>
      </c>
      <c r="Y410" t="str">
        <f>IF(AND(Sales[[#This Row],[Unit Price (₦)]]&gt;68000,Sales[[#This Row],[Quantity]]&gt;15),"Offer Discount", "No Discount")</f>
        <v>No Discount</v>
      </c>
    </row>
    <row r="411" spans="1:25" ht="15" customHeight="1" x14ac:dyDescent="0.25">
      <c r="A411" t="s">
        <v>2374</v>
      </c>
      <c r="B411" s="8">
        <v>45260</v>
      </c>
      <c r="C411" s="8">
        <v>45264</v>
      </c>
      <c r="D411" t="s">
        <v>73</v>
      </c>
      <c r="E411" t="s">
        <v>3060</v>
      </c>
      <c r="F411" t="s">
        <v>3075</v>
      </c>
      <c r="G411" t="s">
        <v>2376</v>
      </c>
      <c r="H411">
        <v>9078382709</v>
      </c>
      <c r="I411" t="s">
        <v>43</v>
      </c>
      <c r="J411" t="s">
        <v>51</v>
      </c>
      <c r="K411" t="s">
        <v>223</v>
      </c>
      <c r="L411" t="s">
        <v>96</v>
      </c>
      <c r="M411" t="s">
        <v>385</v>
      </c>
      <c r="N411" t="s">
        <v>942</v>
      </c>
      <c r="O411">
        <v>17</v>
      </c>
      <c r="P411">
        <v>17835.02</v>
      </c>
      <c r="Q411">
        <v>20</v>
      </c>
      <c r="R411" s="39">
        <v>60639.07</v>
      </c>
      <c r="S411" s="39">
        <v>242556.27</v>
      </c>
      <c r="T411" s="39">
        <v>35770.44</v>
      </c>
      <c r="U411" t="str">
        <f t="shared" si="14"/>
        <v>Technology</v>
      </c>
      <c r="V411">
        <f t="shared" si="15"/>
        <v>35770.44</v>
      </c>
      <c r="W411" t="str">
        <f>IF(Sales[[#This Row],[Quantity]]&gt;=15, "Large","Small")</f>
        <v>Large</v>
      </c>
      <c r="X411" t="str">
        <f>IF(Sales[[#This Row],[Quantity]]&gt;=15,"Large",IF(Sales[[#This Row],[Quantity]]=14,"Medium","Small"))</f>
        <v>Large</v>
      </c>
      <c r="Y411" t="str">
        <f>IF(AND(Sales[[#This Row],[Unit Price (₦)]]&gt;68000,Sales[[#This Row],[Quantity]]&gt;15),"Offer Discount", "No Discount")</f>
        <v>No Discount</v>
      </c>
    </row>
    <row r="412" spans="1:25" ht="15" customHeight="1" x14ac:dyDescent="0.25">
      <c r="A412" t="s">
        <v>2289</v>
      </c>
      <c r="B412" s="8">
        <v>45267</v>
      </c>
      <c r="C412" s="8">
        <v>45270</v>
      </c>
      <c r="D412" t="s">
        <v>73</v>
      </c>
      <c r="E412" t="s">
        <v>3055</v>
      </c>
      <c r="F412" t="s">
        <v>3077</v>
      </c>
      <c r="G412" t="s">
        <v>2291</v>
      </c>
      <c r="H412">
        <v>9014565022</v>
      </c>
      <c r="I412" t="s">
        <v>43</v>
      </c>
      <c r="J412" t="s">
        <v>51</v>
      </c>
      <c r="K412" t="s">
        <v>52</v>
      </c>
      <c r="L412" t="s">
        <v>108</v>
      </c>
      <c r="M412" t="s">
        <v>183</v>
      </c>
      <c r="N412" t="s">
        <v>869</v>
      </c>
      <c r="O412">
        <v>4</v>
      </c>
      <c r="P412">
        <v>32367.64</v>
      </c>
      <c r="Q412">
        <v>15</v>
      </c>
      <c r="R412" s="39">
        <v>19420.580000000002</v>
      </c>
      <c r="S412" s="39">
        <v>110049.98</v>
      </c>
      <c r="T412" s="39">
        <v>-8022.49</v>
      </c>
      <c r="U412" t="str">
        <f t="shared" si="14"/>
        <v>Clothing</v>
      </c>
      <c r="V412">
        <f t="shared" si="15"/>
        <v>8022.49</v>
      </c>
      <c r="W412" t="str">
        <f>IF(Sales[[#This Row],[Quantity]]&gt;=15, "Large","Small")</f>
        <v>Small</v>
      </c>
      <c r="X412" t="str">
        <f>IF(Sales[[#This Row],[Quantity]]&gt;=15,"Large",IF(Sales[[#This Row],[Quantity]]=14,"Medium","Small"))</f>
        <v>Small</v>
      </c>
      <c r="Y412" t="str">
        <f>IF(AND(Sales[[#This Row],[Unit Price (₦)]]&gt;68000,Sales[[#This Row],[Quantity]]&gt;15),"Offer Discount", "No Discount")</f>
        <v>No Discount</v>
      </c>
    </row>
    <row r="413" spans="1:25" ht="15" customHeight="1" x14ac:dyDescent="0.25">
      <c r="A413" t="s">
        <v>1872</v>
      </c>
      <c r="B413" s="8">
        <v>45266</v>
      </c>
      <c r="C413" s="8">
        <v>45271</v>
      </c>
      <c r="D413" t="s">
        <v>73</v>
      </c>
      <c r="E413" t="s">
        <v>3049</v>
      </c>
      <c r="F413" t="s">
        <v>3096</v>
      </c>
      <c r="G413" t="s">
        <v>1874</v>
      </c>
      <c r="H413">
        <v>8036740173</v>
      </c>
      <c r="I413" t="s">
        <v>35</v>
      </c>
      <c r="J413" t="s">
        <v>25</v>
      </c>
      <c r="K413" t="s">
        <v>26</v>
      </c>
      <c r="L413" t="s">
        <v>108</v>
      </c>
      <c r="M413" t="s">
        <v>189</v>
      </c>
      <c r="N413" t="s">
        <v>287</v>
      </c>
      <c r="O413">
        <v>10</v>
      </c>
      <c r="P413">
        <v>20676.13</v>
      </c>
      <c r="Q413">
        <v>10</v>
      </c>
      <c r="R413" s="39">
        <v>20676.13</v>
      </c>
      <c r="S413" s="39">
        <v>186085.17</v>
      </c>
      <c r="T413" s="39">
        <v>26341.759999999998</v>
      </c>
      <c r="U413" t="str">
        <f t="shared" si="14"/>
        <v>Clothing</v>
      </c>
      <c r="V413">
        <f t="shared" si="15"/>
        <v>26341.759999999998</v>
      </c>
      <c r="W413" t="str">
        <f>IF(Sales[[#This Row],[Quantity]]&gt;=15, "Large","Small")</f>
        <v>Small</v>
      </c>
      <c r="X413" t="str">
        <f>IF(Sales[[#This Row],[Quantity]]&gt;=15,"Large",IF(Sales[[#This Row],[Quantity]]=14,"Medium","Small"))</f>
        <v>Small</v>
      </c>
      <c r="Y413" t="str">
        <f>IF(AND(Sales[[#This Row],[Unit Price (₦)]]&gt;68000,Sales[[#This Row],[Quantity]]&gt;15),"Offer Discount", "No Discount")</f>
        <v>No Discount</v>
      </c>
    </row>
    <row r="414" spans="1:25" ht="15" customHeight="1" x14ac:dyDescent="0.25">
      <c r="A414" t="s">
        <v>2360</v>
      </c>
      <c r="B414" s="8">
        <v>45266</v>
      </c>
      <c r="C414" s="8">
        <v>45271</v>
      </c>
      <c r="D414" t="s">
        <v>73</v>
      </c>
      <c r="E414" t="str">
        <f>E415</f>
        <v>Fatima</v>
      </c>
      <c r="F414" t="str">
        <f>F413</f>
        <v>Buhari</v>
      </c>
      <c r="G414" t="s">
        <v>2361</v>
      </c>
      <c r="H414">
        <v>8157280761</v>
      </c>
      <c r="I414" t="s">
        <v>24</v>
      </c>
      <c r="J414" t="s">
        <v>69</v>
      </c>
      <c r="K414" t="s">
        <v>70</v>
      </c>
      <c r="L414" t="s">
        <v>108</v>
      </c>
      <c r="M414" t="s">
        <v>183</v>
      </c>
      <c r="N414" t="s">
        <v>372</v>
      </c>
      <c r="O414">
        <v>16</v>
      </c>
      <c r="P414">
        <v>39443.64</v>
      </c>
      <c r="Q414">
        <v>0</v>
      </c>
      <c r="R414" s="39">
        <v>0</v>
      </c>
      <c r="S414" s="39">
        <v>631098.24</v>
      </c>
      <c r="T414" s="39">
        <v>88605.6</v>
      </c>
      <c r="U414" t="str">
        <f t="shared" si="14"/>
        <v>Clothing</v>
      </c>
      <c r="V414">
        <f t="shared" si="15"/>
        <v>88605.6</v>
      </c>
      <c r="W414" t="str">
        <f>IF(Sales[[#This Row],[Quantity]]&gt;=15, "Large","Small")</f>
        <v>Large</v>
      </c>
      <c r="X414" t="str">
        <f>IF(Sales[[#This Row],[Quantity]]&gt;=15,"Large",IF(Sales[[#This Row],[Quantity]]=14,"Medium","Small"))</f>
        <v>Large</v>
      </c>
      <c r="Y414" t="str">
        <f>IF(AND(Sales[[#This Row],[Unit Price (₦)]]&gt;68000,Sales[[#This Row],[Quantity]]&gt;15),"Offer Discount", "No Discount")</f>
        <v>No Discount</v>
      </c>
    </row>
    <row r="415" spans="1:25" ht="15" customHeight="1" x14ac:dyDescent="0.25">
      <c r="A415" t="s">
        <v>581</v>
      </c>
      <c r="B415" s="8">
        <v>45274</v>
      </c>
      <c r="C415" s="8">
        <v>45277</v>
      </c>
      <c r="D415" t="s">
        <v>73</v>
      </c>
      <c r="E415" t="s">
        <v>3065</v>
      </c>
      <c r="F415" t="s">
        <v>3077</v>
      </c>
      <c r="G415" t="s">
        <v>583</v>
      </c>
      <c r="H415">
        <v>8153136529</v>
      </c>
      <c r="I415" t="s">
        <v>35</v>
      </c>
      <c r="J415" t="s">
        <v>69</v>
      </c>
      <c r="K415" t="s">
        <v>70</v>
      </c>
      <c r="L415" t="s">
        <v>85</v>
      </c>
      <c r="M415" t="s">
        <v>86</v>
      </c>
      <c r="N415" t="s">
        <v>584</v>
      </c>
      <c r="O415">
        <v>15</v>
      </c>
      <c r="P415">
        <v>176300.4</v>
      </c>
      <c r="Q415">
        <v>25</v>
      </c>
      <c r="R415" s="39">
        <v>661126.5</v>
      </c>
      <c r="S415" s="39">
        <v>1983379.5</v>
      </c>
      <c r="T415" s="39">
        <v>207217.18</v>
      </c>
      <c r="U415" t="str">
        <f t="shared" si="14"/>
        <v>Furniture</v>
      </c>
      <c r="V415">
        <f t="shared" si="15"/>
        <v>207217.18</v>
      </c>
      <c r="W415" t="str">
        <f>IF(Sales[[#This Row],[Quantity]]&gt;=15, "Large","Small")</f>
        <v>Large</v>
      </c>
      <c r="X415" t="str">
        <f>IF(Sales[[#This Row],[Quantity]]&gt;=15,"Large",IF(Sales[[#This Row],[Quantity]]=14,"Medium","Small"))</f>
        <v>Large</v>
      </c>
      <c r="Y415" t="str">
        <f>IF(AND(Sales[[#This Row],[Unit Price (₦)]]&gt;68000,Sales[[#This Row],[Quantity]]&gt;15),"Offer Discount", "No Discount")</f>
        <v>No Discount</v>
      </c>
    </row>
    <row r="416" spans="1:25" ht="15" customHeight="1" x14ac:dyDescent="0.25">
      <c r="A416" t="s">
        <v>1120</v>
      </c>
      <c r="B416" s="8">
        <v>45274</v>
      </c>
      <c r="C416" s="8">
        <v>45278</v>
      </c>
      <c r="D416" t="s">
        <v>73</v>
      </c>
      <c r="E416" t="s">
        <v>3039</v>
      </c>
      <c r="F416" t="s">
        <v>3036</v>
      </c>
      <c r="G416" t="s">
        <v>1122</v>
      </c>
      <c r="H416">
        <v>8069911007</v>
      </c>
      <c r="I416" t="s">
        <v>24</v>
      </c>
      <c r="J416" t="s">
        <v>69</v>
      </c>
      <c r="K416" t="s">
        <v>119</v>
      </c>
      <c r="L416" t="s">
        <v>85</v>
      </c>
      <c r="M416" t="s">
        <v>486</v>
      </c>
      <c r="N416" t="s">
        <v>543</v>
      </c>
      <c r="O416">
        <v>18</v>
      </c>
      <c r="P416">
        <v>148939.99</v>
      </c>
      <c r="Q416">
        <v>10</v>
      </c>
      <c r="R416" s="39">
        <v>268091.98</v>
      </c>
      <c r="S416" s="39">
        <v>2412827.84</v>
      </c>
      <c r="T416" s="39">
        <v>295444.46999999997</v>
      </c>
      <c r="U416" t="str">
        <f t="shared" si="14"/>
        <v>Furniture</v>
      </c>
      <c r="V416">
        <f t="shared" si="15"/>
        <v>295444.46999999997</v>
      </c>
      <c r="W416" t="str">
        <f>IF(Sales[[#This Row],[Quantity]]&gt;=15, "Large","Small")</f>
        <v>Large</v>
      </c>
      <c r="X416" t="str">
        <f>IF(Sales[[#This Row],[Quantity]]&gt;=15,"Large",IF(Sales[[#This Row],[Quantity]]=14,"Medium","Small"))</f>
        <v>Large</v>
      </c>
      <c r="Y416" t="str">
        <f>IF(AND(Sales[[#This Row],[Unit Price (₦)]]&gt;68000,Sales[[#This Row],[Quantity]]&gt;15),"Offer Discount", "No Discount")</f>
        <v>Offer Discount</v>
      </c>
    </row>
    <row r="417" spans="1:25" ht="15" customHeight="1" x14ac:dyDescent="0.25">
      <c r="A417" t="s">
        <v>134</v>
      </c>
      <c r="B417" s="8">
        <v>45276</v>
      </c>
      <c r="C417" s="8">
        <v>45279</v>
      </c>
      <c r="D417" t="s">
        <v>73</v>
      </c>
      <c r="E417" t="s">
        <v>3059</v>
      </c>
      <c r="F417" t="s">
        <v>3039</v>
      </c>
      <c r="G417" t="s">
        <v>136</v>
      </c>
      <c r="H417">
        <v>8108351517</v>
      </c>
      <c r="I417" t="s">
        <v>43</v>
      </c>
      <c r="J417" t="s">
        <v>61</v>
      </c>
      <c r="K417" t="s">
        <v>84</v>
      </c>
      <c r="L417" t="s">
        <v>27</v>
      </c>
      <c r="M417" t="s">
        <v>45</v>
      </c>
      <c r="N417" t="s">
        <v>46</v>
      </c>
      <c r="O417">
        <v>17</v>
      </c>
      <c r="P417">
        <v>7875.67</v>
      </c>
      <c r="Q417">
        <v>0</v>
      </c>
      <c r="R417" s="39">
        <v>0</v>
      </c>
      <c r="S417" s="39">
        <v>133886.39000000001</v>
      </c>
      <c r="T417" s="39">
        <v>33567.72</v>
      </c>
      <c r="U417" t="str">
        <f t="shared" si="14"/>
        <v>Food &amp; Beverages</v>
      </c>
      <c r="V417">
        <f t="shared" si="15"/>
        <v>33567.72</v>
      </c>
      <c r="W417" t="str">
        <f>IF(Sales[[#This Row],[Quantity]]&gt;=15, "Large","Small")</f>
        <v>Large</v>
      </c>
      <c r="X417" t="str">
        <f>IF(Sales[[#This Row],[Quantity]]&gt;=15,"Large",IF(Sales[[#This Row],[Quantity]]=14,"Medium","Small"))</f>
        <v>Large</v>
      </c>
      <c r="Y417" t="str">
        <f>IF(AND(Sales[[#This Row],[Unit Price (₦)]]&gt;68000,Sales[[#This Row],[Quantity]]&gt;15),"Offer Discount", "No Discount")</f>
        <v>No Discount</v>
      </c>
    </row>
    <row r="418" spans="1:25" ht="15" customHeight="1" x14ac:dyDescent="0.25">
      <c r="A418" t="s">
        <v>1598</v>
      </c>
      <c r="B418" s="8">
        <v>45279</v>
      </c>
      <c r="C418" s="8">
        <v>45283</v>
      </c>
      <c r="D418" t="s">
        <v>73</v>
      </c>
      <c r="E418" t="s">
        <v>3076</v>
      </c>
      <c r="F418" t="s">
        <v>3069</v>
      </c>
      <c r="G418" t="s">
        <v>1600</v>
      </c>
      <c r="H418">
        <v>9017336179</v>
      </c>
      <c r="I418" t="s">
        <v>24</v>
      </c>
      <c r="J418" t="s">
        <v>61</v>
      </c>
      <c r="K418" t="s">
        <v>84</v>
      </c>
      <c r="L418" t="s">
        <v>27</v>
      </c>
      <c r="M418" t="s">
        <v>354</v>
      </c>
      <c r="N418" t="s">
        <v>355</v>
      </c>
      <c r="O418">
        <v>19</v>
      </c>
      <c r="P418">
        <v>2824.42</v>
      </c>
      <c r="Q418">
        <v>5</v>
      </c>
      <c r="R418" s="39">
        <v>2683.2</v>
      </c>
      <c r="S418" s="39">
        <v>50980.78</v>
      </c>
      <c r="T418" s="39">
        <v>17522.38</v>
      </c>
      <c r="U418" t="str">
        <f t="shared" si="14"/>
        <v>Food &amp; Beverages</v>
      </c>
      <c r="V418">
        <f t="shared" si="15"/>
        <v>17522.38</v>
      </c>
      <c r="W418" t="str">
        <f>IF(Sales[[#This Row],[Quantity]]&gt;=15, "Large","Small")</f>
        <v>Large</v>
      </c>
      <c r="X418" t="str">
        <f>IF(Sales[[#This Row],[Quantity]]&gt;=15,"Large",IF(Sales[[#This Row],[Quantity]]=14,"Medium","Small"))</f>
        <v>Large</v>
      </c>
      <c r="Y418" t="str">
        <f>IF(AND(Sales[[#This Row],[Unit Price (₦)]]&gt;68000,Sales[[#This Row],[Quantity]]&gt;15),"Offer Discount", "No Discount")</f>
        <v>No Discount</v>
      </c>
    </row>
    <row r="419" spans="1:25" ht="15" customHeight="1" x14ac:dyDescent="0.25">
      <c r="A419" t="s">
        <v>1415</v>
      </c>
      <c r="B419" s="8">
        <v>45293</v>
      </c>
      <c r="C419" s="8">
        <v>45296</v>
      </c>
      <c r="D419" t="s">
        <v>73</v>
      </c>
      <c r="E419" t="str">
        <f>E420</f>
        <v>Chibundo</v>
      </c>
      <c r="F419" t="str">
        <f>F418</f>
        <v>Sowore</v>
      </c>
      <c r="G419" t="s">
        <v>370</v>
      </c>
      <c r="H419">
        <v>7066972425</v>
      </c>
      <c r="I419" t="s">
        <v>43</v>
      </c>
      <c r="J419" t="s">
        <v>61</v>
      </c>
      <c r="K419" t="s">
        <v>182</v>
      </c>
      <c r="L419" t="s">
        <v>96</v>
      </c>
      <c r="M419" t="s">
        <v>97</v>
      </c>
      <c r="N419" t="s">
        <v>1416</v>
      </c>
      <c r="O419">
        <v>3</v>
      </c>
      <c r="P419">
        <v>245381.36</v>
      </c>
      <c r="Q419">
        <v>25</v>
      </c>
      <c r="R419" s="39">
        <v>184036.02</v>
      </c>
      <c r="S419" s="39">
        <v>552108.06000000006</v>
      </c>
      <c r="T419" s="39">
        <v>-18612.169999999998</v>
      </c>
      <c r="U419" t="str">
        <f t="shared" si="14"/>
        <v>Technology</v>
      </c>
      <c r="V419">
        <f t="shared" si="15"/>
        <v>18612.169999999998</v>
      </c>
      <c r="W419" t="str">
        <f>IF(Sales[[#This Row],[Quantity]]&gt;=15, "Large","Small")</f>
        <v>Small</v>
      </c>
      <c r="X419" t="str">
        <f>IF(Sales[[#This Row],[Quantity]]&gt;=15,"Large",IF(Sales[[#This Row],[Quantity]]=14,"Medium","Small"))</f>
        <v>Small</v>
      </c>
      <c r="Y419" t="str">
        <f>IF(AND(Sales[[#This Row],[Unit Price (₦)]]&gt;68000,Sales[[#This Row],[Quantity]]&gt;15),"Offer Discount", "No Discount")</f>
        <v>No Discount</v>
      </c>
    </row>
    <row r="420" spans="1:25" ht="15" customHeight="1" x14ac:dyDescent="0.25">
      <c r="A420" t="s">
        <v>896</v>
      </c>
      <c r="B420" s="8">
        <v>45295</v>
      </c>
      <c r="C420" s="8">
        <v>45300</v>
      </c>
      <c r="D420" t="s">
        <v>73</v>
      </c>
      <c r="E420" t="s">
        <v>3051</v>
      </c>
      <c r="F420" t="s">
        <v>3064</v>
      </c>
      <c r="G420" t="s">
        <v>898</v>
      </c>
      <c r="H420">
        <v>8039327450</v>
      </c>
      <c r="I420" t="s">
        <v>24</v>
      </c>
      <c r="J420" t="s">
        <v>69</v>
      </c>
      <c r="K420" t="s">
        <v>182</v>
      </c>
      <c r="L420" t="s">
        <v>85</v>
      </c>
      <c r="M420" t="s">
        <v>486</v>
      </c>
      <c r="N420" t="s">
        <v>543</v>
      </c>
      <c r="O420">
        <v>1</v>
      </c>
      <c r="P420">
        <v>48334.91</v>
      </c>
      <c r="Q420">
        <v>0</v>
      </c>
      <c r="R420" s="39">
        <v>0</v>
      </c>
      <c r="S420" s="39">
        <v>48334.91</v>
      </c>
      <c r="T420" s="39">
        <v>19050.14</v>
      </c>
      <c r="U420" t="str">
        <f t="shared" si="14"/>
        <v>Furniture</v>
      </c>
      <c r="V420">
        <f t="shared" si="15"/>
        <v>19050.14</v>
      </c>
      <c r="W420" t="str">
        <f>IF(Sales[[#This Row],[Quantity]]&gt;=15, "Large","Small")</f>
        <v>Small</v>
      </c>
      <c r="X420" t="str">
        <f>IF(Sales[[#This Row],[Quantity]]&gt;=15,"Large",IF(Sales[[#This Row],[Quantity]]=14,"Medium","Small"))</f>
        <v>Small</v>
      </c>
      <c r="Y420" t="str">
        <f>IF(AND(Sales[[#This Row],[Unit Price (₦)]]&gt;68000,Sales[[#This Row],[Quantity]]&gt;15),"Offer Discount", "No Discount")</f>
        <v>No Discount</v>
      </c>
    </row>
    <row r="421" spans="1:25" ht="15" customHeight="1" x14ac:dyDescent="0.25">
      <c r="A421" t="s">
        <v>483</v>
      </c>
      <c r="B421" s="8">
        <v>45302</v>
      </c>
      <c r="C421" s="8">
        <v>45307</v>
      </c>
      <c r="D421" t="s">
        <v>73</v>
      </c>
      <c r="E421" t="s">
        <v>3067</v>
      </c>
      <c r="F421" t="s">
        <v>3038</v>
      </c>
      <c r="G421" t="s">
        <v>485</v>
      </c>
      <c r="H421">
        <v>9023329967</v>
      </c>
      <c r="I421" t="s">
        <v>24</v>
      </c>
      <c r="J421" t="s">
        <v>51</v>
      </c>
      <c r="K421" t="s">
        <v>131</v>
      </c>
      <c r="L421" t="s">
        <v>85</v>
      </c>
      <c r="M421" t="s">
        <v>486</v>
      </c>
      <c r="N421" t="s">
        <v>487</v>
      </c>
      <c r="O421">
        <v>19</v>
      </c>
      <c r="P421">
        <v>70074.2</v>
      </c>
      <c r="Q421">
        <v>10</v>
      </c>
      <c r="R421" s="39">
        <v>133140.98000000001</v>
      </c>
      <c r="S421" s="39">
        <v>1198268.82</v>
      </c>
      <c r="T421" s="39">
        <v>156306.38</v>
      </c>
      <c r="U421" t="str">
        <f t="shared" si="14"/>
        <v>Furniture</v>
      </c>
      <c r="V421">
        <f t="shared" si="15"/>
        <v>156306.38</v>
      </c>
      <c r="W421" t="str">
        <f>IF(Sales[[#This Row],[Quantity]]&gt;=15, "Large","Small")</f>
        <v>Large</v>
      </c>
      <c r="X421" t="str">
        <f>IF(Sales[[#This Row],[Quantity]]&gt;=15,"Large",IF(Sales[[#This Row],[Quantity]]=14,"Medium","Small"))</f>
        <v>Large</v>
      </c>
      <c r="Y421" t="str">
        <f>IF(AND(Sales[[#This Row],[Unit Price (₦)]]&gt;68000,Sales[[#This Row],[Quantity]]&gt;15),"Offer Discount", "No Discount")</f>
        <v>Offer Discount</v>
      </c>
    </row>
    <row r="422" spans="1:25" ht="15" customHeight="1" x14ac:dyDescent="0.25">
      <c r="A422" t="s">
        <v>999</v>
      </c>
      <c r="B422" s="8">
        <v>45333</v>
      </c>
      <c r="C422" s="8">
        <v>45338</v>
      </c>
      <c r="D422" t="s">
        <v>73</v>
      </c>
      <c r="E422" t="s">
        <v>1000</v>
      </c>
      <c r="F422" t="str">
        <f>F421</f>
        <v>Bello</v>
      </c>
      <c r="G422" t="s">
        <v>1001</v>
      </c>
      <c r="H422">
        <v>8155220919</v>
      </c>
      <c r="I422" t="s">
        <v>24</v>
      </c>
      <c r="J422" t="s">
        <v>51</v>
      </c>
      <c r="K422" t="s">
        <v>223</v>
      </c>
      <c r="L422" t="s">
        <v>108</v>
      </c>
      <c r="M422" t="s">
        <v>109</v>
      </c>
      <c r="N422" t="s">
        <v>426</v>
      </c>
      <c r="O422">
        <v>12</v>
      </c>
      <c r="P422">
        <v>19451.21</v>
      </c>
      <c r="Q422">
        <v>20</v>
      </c>
      <c r="R422" s="39">
        <v>46682.9</v>
      </c>
      <c r="S422" s="39">
        <v>186731.62</v>
      </c>
      <c r="T422" s="39">
        <v>60798.78</v>
      </c>
      <c r="U422" t="str">
        <f t="shared" si="14"/>
        <v>Clothing</v>
      </c>
      <c r="V422">
        <f t="shared" si="15"/>
        <v>60798.78</v>
      </c>
      <c r="W422" t="str">
        <f>IF(Sales[[#This Row],[Quantity]]&gt;=15, "Large","Small")</f>
        <v>Small</v>
      </c>
      <c r="X422" t="str">
        <f>IF(Sales[[#This Row],[Quantity]]&gt;=15,"Large",IF(Sales[[#This Row],[Quantity]]=14,"Medium","Small"))</f>
        <v>Small</v>
      </c>
      <c r="Y422" t="str">
        <f>IF(AND(Sales[[#This Row],[Unit Price (₦)]]&gt;68000,Sales[[#This Row],[Quantity]]&gt;15),"Offer Discount", "No Discount")</f>
        <v>No Discount</v>
      </c>
    </row>
    <row r="423" spans="1:25" ht="15" customHeight="1" x14ac:dyDescent="0.25">
      <c r="A423" t="s">
        <v>2332</v>
      </c>
      <c r="B423" s="8">
        <v>45337</v>
      </c>
      <c r="C423" s="8">
        <v>45342</v>
      </c>
      <c r="D423" t="s">
        <v>73</v>
      </c>
      <c r="E423" t="s">
        <v>3056</v>
      </c>
      <c r="F423" t="s">
        <v>3038</v>
      </c>
      <c r="G423" t="s">
        <v>2334</v>
      </c>
      <c r="H423">
        <v>8134545112</v>
      </c>
      <c r="I423" t="s">
        <v>43</v>
      </c>
      <c r="J423" t="s">
        <v>69</v>
      </c>
      <c r="K423" t="s">
        <v>119</v>
      </c>
      <c r="L423" t="s">
        <v>96</v>
      </c>
      <c r="M423" t="s">
        <v>254</v>
      </c>
      <c r="N423" t="s">
        <v>455</v>
      </c>
      <c r="O423">
        <v>6</v>
      </c>
      <c r="P423">
        <v>92700.76</v>
      </c>
      <c r="Q423">
        <v>15</v>
      </c>
      <c r="R423" s="39">
        <v>83430.679999999993</v>
      </c>
      <c r="S423" s="39">
        <v>472773.88</v>
      </c>
      <c r="T423" s="39">
        <v>85119.26</v>
      </c>
      <c r="U423" t="str">
        <f t="shared" si="14"/>
        <v>Technology</v>
      </c>
      <c r="V423">
        <f t="shared" si="15"/>
        <v>85119.26</v>
      </c>
      <c r="W423" t="str">
        <f>IF(Sales[[#This Row],[Quantity]]&gt;=15, "Large","Small")</f>
        <v>Small</v>
      </c>
      <c r="X423" t="str">
        <f>IF(Sales[[#This Row],[Quantity]]&gt;=15,"Large",IF(Sales[[#This Row],[Quantity]]=14,"Medium","Small"))</f>
        <v>Small</v>
      </c>
      <c r="Y423" t="str">
        <f>IF(AND(Sales[[#This Row],[Unit Price (₦)]]&gt;68000,Sales[[#This Row],[Quantity]]&gt;15),"Offer Discount", "No Discount")</f>
        <v>No Discount</v>
      </c>
    </row>
    <row r="424" spans="1:25" ht="15" customHeight="1" x14ac:dyDescent="0.25">
      <c r="A424" t="s">
        <v>646</v>
      </c>
      <c r="B424" s="8">
        <v>45341</v>
      </c>
      <c r="C424" s="8">
        <v>45344</v>
      </c>
      <c r="D424" t="s">
        <v>73</v>
      </c>
      <c r="E424" t="s">
        <v>3033</v>
      </c>
      <c r="F424" t="s">
        <v>3036</v>
      </c>
      <c r="G424" t="s">
        <v>648</v>
      </c>
      <c r="H424" t="s">
        <v>649</v>
      </c>
      <c r="I424" t="s">
        <v>24</v>
      </c>
      <c r="J424" t="s">
        <v>61</v>
      </c>
      <c r="K424" t="s">
        <v>84</v>
      </c>
      <c r="L424" t="s">
        <v>85</v>
      </c>
      <c r="M424" t="s">
        <v>86</v>
      </c>
      <c r="N424" t="s">
        <v>87</v>
      </c>
      <c r="O424">
        <v>14</v>
      </c>
      <c r="P424">
        <v>82764.320000000007</v>
      </c>
      <c r="Q424">
        <v>10</v>
      </c>
      <c r="R424" s="39">
        <v>115870.05</v>
      </c>
      <c r="S424" s="39">
        <v>1042830.43</v>
      </c>
      <c r="T424" s="39">
        <v>146558.13</v>
      </c>
      <c r="U424" t="str">
        <f t="shared" si="14"/>
        <v>Furniture</v>
      </c>
      <c r="V424">
        <f t="shared" si="15"/>
        <v>146558.13</v>
      </c>
      <c r="W424" t="str">
        <f>IF(Sales[[#This Row],[Quantity]]&gt;=15, "Large","Small")</f>
        <v>Small</v>
      </c>
      <c r="X424" t="str">
        <f>IF(Sales[[#This Row],[Quantity]]&gt;=15,"Large",IF(Sales[[#This Row],[Quantity]]=14,"Medium","Small"))</f>
        <v>Medium</v>
      </c>
      <c r="Y424" t="str">
        <f>IF(AND(Sales[[#This Row],[Unit Price (₦)]]&gt;68000,Sales[[#This Row],[Quantity]]&gt;15),"Offer Discount", "No Discount")</f>
        <v>No Discount</v>
      </c>
    </row>
    <row r="425" spans="1:25" ht="15" customHeight="1" x14ac:dyDescent="0.25">
      <c r="A425" t="s">
        <v>1066</v>
      </c>
      <c r="B425" s="8">
        <v>45339</v>
      </c>
      <c r="C425" s="8">
        <v>45344</v>
      </c>
      <c r="D425" t="s">
        <v>73</v>
      </c>
      <c r="E425" t="s">
        <v>3072</v>
      </c>
      <c r="F425" t="s">
        <v>3074</v>
      </c>
      <c r="G425" t="s">
        <v>1069</v>
      </c>
      <c r="H425">
        <v>9055357055</v>
      </c>
      <c r="I425" t="s">
        <v>24</v>
      </c>
      <c r="J425" t="s">
        <v>25</v>
      </c>
      <c r="K425" t="s">
        <v>26</v>
      </c>
      <c r="L425" t="s">
        <v>85</v>
      </c>
      <c r="M425" t="s">
        <v>266</v>
      </c>
      <c r="N425" t="s">
        <v>593</v>
      </c>
      <c r="O425">
        <v>16</v>
      </c>
      <c r="P425">
        <v>48787.93</v>
      </c>
      <c r="Q425">
        <v>10</v>
      </c>
      <c r="R425" s="39">
        <v>78060.69</v>
      </c>
      <c r="S425" s="39">
        <v>702546.19</v>
      </c>
      <c r="T425" s="39">
        <v>48865.24</v>
      </c>
      <c r="U425" t="str">
        <f t="shared" si="14"/>
        <v>Furniture</v>
      </c>
      <c r="V425">
        <f t="shared" si="15"/>
        <v>48865.24</v>
      </c>
      <c r="W425" t="str">
        <f>IF(Sales[[#This Row],[Quantity]]&gt;=15, "Large","Small")</f>
        <v>Large</v>
      </c>
      <c r="X425" t="str">
        <f>IF(Sales[[#This Row],[Quantity]]&gt;=15,"Large",IF(Sales[[#This Row],[Quantity]]=14,"Medium","Small"))</f>
        <v>Large</v>
      </c>
      <c r="Y425" t="str">
        <f>IF(AND(Sales[[#This Row],[Unit Price (₦)]]&gt;68000,Sales[[#This Row],[Quantity]]&gt;15),"Offer Discount", "No Discount")</f>
        <v>No Discount</v>
      </c>
    </row>
    <row r="426" spans="1:25" ht="15" customHeight="1" x14ac:dyDescent="0.25">
      <c r="A426" t="s">
        <v>395</v>
      </c>
      <c r="B426" s="8">
        <v>45340</v>
      </c>
      <c r="C426" s="8">
        <v>45345</v>
      </c>
      <c r="D426" t="s">
        <v>73</v>
      </c>
      <c r="E426" t="s">
        <v>3067</v>
      </c>
      <c r="F426" t="s">
        <v>3075</v>
      </c>
      <c r="G426" t="s">
        <v>397</v>
      </c>
      <c r="H426">
        <v>8067661748</v>
      </c>
      <c r="I426" t="s">
        <v>35</v>
      </c>
      <c r="J426" t="s">
        <v>69</v>
      </c>
      <c r="K426" t="s">
        <v>70</v>
      </c>
      <c r="L426" t="s">
        <v>96</v>
      </c>
      <c r="M426" t="s">
        <v>189</v>
      </c>
      <c r="N426" t="s">
        <v>287</v>
      </c>
      <c r="O426">
        <v>3</v>
      </c>
      <c r="P426">
        <v>214993.1</v>
      </c>
      <c r="Q426">
        <v>10</v>
      </c>
      <c r="R426" s="39">
        <v>64497.93</v>
      </c>
      <c r="S426" s="39">
        <v>580481.37</v>
      </c>
      <c r="T426" s="39">
        <v>113458.27</v>
      </c>
      <c r="U426" t="str">
        <f t="shared" si="14"/>
        <v>Technology</v>
      </c>
      <c r="V426">
        <f t="shared" si="15"/>
        <v>113458.27</v>
      </c>
      <c r="W426" t="str">
        <f>IF(Sales[[#This Row],[Quantity]]&gt;=15, "Large","Small")</f>
        <v>Small</v>
      </c>
      <c r="X426" t="str">
        <f>IF(Sales[[#This Row],[Quantity]]&gt;=15,"Large",IF(Sales[[#This Row],[Quantity]]=14,"Medium","Small"))</f>
        <v>Small</v>
      </c>
      <c r="Y426" t="str">
        <f>IF(AND(Sales[[#This Row],[Unit Price (₦)]]&gt;68000,Sales[[#This Row],[Quantity]]&gt;15),"Offer Discount", "No Discount")</f>
        <v>No Discount</v>
      </c>
    </row>
    <row r="427" spans="1:25" ht="15" customHeight="1" x14ac:dyDescent="0.25">
      <c r="A427" t="s">
        <v>2552</v>
      </c>
      <c r="B427" s="8">
        <v>45349</v>
      </c>
      <c r="C427" s="8">
        <v>45345</v>
      </c>
      <c r="D427" t="s">
        <v>73</v>
      </c>
      <c r="E427" t="s">
        <v>3068</v>
      </c>
      <c r="F427" t="s">
        <v>3062</v>
      </c>
      <c r="G427" t="s">
        <v>2554</v>
      </c>
      <c r="H427">
        <v>8034463711</v>
      </c>
      <c r="I427" t="s">
        <v>24</v>
      </c>
      <c r="J427" t="s">
        <v>61</v>
      </c>
      <c r="K427" t="s">
        <v>182</v>
      </c>
      <c r="L427" t="s">
        <v>108</v>
      </c>
      <c r="M427" t="s">
        <v>189</v>
      </c>
      <c r="N427" t="s">
        <v>190</v>
      </c>
      <c r="O427">
        <v>19</v>
      </c>
      <c r="P427">
        <v>13752.76</v>
      </c>
      <c r="Q427">
        <v>0</v>
      </c>
      <c r="R427" s="39">
        <v>0</v>
      </c>
      <c r="S427" s="39">
        <v>261302.44</v>
      </c>
      <c r="T427" s="39">
        <v>61338.89</v>
      </c>
      <c r="U427" t="str">
        <f t="shared" si="14"/>
        <v>Clothing</v>
      </c>
      <c r="V427">
        <f t="shared" si="15"/>
        <v>61338.89</v>
      </c>
      <c r="W427" t="str">
        <f>IF(Sales[[#This Row],[Quantity]]&gt;=15, "Large","Small")</f>
        <v>Large</v>
      </c>
      <c r="X427" t="str">
        <f>IF(Sales[[#This Row],[Quantity]]&gt;=15,"Large",IF(Sales[[#This Row],[Quantity]]=14,"Medium","Small"))</f>
        <v>Large</v>
      </c>
      <c r="Y427" t="str">
        <f>IF(AND(Sales[[#This Row],[Unit Price (₦)]]&gt;68000,Sales[[#This Row],[Quantity]]&gt;15),"Offer Discount", "No Discount")</f>
        <v>No Discount</v>
      </c>
    </row>
    <row r="428" spans="1:25" ht="15" customHeight="1" x14ac:dyDescent="0.25">
      <c r="A428" t="s">
        <v>297</v>
      </c>
      <c r="B428" s="8">
        <v>45347</v>
      </c>
      <c r="C428" s="8">
        <v>45350</v>
      </c>
      <c r="D428" t="s">
        <v>73</v>
      </c>
      <c r="E428" t="s">
        <v>3080</v>
      </c>
      <c r="F428" t="s">
        <v>3075</v>
      </c>
      <c r="G428" t="s">
        <v>299</v>
      </c>
      <c r="H428">
        <v>8032171218</v>
      </c>
      <c r="I428" t="s">
        <v>24</v>
      </c>
      <c r="J428" t="s">
        <v>61</v>
      </c>
      <c r="K428" t="s">
        <v>204</v>
      </c>
      <c r="L428" t="s">
        <v>63</v>
      </c>
      <c r="M428" t="s">
        <v>194</v>
      </c>
      <c r="N428" t="s">
        <v>257</v>
      </c>
      <c r="O428">
        <v>17</v>
      </c>
      <c r="P428">
        <v>8826.94</v>
      </c>
      <c r="Q428">
        <v>10</v>
      </c>
      <c r="R428" s="39">
        <v>15005.8</v>
      </c>
      <c r="S428" s="39">
        <v>135052.18</v>
      </c>
      <c r="T428" s="39">
        <v>46232.37</v>
      </c>
      <c r="U428" t="str">
        <f t="shared" si="14"/>
        <v>Office Supplies</v>
      </c>
      <c r="V428">
        <f t="shared" si="15"/>
        <v>46232.37</v>
      </c>
      <c r="W428" t="str">
        <f>IF(Sales[[#This Row],[Quantity]]&gt;=15, "Large","Small")</f>
        <v>Large</v>
      </c>
      <c r="X428" t="str">
        <f>IF(Sales[[#This Row],[Quantity]]&gt;=15,"Large",IF(Sales[[#This Row],[Quantity]]=14,"Medium","Small"))</f>
        <v>Large</v>
      </c>
      <c r="Y428" t="str">
        <f>IF(AND(Sales[[#This Row],[Unit Price (₦)]]&gt;68000,Sales[[#This Row],[Quantity]]&gt;15),"Offer Discount", "No Discount")</f>
        <v>No Discount</v>
      </c>
    </row>
    <row r="429" spans="1:25" ht="15" customHeight="1" x14ac:dyDescent="0.25">
      <c r="A429" t="s">
        <v>600</v>
      </c>
      <c r="B429" s="8">
        <v>45357</v>
      </c>
      <c r="C429" s="8">
        <v>45360</v>
      </c>
      <c r="D429" t="s">
        <v>73</v>
      </c>
      <c r="E429" t="s">
        <v>3061</v>
      </c>
      <c r="F429" t="s">
        <v>3052</v>
      </c>
      <c r="G429" t="s">
        <v>602</v>
      </c>
      <c r="H429">
        <v>9072326581</v>
      </c>
      <c r="I429" t="s">
        <v>24</v>
      </c>
      <c r="J429" t="s">
        <v>69</v>
      </c>
      <c r="K429" t="s">
        <v>155</v>
      </c>
      <c r="L429" t="s">
        <v>108</v>
      </c>
      <c r="M429" t="s">
        <v>38</v>
      </c>
      <c r="N429" t="s">
        <v>519</v>
      </c>
      <c r="O429">
        <v>7</v>
      </c>
      <c r="P429">
        <v>25032.33</v>
      </c>
      <c r="Q429">
        <v>0</v>
      </c>
      <c r="R429" s="39">
        <v>0</v>
      </c>
      <c r="S429" s="39">
        <v>175226.31</v>
      </c>
      <c r="T429" s="39">
        <v>1940.97</v>
      </c>
      <c r="U429" t="str">
        <f t="shared" si="14"/>
        <v>Clothing</v>
      </c>
      <c r="V429">
        <f t="shared" si="15"/>
        <v>1940.97</v>
      </c>
      <c r="W429" t="str">
        <f>IF(Sales[[#This Row],[Quantity]]&gt;=15, "Large","Small")</f>
        <v>Small</v>
      </c>
      <c r="X429" t="str">
        <f>IF(Sales[[#This Row],[Quantity]]&gt;=15,"Large",IF(Sales[[#This Row],[Quantity]]=14,"Medium","Small"))</f>
        <v>Small</v>
      </c>
      <c r="Y429" t="str">
        <f>IF(AND(Sales[[#This Row],[Unit Price (₦)]]&gt;68000,Sales[[#This Row],[Quantity]]&gt;15),"Offer Discount", "No Discount")</f>
        <v>No Discount</v>
      </c>
    </row>
    <row r="430" spans="1:25" ht="15" customHeight="1" x14ac:dyDescent="0.25">
      <c r="A430" t="s">
        <v>2326</v>
      </c>
      <c r="B430" s="8">
        <v>45360</v>
      </c>
      <c r="C430" s="8">
        <v>45364</v>
      </c>
      <c r="D430" t="s">
        <v>73</v>
      </c>
      <c r="E430" t="s">
        <v>3058</v>
      </c>
      <c r="F430" t="s">
        <v>3090</v>
      </c>
      <c r="G430" t="s">
        <v>2328</v>
      </c>
      <c r="H430">
        <v>9079162761</v>
      </c>
      <c r="I430" t="s">
        <v>24</v>
      </c>
      <c r="J430" t="s">
        <v>69</v>
      </c>
      <c r="K430" t="s">
        <v>119</v>
      </c>
      <c r="L430" t="s">
        <v>27</v>
      </c>
      <c r="M430" t="s">
        <v>45</v>
      </c>
      <c r="N430" t="s">
        <v>308</v>
      </c>
      <c r="O430">
        <v>17</v>
      </c>
      <c r="P430">
        <v>1898.14</v>
      </c>
      <c r="Q430">
        <v>10</v>
      </c>
      <c r="R430" s="39">
        <v>3226.84</v>
      </c>
      <c r="S430" s="39">
        <v>29041.54</v>
      </c>
      <c r="T430" s="39">
        <v>941.52</v>
      </c>
      <c r="U430" t="str">
        <f t="shared" si="14"/>
        <v>Food &amp; Beverages</v>
      </c>
      <c r="V430">
        <f t="shared" si="15"/>
        <v>941.52</v>
      </c>
      <c r="W430" t="str">
        <f>IF(Sales[[#This Row],[Quantity]]&gt;=15, "Large","Small")</f>
        <v>Large</v>
      </c>
      <c r="X430" t="str">
        <f>IF(Sales[[#This Row],[Quantity]]&gt;=15,"Large",IF(Sales[[#This Row],[Quantity]]=14,"Medium","Small"))</f>
        <v>Large</v>
      </c>
      <c r="Y430" t="str">
        <f>IF(AND(Sales[[#This Row],[Unit Price (₦)]]&gt;68000,Sales[[#This Row],[Quantity]]&gt;15),"Offer Discount", "No Discount")</f>
        <v>No Discount</v>
      </c>
    </row>
    <row r="431" spans="1:25" ht="15" customHeight="1" x14ac:dyDescent="0.25">
      <c r="A431" t="s">
        <v>2905</v>
      </c>
      <c r="B431" s="8">
        <v>45364</v>
      </c>
      <c r="C431" s="8">
        <v>45368</v>
      </c>
      <c r="D431" t="s">
        <v>73</v>
      </c>
      <c r="E431" t="s">
        <v>3085</v>
      </c>
      <c r="F431" t="s">
        <v>3079</v>
      </c>
      <c r="G431" t="s">
        <v>2907</v>
      </c>
      <c r="H431">
        <v>8101972156</v>
      </c>
      <c r="I431" t="s">
        <v>35</v>
      </c>
      <c r="J431" t="s">
        <v>25</v>
      </c>
      <c r="K431" t="s">
        <v>168</v>
      </c>
      <c r="L431" t="s">
        <v>96</v>
      </c>
      <c r="M431" t="s">
        <v>97</v>
      </c>
      <c r="N431" t="s">
        <v>169</v>
      </c>
      <c r="O431">
        <v>4</v>
      </c>
      <c r="P431">
        <v>45847.02</v>
      </c>
      <c r="Q431">
        <v>25</v>
      </c>
      <c r="R431" s="39">
        <v>45847.02</v>
      </c>
      <c r="S431" s="39">
        <v>137541.06</v>
      </c>
      <c r="T431" s="39">
        <v>32125.89</v>
      </c>
      <c r="U431" t="str">
        <f t="shared" si="14"/>
        <v>Technology</v>
      </c>
      <c r="V431">
        <f t="shared" si="15"/>
        <v>32125.89</v>
      </c>
      <c r="W431" t="str">
        <f>IF(Sales[[#This Row],[Quantity]]&gt;=15, "Large","Small")</f>
        <v>Small</v>
      </c>
      <c r="X431" t="str">
        <f>IF(Sales[[#This Row],[Quantity]]&gt;=15,"Large",IF(Sales[[#This Row],[Quantity]]=14,"Medium","Small"))</f>
        <v>Small</v>
      </c>
      <c r="Y431" t="str">
        <f>IF(AND(Sales[[#This Row],[Unit Price (₦)]]&gt;68000,Sales[[#This Row],[Quantity]]&gt;15),"Offer Discount", "No Discount")</f>
        <v>No Discount</v>
      </c>
    </row>
    <row r="432" spans="1:25" ht="15" customHeight="1" x14ac:dyDescent="0.25">
      <c r="A432" t="s">
        <v>2619</v>
      </c>
      <c r="B432" s="8">
        <v>45375</v>
      </c>
      <c r="C432" s="8">
        <v>45378</v>
      </c>
      <c r="D432" t="s">
        <v>73</v>
      </c>
      <c r="E432" t="s">
        <v>3084</v>
      </c>
      <c r="F432" t="s">
        <v>3077</v>
      </c>
      <c r="G432" t="s">
        <v>2621</v>
      </c>
      <c r="H432">
        <v>9075721396</v>
      </c>
      <c r="I432" t="s">
        <v>43</v>
      </c>
      <c r="J432" t="s">
        <v>25</v>
      </c>
      <c r="K432" t="s">
        <v>36</v>
      </c>
      <c r="L432" t="s">
        <v>63</v>
      </c>
      <c r="M432" t="s">
        <v>312</v>
      </c>
      <c r="N432" t="s">
        <v>761</v>
      </c>
      <c r="O432">
        <v>6</v>
      </c>
      <c r="P432">
        <v>13016.55</v>
      </c>
      <c r="Q432">
        <v>5</v>
      </c>
      <c r="R432" s="39">
        <v>3904.96</v>
      </c>
      <c r="S432" s="39">
        <v>74194.34</v>
      </c>
      <c r="T432" s="39">
        <v>22444</v>
      </c>
      <c r="U432" t="str">
        <f t="shared" si="14"/>
        <v>Office Supplies</v>
      </c>
      <c r="V432">
        <f t="shared" si="15"/>
        <v>22444</v>
      </c>
      <c r="W432" t="str">
        <f>IF(Sales[[#This Row],[Quantity]]&gt;=15, "Large","Small")</f>
        <v>Small</v>
      </c>
      <c r="X432" t="str">
        <f>IF(Sales[[#This Row],[Quantity]]&gt;=15,"Large",IF(Sales[[#This Row],[Quantity]]=14,"Medium","Small"))</f>
        <v>Small</v>
      </c>
      <c r="Y432" t="str">
        <f>IF(AND(Sales[[#This Row],[Unit Price (₦)]]&gt;68000,Sales[[#This Row],[Quantity]]&gt;15),"Offer Discount", "No Discount")</f>
        <v>No Discount</v>
      </c>
    </row>
    <row r="433" spans="1:25" ht="15" customHeight="1" x14ac:dyDescent="0.25">
      <c r="A433" t="s">
        <v>1967</v>
      </c>
      <c r="B433" s="8">
        <v>45379</v>
      </c>
      <c r="C433" s="8">
        <v>45382</v>
      </c>
      <c r="D433" t="s">
        <v>73</v>
      </c>
      <c r="E433" t="s">
        <v>3067</v>
      </c>
      <c r="F433" t="s">
        <v>3045</v>
      </c>
      <c r="G433" t="s">
        <v>1969</v>
      </c>
      <c r="H433">
        <v>9072568722</v>
      </c>
      <c r="I433" t="s">
        <v>43</v>
      </c>
      <c r="J433" t="s">
        <v>25</v>
      </c>
      <c r="K433" t="s">
        <v>44</v>
      </c>
      <c r="L433" t="s">
        <v>63</v>
      </c>
      <c r="M433" t="s">
        <v>64</v>
      </c>
      <c r="N433" t="s">
        <v>104</v>
      </c>
      <c r="O433">
        <v>15</v>
      </c>
      <c r="P433">
        <v>16240.87</v>
      </c>
      <c r="Q433">
        <v>0</v>
      </c>
      <c r="R433" s="39">
        <v>0</v>
      </c>
      <c r="S433" s="39">
        <v>243613.05</v>
      </c>
      <c r="T433" s="39">
        <v>-23997.46</v>
      </c>
      <c r="U433" t="str">
        <f t="shared" si="14"/>
        <v>Office Supplies</v>
      </c>
      <c r="V433">
        <f t="shared" si="15"/>
        <v>23997.46</v>
      </c>
      <c r="W433" t="str">
        <f>IF(Sales[[#This Row],[Quantity]]&gt;=15, "Large","Small")</f>
        <v>Large</v>
      </c>
      <c r="X433" t="str">
        <f>IF(Sales[[#This Row],[Quantity]]&gt;=15,"Large",IF(Sales[[#This Row],[Quantity]]=14,"Medium","Small"))</f>
        <v>Large</v>
      </c>
      <c r="Y433" t="str">
        <f>IF(AND(Sales[[#This Row],[Unit Price (₦)]]&gt;68000,Sales[[#This Row],[Quantity]]&gt;15),"Offer Discount", "No Discount")</f>
        <v>No Discount</v>
      </c>
    </row>
    <row r="434" spans="1:25" ht="15" customHeight="1" x14ac:dyDescent="0.25">
      <c r="A434" t="s">
        <v>2049</v>
      </c>
      <c r="B434" s="8">
        <v>45381</v>
      </c>
      <c r="C434" s="8">
        <v>45384</v>
      </c>
      <c r="D434" t="s">
        <v>73</v>
      </c>
      <c r="E434" t="s">
        <v>3044</v>
      </c>
      <c r="F434" t="s">
        <v>3036</v>
      </c>
      <c r="G434" t="s">
        <v>2051</v>
      </c>
      <c r="H434">
        <v>8106153067</v>
      </c>
      <c r="I434" t="s">
        <v>24</v>
      </c>
      <c r="J434" t="s">
        <v>69</v>
      </c>
      <c r="K434" t="s">
        <v>70</v>
      </c>
      <c r="L434" t="s">
        <v>27</v>
      </c>
      <c r="M434" t="s">
        <v>79</v>
      </c>
      <c r="N434" t="s">
        <v>490</v>
      </c>
      <c r="O434">
        <v>4</v>
      </c>
      <c r="P434">
        <v>3849.35</v>
      </c>
      <c r="Q434">
        <v>0</v>
      </c>
      <c r="R434" s="39">
        <v>0</v>
      </c>
      <c r="S434" s="39">
        <v>15397.4</v>
      </c>
      <c r="T434" s="39">
        <v>-87.19</v>
      </c>
      <c r="U434" t="str">
        <f t="shared" si="14"/>
        <v>Food &amp; Beverages</v>
      </c>
      <c r="V434">
        <f t="shared" si="15"/>
        <v>87.19</v>
      </c>
      <c r="W434" t="str">
        <f>IF(Sales[[#This Row],[Quantity]]&gt;=15, "Large","Small")</f>
        <v>Small</v>
      </c>
      <c r="X434" t="str">
        <f>IF(Sales[[#This Row],[Quantity]]&gt;=15,"Large",IF(Sales[[#This Row],[Quantity]]=14,"Medium","Small"))</f>
        <v>Small</v>
      </c>
      <c r="Y434" t="str">
        <f>IF(AND(Sales[[#This Row],[Unit Price (₦)]]&gt;68000,Sales[[#This Row],[Quantity]]&gt;15),"Offer Discount", "No Discount")</f>
        <v>No Discount</v>
      </c>
    </row>
    <row r="435" spans="1:25" ht="15" customHeight="1" x14ac:dyDescent="0.25">
      <c r="A435" t="s">
        <v>1970</v>
      </c>
      <c r="B435" s="8">
        <v>45384</v>
      </c>
      <c r="C435" s="8">
        <v>45388</v>
      </c>
      <c r="D435" t="s">
        <v>73</v>
      </c>
      <c r="E435" t="s">
        <v>3044</v>
      </c>
      <c r="F435" t="s">
        <v>3074</v>
      </c>
      <c r="G435" t="s">
        <v>1972</v>
      </c>
      <c r="H435">
        <v>9059158676</v>
      </c>
      <c r="I435" t="s">
        <v>43</v>
      </c>
      <c r="J435" t="s">
        <v>25</v>
      </c>
      <c r="K435" t="s">
        <v>168</v>
      </c>
      <c r="L435" t="s">
        <v>85</v>
      </c>
      <c r="M435" t="s">
        <v>486</v>
      </c>
      <c r="N435" t="s">
        <v>487</v>
      </c>
      <c r="O435">
        <v>2</v>
      </c>
      <c r="P435">
        <v>55880.51</v>
      </c>
      <c r="Q435">
        <v>25</v>
      </c>
      <c r="R435" s="39">
        <v>27940.26</v>
      </c>
      <c r="S435" s="39">
        <v>83820.759999999995</v>
      </c>
      <c r="T435" s="39">
        <v>-4740.51</v>
      </c>
      <c r="U435" t="str">
        <f t="shared" si="14"/>
        <v>Furniture</v>
      </c>
      <c r="V435">
        <f t="shared" si="15"/>
        <v>4740.51</v>
      </c>
      <c r="W435" t="str">
        <f>IF(Sales[[#This Row],[Quantity]]&gt;=15, "Large","Small")</f>
        <v>Small</v>
      </c>
      <c r="X435" t="str">
        <f>IF(Sales[[#This Row],[Quantity]]&gt;=15,"Large",IF(Sales[[#This Row],[Quantity]]=14,"Medium","Small"))</f>
        <v>Small</v>
      </c>
      <c r="Y435" t="str">
        <f>IF(AND(Sales[[#This Row],[Unit Price (₦)]]&gt;68000,Sales[[#This Row],[Quantity]]&gt;15),"Offer Discount", "No Discount")</f>
        <v>No Discount</v>
      </c>
    </row>
    <row r="436" spans="1:25" ht="15" customHeight="1" x14ac:dyDescent="0.25">
      <c r="A436" t="s">
        <v>887</v>
      </c>
      <c r="B436" s="8">
        <v>45388</v>
      </c>
      <c r="C436" s="8">
        <v>45391</v>
      </c>
      <c r="D436" t="s">
        <v>73</v>
      </c>
      <c r="E436" t="s">
        <v>3067</v>
      </c>
      <c r="F436" t="s">
        <v>3043</v>
      </c>
      <c r="G436" t="s">
        <v>888</v>
      </c>
      <c r="H436">
        <v>8131367643</v>
      </c>
      <c r="I436" t="s">
        <v>35</v>
      </c>
      <c r="J436" t="s">
        <v>69</v>
      </c>
      <c r="K436" t="s">
        <v>144</v>
      </c>
      <c r="L436" t="s">
        <v>27</v>
      </c>
      <c r="M436" t="s">
        <v>173</v>
      </c>
      <c r="N436" t="s">
        <v>380</v>
      </c>
      <c r="O436">
        <v>2</v>
      </c>
      <c r="P436">
        <v>1248.3499999999999</v>
      </c>
      <c r="Q436">
        <v>15</v>
      </c>
      <c r="R436" s="39">
        <v>374.5</v>
      </c>
      <c r="S436" s="39">
        <v>2122.1999999999998</v>
      </c>
      <c r="T436" s="39">
        <v>797.79</v>
      </c>
      <c r="U436" t="str">
        <f t="shared" si="14"/>
        <v>Food &amp; Beverages</v>
      </c>
      <c r="V436">
        <f t="shared" si="15"/>
        <v>797.79</v>
      </c>
      <c r="W436" t="str">
        <f>IF(Sales[[#This Row],[Quantity]]&gt;=15, "Large","Small")</f>
        <v>Small</v>
      </c>
      <c r="X436" t="str">
        <f>IF(Sales[[#This Row],[Quantity]]&gt;=15,"Large",IF(Sales[[#This Row],[Quantity]]=14,"Medium","Small"))</f>
        <v>Small</v>
      </c>
      <c r="Y436" t="str">
        <f>IF(AND(Sales[[#This Row],[Unit Price (₦)]]&gt;68000,Sales[[#This Row],[Quantity]]&gt;15),"Offer Discount", "No Discount")</f>
        <v>No Discount</v>
      </c>
    </row>
    <row r="437" spans="1:25" ht="15" customHeight="1" x14ac:dyDescent="0.25">
      <c r="A437" t="s">
        <v>111</v>
      </c>
      <c r="B437" s="8">
        <v>45394</v>
      </c>
      <c r="C437" s="8">
        <v>45398</v>
      </c>
      <c r="D437" t="s">
        <v>73</v>
      </c>
      <c r="E437" t="s">
        <v>3055</v>
      </c>
      <c r="F437" t="s">
        <v>3052</v>
      </c>
      <c r="G437" t="s">
        <v>113</v>
      </c>
      <c r="H437">
        <v>8033762152</v>
      </c>
      <c r="I437" t="s">
        <v>35</v>
      </c>
      <c r="J437" t="s">
        <v>25</v>
      </c>
      <c r="K437" t="s">
        <v>26</v>
      </c>
      <c r="L437" t="s">
        <v>108</v>
      </c>
      <c r="M437" t="s">
        <v>114</v>
      </c>
      <c r="N437" t="s">
        <v>115</v>
      </c>
      <c r="O437">
        <v>15</v>
      </c>
      <c r="P437">
        <v>13403.73</v>
      </c>
      <c r="Q437">
        <v>10</v>
      </c>
      <c r="R437" s="39">
        <v>20105.59</v>
      </c>
      <c r="S437" s="39">
        <v>180950.36</v>
      </c>
      <c r="T437" s="39">
        <v>18783.46</v>
      </c>
      <c r="U437" t="str">
        <f t="shared" si="14"/>
        <v>Clothing</v>
      </c>
      <c r="V437">
        <f t="shared" si="15"/>
        <v>18783.46</v>
      </c>
      <c r="W437" t="str">
        <f>IF(Sales[[#This Row],[Quantity]]&gt;=15, "Large","Small")</f>
        <v>Large</v>
      </c>
      <c r="X437" t="str">
        <f>IF(Sales[[#This Row],[Quantity]]&gt;=15,"Large",IF(Sales[[#This Row],[Quantity]]=14,"Medium","Small"))</f>
        <v>Large</v>
      </c>
      <c r="Y437" t="str">
        <f>IF(AND(Sales[[#This Row],[Unit Price (₦)]]&gt;68000,Sales[[#This Row],[Quantity]]&gt;15),"Offer Discount", "No Discount")</f>
        <v>No Discount</v>
      </c>
    </row>
    <row r="438" spans="1:25" ht="15" customHeight="1" x14ac:dyDescent="0.25">
      <c r="A438" t="s">
        <v>2938</v>
      </c>
      <c r="B438" s="8">
        <v>45393</v>
      </c>
      <c r="C438" s="8">
        <v>45398</v>
      </c>
      <c r="D438" t="s">
        <v>73</v>
      </c>
      <c r="E438" t="s">
        <v>3097</v>
      </c>
      <c r="F438" t="s">
        <v>3077</v>
      </c>
      <c r="G438" t="s">
        <v>2939</v>
      </c>
      <c r="H438">
        <v>7065463386</v>
      </c>
      <c r="I438" t="s">
        <v>35</v>
      </c>
      <c r="J438" t="s">
        <v>69</v>
      </c>
      <c r="K438" t="s">
        <v>144</v>
      </c>
      <c r="L438" t="s">
        <v>96</v>
      </c>
      <c r="M438" t="s">
        <v>254</v>
      </c>
      <c r="N438" t="s">
        <v>530</v>
      </c>
      <c r="O438">
        <v>12</v>
      </c>
      <c r="P438">
        <v>264217.28000000003</v>
      </c>
      <c r="Q438">
        <v>15</v>
      </c>
      <c r="R438" s="39">
        <v>475591.1</v>
      </c>
      <c r="S438" s="39">
        <v>2695016.26</v>
      </c>
      <c r="T438" s="39">
        <v>615034.24</v>
      </c>
      <c r="U438" t="str">
        <f t="shared" si="14"/>
        <v>Technology</v>
      </c>
      <c r="V438">
        <f t="shared" si="15"/>
        <v>615034.24</v>
      </c>
      <c r="W438" t="str">
        <f>IF(Sales[[#This Row],[Quantity]]&gt;=15, "Large","Small")</f>
        <v>Small</v>
      </c>
      <c r="X438" t="str">
        <f>IF(Sales[[#This Row],[Quantity]]&gt;=15,"Large",IF(Sales[[#This Row],[Quantity]]=14,"Medium","Small"))</f>
        <v>Small</v>
      </c>
      <c r="Y438" t="str">
        <f>IF(AND(Sales[[#This Row],[Unit Price (₦)]]&gt;68000,Sales[[#This Row],[Quantity]]&gt;15),"Offer Discount", "No Discount")</f>
        <v>No Discount</v>
      </c>
    </row>
    <row r="439" spans="1:25" ht="15" customHeight="1" x14ac:dyDescent="0.25">
      <c r="A439" t="s">
        <v>1513</v>
      </c>
      <c r="B439" s="8">
        <v>45398</v>
      </c>
      <c r="C439" s="8">
        <v>45401</v>
      </c>
      <c r="D439" t="s">
        <v>73</v>
      </c>
      <c r="E439" t="s">
        <v>3047</v>
      </c>
      <c r="F439" t="s">
        <v>3064</v>
      </c>
      <c r="G439" t="s">
        <v>1515</v>
      </c>
      <c r="H439">
        <v>0</v>
      </c>
      <c r="I439" t="s">
        <v>43</v>
      </c>
      <c r="J439" t="s">
        <v>51</v>
      </c>
      <c r="K439" t="s">
        <v>131</v>
      </c>
      <c r="L439" t="s">
        <v>85</v>
      </c>
      <c r="M439" t="s">
        <v>243</v>
      </c>
      <c r="N439" t="s">
        <v>244</v>
      </c>
      <c r="O439">
        <v>15</v>
      </c>
      <c r="P439">
        <v>125693.94</v>
      </c>
      <c r="Q439">
        <v>0</v>
      </c>
      <c r="R439" s="39">
        <v>0</v>
      </c>
      <c r="S439" s="39">
        <v>1885409.1</v>
      </c>
      <c r="T439" s="39">
        <v>-271136.64000000001</v>
      </c>
      <c r="U439" t="str">
        <f t="shared" si="14"/>
        <v>Furniture</v>
      </c>
      <c r="V439">
        <f t="shared" si="15"/>
        <v>271136.64000000001</v>
      </c>
      <c r="W439" t="str">
        <f>IF(Sales[[#This Row],[Quantity]]&gt;=15, "Large","Small")</f>
        <v>Large</v>
      </c>
      <c r="X439" t="str">
        <f>IF(Sales[[#This Row],[Quantity]]&gt;=15,"Large",IF(Sales[[#This Row],[Quantity]]=14,"Medium","Small"))</f>
        <v>Large</v>
      </c>
      <c r="Y439" t="str">
        <f>IF(AND(Sales[[#This Row],[Unit Price (₦)]]&gt;68000,Sales[[#This Row],[Quantity]]&gt;15),"Offer Discount", "No Discount")</f>
        <v>No Discount</v>
      </c>
    </row>
    <row r="440" spans="1:25" ht="15" customHeight="1" x14ac:dyDescent="0.25">
      <c r="A440" t="s">
        <v>309</v>
      </c>
      <c r="B440" s="8">
        <v>45401</v>
      </c>
      <c r="C440" s="8">
        <v>45406</v>
      </c>
      <c r="D440" t="s">
        <v>73</v>
      </c>
      <c r="E440" t="s">
        <v>3084</v>
      </c>
      <c r="F440" t="s">
        <v>3050</v>
      </c>
      <c r="G440" t="s">
        <v>311</v>
      </c>
      <c r="H440">
        <v>9025446344</v>
      </c>
      <c r="I440" t="s">
        <v>24</v>
      </c>
      <c r="J440" t="s">
        <v>69</v>
      </c>
      <c r="K440" t="s">
        <v>307</v>
      </c>
      <c r="L440" t="s">
        <v>63</v>
      </c>
      <c r="M440" t="s">
        <v>312</v>
      </c>
      <c r="N440" t="s">
        <v>313</v>
      </c>
      <c r="O440">
        <v>11</v>
      </c>
      <c r="P440">
        <v>16421</v>
      </c>
      <c r="Q440">
        <v>25</v>
      </c>
      <c r="R440" s="39">
        <v>45157.75</v>
      </c>
      <c r="S440" s="39">
        <v>135473.25</v>
      </c>
      <c r="T440" s="39">
        <v>10567.68</v>
      </c>
      <c r="U440" t="str">
        <f t="shared" si="14"/>
        <v>Office Supplies</v>
      </c>
      <c r="V440">
        <f t="shared" si="15"/>
        <v>10567.68</v>
      </c>
      <c r="W440" t="str">
        <f>IF(Sales[[#This Row],[Quantity]]&gt;=15, "Large","Small")</f>
        <v>Small</v>
      </c>
      <c r="X440" t="str">
        <f>IF(Sales[[#This Row],[Quantity]]&gt;=15,"Large",IF(Sales[[#This Row],[Quantity]]=14,"Medium","Small"))</f>
        <v>Small</v>
      </c>
      <c r="Y440" t="str">
        <f>IF(AND(Sales[[#This Row],[Unit Price (₦)]]&gt;68000,Sales[[#This Row],[Quantity]]&gt;15),"Offer Discount", "No Discount")</f>
        <v>No Discount</v>
      </c>
    </row>
    <row r="441" spans="1:25" ht="15" customHeight="1" x14ac:dyDescent="0.25">
      <c r="A441" t="s">
        <v>1170</v>
      </c>
      <c r="B441" s="8">
        <v>45416</v>
      </c>
      <c r="C441" s="8">
        <v>45413</v>
      </c>
      <c r="D441" t="s">
        <v>73</v>
      </c>
      <c r="E441" t="s">
        <v>3094</v>
      </c>
      <c r="F441" t="s">
        <v>3054</v>
      </c>
      <c r="G441" t="s">
        <v>1172</v>
      </c>
      <c r="H441">
        <v>8166524481</v>
      </c>
      <c r="I441" t="s">
        <v>24</v>
      </c>
      <c r="J441" t="s">
        <v>69</v>
      </c>
      <c r="K441" t="s">
        <v>155</v>
      </c>
      <c r="L441" t="s">
        <v>37</v>
      </c>
      <c r="M441" t="s">
        <v>189</v>
      </c>
      <c r="N441" t="s">
        <v>190</v>
      </c>
      <c r="O441">
        <v>5</v>
      </c>
      <c r="P441">
        <v>10890.56</v>
      </c>
      <c r="Q441">
        <v>25</v>
      </c>
      <c r="R441" s="39">
        <v>13613.2</v>
      </c>
      <c r="S441" s="39">
        <v>40839.599999999999</v>
      </c>
      <c r="T441" s="39">
        <v>10635.82</v>
      </c>
      <c r="U441" t="str">
        <f t="shared" si="14"/>
        <v>Clothing</v>
      </c>
      <c r="V441">
        <f t="shared" si="15"/>
        <v>10635.82</v>
      </c>
      <c r="W441" t="str">
        <f>IF(Sales[[#This Row],[Quantity]]&gt;=15, "Large","Small")</f>
        <v>Small</v>
      </c>
      <c r="X441" t="str">
        <f>IF(Sales[[#This Row],[Quantity]]&gt;=15,"Large",IF(Sales[[#This Row],[Quantity]]=14,"Medium","Small"))</f>
        <v>Small</v>
      </c>
      <c r="Y441" t="str">
        <f>IF(AND(Sales[[#This Row],[Unit Price (₦)]]&gt;68000,Sales[[#This Row],[Quantity]]&gt;15),"Offer Discount", "No Discount")</f>
        <v>No Discount</v>
      </c>
    </row>
    <row r="442" spans="1:25" ht="15" customHeight="1" x14ac:dyDescent="0.25">
      <c r="A442" t="s">
        <v>1529</v>
      </c>
      <c r="B442" s="8">
        <v>45414</v>
      </c>
      <c r="C442" s="8">
        <v>45417</v>
      </c>
      <c r="D442" t="s">
        <v>73</v>
      </c>
      <c r="E442" t="s">
        <v>3059</v>
      </c>
      <c r="F442" t="s">
        <v>3096</v>
      </c>
      <c r="G442" t="s">
        <v>1531</v>
      </c>
      <c r="H442">
        <v>9072582179</v>
      </c>
      <c r="I442" t="s">
        <v>35</v>
      </c>
      <c r="J442" t="s">
        <v>61</v>
      </c>
      <c r="K442" t="s">
        <v>3127</v>
      </c>
      <c r="L442" t="s">
        <v>63</v>
      </c>
      <c r="M442" t="s">
        <v>249</v>
      </c>
      <c r="N442" t="s">
        <v>1141</v>
      </c>
      <c r="O442">
        <v>4</v>
      </c>
      <c r="P442">
        <v>17192.150000000001</v>
      </c>
      <c r="Q442">
        <v>15</v>
      </c>
      <c r="R442" s="39">
        <v>10315.290000000001</v>
      </c>
      <c r="S442" s="39">
        <v>58453.31</v>
      </c>
      <c r="T442" s="39">
        <v>4333.4399999999996</v>
      </c>
      <c r="U442" t="str">
        <f t="shared" si="14"/>
        <v>Office Supplies</v>
      </c>
      <c r="V442">
        <f t="shared" si="15"/>
        <v>4333.4399999999996</v>
      </c>
      <c r="W442" t="str">
        <f>IF(Sales[[#This Row],[Quantity]]&gt;=15, "Large","Small")</f>
        <v>Small</v>
      </c>
      <c r="X442" t="str">
        <f>IF(Sales[[#This Row],[Quantity]]&gt;=15,"Large",IF(Sales[[#This Row],[Quantity]]=14,"Medium","Small"))</f>
        <v>Small</v>
      </c>
      <c r="Y442" t="str">
        <f>IF(AND(Sales[[#This Row],[Unit Price (₦)]]&gt;68000,Sales[[#This Row],[Quantity]]&gt;15),"Offer Discount", "No Discount")</f>
        <v>No Discount</v>
      </c>
    </row>
    <row r="443" spans="1:25" ht="15" customHeight="1" x14ac:dyDescent="0.25">
      <c r="A443" t="s">
        <v>753</v>
      </c>
      <c r="B443" s="8">
        <v>45414</v>
      </c>
      <c r="C443" s="8">
        <v>45419</v>
      </c>
      <c r="D443" t="s">
        <v>73</v>
      </c>
      <c r="E443" t="s">
        <v>3041</v>
      </c>
      <c r="F443" t="s">
        <v>3036</v>
      </c>
      <c r="G443" t="s">
        <v>755</v>
      </c>
      <c r="H443">
        <v>9057254683</v>
      </c>
      <c r="I443" t="s">
        <v>43</v>
      </c>
      <c r="J443" t="s">
        <v>69</v>
      </c>
      <c r="K443" t="s">
        <v>119</v>
      </c>
      <c r="L443" t="s">
        <v>96</v>
      </c>
      <c r="M443" t="s">
        <v>254</v>
      </c>
      <c r="N443" t="s">
        <v>756</v>
      </c>
      <c r="O443">
        <v>17</v>
      </c>
      <c r="P443">
        <v>93014.79</v>
      </c>
      <c r="Q443">
        <v>0</v>
      </c>
      <c r="R443" s="39">
        <v>0</v>
      </c>
      <c r="S443" s="39">
        <v>1581251.43</v>
      </c>
      <c r="T443" s="39">
        <v>667995.93999999994</v>
      </c>
      <c r="U443" t="str">
        <f t="shared" si="14"/>
        <v>Technology</v>
      </c>
      <c r="V443">
        <f t="shared" si="15"/>
        <v>667995.93999999994</v>
      </c>
      <c r="W443" t="str">
        <f>IF(Sales[[#This Row],[Quantity]]&gt;=15, "Large","Small")</f>
        <v>Large</v>
      </c>
      <c r="X443" t="str">
        <f>IF(Sales[[#This Row],[Quantity]]&gt;=15,"Large",IF(Sales[[#This Row],[Quantity]]=14,"Medium","Small"))</f>
        <v>Large</v>
      </c>
      <c r="Y443" t="str">
        <f>IF(AND(Sales[[#This Row],[Unit Price (₦)]]&gt;68000,Sales[[#This Row],[Quantity]]&gt;15),"Offer Discount", "No Discount")</f>
        <v>Offer Discount</v>
      </c>
    </row>
    <row r="444" spans="1:25" ht="15" customHeight="1" x14ac:dyDescent="0.25">
      <c r="A444" t="s">
        <v>2750</v>
      </c>
      <c r="B444" s="8">
        <v>45417</v>
      </c>
      <c r="C444" s="8">
        <v>45420</v>
      </c>
      <c r="D444" t="s">
        <v>73</v>
      </c>
      <c r="E444" t="s">
        <v>3068</v>
      </c>
      <c r="F444" t="s">
        <v>3077</v>
      </c>
      <c r="G444" t="s">
        <v>2752</v>
      </c>
      <c r="H444">
        <v>8131009512</v>
      </c>
      <c r="I444" t="s">
        <v>24</v>
      </c>
      <c r="J444" t="s">
        <v>61</v>
      </c>
      <c r="K444" t="s">
        <v>204</v>
      </c>
      <c r="L444" t="s">
        <v>96</v>
      </c>
      <c r="M444" t="s">
        <v>385</v>
      </c>
      <c r="N444" t="s">
        <v>743</v>
      </c>
      <c r="O444">
        <v>16</v>
      </c>
      <c r="P444">
        <v>130495.84</v>
      </c>
      <c r="Q444">
        <v>0</v>
      </c>
      <c r="R444" s="39">
        <v>0</v>
      </c>
      <c r="S444" s="39">
        <v>2087933.44</v>
      </c>
      <c r="T444" s="39">
        <v>-38717.24</v>
      </c>
      <c r="U444" t="str">
        <f t="shared" si="14"/>
        <v>Technology</v>
      </c>
      <c r="V444">
        <f t="shared" si="15"/>
        <v>38717.24</v>
      </c>
      <c r="W444" t="str">
        <f>IF(Sales[[#This Row],[Quantity]]&gt;=15, "Large","Small")</f>
        <v>Large</v>
      </c>
      <c r="X444" t="str">
        <f>IF(Sales[[#This Row],[Quantity]]&gt;=15,"Large",IF(Sales[[#This Row],[Quantity]]=14,"Medium","Small"))</f>
        <v>Large</v>
      </c>
      <c r="Y444" t="str">
        <f>IF(AND(Sales[[#This Row],[Unit Price (₦)]]&gt;68000,Sales[[#This Row],[Quantity]]&gt;15),"Offer Discount", "No Discount")</f>
        <v>Offer Discount</v>
      </c>
    </row>
    <row r="445" spans="1:25" ht="15" customHeight="1" x14ac:dyDescent="0.25">
      <c r="A445" t="s">
        <v>72</v>
      </c>
      <c r="B445" s="8">
        <v>45426</v>
      </c>
      <c r="C445" s="8">
        <v>45431</v>
      </c>
      <c r="D445" t="s">
        <v>73</v>
      </c>
      <c r="E445" t="s">
        <v>3044</v>
      </c>
      <c r="F445" t="s">
        <v>3045</v>
      </c>
      <c r="G445" t="s">
        <v>75</v>
      </c>
      <c r="H445">
        <v>9058852574</v>
      </c>
      <c r="I445" t="s">
        <v>35</v>
      </c>
      <c r="J445" t="s">
        <v>25</v>
      </c>
      <c r="K445" t="s">
        <v>26</v>
      </c>
      <c r="L445" t="s">
        <v>27</v>
      </c>
      <c r="M445" t="s">
        <v>45</v>
      </c>
      <c r="N445" t="s">
        <v>46</v>
      </c>
      <c r="O445">
        <v>1</v>
      </c>
      <c r="P445">
        <v>6928</v>
      </c>
      <c r="Q445">
        <v>0</v>
      </c>
      <c r="R445" s="39">
        <v>0</v>
      </c>
      <c r="S445" s="39">
        <v>6928</v>
      </c>
      <c r="T445" s="39">
        <v>1794.53</v>
      </c>
      <c r="U445" t="str">
        <f t="shared" si="14"/>
        <v>Food &amp; Beverages</v>
      </c>
      <c r="V445">
        <f t="shared" si="15"/>
        <v>1794.53</v>
      </c>
      <c r="W445" t="str">
        <f>IF(Sales[[#This Row],[Quantity]]&gt;=15, "Large","Small")</f>
        <v>Small</v>
      </c>
      <c r="X445" t="str">
        <f>IF(Sales[[#This Row],[Quantity]]&gt;=15,"Large",IF(Sales[[#This Row],[Quantity]]=14,"Medium","Small"))</f>
        <v>Small</v>
      </c>
      <c r="Y445" t="str">
        <f>IF(AND(Sales[[#This Row],[Unit Price (₦)]]&gt;68000,Sales[[#This Row],[Quantity]]&gt;15),"Offer Discount", "No Discount")</f>
        <v>No Discount</v>
      </c>
    </row>
    <row r="446" spans="1:25" ht="15" customHeight="1" x14ac:dyDescent="0.25">
      <c r="A446" t="s">
        <v>659</v>
      </c>
      <c r="B446" s="8">
        <v>45428</v>
      </c>
      <c r="C446" s="8">
        <v>45432</v>
      </c>
      <c r="D446" t="s">
        <v>73</v>
      </c>
      <c r="E446" t="s">
        <v>3044</v>
      </c>
      <c r="F446" t="s">
        <v>3071</v>
      </c>
      <c r="G446" t="s">
        <v>661</v>
      </c>
      <c r="H446">
        <v>9057724393</v>
      </c>
      <c r="I446" t="s">
        <v>43</v>
      </c>
      <c r="J446" t="s">
        <v>51</v>
      </c>
      <c r="K446" t="s">
        <v>131</v>
      </c>
      <c r="L446" t="s">
        <v>27</v>
      </c>
      <c r="M446" t="s">
        <v>173</v>
      </c>
      <c r="N446" t="s">
        <v>662</v>
      </c>
      <c r="O446">
        <v>12</v>
      </c>
      <c r="P446">
        <v>4486.07</v>
      </c>
      <c r="Q446">
        <v>25</v>
      </c>
      <c r="R446" s="39">
        <v>13458.21</v>
      </c>
      <c r="S446" s="39">
        <v>40374.629999999997</v>
      </c>
      <c r="T446" s="39">
        <v>8328.9599999999991</v>
      </c>
      <c r="U446" t="str">
        <f t="shared" si="14"/>
        <v>Food &amp; Beverages</v>
      </c>
      <c r="V446">
        <f t="shared" si="15"/>
        <v>8328.9599999999991</v>
      </c>
      <c r="W446" t="str">
        <f>IF(Sales[[#This Row],[Quantity]]&gt;=15, "Large","Small")</f>
        <v>Small</v>
      </c>
      <c r="X446" t="str">
        <f>IF(Sales[[#This Row],[Quantity]]&gt;=15,"Large",IF(Sales[[#This Row],[Quantity]]=14,"Medium","Small"))</f>
        <v>Small</v>
      </c>
      <c r="Y446" t="str">
        <f>IF(AND(Sales[[#This Row],[Unit Price (₦)]]&gt;68000,Sales[[#This Row],[Quantity]]&gt;15),"Offer Discount", "No Discount")</f>
        <v>No Discount</v>
      </c>
    </row>
    <row r="447" spans="1:25" ht="15" customHeight="1" x14ac:dyDescent="0.25">
      <c r="A447" t="s">
        <v>1601</v>
      </c>
      <c r="B447" s="8">
        <v>45433</v>
      </c>
      <c r="C447" s="8">
        <v>45437</v>
      </c>
      <c r="D447" t="s">
        <v>73</v>
      </c>
      <c r="E447" t="s">
        <v>3081</v>
      </c>
      <c r="F447" t="s">
        <v>3050</v>
      </c>
      <c r="G447" t="s">
        <v>1603</v>
      </c>
      <c r="H447">
        <v>7063182100</v>
      </c>
      <c r="I447" t="s">
        <v>35</v>
      </c>
      <c r="J447" t="s">
        <v>51</v>
      </c>
      <c r="K447" t="s">
        <v>316</v>
      </c>
      <c r="L447" t="s">
        <v>108</v>
      </c>
      <c r="M447" t="s">
        <v>109</v>
      </c>
      <c r="N447" t="s">
        <v>690</v>
      </c>
      <c r="O447">
        <v>17</v>
      </c>
      <c r="P447">
        <v>5357.13</v>
      </c>
      <c r="Q447">
        <v>15</v>
      </c>
      <c r="R447" s="39">
        <v>13660.68</v>
      </c>
      <c r="S447" s="39">
        <v>77410.53</v>
      </c>
      <c r="T447" s="39">
        <v>15709.98</v>
      </c>
      <c r="U447" t="str">
        <f t="shared" si="14"/>
        <v>Clothing</v>
      </c>
      <c r="V447">
        <f t="shared" si="15"/>
        <v>15709.98</v>
      </c>
      <c r="W447" t="str">
        <f>IF(Sales[[#This Row],[Quantity]]&gt;=15, "Large","Small")</f>
        <v>Large</v>
      </c>
      <c r="X447" t="str">
        <f>IF(Sales[[#This Row],[Quantity]]&gt;=15,"Large",IF(Sales[[#This Row],[Quantity]]=14,"Medium","Small"))</f>
        <v>Large</v>
      </c>
      <c r="Y447" t="str">
        <f>IF(AND(Sales[[#This Row],[Unit Price (₦)]]&gt;68000,Sales[[#This Row],[Quantity]]&gt;15),"Offer Discount", "No Discount")</f>
        <v>No Discount</v>
      </c>
    </row>
    <row r="448" spans="1:25" ht="15" customHeight="1" x14ac:dyDescent="0.25">
      <c r="A448" t="s">
        <v>146</v>
      </c>
      <c r="B448" s="8">
        <v>45442</v>
      </c>
      <c r="C448" s="8">
        <v>45445</v>
      </c>
      <c r="D448" t="s">
        <v>73</v>
      </c>
      <c r="E448" t="s">
        <v>3063</v>
      </c>
      <c r="F448" t="s">
        <v>3064</v>
      </c>
      <c r="G448" t="s">
        <v>148</v>
      </c>
      <c r="H448">
        <v>9021669324</v>
      </c>
      <c r="I448" t="s">
        <v>24</v>
      </c>
      <c r="J448" t="s">
        <v>51</v>
      </c>
      <c r="K448" t="s">
        <v>149</v>
      </c>
      <c r="L448" t="s">
        <v>63</v>
      </c>
      <c r="M448" t="s">
        <v>54</v>
      </c>
      <c r="N448" t="s">
        <v>150</v>
      </c>
      <c r="O448">
        <v>-1</v>
      </c>
      <c r="P448">
        <v>16839.87</v>
      </c>
      <c r="Q448">
        <v>25</v>
      </c>
      <c r="R448" s="39">
        <v>50519.61</v>
      </c>
      <c r="S448" s="39">
        <v>151558.82999999999</v>
      </c>
      <c r="T448" s="39">
        <v>57665.23</v>
      </c>
      <c r="U448" t="str">
        <f t="shared" si="14"/>
        <v>Office Supplies</v>
      </c>
      <c r="V448">
        <f t="shared" si="15"/>
        <v>57665.23</v>
      </c>
      <c r="W448" t="str">
        <f>IF(Sales[[#This Row],[Quantity]]&gt;=15, "Large","Small")</f>
        <v>Small</v>
      </c>
      <c r="X448" t="str">
        <f>IF(Sales[[#This Row],[Quantity]]&gt;=15,"Large",IF(Sales[[#This Row],[Quantity]]=14,"Medium","Small"))</f>
        <v>Small</v>
      </c>
      <c r="Y448" t="str">
        <f>IF(AND(Sales[[#This Row],[Unit Price (₦)]]&gt;68000,Sales[[#This Row],[Quantity]]&gt;15),"Offer Discount", "No Discount")</f>
        <v>No Discount</v>
      </c>
    </row>
    <row r="449" spans="1:25" ht="15" customHeight="1" x14ac:dyDescent="0.25">
      <c r="A449" t="s">
        <v>1173</v>
      </c>
      <c r="B449" s="8">
        <v>45442</v>
      </c>
      <c r="C449" s="8">
        <v>45445</v>
      </c>
      <c r="D449" t="s">
        <v>73</v>
      </c>
      <c r="E449" t="s">
        <v>3094</v>
      </c>
      <c r="F449" t="s">
        <v>3062</v>
      </c>
      <c r="G449" t="s">
        <v>1175</v>
      </c>
      <c r="H449">
        <v>8069941610</v>
      </c>
      <c r="I449" t="s">
        <v>43</v>
      </c>
      <c r="J449" t="s">
        <v>61</v>
      </c>
      <c r="K449" t="s">
        <v>62</v>
      </c>
      <c r="L449" t="s">
        <v>96</v>
      </c>
      <c r="M449" t="s">
        <v>385</v>
      </c>
      <c r="N449" t="s">
        <v>386</v>
      </c>
      <c r="O449">
        <v>5</v>
      </c>
      <c r="P449">
        <v>380192.29</v>
      </c>
      <c r="Q449">
        <v>0</v>
      </c>
      <c r="R449" s="39">
        <v>0</v>
      </c>
      <c r="S449" s="39">
        <v>1900961.45</v>
      </c>
      <c r="T449" s="39">
        <v>587893.25</v>
      </c>
      <c r="U449" t="str">
        <f t="shared" si="14"/>
        <v>Technology</v>
      </c>
      <c r="V449">
        <f t="shared" si="15"/>
        <v>587893.25</v>
      </c>
      <c r="W449" t="str">
        <f>IF(Sales[[#This Row],[Quantity]]&gt;=15, "Large","Small")</f>
        <v>Small</v>
      </c>
      <c r="X449" t="str">
        <f>IF(Sales[[#This Row],[Quantity]]&gt;=15,"Large",IF(Sales[[#This Row],[Quantity]]=14,"Medium","Small"))</f>
        <v>Small</v>
      </c>
      <c r="Y449" t="str">
        <f>IF(AND(Sales[[#This Row],[Unit Price (₦)]]&gt;68000,Sales[[#This Row],[Quantity]]&gt;15),"Offer Discount", "No Discount")</f>
        <v>No Discount</v>
      </c>
    </row>
    <row r="450" spans="1:25" ht="15" customHeight="1" x14ac:dyDescent="0.25">
      <c r="A450" t="s">
        <v>2136</v>
      </c>
      <c r="B450" s="8">
        <v>45442</v>
      </c>
      <c r="C450" s="8">
        <v>45447</v>
      </c>
      <c r="D450" t="s">
        <v>73</v>
      </c>
      <c r="E450" t="s">
        <v>3068</v>
      </c>
      <c r="F450" t="s">
        <v>3077</v>
      </c>
      <c r="G450" t="s">
        <v>2138</v>
      </c>
      <c r="H450">
        <v>8068347629</v>
      </c>
      <c r="I450" t="s">
        <v>24</v>
      </c>
      <c r="J450" t="s">
        <v>69</v>
      </c>
      <c r="K450" t="s">
        <v>70</v>
      </c>
      <c r="L450" t="s">
        <v>96</v>
      </c>
      <c r="M450" t="s">
        <v>254</v>
      </c>
      <c r="N450" t="s">
        <v>455</v>
      </c>
      <c r="O450">
        <v>11</v>
      </c>
      <c r="P450">
        <v>168028.26</v>
      </c>
      <c r="Q450">
        <v>15</v>
      </c>
      <c r="R450" s="39">
        <v>277246.63</v>
      </c>
      <c r="S450" s="39">
        <v>1571064.23</v>
      </c>
      <c r="T450" s="39">
        <v>629747.19999999995</v>
      </c>
      <c r="U450" t="str">
        <f t="shared" ref="U450:U513" si="16">PROPER(L450)</f>
        <v>Technology</v>
      </c>
      <c r="V450">
        <f t="shared" si="15"/>
        <v>629747.19999999995</v>
      </c>
      <c r="W450" t="str">
        <f>IF(Sales[[#This Row],[Quantity]]&gt;=15, "Large","Small")</f>
        <v>Small</v>
      </c>
      <c r="X450" t="str">
        <f>IF(Sales[[#This Row],[Quantity]]&gt;=15,"Large",IF(Sales[[#This Row],[Quantity]]=14,"Medium","Small"))</f>
        <v>Small</v>
      </c>
      <c r="Y450" t="str">
        <f>IF(AND(Sales[[#This Row],[Unit Price (₦)]]&gt;68000,Sales[[#This Row],[Quantity]]&gt;15),"Offer Discount", "No Discount")</f>
        <v>No Discount</v>
      </c>
    </row>
    <row r="451" spans="1:25" ht="15" customHeight="1" x14ac:dyDescent="0.25">
      <c r="A451" t="s">
        <v>822</v>
      </c>
      <c r="B451" s="8">
        <v>45451</v>
      </c>
      <c r="C451" s="8">
        <v>45454</v>
      </c>
      <c r="D451" t="s">
        <v>73</v>
      </c>
      <c r="E451" t="s">
        <v>3087</v>
      </c>
      <c r="F451" t="s">
        <v>3038</v>
      </c>
      <c r="G451" t="s">
        <v>824</v>
      </c>
      <c r="H451" t="s">
        <v>23</v>
      </c>
      <c r="I451" t="s">
        <v>43</v>
      </c>
      <c r="J451" t="s">
        <v>69</v>
      </c>
      <c r="K451" t="s">
        <v>307</v>
      </c>
      <c r="L451" t="s">
        <v>108</v>
      </c>
      <c r="M451" t="s">
        <v>189</v>
      </c>
      <c r="N451" t="s">
        <v>205</v>
      </c>
      <c r="O451">
        <v>10</v>
      </c>
      <c r="P451">
        <v>13406.39</v>
      </c>
      <c r="Q451">
        <v>10</v>
      </c>
      <c r="R451" s="39">
        <v>13406.39</v>
      </c>
      <c r="S451" s="39">
        <v>120657.51</v>
      </c>
      <c r="T451" s="39">
        <v>-901.44</v>
      </c>
      <c r="U451" t="str">
        <f t="shared" si="16"/>
        <v>Clothing</v>
      </c>
      <c r="V451">
        <f t="shared" ref="V451:V514" si="17">ABS(T451)</f>
        <v>901.44</v>
      </c>
      <c r="W451" t="str">
        <f>IF(Sales[[#This Row],[Quantity]]&gt;=15, "Large","Small")</f>
        <v>Small</v>
      </c>
      <c r="X451" t="str">
        <f>IF(Sales[[#This Row],[Quantity]]&gt;=15,"Large",IF(Sales[[#This Row],[Quantity]]=14,"Medium","Small"))</f>
        <v>Small</v>
      </c>
      <c r="Y451" t="str">
        <f>IF(AND(Sales[[#This Row],[Unit Price (₦)]]&gt;68000,Sales[[#This Row],[Quantity]]&gt;15),"Offer Discount", "No Discount")</f>
        <v>No Discount</v>
      </c>
    </row>
    <row r="452" spans="1:25" ht="15" customHeight="1" x14ac:dyDescent="0.25">
      <c r="A452" t="s">
        <v>2449</v>
      </c>
      <c r="B452" s="8">
        <v>45459</v>
      </c>
      <c r="C452" s="8">
        <v>45463</v>
      </c>
      <c r="D452" t="s">
        <v>73</v>
      </c>
      <c r="E452" t="s">
        <v>3056</v>
      </c>
      <c r="F452" t="s">
        <v>3077</v>
      </c>
      <c r="G452" t="s">
        <v>261</v>
      </c>
      <c r="H452">
        <v>8102181161</v>
      </c>
      <c r="I452" t="s">
        <v>43</v>
      </c>
      <c r="J452" t="s">
        <v>25</v>
      </c>
      <c r="K452" t="s">
        <v>36</v>
      </c>
      <c r="L452" t="s">
        <v>63</v>
      </c>
      <c r="M452" t="s">
        <v>558</v>
      </c>
      <c r="N452" t="s">
        <v>1460</v>
      </c>
      <c r="O452">
        <v>9</v>
      </c>
      <c r="P452">
        <v>9846.7900000000009</v>
      </c>
      <c r="Q452">
        <v>0</v>
      </c>
      <c r="R452" s="39">
        <v>0</v>
      </c>
      <c r="S452" s="39">
        <v>88621.11</v>
      </c>
      <c r="T452" s="39">
        <v>20040.689999999999</v>
      </c>
      <c r="U452" t="str">
        <f t="shared" si="16"/>
        <v>Office Supplies</v>
      </c>
      <c r="V452">
        <f t="shared" si="17"/>
        <v>20040.689999999999</v>
      </c>
      <c r="W452" t="str">
        <f>IF(Sales[[#This Row],[Quantity]]&gt;=15, "Large","Small")</f>
        <v>Small</v>
      </c>
      <c r="X452" t="str">
        <f>IF(Sales[[#This Row],[Quantity]]&gt;=15,"Large",IF(Sales[[#This Row],[Quantity]]=14,"Medium","Small"))</f>
        <v>Small</v>
      </c>
      <c r="Y452" t="str">
        <f>IF(AND(Sales[[#This Row],[Unit Price (₦)]]&gt;68000,Sales[[#This Row],[Quantity]]&gt;15),"Offer Discount", "No Discount")</f>
        <v>No Discount</v>
      </c>
    </row>
    <row r="453" spans="1:25" ht="15" customHeight="1" x14ac:dyDescent="0.25">
      <c r="A453" t="s">
        <v>1496</v>
      </c>
      <c r="B453" s="8">
        <v>45460</v>
      </c>
      <c r="C453" s="8">
        <v>45465</v>
      </c>
      <c r="D453" t="s">
        <v>73</v>
      </c>
      <c r="E453" t="s">
        <v>3041</v>
      </c>
      <c r="F453" t="s">
        <v>3079</v>
      </c>
      <c r="G453" t="s">
        <v>1498</v>
      </c>
      <c r="H453">
        <v>9021568440</v>
      </c>
      <c r="I453" t="s">
        <v>35</v>
      </c>
      <c r="J453" t="s">
        <v>61</v>
      </c>
      <c r="K453" t="s">
        <v>182</v>
      </c>
      <c r="L453" t="s">
        <v>63</v>
      </c>
      <c r="M453" t="s">
        <v>194</v>
      </c>
      <c r="N453" t="s">
        <v>700</v>
      </c>
      <c r="O453">
        <v>16</v>
      </c>
      <c r="P453">
        <v>20668.349999999999</v>
      </c>
      <c r="Q453">
        <v>20</v>
      </c>
      <c r="R453" s="39">
        <v>66138.720000000001</v>
      </c>
      <c r="S453" s="39">
        <v>264554.88</v>
      </c>
      <c r="T453" s="39">
        <v>77293.72</v>
      </c>
      <c r="U453" t="str">
        <f t="shared" si="16"/>
        <v>Office Supplies</v>
      </c>
      <c r="V453">
        <f t="shared" si="17"/>
        <v>77293.72</v>
      </c>
      <c r="W453" t="str">
        <f>IF(Sales[[#This Row],[Quantity]]&gt;=15, "Large","Small")</f>
        <v>Large</v>
      </c>
      <c r="X453" t="str">
        <f>IF(Sales[[#This Row],[Quantity]]&gt;=15,"Large",IF(Sales[[#This Row],[Quantity]]=14,"Medium","Small"))</f>
        <v>Large</v>
      </c>
      <c r="Y453" t="str">
        <f>IF(AND(Sales[[#This Row],[Unit Price (₦)]]&gt;68000,Sales[[#This Row],[Quantity]]&gt;15),"Offer Discount", "No Discount")</f>
        <v>No Discount</v>
      </c>
    </row>
    <row r="454" spans="1:25" ht="15" customHeight="1" x14ac:dyDescent="0.25">
      <c r="A454" t="s">
        <v>2408</v>
      </c>
      <c r="B454" s="8">
        <v>45462</v>
      </c>
      <c r="C454" s="8">
        <v>45465</v>
      </c>
      <c r="D454" t="s">
        <v>73</v>
      </c>
      <c r="E454" t="s">
        <v>3098</v>
      </c>
      <c r="F454" t="s">
        <v>3046</v>
      </c>
      <c r="G454" t="s">
        <v>2410</v>
      </c>
      <c r="H454">
        <v>8034499464</v>
      </c>
      <c r="I454" t="s">
        <v>35</v>
      </c>
      <c r="J454" t="s">
        <v>61</v>
      </c>
      <c r="K454" t="s">
        <v>182</v>
      </c>
      <c r="L454" t="s">
        <v>108</v>
      </c>
      <c r="M454" t="s">
        <v>114</v>
      </c>
      <c r="N454" t="s">
        <v>115</v>
      </c>
      <c r="O454">
        <v>7</v>
      </c>
      <c r="P454">
        <v>20857.509999999998</v>
      </c>
      <c r="Q454">
        <v>5</v>
      </c>
      <c r="R454" s="39">
        <v>7300.13</v>
      </c>
      <c r="S454" s="39">
        <v>138702.44</v>
      </c>
      <c r="T454" s="39">
        <v>43357.03</v>
      </c>
      <c r="U454" t="str">
        <f t="shared" si="16"/>
        <v>Clothing</v>
      </c>
      <c r="V454">
        <f t="shared" si="17"/>
        <v>43357.03</v>
      </c>
      <c r="W454" t="str">
        <f>IF(Sales[[#This Row],[Quantity]]&gt;=15, "Large","Small")</f>
        <v>Small</v>
      </c>
      <c r="X454" t="str">
        <f>IF(Sales[[#This Row],[Quantity]]&gt;=15,"Large",IF(Sales[[#This Row],[Quantity]]=14,"Medium","Small"))</f>
        <v>Small</v>
      </c>
      <c r="Y454" t="str">
        <f>IF(AND(Sales[[#This Row],[Unit Price (₦)]]&gt;68000,Sales[[#This Row],[Quantity]]&gt;15),"Offer Discount", "No Discount")</f>
        <v>No Discount</v>
      </c>
    </row>
    <row r="455" spans="1:25" ht="15" customHeight="1" x14ac:dyDescent="0.25">
      <c r="A455" t="s">
        <v>1913</v>
      </c>
      <c r="B455" s="8">
        <v>45467</v>
      </c>
      <c r="C455" s="8">
        <v>45470</v>
      </c>
      <c r="D455" t="s">
        <v>73</v>
      </c>
      <c r="E455" t="s">
        <v>3041</v>
      </c>
      <c r="F455" t="s">
        <v>3036</v>
      </c>
      <c r="G455" t="s">
        <v>1914</v>
      </c>
      <c r="H455">
        <v>9057634775</v>
      </c>
      <c r="I455" t="s">
        <v>24</v>
      </c>
      <c r="J455" t="s">
        <v>69</v>
      </c>
      <c r="K455" t="s">
        <v>144</v>
      </c>
      <c r="L455" t="s">
        <v>85</v>
      </c>
      <c r="M455" t="s">
        <v>486</v>
      </c>
      <c r="N455" t="s">
        <v>1193</v>
      </c>
      <c r="O455">
        <v>14</v>
      </c>
      <c r="P455">
        <v>133527.65</v>
      </c>
      <c r="Q455">
        <v>10</v>
      </c>
      <c r="R455" s="39">
        <v>186938.71</v>
      </c>
      <c r="S455" s="39">
        <v>1682448.39</v>
      </c>
      <c r="T455" s="39">
        <v>-102628.49</v>
      </c>
      <c r="U455" t="str">
        <f t="shared" si="16"/>
        <v>Furniture</v>
      </c>
      <c r="V455">
        <f t="shared" si="17"/>
        <v>102628.49</v>
      </c>
      <c r="W455" t="str">
        <f>IF(Sales[[#This Row],[Quantity]]&gt;=15, "Large","Small")</f>
        <v>Small</v>
      </c>
      <c r="X455" t="str">
        <f>IF(Sales[[#This Row],[Quantity]]&gt;=15,"Large",IF(Sales[[#This Row],[Quantity]]=14,"Medium","Small"))</f>
        <v>Medium</v>
      </c>
      <c r="Y455" t="str">
        <f>IF(AND(Sales[[#This Row],[Unit Price (₦)]]&gt;68000,Sales[[#This Row],[Quantity]]&gt;15),"Offer Discount", "No Discount")</f>
        <v>No Discount</v>
      </c>
    </row>
    <row r="456" spans="1:25" ht="15" customHeight="1" x14ac:dyDescent="0.25">
      <c r="A456" t="s">
        <v>1398</v>
      </c>
      <c r="B456" s="8">
        <v>45467</v>
      </c>
      <c r="C456" s="8">
        <v>45471</v>
      </c>
      <c r="D456" t="s">
        <v>73</v>
      </c>
      <c r="E456" t="s">
        <v>3056</v>
      </c>
      <c r="F456" t="s">
        <v>3034</v>
      </c>
      <c r="G456" t="s">
        <v>1399</v>
      </c>
      <c r="H456">
        <v>8033339134</v>
      </c>
      <c r="I456" t="s">
        <v>43</v>
      </c>
      <c r="J456" t="s">
        <v>51</v>
      </c>
      <c r="K456" t="s">
        <v>3127</v>
      </c>
      <c r="L456" t="s">
        <v>27</v>
      </c>
      <c r="M456" t="s">
        <v>79</v>
      </c>
      <c r="N456" t="s">
        <v>80</v>
      </c>
      <c r="O456">
        <v>20</v>
      </c>
      <c r="P456">
        <v>490.93</v>
      </c>
      <c r="Q456">
        <v>5</v>
      </c>
      <c r="R456" s="39">
        <v>490.93</v>
      </c>
      <c r="S456" s="39">
        <v>9327.67</v>
      </c>
      <c r="T456" s="39">
        <v>1096.78</v>
      </c>
      <c r="U456" t="str">
        <f t="shared" si="16"/>
        <v>Food &amp; Beverages</v>
      </c>
      <c r="V456">
        <f t="shared" si="17"/>
        <v>1096.78</v>
      </c>
      <c r="W456" t="str">
        <f>IF(Sales[[#This Row],[Quantity]]&gt;=15, "Large","Small")</f>
        <v>Large</v>
      </c>
      <c r="X456" t="str">
        <f>IF(Sales[[#This Row],[Quantity]]&gt;=15,"Large",IF(Sales[[#This Row],[Quantity]]=14,"Medium","Small"))</f>
        <v>Large</v>
      </c>
      <c r="Y456" t="str">
        <f>IF(AND(Sales[[#This Row],[Unit Price (₦)]]&gt;68000,Sales[[#This Row],[Quantity]]&gt;15),"Offer Discount", "No Discount")</f>
        <v>No Discount</v>
      </c>
    </row>
    <row r="457" spans="1:25" ht="15" customHeight="1" x14ac:dyDescent="0.25">
      <c r="A457" t="s">
        <v>2834</v>
      </c>
      <c r="B457" s="8">
        <v>45482</v>
      </c>
      <c r="C457" s="8">
        <v>45485</v>
      </c>
      <c r="D457" t="s">
        <v>73</v>
      </c>
      <c r="E457" t="s">
        <v>3091</v>
      </c>
      <c r="F457" t="s">
        <v>3042</v>
      </c>
      <c r="G457" t="s">
        <v>908</v>
      </c>
      <c r="H457">
        <v>7065523800</v>
      </c>
      <c r="I457" t="s">
        <v>24</v>
      </c>
      <c r="J457" t="s">
        <v>51</v>
      </c>
      <c r="K457" t="s">
        <v>223</v>
      </c>
      <c r="L457" t="s">
        <v>85</v>
      </c>
      <c r="M457" t="s">
        <v>486</v>
      </c>
      <c r="N457" t="s">
        <v>1193</v>
      </c>
      <c r="O457">
        <v>5</v>
      </c>
      <c r="P457">
        <v>83358.240000000005</v>
      </c>
      <c r="Q457">
        <v>0</v>
      </c>
      <c r="R457" s="39">
        <v>0</v>
      </c>
      <c r="S457" s="39">
        <v>416791.2</v>
      </c>
      <c r="T457" s="39">
        <v>132791.63</v>
      </c>
      <c r="U457" t="str">
        <f t="shared" si="16"/>
        <v>Furniture</v>
      </c>
      <c r="V457">
        <f t="shared" si="17"/>
        <v>132791.63</v>
      </c>
      <c r="W457" t="str">
        <f>IF(Sales[[#This Row],[Quantity]]&gt;=15, "Large","Small")</f>
        <v>Small</v>
      </c>
      <c r="X457" t="str">
        <f>IF(Sales[[#This Row],[Quantity]]&gt;=15,"Large",IF(Sales[[#This Row],[Quantity]]=14,"Medium","Small"))</f>
        <v>Small</v>
      </c>
      <c r="Y457" t="str">
        <f>IF(AND(Sales[[#This Row],[Unit Price (₦)]]&gt;68000,Sales[[#This Row],[Quantity]]&gt;15),"Offer Discount", "No Discount")</f>
        <v>No Discount</v>
      </c>
    </row>
    <row r="458" spans="1:25" ht="15" customHeight="1" x14ac:dyDescent="0.25">
      <c r="A458" t="s">
        <v>2863</v>
      </c>
      <c r="B458" s="8">
        <v>45481</v>
      </c>
      <c r="C458" s="8">
        <v>45485</v>
      </c>
      <c r="D458" t="s">
        <v>73</v>
      </c>
      <c r="E458" t="s">
        <v>3065</v>
      </c>
      <c r="F458" t="s">
        <v>3088</v>
      </c>
      <c r="G458" t="s">
        <v>2865</v>
      </c>
      <c r="H458">
        <v>8166297073</v>
      </c>
      <c r="I458" t="s">
        <v>35</v>
      </c>
      <c r="J458" t="s">
        <v>51</v>
      </c>
      <c r="K458" t="s">
        <v>316</v>
      </c>
      <c r="L458" t="s">
        <v>63</v>
      </c>
      <c r="M458" t="s">
        <v>312</v>
      </c>
      <c r="N458" t="s">
        <v>736</v>
      </c>
      <c r="O458">
        <v>1</v>
      </c>
      <c r="P458">
        <v>23192.22</v>
      </c>
      <c r="Q458">
        <v>5</v>
      </c>
      <c r="R458" s="39">
        <v>1159.6099999999999</v>
      </c>
      <c r="S458" s="39">
        <v>22032.61</v>
      </c>
      <c r="T458" s="39">
        <v>2059.8200000000002</v>
      </c>
      <c r="U458" t="str">
        <f t="shared" si="16"/>
        <v>Office Supplies</v>
      </c>
      <c r="V458">
        <f t="shared" si="17"/>
        <v>2059.8200000000002</v>
      </c>
      <c r="W458" t="str">
        <f>IF(Sales[[#This Row],[Quantity]]&gt;=15, "Large","Small")</f>
        <v>Small</v>
      </c>
      <c r="X458" t="str">
        <f>IF(Sales[[#This Row],[Quantity]]&gt;=15,"Large",IF(Sales[[#This Row],[Quantity]]=14,"Medium","Small"))</f>
        <v>Small</v>
      </c>
      <c r="Y458" t="str">
        <f>IF(AND(Sales[[#This Row],[Unit Price (₦)]]&gt;68000,Sales[[#This Row],[Quantity]]&gt;15),"Offer Discount", "No Discount")</f>
        <v>No Discount</v>
      </c>
    </row>
    <row r="459" spans="1:25" ht="15" customHeight="1" x14ac:dyDescent="0.25">
      <c r="A459" t="s">
        <v>921</v>
      </c>
      <c r="B459" s="8">
        <v>45496</v>
      </c>
      <c r="C459" s="8">
        <v>45500</v>
      </c>
      <c r="D459" t="s">
        <v>73</v>
      </c>
      <c r="E459" t="s">
        <v>3073</v>
      </c>
      <c r="F459" t="s">
        <v>3042</v>
      </c>
      <c r="G459" t="s">
        <v>923</v>
      </c>
      <c r="H459">
        <v>8034739945</v>
      </c>
      <c r="I459" t="s">
        <v>24</v>
      </c>
      <c r="J459" t="s">
        <v>51</v>
      </c>
      <c r="K459" t="s">
        <v>227</v>
      </c>
      <c r="L459" t="s">
        <v>108</v>
      </c>
      <c r="M459" t="s">
        <v>38</v>
      </c>
      <c r="N459" t="s">
        <v>296</v>
      </c>
      <c r="O459">
        <v>20</v>
      </c>
      <c r="P459">
        <v>34998.910000000003</v>
      </c>
      <c r="Q459">
        <v>20</v>
      </c>
      <c r="R459" s="39">
        <v>139995.64000000001</v>
      </c>
      <c r="S459" s="39">
        <v>559982.56000000006</v>
      </c>
      <c r="T459" s="39">
        <v>156792.23000000001</v>
      </c>
      <c r="U459" t="str">
        <f t="shared" si="16"/>
        <v>Clothing</v>
      </c>
      <c r="V459">
        <f t="shared" si="17"/>
        <v>156792.23000000001</v>
      </c>
      <c r="W459" t="str">
        <f>IF(Sales[[#This Row],[Quantity]]&gt;=15, "Large","Small")</f>
        <v>Large</v>
      </c>
      <c r="X459" t="str">
        <f>IF(Sales[[#This Row],[Quantity]]&gt;=15,"Large",IF(Sales[[#This Row],[Quantity]]=14,"Medium","Small"))</f>
        <v>Large</v>
      </c>
      <c r="Y459" t="str">
        <f>IF(AND(Sales[[#This Row],[Unit Price (₦)]]&gt;68000,Sales[[#This Row],[Quantity]]&gt;15),"Offer Discount", "No Discount")</f>
        <v>No Discount</v>
      </c>
    </row>
    <row r="460" spans="1:25" ht="15" customHeight="1" x14ac:dyDescent="0.25">
      <c r="A460" t="s">
        <v>1916</v>
      </c>
      <c r="B460" s="8">
        <v>45502</v>
      </c>
      <c r="C460" s="8">
        <v>45505</v>
      </c>
      <c r="D460" t="s">
        <v>73</v>
      </c>
      <c r="E460" t="s">
        <v>3065</v>
      </c>
      <c r="F460" t="s">
        <v>3052</v>
      </c>
      <c r="G460" t="s">
        <v>1918</v>
      </c>
      <c r="H460">
        <v>9014026721</v>
      </c>
      <c r="I460" t="s">
        <v>43</v>
      </c>
      <c r="J460" t="s">
        <v>69</v>
      </c>
      <c r="K460" t="s">
        <v>3127</v>
      </c>
      <c r="L460" t="s">
        <v>63</v>
      </c>
      <c r="M460" t="s">
        <v>249</v>
      </c>
      <c r="N460" t="s">
        <v>1141</v>
      </c>
      <c r="O460">
        <v>6</v>
      </c>
      <c r="P460">
        <v>4491.51</v>
      </c>
      <c r="Q460">
        <v>15</v>
      </c>
      <c r="R460" s="39">
        <v>4042.36</v>
      </c>
      <c r="S460" s="39">
        <v>22906.7</v>
      </c>
      <c r="T460" s="39">
        <v>6011.18</v>
      </c>
      <c r="U460" t="str">
        <f t="shared" si="16"/>
        <v>Office Supplies</v>
      </c>
      <c r="V460">
        <f t="shared" si="17"/>
        <v>6011.18</v>
      </c>
      <c r="W460" t="str">
        <f>IF(Sales[[#This Row],[Quantity]]&gt;=15, "Large","Small")</f>
        <v>Small</v>
      </c>
      <c r="X460" t="str">
        <f>IF(Sales[[#This Row],[Quantity]]&gt;=15,"Large",IF(Sales[[#This Row],[Quantity]]=14,"Medium","Small"))</f>
        <v>Small</v>
      </c>
      <c r="Y460" t="str">
        <f>IF(AND(Sales[[#This Row],[Unit Price (₦)]]&gt;68000,Sales[[#This Row],[Quantity]]&gt;15),"Offer Discount", "No Discount")</f>
        <v>No Discount</v>
      </c>
    </row>
    <row r="461" spans="1:25" ht="15" customHeight="1" x14ac:dyDescent="0.25">
      <c r="A461" t="s">
        <v>1406</v>
      </c>
      <c r="B461" s="8">
        <v>45508</v>
      </c>
      <c r="C461" s="8">
        <v>45513</v>
      </c>
      <c r="D461" t="s">
        <v>73</v>
      </c>
      <c r="E461" t="str">
        <f>E462</f>
        <v>Adebayo</v>
      </c>
      <c r="F461" t="str">
        <f>F460</f>
        <v>Nwosu</v>
      </c>
      <c r="G461" t="s">
        <v>1407</v>
      </c>
      <c r="H461">
        <v>8134120669</v>
      </c>
      <c r="I461" t="s">
        <v>43</v>
      </c>
      <c r="J461" t="s">
        <v>69</v>
      </c>
      <c r="K461" t="s">
        <v>144</v>
      </c>
      <c r="L461" t="s">
        <v>108</v>
      </c>
      <c r="M461" t="s">
        <v>38</v>
      </c>
      <c r="N461" t="s">
        <v>296</v>
      </c>
      <c r="O461">
        <v>10</v>
      </c>
      <c r="P461">
        <v>23095.18</v>
      </c>
      <c r="Q461">
        <v>10</v>
      </c>
      <c r="R461" s="39">
        <v>23095.18</v>
      </c>
      <c r="S461" s="39">
        <v>207856.62</v>
      </c>
      <c r="T461" s="39">
        <v>30442.74</v>
      </c>
      <c r="U461" t="str">
        <f t="shared" si="16"/>
        <v>Clothing</v>
      </c>
      <c r="V461">
        <f t="shared" si="17"/>
        <v>30442.74</v>
      </c>
      <c r="W461" t="str">
        <f>IF(Sales[[#This Row],[Quantity]]&gt;=15, "Large","Small")</f>
        <v>Small</v>
      </c>
      <c r="X461" t="str">
        <f>IF(Sales[[#This Row],[Quantity]]&gt;=15,"Large",IF(Sales[[#This Row],[Quantity]]=14,"Medium","Small"))</f>
        <v>Small</v>
      </c>
      <c r="Y461" t="str">
        <f>IF(AND(Sales[[#This Row],[Unit Price (₦)]]&gt;68000,Sales[[#This Row],[Quantity]]&gt;15),"Offer Discount", "No Discount")</f>
        <v>No Discount</v>
      </c>
    </row>
    <row r="462" spans="1:25" ht="15" customHeight="1" x14ac:dyDescent="0.25">
      <c r="A462" t="s">
        <v>2108</v>
      </c>
      <c r="B462" s="8">
        <v>45520</v>
      </c>
      <c r="C462" s="8">
        <v>45525</v>
      </c>
      <c r="D462" t="s">
        <v>73</v>
      </c>
      <c r="E462" t="s">
        <v>3039</v>
      </c>
      <c r="F462" t="s">
        <v>3036</v>
      </c>
      <c r="G462" t="s">
        <v>2109</v>
      </c>
      <c r="H462">
        <v>8107002009</v>
      </c>
      <c r="I462" t="s">
        <v>43</v>
      </c>
      <c r="J462" t="s">
        <v>69</v>
      </c>
      <c r="K462" t="s">
        <v>307</v>
      </c>
      <c r="L462" t="s">
        <v>27</v>
      </c>
      <c r="M462" t="s">
        <v>173</v>
      </c>
      <c r="N462" t="s">
        <v>380</v>
      </c>
      <c r="O462">
        <v>17</v>
      </c>
      <c r="P462">
        <v>2986.02</v>
      </c>
      <c r="Q462">
        <v>15</v>
      </c>
      <c r="R462" s="39">
        <v>7614.35</v>
      </c>
      <c r="S462" s="39">
        <v>43147.99</v>
      </c>
      <c r="T462" s="39">
        <v>6809.92</v>
      </c>
      <c r="U462" t="str">
        <f t="shared" si="16"/>
        <v>Food &amp; Beverages</v>
      </c>
      <c r="V462">
        <f t="shared" si="17"/>
        <v>6809.92</v>
      </c>
      <c r="W462" t="str">
        <f>IF(Sales[[#This Row],[Quantity]]&gt;=15, "Large","Small")</f>
        <v>Large</v>
      </c>
      <c r="X462" t="str">
        <f>IF(Sales[[#This Row],[Quantity]]&gt;=15,"Large",IF(Sales[[#This Row],[Quantity]]=14,"Medium","Small"))</f>
        <v>Large</v>
      </c>
      <c r="Y462" t="str">
        <f>IF(AND(Sales[[#This Row],[Unit Price (₦)]]&gt;68000,Sales[[#This Row],[Quantity]]&gt;15),"Offer Discount", "No Discount")</f>
        <v>No Discount</v>
      </c>
    </row>
    <row r="463" spans="1:25" ht="15" customHeight="1" x14ac:dyDescent="0.25">
      <c r="A463" t="s">
        <v>341</v>
      </c>
      <c r="B463" s="8">
        <v>45527</v>
      </c>
      <c r="C463" s="8">
        <v>45530</v>
      </c>
      <c r="D463" t="s">
        <v>73</v>
      </c>
      <c r="E463" t="s">
        <v>3085</v>
      </c>
      <c r="F463" t="s">
        <v>3077</v>
      </c>
      <c r="G463" t="s">
        <v>343</v>
      </c>
      <c r="H463">
        <v>9054713925</v>
      </c>
      <c r="I463" t="s">
        <v>24</v>
      </c>
      <c r="J463" t="s">
        <v>51</v>
      </c>
      <c r="K463" t="s">
        <v>52</v>
      </c>
      <c r="L463" t="s">
        <v>96</v>
      </c>
      <c r="M463" t="s">
        <v>189</v>
      </c>
      <c r="N463" t="s">
        <v>325</v>
      </c>
      <c r="O463">
        <v>4</v>
      </c>
      <c r="P463">
        <v>297419.15999999997</v>
      </c>
      <c r="Q463">
        <v>0</v>
      </c>
      <c r="R463" s="39">
        <v>0</v>
      </c>
      <c r="S463" s="39">
        <v>1189676.6399999999</v>
      </c>
      <c r="T463" s="39">
        <v>-146082.67000000001</v>
      </c>
      <c r="U463" t="str">
        <f t="shared" si="16"/>
        <v>Technology</v>
      </c>
      <c r="V463">
        <f t="shared" si="17"/>
        <v>146082.67000000001</v>
      </c>
      <c r="W463" t="str">
        <f>IF(Sales[[#This Row],[Quantity]]&gt;=15, "Large","Small")</f>
        <v>Small</v>
      </c>
      <c r="X463" t="str">
        <f>IF(Sales[[#This Row],[Quantity]]&gt;=15,"Large",IF(Sales[[#This Row],[Quantity]]=14,"Medium","Small"))</f>
        <v>Small</v>
      </c>
      <c r="Y463" t="str">
        <f>IF(AND(Sales[[#This Row],[Unit Price (₦)]]&gt;68000,Sales[[#This Row],[Quantity]]&gt;15),"Offer Discount", "No Discount")</f>
        <v>No Discount</v>
      </c>
    </row>
    <row r="464" spans="1:25" ht="15" customHeight="1" x14ac:dyDescent="0.25">
      <c r="A464" t="s">
        <v>1073</v>
      </c>
      <c r="B464" s="8">
        <v>45530</v>
      </c>
      <c r="C464" s="8">
        <v>45533</v>
      </c>
      <c r="D464" t="s">
        <v>73</v>
      </c>
      <c r="E464" t="s">
        <v>3065</v>
      </c>
      <c r="F464" t="s">
        <v>3066</v>
      </c>
      <c r="G464" t="s">
        <v>1074</v>
      </c>
      <c r="H464">
        <v>8109673937</v>
      </c>
      <c r="I464" t="s">
        <v>35</v>
      </c>
      <c r="J464" t="s">
        <v>69</v>
      </c>
      <c r="K464" t="s">
        <v>119</v>
      </c>
      <c r="L464" t="s">
        <v>27</v>
      </c>
      <c r="M464" t="s">
        <v>45</v>
      </c>
      <c r="N464" t="s">
        <v>875</v>
      </c>
      <c r="O464">
        <v>18</v>
      </c>
      <c r="P464">
        <v>2610.2600000000002</v>
      </c>
      <c r="Q464">
        <v>0</v>
      </c>
      <c r="R464" s="39">
        <v>0</v>
      </c>
      <c r="S464" s="39">
        <v>46984.68</v>
      </c>
      <c r="T464" s="39">
        <v>4183.57</v>
      </c>
      <c r="U464" t="str">
        <f t="shared" si="16"/>
        <v>Food &amp; Beverages</v>
      </c>
      <c r="V464">
        <f t="shared" si="17"/>
        <v>4183.57</v>
      </c>
      <c r="W464" t="str">
        <f>IF(Sales[[#This Row],[Quantity]]&gt;=15, "Large","Small")</f>
        <v>Large</v>
      </c>
      <c r="X464" t="str">
        <f>IF(Sales[[#This Row],[Quantity]]&gt;=15,"Large",IF(Sales[[#This Row],[Quantity]]=14,"Medium","Small"))</f>
        <v>Large</v>
      </c>
      <c r="Y464" t="str">
        <f>IF(AND(Sales[[#This Row],[Unit Price (₦)]]&gt;68000,Sales[[#This Row],[Quantity]]&gt;15),"Offer Discount", "No Discount")</f>
        <v>No Discount</v>
      </c>
    </row>
    <row r="465" spans="1:25" ht="15" customHeight="1" x14ac:dyDescent="0.25">
      <c r="A465" t="s">
        <v>2277</v>
      </c>
      <c r="B465" s="8">
        <v>45535</v>
      </c>
      <c r="C465" s="8">
        <v>45538</v>
      </c>
      <c r="D465" t="s">
        <v>73</v>
      </c>
      <c r="E465" t="s">
        <v>3039</v>
      </c>
      <c r="F465" t="s">
        <v>3057</v>
      </c>
      <c r="G465" t="s">
        <v>2278</v>
      </c>
      <c r="H465">
        <v>7037340280</v>
      </c>
      <c r="I465" t="s">
        <v>35</v>
      </c>
      <c r="J465" t="s">
        <v>51</v>
      </c>
      <c r="K465" t="s">
        <v>52</v>
      </c>
      <c r="L465" t="s">
        <v>27</v>
      </c>
      <c r="M465" t="s">
        <v>79</v>
      </c>
      <c r="N465" t="s">
        <v>80</v>
      </c>
      <c r="O465">
        <v>12</v>
      </c>
      <c r="P465">
        <v>5699.92</v>
      </c>
      <c r="Q465">
        <v>0</v>
      </c>
      <c r="R465" s="39">
        <v>0</v>
      </c>
      <c r="S465" s="39">
        <v>68399.039999999994</v>
      </c>
      <c r="T465" s="39">
        <v>-3744.83</v>
      </c>
      <c r="U465" t="str">
        <f t="shared" si="16"/>
        <v>Food &amp; Beverages</v>
      </c>
      <c r="V465">
        <f t="shared" si="17"/>
        <v>3744.83</v>
      </c>
      <c r="W465" t="str">
        <f>IF(Sales[[#This Row],[Quantity]]&gt;=15, "Large","Small")</f>
        <v>Small</v>
      </c>
      <c r="X465" t="str">
        <f>IF(Sales[[#This Row],[Quantity]]&gt;=15,"Large",IF(Sales[[#This Row],[Quantity]]=14,"Medium","Small"))</f>
        <v>Small</v>
      </c>
      <c r="Y465" t="str">
        <f>IF(AND(Sales[[#This Row],[Unit Price (₦)]]&gt;68000,Sales[[#This Row],[Quantity]]&gt;15),"Offer Discount", "No Discount")</f>
        <v>No Discount</v>
      </c>
    </row>
    <row r="466" spans="1:25" ht="15" customHeight="1" x14ac:dyDescent="0.25">
      <c r="A466" t="s">
        <v>88</v>
      </c>
      <c r="B466" s="8">
        <v>45535</v>
      </c>
      <c r="C466" s="8">
        <v>45540</v>
      </c>
      <c r="D466" t="s">
        <v>73</v>
      </c>
      <c r="E466" t="s">
        <v>3048</v>
      </c>
      <c r="F466" t="s">
        <v>3036</v>
      </c>
      <c r="G466" t="s">
        <v>90</v>
      </c>
      <c r="H466">
        <v>8134374754</v>
      </c>
      <c r="I466" t="s">
        <v>35</v>
      </c>
      <c r="J466" t="s">
        <v>25</v>
      </c>
      <c r="K466" t="s">
        <v>36</v>
      </c>
      <c r="L466" t="s">
        <v>63</v>
      </c>
      <c r="M466" t="s">
        <v>64</v>
      </c>
      <c r="N466" t="s">
        <v>65</v>
      </c>
      <c r="O466">
        <v>17</v>
      </c>
      <c r="P466">
        <v>11233.45</v>
      </c>
      <c r="Q466">
        <v>20</v>
      </c>
      <c r="R466" s="39">
        <v>38193.730000000003</v>
      </c>
      <c r="S466" s="39">
        <v>152774.92000000001</v>
      </c>
      <c r="T466" s="39">
        <v>-11824.39</v>
      </c>
      <c r="U466" t="str">
        <f t="shared" si="16"/>
        <v>Office Supplies</v>
      </c>
      <c r="V466">
        <f t="shared" si="17"/>
        <v>11824.39</v>
      </c>
      <c r="W466" t="str">
        <f>IF(Sales[[#This Row],[Quantity]]&gt;=15, "Large","Small")</f>
        <v>Large</v>
      </c>
      <c r="X466" t="str">
        <f>IF(Sales[[#This Row],[Quantity]]&gt;=15,"Large",IF(Sales[[#This Row],[Quantity]]=14,"Medium","Small"))</f>
        <v>Large</v>
      </c>
      <c r="Y466" t="str">
        <f>IF(AND(Sales[[#This Row],[Unit Price (₦)]]&gt;68000,Sales[[#This Row],[Quantity]]&gt;15),"Offer Discount", "No Discount")</f>
        <v>No Discount</v>
      </c>
    </row>
    <row r="467" spans="1:25" ht="15" customHeight="1" x14ac:dyDescent="0.25">
      <c r="A467" t="s">
        <v>603</v>
      </c>
      <c r="B467" s="8">
        <v>45543</v>
      </c>
      <c r="C467" s="8">
        <v>45546</v>
      </c>
      <c r="D467" t="s">
        <v>73</v>
      </c>
      <c r="E467" t="s">
        <v>3095</v>
      </c>
      <c r="F467" t="s">
        <v>3064</v>
      </c>
      <c r="G467" t="s">
        <v>605</v>
      </c>
      <c r="H467">
        <v>8134188068</v>
      </c>
      <c r="I467" t="s">
        <v>35</v>
      </c>
      <c r="J467" t="s">
        <v>25</v>
      </c>
      <c r="K467" t="s">
        <v>606</v>
      </c>
      <c r="L467" t="s">
        <v>96</v>
      </c>
      <c r="M467" t="s">
        <v>189</v>
      </c>
      <c r="N467" t="s">
        <v>190</v>
      </c>
      <c r="O467">
        <v>7</v>
      </c>
      <c r="P467">
        <v>317597.43</v>
      </c>
      <c r="Q467">
        <v>15</v>
      </c>
      <c r="R467" s="39">
        <v>333477.3</v>
      </c>
      <c r="S467" s="39">
        <v>1889704.71</v>
      </c>
      <c r="T467" s="39">
        <v>754135.56</v>
      </c>
      <c r="U467" t="str">
        <f t="shared" si="16"/>
        <v>Technology</v>
      </c>
      <c r="V467">
        <f t="shared" si="17"/>
        <v>754135.56</v>
      </c>
      <c r="W467" t="str">
        <f>IF(Sales[[#This Row],[Quantity]]&gt;=15, "Large","Small")</f>
        <v>Small</v>
      </c>
      <c r="X467" t="str">
        <f>IF(Sales[[#This Row],[Quantity]]&gt;=15,"Large",IF(Sales[[#This Row],[Quantity]]=14,"Medium","Small"))</f>
        <v>Small</v>
      </c>
      <c r="Y467" t="str">
        <f>IF(AND(Sales[[#This Row],[Unit Price (₦)]]&gt;68000,Sales[[#This Row],[Quantity]]&gt;15),"Offer Discount", "No Discount")</f>
        <v>No Discount</v>
      </c>
    </row>
    <row r="468" spans="1:25" ht="15" customHeight="1" x14ac:dyDescent="0.25">
      <c r="A468" t="s">
        <v>1855</v>
      </c>
      <c r="B468" s="8">
        <v>45544</v>
      </c>
      <c r="C468" s="8">
        <v>45548</v>
      </c>
      <c r="D468" t="s">
        <v>73</v>
      </c>
      <c r="E468" t="str">
        <f>E469</f>
        <v>Kehinde</v>
      </c>
      <c r="F468" t="str">
        <f>F467</f>
        <v>Eze</v>
      </c>
      <c r="G468" t="s">
        <v>1856</v>
      </c>
      <c r="H468">
        <v>7061233207</v>
      </c>
      <c r="I468" t="s">
        <v>24</v>
      </c>
      <c r="J468" t="s">
        <v>25</v>
      </c>
      <c r="K468" t="s">
        <v>168</v>
      </c>
      <c r="L468" t="s">
        <v>27</v>
      </c>
      <c r="M468" t="s">
        <v>354</v>
      </c>
      <c r="N468" t="s">
        <v>355</v>
      </c>
      <c r="O468">
        <v>18</v>
      </c>
      <c r="P468">
        <v>5799.03</v>
      </c>
      <c r="Q468">
        <v>10</v>
      </c>
      <c r="R468" s="39">
        <v>10438.25</v>
      </c>
      <c r="S468" s="39">
        <v>93944.29</v>
      </c>
      <c r="T468" s="39">
        <v>-325.45</v>
      </c>
      <c r="U468" t="str">
        <f t="shared" si="16"/>
        <v>Food &amp; Beverages</v>
      </c>
      <c r="V468">
        <f t="shared" si="17"/>
        <v>325.45</v>
      </c>
      <c r="W468" t="str">
        <f>IF(Sales[[#This Row],[Quantity]]&gt;=15, "Large","Small")</f>
        <v>Large</v>
      </c>
      <c r="X468" t="str">
        <f>IF(Sales[[#This Row],[Quantity]]&gt;=15,"Large",IF(Sales[[#This Row],[Quantity]]=14,"Medium","Small"))</f>
        <v>Large</v>
      </c>
      <c r="Y468" t="str">
        <f>IF(AND(Sales[[#This Row],[Unit Price (₦)]]&gt;68000,Sales[[#This Row],[Quantity]]&gt;15),"Offer Discount", "No Discount")</f>
        <v>No Discount</v>
      </c>
    </row>
    <row r="469" spans="1:25" ht="15" customHeight="1" x14ac:dyDescent="0.25">
      <c r="A469" t="s">
        <v>1153</v>
      </c>
      <c r="B469" s="8">
        <v>45561</v>
      </c>
      <c r="C469" s="8">
        <v>45565</v>
      </c>
      <c r="D469" t="s">
        <v>73</v>
      </c>
      <c r="E469" t="s">
        <v>3094</v>
      </c>
      <c r="F469" t="s">
        <v>3052</v>
      </c>
      <c r="G469" t="s">
        <v>1154</v>
      </c>
      <c r="H469">
        <v>8132201986</v>
      </c>
      <c r="I469" t="s">
        <v>43</v>
      </c>
      <c r="J469" t="s">
        <v>61</v>
      </c>
      <c r="K469" t="s">
        <v>62</v>
      </c>
      <c r="L469" t="s">
        <v>63</v>
      </c>
      <c r="M469" t="s">
        <v>194</v>
      </c>
      <c r="N469" t="s">
        <v>257</v>
      </c>
      <c r="O469">
        <v>19</v>
      </c>
      <c r="P469">
        <v>8423.59</v>
      </c>
      <c r="Q469">
        <v>0</v>
      </c>
      <c r="R469" s="39">
        <v>0</v>
      </c>
      <c r="S469" s="39">
        <v>160048.21</v>
      </c>
      <c r="T469" s="39">
        <v>-13201.11</v>
      </c>
      <c r="U469" t="str">
        <f t="shared" si="16"/>
        <v>Office Supplies</v>
      </c>
      <c r="V469">
        <f t="shared" si="17"/>
        <v>13201.11</v>
      </c>
      <c r="W469" t="str">
        <f>IF(Sales[[#This Row],[Quantity]]&gt;=15, "Large","Small")</f>
        <v>Large</v>
      </c>
      <c r="X469" t="str">
        <f>IF(Sales[[#This Row],[Quantity]]&gt;=15,"Large",IF(Sales[[#This Row],[Quantity]]=14,"Medium","Small"))</f>
        <v>Large</v>
      </c>
      <c r="Y469" t="str">
        <f>IF(AND(Sales[[#This Row],[Unit Price (₦)]]&gt;68000,Sales[[#This Row],[Quantity]]&gt;15),"Offer Discount", "No Discount")</f>
        <v>No Discount</v>
      </c>
    </row>
    <row r="470" spans="1:25" ht="15" customHeight="1" x14ac:dyDescent="0.25">
      <c r="A470" t="s">
        <v>2821</v>
      </c>
      <c r="B470" s="8">
        <v>45570</v>
      </c>
      <c r="C470" s="8">
        <v>45575</v>
      </c>
      <c r="D470" t="s">
        <v>73</v>
      </c>
      <c r="E470" t="s">
        <v>3059</v>
      </c>
      <c r="F470" t="s">
        <v>3090</v>
      </c>
      <c r="G470" t="s">
        <v>2822</v>
      </c>
      <c r="H470">
        <v>8137516960</v>
      </c>
      <c r="I470" t="s">
        <v>43</v>
      </c>
      <c r="J470" t="s">
        <v>25</v>
      </c>
      <c r="K470" t="s">
        <v>36</v>
      </c>
      <c r="L470" t="s">
        <v>85</v>
      </c>
      <c r="M470" t="s">
        <v>266</v>
      </c>
      <c r="N470" t="s">
        <v>593</v>
      </c>
      <c r="O470">
        <v>13</v>
      </c>
      <c r="P470">
        <v>67214.070000000007</v>
      </c>
      <c r="Q470">
        <v>15</v>
      </c>
      <c r="R470" s="39">
        <v>131067.44</v>
      </c>
      <c r="S470" s="39">
        <v>742715.47</v>
      </c>
      <c r="T470" s="39">
        <v>294447.87</v>
      </c>
      <c r="U470" t="str">
        <f t="shared" si="16"/>
        <v>Furniture</v>
      </c>
      <c r="V470">
        <f t="shared" si="17"/>
        <v>294447.87</v>
      </c>
      <c r="W470" t="str">
        <f>IF(Sales[[#This Row],[Quantity]]&gt;=15, "Large","Small")</f>
        <v>Small</v>
      </c>
      <c r="X470" t="str">
        <f>IF(Sales[[#This Row],[Quantity]]&gt;=15,"Large",IF(Sales[[#This Row],[Quantity]]=14,"Medium","Small"))</f>
        <v>Small</v>
      </c>
      <c r="Y470" t="str">
        <f>IF(AND(Sales[[#This Row],[Unit Price (₦)]]&gt;68000,Sales[[#This Row],[Quantity]]&gt;15),"Offer Discount", "No Discount")</f>
        <v>No Discount</v>
      </c>
    </row>
    <row r="471" spans="1:25" ht="15" customHeight="1" x14ac:dyDescent="0.25">
      <c r="A471" t="s">
        <v>650</v>
      </c>
      <c r="B471" s="8">
        <v>45577</v>
      </c>
      <c r="C471" s="8">
        <v>45582</v>
      </c>
      <c r="D471" t="s">
        <v>73</v>
      </c>
      <c r="E471" t="s">
        <v>3085</v>
      </c>
      <c r="F471" t="s">
        <v>3052</v>
      </c>
      <c r="G471" t="s">
        <v>652</v>
      </c>
      <c r="H471">
        <v>8063273137</v>
      </c>
      <c r="I471" t="s">
        <v>43</v>
      </c>
      <c r="J471" t="s">
        <v>25</v>
      </c>
      <c r="K471" t="s">
        <v>44</v>
      </c>
      <c r="L471" t="s">
        <v>63</v>
      </c>
      <c r="M471" t="s">
        <v>249</v>
      </c>
      <c r="N471" t="s">
        <v>329</v>
      </c>
      <c r="O471">
        <v>20</v>
      </c>
      <c r="P471">
        <v>8639.32</v>
      </c>
      <c r="Q471">
        <v>15</v>
      </c>
      <c r="R471" s="39">
        <v>25917.96</v>
      </c>
      <c r="S471" s="39">
        <v>146868.44</v>
      </c>
      <c r="T471" s="39">
        <v>48825.81</v>
      </c>
      <c r="U471" t="str">
        <f t="shared" si="16"/>
        <v>Office Supplies</v>
      </c>
      <c r="V471">
        <f t="shared" si="17"/>
        <v>48825.81</v>
      </c>
      <c r="W471" t="str">
        <f>IF(Sales[[#This Row],[Quantity]]&gt;=15, "Large","Small")</f>
        <v>Large</v>
      </c>
      <c r="X471" t="str">
        <f>IF(Sales[[#This Row],[Quantity]]&gt;=15,"Large",IF(Sales[[#This Row],[Quantity]]=14,"Medium","Small"))</f>
        <v>Large</v>
      </c>
      <c r="Y471" t="str">
        <f>IF(AND(Sales[[#This Row],[Unit Price (₦)]]&gt;68000,Sales[[#This Row],[Quantity]]&gt;15),"Offer Discount", "No Discount")</f>
        <v>No Discount</v>
      </c>
    </row>
    <row r="472" spans="1:25" ht="15" customHeight="1" x14ac:dyDescent="0.25">
      <c r="A472" t="s">
        <v>1476</v>
      </c>
      <c r="B472" s="8">
        <v>45584</v>
      </c>
      <c r="C472" s="8">
        <v>45587</v>
      </c>
      <c r="D472" t="s">
        <v>73</v>
      </c>
      <c r="E472" t="str">
        <f>E473</f>
        <v>Adaeze</v>
      </c>
      <c r="F472" t="str">
        <f>F471</f>
        <v>Nwosu</v>
      </c>
      <c r="G472" t="s">
        <v>1477</v>
      </c>
      <c r="H472">
        <v>9052004647</v>
      </c>
      <c r="I472" t="s">
        <v>24</v>
      </c>
      <c r="J472" t="s">
        <v>61</v>
      </c>
      <c r="K472" t="s">
        <v>95</v>
      </c>
      <c r="L472" t="s">
        <v>27</v>
      </c>
      <c r="M472" t="s">
        <v>354</v>
      </c>
      <c r="N472" t="s">
        <v>494</v>
      </c>
      <c r="O472">
        <v>8</v>
      </c>
      <c r="P472">
        <v>3861.15</v>
      </c>
      <c r="Q472">
        <v>0</v>
      </c>
      <c r="R472" s="39">
        <v>0</v>
      </c>
      <c r="S472" s="39">
        <v>30889.200000000001</v>
      </c>
      <c r="T472" s="39">
        <v>9200.66</v>
      </c>
      <c r="U472" t="str">
        <f t="shared" si="16"/>
        <v>Food &amp; Beverages</v>
      </c>
      <c r="V472">
        <f t="shared" si="17"/>
        <v>9200.66</v>
      </c>
      <c r="W472" t="str">
        <f>IF(Sales[[#This Row],[Quantity]]&gt;=15, "Large","Small")</f>
        <v>Small</v>
      </c>
      <c r="X472" t="str">
        <f>IF(Sales[[#This Row],[Quantity]]&gt;=15,"Large",IF(Sales[[#This Row],[Quantity]]=14,"Medium","Small"))</f>
        <v>Small</v>
      </c>
      <c r="Y472" t="str">
        <f>IF(AND(Sales[[#This Row],[Unit Price (₦)]]&gt;68000,Sales[[#This Row],[Quantity]]&gt;15),"Offer Discount", "No Discount")</f>
        <v>No Discount</v>
      </c>
    </row>
    <row r="473" spans="1:25" ht="15" customHeight="1" x14ac:dyDescent="0.25">
      <c r="A473" t="s">
        <v>2459</v>
      </c>
      <c r="B473" s="8">
        <v>45585</v>
      </c>
      <c r="C473" s="8">
        <v>45588</v>
      </c>
      <c r="D473" t="s">
        <v>73</v>
      </c>
      <c r="E473" t="s">
        <v>3095</v>
      </c>
      <c r="F473" t="s">
        <v>3039</v>
      </c>
      <c r="G473" t="s">
        <v>2460</v>
      </c>
      <c r="H473" t="s">
        <v>512</v>
      </c>
      <c r="I473" t="s">
        <v>43</v>
      </c>
      <c r="J473" t="s">
        <v>51</v>
      </c>
      <c r="K473" t="s">
        <v>316</v>
      </c>
      <c r="L473" t="s">
        <v>96</v>
      </c>
      <c r="M473" t="s">
        <v>120</v>
      </c>
      <c r="N473" t="s">
        <v>133</v>
      </c>
      <c r="O473">
        <v>16</v>
      </c>
      <c r="P473">
        <v>151122.09</v>
      </c>
      <c r="Q473">
        <v>0</v>
      </c>
      <c r="R473" s="39">
        <v>0</v>
      </c>
      <c r="S473" s="39">
        <v>2417953.44</v>
      </c>
      <c r="T473" s="39">
        <v>734909.59</v>
      </c>
      <c r="U473" t="str">
        <f t="shared" si="16"/>
        <v>Technology</v>
      </c>
      <c r="V473">
        <f t="shared" si="17"/>
        <v>734909.59</v>
      </c>
      <c r="W473" t="str">
        <f>IF(Sales[[#This Row],[Quantity]]&gt;=15, "Large","Small")</f>
        <v>Large</v>
      </c>
      <c r="X473" t="str">
        <f>IF(Sales[[#This Row],[Quantity]]&gt;=15,"Large",IF(Sales[[#This Row],[Quantity]]=14,"Medium","Small"))</f>
        <v>Large</v>
      </c>
      <c r="Y473" t="str">
        <f>IF(AND(Sales[[#This Row],[Unit Price (₦)]]&gt;68000,Sales[[#This Row],[Quantity]]&gt;15),"Offer Discount", "No Discount")</f>
        <v>Offer Discount</v>
      </c>
    </row>
    <row r="474" spans="1:25" ht="15" customHeight="1" x14ac:dyDescent="0.25">
      <c r="A474" t="s">
        <v>2341</v>
      </c>
      <c r="B474" s="8">
        <v>45592</v>
      </c>
      <c r="C474" s="8">
        <v>45595</v>
      </c>
      <c r="D474" t="s">
        <v>73</v>
      </c>
      <c r="E474" t="s">
        <v>3080</v>
      </c>
      <c r="F474" t="s">
        <v>3057</v>
      </c>
      <c r="G474" t="s">
        <v>2342</v>
      </c>
      <c r="H474">
        <v>8036452935</v>
      </c>
      <c r="I474" t="s">
        <v>35</v>
      </c>
      <c r="J474" t="s">
        <v>25</v>
      </c>
      <c r="K474" t="s">
        <v>36</v>
      </c>
      <c r="L474" t="s">
        <v>27</v>
      </c>
      <c r="M474" t="s">
        <v>354</v>
      </c>
      <c r="N474" t="s">
        <v>625</v>
      </c>
      <c r="O474">
        <v>16</v>
      </c>
      <c r="P474">
        <v>4683.66</v>
      </c>
      <c r="Q474">
        <v>0</v>
      </c>
      <c r="R474" s="39">
        <v>0</v>
      </c>
      <c r="S474" s="39">
        <v>74938.559999999998</v>
      </c>
      <c r="T474" s="39">
        <v>31557.200000000001</v>
      </c>
      <c r="U474" t="str">
        <f t="shared" si="16"/>
        <v>Food &amp; Beverages</v>
      </c>
      <c r="V474">
        <f t="shared" si="17"/>
        <v>31557.200000000001</v>
      </c>
      <c r="W474" t="str">
        <f>IF(Sales[[#This Row],[Quantity]]&gt;=15, "Large","Small")</f>
        <v>Large</v>
      </c>
      <c r="X474" t="str">
        <f>IF(Sales[[#This Row],[Quantity]]&gt;=15,"Large",IF(Sales[[#This Row],[Quantity]]=14,"Medium","Small"))</f>
        <v>Large</v>
      </c>
      <c r="Y474" t="str">
        <f>IF(AND(Sales[[#This Row],[Unit Price (₦)]]&gt;68000,Sales[[#This Row],[Quantity]]&gt;15),"Offer Discount", "No Discount")</f>
        <v>No Discount</v>
      </c>
    </row>
    <row r="475" spans="1:25" ht="15" customHeight="1" x14ac:dyDescent="0.25">
      <c r="A475" t="s">
        <v>2300</v>
      </c>
      <c r="B475" s="8">
        <v>45600</v>
      </c>
      <c r="C475" s="8">
        <v>45604</v>
      </c>
      <c r="D475" t="s">
        <v>73</v>
      </c>
      <c r="E475" t="s">
        <v>3039</v>
      </c>
      <c r="F475" t="s">
        <v>3046</v>
      </c>
      <c r="G475" t="s">
        <v>2301</v>
      </c>
      <c r="H475">
        <v>9077739464</v>
      </c>
      <c r="I475" t="s">
        <v>43</v>
      </c>
      <c r="J475" t="s">
        <v>25</v>
      </c>
      <c r="K475" t="s">
        <v>126</v>
      </c>
      <c r="L475" t="s">
        <v>108</v>
      </c>
      <c r="M475" t="s">
        <v>114</v>
      </c>
      <c r="N475" t="s">
        <v>482</v>
      </c>
      <c r="O475">
        <v>4</v>
      </c>
      <c r="P475">
        <v>20274.189999999999</v>
      </c>
      <c r="Q475">
        <v>20</v>
      </c>
      <c r="R475" s="39">
        <v>16219.35</v>
      </c>
      <c r="S475" s="39">
        <v>64877.41</v>
      </c>
      <c r="T475" s="39">
        <v>9811.86</v>
      </c>
      <c r="U475" t="str">
        <f t="shared" si="16"/>
        <v>Clothing</v>
      </c>
      <c r="V475">
        <f t="shared" si="17"/>
        <v>9811.86</v>
      </c>
      <c r="W475" t="str">
        <f>IF(Sales[[#This Row],[Quantity]]&gt;=15, "Large","Small")</f>
        <v>Small</v>
      </c>
      <c r="X475" t="str">
        <f>IF(Sales[[#This Row],[Quantity]]&gt;=15,"Large",IF(Sales[[#This Row],[Quantity]]=14,"Medium","Small"))</f>
        <v>Small</v>
      </c>
      <c r="Y475" t="str">
        <f>IF(AND(Sales[[#This Row],[Unit Price (₦)]]&gt;68000,Sales[[#This Row],[Quantity]]&gt;15),"Offer Discount", "No Discount")</f>
        <v>No Discount</v>
      </c>
    </row>
    <row r="476" spans="1:25" ht="15" customHeight="1" x14ac:dyDescent="0.25">
      <c r="A476" t="s">
        <v>1015</v>
      </c>
      <c r="B476" s="8">
        <v>45608</v>
      </c>
      <c r="C476" s="8">
        <v>45612</v>
      </c>
      <c r="D476" t="s">
        <v>73</v>
      </c>
      <c r="E476" t="s">
        <v>3048</v>
      </c>
      <c r="F476" t="s">
        <v>3034</v>
      </c>
      <c r="G476" t="s">
        <v>1017</v>
      </c>
      <c r="H476">
        <v>8142154992</v>
      </c>
      <c r="I476" t="s">
        <v>35</v>
      </c>
      <c r="J476" t="s">
        <v>69</v>
      </c>
      <c r="K476" t="s">
        <v>155</v>
      </c>
      <c r="L476" t="s">
        <v>85</v>
      </c>
      <c r="M476" t="s">
        <v>486</v>
      </c>
      <c r="N476" t="s">
        <v>1018</v>
      </c>
      <c r="O476">
        <v>1</v>
      </c>
      <c r="P476">
        <v>30740.67</v>
      </c>
      <c r="Q476">
        <v>5</v>
      </c>
      <c r="R476" s="39">
        <v>1537.03</v>
      </c>
      <c r="S476" s="39">
        <v>29203.64</v>
      </c>
      <c r="T476" s="39">
        <v>4778.5</v>
      </c>
      <c r="U476" t="str">
        <f t="shared" si="16"/>
        <v>Furniture</v>
      </c>
      <c r="V476">
        <f t="shared" si="17"/>
        <v>4778.5</v>
      </c>
      <c r="W476" t="str">
        <f>IF(Sales[[#This Row],[Quantity]]&gt;=15, "Large","Small")</f>
        <v>Small</v>
      </c>
      <c r="X476" t="str">
        <f>IF(Sales[[#This Row],[Quantity]]&gt;=15,"Large",IF(Sales[[#This Row],[Quantity]]=14,"Medium","Small"))</f>
        <v>Small</v>
      </c>
      <c r="Y476" t="str">
        <f>IF(AND(Sales[[#This Row],[Unit Price (₦)]]&gt;68000,Sales[[#This Row],[Quantity]]&gt;15),"Offer Discount", "No Discount")</f>
        <v>No Discount</v>
      </c>
    </row>
    <row r="477" spans="1:25" ht="15" customHeight="1" x14ac:dyDescent="0.25">
      <c r="A477" t="s">
        <v>1876</v>
      </c>
      <c r="B477" s="8">
        <v>45609</v>
      </c>
      <c r="C477" s="8">
        <v>45612</v>
      </c>
      <c r="D477" t="s">
        <v>73</v>
      </c>
      <c r="E477" t="s">
        <v>3059</v>
      </c>
      <c r="F477" t="s">
        <v>3036</v>
      </c>
      <c r="G477" t="s">
        <v>1878</v>
      </c>
      <c r="H477" t="s">
        <v>1508</v>
      </c>
      <c r="I477" t="s">
        <v>24</v>
      </c>
      <c r="J477" t="s">
        <v>69</v>
      </c>
      <c r="K477" t="s">
        <v>119</v>
      </c>
      <c r="L477" t="s">
        <v>85</v>
      </c>
      <c r="M477" t="s">
        <v>486</v>
      </c>
      <c r="N477" t="s">
        <v>1193</v>
      </c>
      <c r="O477">
        <v>4</v>
      </c>
      <c r="P477">
        <v>89509.57</v>
      </c>
      <c r="Q477">
        <v>25</v>
      </c>
      <c r="R477" s="39">
        <v>89509.57</v>
      </c>
      <c r="S477" s="39">
        <v>268528.71000000002</v>
      </c>
      <c r="T477" s="39">
        <v>58179.5</v>
      </c>
      <c r="U477" t="str">
        <f t="shared" si="16"/>
        <v>Furniture</v>
      </c>
      <c r="V477">
        <f t="shared" si="17"/>
        <v>58179.5</v>
      </c>
      <c r="W477" t="str">
        <f>IF(Sales[[#This Row],[Quantity]]&gt;=15, "Large","Small")</f>
        <v>Small</v>
      </c>
      <c r="X477" t="str">
        <f>IF(Sales[[#This Row],[Quantity]]&gt;=15,"Large",IF(Sales[[#This Row],[Quantity]]=14,"Medium","Small"))</f>
        <v>Small</v>
      </c>
      <c r="Y477" t="str">
        <f>IF(AND(Sales[[#This Row],[Unit Price (₦)]]&gt;68000,Sales[[#This Row],[Quantity]]&gt;15),"Offer Discount", "No Discount")</f>
        <v>No Discount</v>
      </c>
    </row>
    <row r="478" spans="1:25" ht="15" customHeight="1" x14ac:dyDescent="0.25">
      <c r="A478" t="s">
        <v>575</v>
      </c>
      <c r="B478" s="8">
        <v>45613</v>
      </c>
      <c r="C478" s="8">
        <v>45617</v>
      </c>
      <c r="D478" t="s">
        <v>73</v>
      </c>
      <c r="E478" t="s">
        <v>3039</v>
      </c>
      <c r="F478" t="s">
        <v>3057</v>
      </c>
      <c r="G478" t="s">
        <v>577</v>
      </c>
      <c r="H478">
        <v>8158757420</v>
      </c>
      <c r="I478" t="s">
        <v>43</v>
      </c>
      <c r="J478" t="s">
        <v>69</v>
      </c>
      <c r="K478" t="s">
        <v>307</v>
      </c>
      <c r="L478" t="s">
        <v>63</v>
      </c>
      <c r="M478" t="s">
        <v>469</v>
      </c>
      <c r="N478" t="s">
        <v>470</v>
      </c>
      <c r="O478">
        <v>1</v>
      </c>
      <c r="P478">
        <v>10200.74</v>
      </c>
      <c r="Q478">
        <v>5</v>
      </c>
      <c r="R478" s="39">
        <v>510.04</v>
      </c>
      <c r="S478" s="39">
        <v>9690.7000000000007</v>
      </c>
      <c r="T478" s="39">
        <v>1908.94</v>
      </c>
      <c r="U478" t="str">
        <f t="shared" si="16"/>
        <v>Office Supplies</v>
      </c>
      <c r="V478">
        <f t="shared" si="17"/>
        <v>1908.94</v>
      </c>
      <c r="W478" t="str">
        <f>IF(Sales[[#This Row],[Quantity]]&gt;=15, "Large","Small")</f>
        <v>Small</v>
      </c>
      <c r="X478" t="str">
        <f>IF(Sales[[#This Row],[Quantity]]&gt;=15,"Large",IF(Sales[[#This Row],[Quantity]]=14,"Medium","Small"))</f>
        <v>Small</v>
      </c>
      <c r="Y478" t="str">
        <f>IF(AND(Sales[[#This Row],[Unit Price (₦)]]&gt;68000,Sales[[#This Row],[Quantity]]&gt;15),"Offer Discount", "No Discount")</f>
        <v>No Discount</v>
      </c>
    </row>
    <row r="479" spans="1:25" ht="15" customHeight="1" x14ac:dyDescent="0.25">
      <c r="A479" t="s">
        <v>535</v>
      </c>
      <c r="B479" s="8">
        <v>45624</v>
      </c>
      <c r="C479" s="8">
        <v>45627</v>
      </c>
      <c r="D479" t="s">
        <v>73</v>
      </c>
      <c r="E479" t="s">
        <v>3060</v>
      </c>
      <c r="F479" t="s">
        <v>3074</v>
      </c>
      <c r="G479" t="s">
        <v>538</v>
      </c>
      <c r="H479">
        <v>8157322070</v>
      </c>
      <c r="I479" t="s">
        <v>24</v>
      </c>
      <c r="J479" t="s">
        <v>69</v>
      </c>
      <c r="K479" t="s">
        <v>307</v>
      </c>
      <c r="L479" t="s">
        <v>63</v>
      </c>
      <c r="M479" t="s">
        <v>54</v>
      </c>
      <c r="N479" t="s">
        <v>409</v>
      </c>
      <c r="O479">
        <v>11</v>
      </c>
      <c r="P479">
        <v>22847.040000000001</v>
      </c>
      <c r="Q479">
        <v>25</v>
      </c>
      <c r="R479" s="39">
        <v>62829.36</v>
      </c>
      <c r="S479" s="39">
        <v>188488.08</v>
      </c>
      <c r="T479" s="39">
        <v>11794.11</v>
      </c>
      <c r="U479" t="str">
        <f t="shared" si="16"/>
        <v>Office Supplies</v>
      </c>
      <c r="V479">
        <f t="shared" si="17"/>
        <v>11794.11</v>
      </c>
      <c r="W479" t="str">
        <f>IF(Sales[[#This Row],[Quantity]]&gt;=15, "Large","Small")</f>
        <v>Small</v>
      </c>
      <c r="X479" t="str">
        <f>IF(Sales[[#This Row],[Quantity]]&gt;=15,"Large",IF(Sales[[#This Row],[Quantity]]=14,"Medium","Small"))</f>
        <v>Small</v>
      </c>
      <c r="Y479" t="str">
        <f>IF(AND(Sales[[#This Row],[Unit Price (₦)]]&gt;68000,Sales[[#This Row],[Quantity]]&gt;15),"Offer Discount", "No Discount")</f>
        <v>No Discount</v>
      </c>
    </row>
    <row r="480" spans="1:25" ht="15" customHeight="1" x14ac:dyDescent="0.25">
      <c r="A480" t="s">
        <v>2935</v>
      </c>
      <c r="B480" s="8">
        <v>45627</v>
      </c>
      <c r="C480" s="8">
        <v>45630</v>
      </c>
      <c r="D480" t="s">
        <v>73</v>
      </c>
      <c r="E480" t="s">
        <v>3060</v>
      </c>
      <c r="F480" t="s">
        <v>3096</v>
      </c>
      <c r="G480" t="s">
        <v>2937</v>
      </c>
      <c r="H480">
        <v>8035776497</v>
      </c>
      <c r="I480" t="s">
        <v>43</v>
      </c>
      <c r="J480" t="s">
        <v>51</v>
      </c>
      <c r="K480" t="s">
        <v>227</v>
      </c>
      <c r="L480" t="s">
        <v>96</v>
      </c>
      <c r="M480" t="s">
        <v>97</v>
      </c>
      <c r="N480" t="s">
        <v>230</v>
      </c>
      <c r="O480">
        <v>4</v>
      </c>
      <c r="P480">
        <v>400967.98</v>
      </c>
      <c r="Q480">
        <v>0</v>
      </c>
      <c r="R480" s="39">
        <v>0</v>
      </c>
      <c r="S480" s="39">
        <v>1603871.92</v>
      </c>
      <c r="T480" s="39">
        <v>627673.84</v>
      </c>
      <c r="U480" t="str">
        <f t="shared" si="16"/>
        <v>Technology</v>
      </c>
      <c r="V480">
        <f t="shared" si="17"/>
        <v>627673.84</v>
      </c>
      <c r="W480" t="str">
        <f>IF(Sales[[#This Row],[Quantity]]&gt;=15, "Large","Small")</f>
        <v>Small</v>
      </c>
      <c r="X480" t="str">
        <f>IF(Sales[[#This Row],[Quantity]]&gt;=15,"Large",IF(Sales[[#This Row],[Quantity]]=14,"Medium","Small"))</f>
        <v>Small</v>
      </c>
      <c r="Y480" t="str">
        <f>IF(AND(Sales[[#This Row],[Unit Price (₦)]]&gt;68000,Sales[[#This Row],[Quantity]]&gt;15),"Offer Discount", "No Discount")</f>
        <v>No Discount</v>
      </c>
    </row>
    <row r="481" spans="1:25" ht="15" customHeight="1" x14ac:dyDescent="0.25">
      <c r="A481" t="s">
        <v>594</v>
      </c>
      <c r="B481" s="8">
        <v>45629</v>
      </c>
      <c r="C481" s="8">
        <v>45632</v>
      </c>
      <c r="D481" t="s">
        <v>73</v>
      </c>
      <c r="E481" t="s">
        <v>3051</v>
      </c>
      <c r="F481" t="s">
        <v>3064</v>
      </c>
      <c r="G481" t="s">
        <v>596</v>
      </c>
      <c r="H481">
        <v>8033938247</v>
      </c>
      <c r="I481" t="s">
        <v>43</v>
      </c>
      <c r="J481" t="s">
        <v>51</v>
      </c>
      <c r="K481" t="s">
        <v>131</v>
      </c>
      <c r="L481" t="s">
        <v>108</v>
      </c>
      <c r="M481" t="s">
        <v>189</v>
      </c>
      <c r="N481" t="s">
        <v>478</v>
      </c>
      <c r="O481">
        <v>12</v>
      </c>
      <c r="P481">
        <v>4016.02</v>
      </c>
      <c r="Q481">
        <v>15</v>
      </c>
      <c r="R481" s="39">
        <v>7228.84</v>
      </c>
      <c r="S481" s="39">
        <v>40963.4</v>
      </c>
      <c r="T481" s="39">
        <v>13169.03</v>
      </c>
      <c r="U481" t="str">
        <f t="shared" si="16"/>
        <v>Clothing</v>
      </c>
      <c r="V481">
        <f t="shared" si="17"/>
        <v>13169.03</v>
      </c>
      <c r="W481" t="str">
        <f>IF(Sales[[#This Row],[Quantity]]&gt;=15, "Large","Small")</f>
        <v>Small</v>
      </c>
      <c r="X481" t="str">
        <f>IF(Sales[[#This Row],[Quantity]]&gt;=15,"Large",IF(Sales[[#This Row],[Quantity]]=14,"Medium","Small"))</f>
        <v>Small</v>
      </c>
      <c r="Y481" t="str">
        <f>IF(AND(Sales[[#This Row],[Unit Price (₦)]]&gt;68000,Sales[[#This Row],[Quantity]]&gt;15),"Offer Discount", "No Discount")</f>
        <v>No Discount</v>
      </c>
    </row>
    <row r="482" spans="1:25" ht="15" customHeight="1" x14ac:dyDescent="0.25">
      <c r="A482" t="s">
        <v>1590</v>
      </c>
      <c r="B482" s="8">
        <v>45627</v>
      </c>
      <c r="C482" s="8">
        <v>45632</v>
      </c>
      <c r="D482" t="s">
        <v>73</v>
      </c>
      <c r="E482" t="s">
        <v>3076</v>
      </c>
      <c r="F482" t="s">
        <v>3052</v>
      </c>
      <c r="G482" t="s">
        <v>948</v>
      </c>
      <c r="H482">
        <v>8156238726</v>
      </c>
      <c r="I482" t="s">
        <v>24</v>
      </c>
      <c r="J482" t="s">
        <v>51</v>
      </c>
      <c r="K482" t="s">
        <v>316</v>
      </c>
      <c r="L482" t="s">
        <v>27</v>
      </c>
      <c r="M482" t="s">
        <v>45</v>
      </c>
      <c r="N482" t="s">
        <v>523</v>
      </c>
      <c r="O482">
        <v>18</v>
      </c>
      <c r="P482">
        <v>480.35</v>
      </c>
      <c r="Q482">
        <v>10</v>
      </c>
      <c r="R482" s="39">
        <v>864.63</v>
      </c>
      <c r="S482" s="39">
        <v>7781.67</v>
      </c>
      <c r="T482" s="39">
        <v>-40.43</v>
      </c>
      <c r="U482" t="str">
        <f t="shared" si="16"/>
        <v>Food &amp; Beverages</v>
      </c>
      <c r="V482">
        <f t="shared" si="17"/>
        <v>40.43</v>
      </c>
      <c r="W482" t="str">
        <f>IF(Sales[[#This Row],[Quantity]]&gt;=15, "Large","Small")</f>
        <v>Large</v>
      </c>
      <c r="X482" t="str">
        <f>IF(Sales[[#This Row],[Quantity]]&gt;=15,"Large",IF(Sales[[#This Row],[Quantity]]=14,"Medium","Small"))</f>
        <v>Large</v>
      </c>
      <c r="Y482" t="str">
        <f>IF(AND(Sales[[#This Row],[Unit Price (₦)]]&gt;68000,Sales[[#This Row],[Quantity]]&gt;15),"Offer Discount", "No Discount")</f>
        <v>No Discount</v>
      </c>
    </row>
    <row r="483" spans="1:25" ht="15" customHeight="1" x14ac:dyDescent="0.25">
      <c r="A483" t="s">
        <v>1857</v>
      </c>
      <c r="B483" s="8">
        <v>45634</v>
      </c>
      <c r="C483" s="8">
        <v>45637</v>
      </c>
      <c r="D483" t="s">
        <v>73</v>
      </c>
      <c r="E483" t="s">
        <v>3065</v>
      </c>
      <c r="F483" t="s">
        <v>3050</v>
      </c>
      <c r="G483" t="s">
        <v>1859</v>
      </c>
      <c r="H483">
        <v>8033236718</v>
      </c>
      <c r="I483" t="s">
        <v>43</v>
      </c>
      <c r="J483" t="s">
        <v>25</v>
      </c>
      <c r="K483" t="s">
        <v>36</v>
      </c>
      <c r="L483" t="s">
        <v>27</v>
      </c>
      <c r="M483" t="s">
        <v>45</v>
      </c>
      <c r="N483" t="s">
        <v>308</v>
      </c>
      <c r="O483">
        <v>13</v>
      </c>
      <c r="P483">
        <v>3554.96</v>
      </c>
      <c r="Q483">
        <v>0</v>
      </c>
      <c r="R483" s="39">
        <v>0</v>
      </c>
      <c r="S483" s="39">
        <v>46214.48</v>
      </c>
      <c r="T483" s="39">
        <v>3418.5</v>
      </c>
      <c r="U483" t="str">
        <f t="shared" si="16"/>
        <v>Food &amp; Beverages</v>
      </c>
      <c r="V483">
        <f t="shared" si="17"/>
        <v>3418.5</v>
      </c>
      <c r="W483" t="str">
        <f>IF(Sales[[#This Row],[Quantity]]&gt;=15, "Large","Small")</f>
        <v>Small</v>
      </c>
      <c r="X483" t="str">
        <f>IF(Sales[[#This Row],[Quantity]]&gt;=15,"Large",IF(Sales[[#This Row],[Quantity]]=14,"Medium","Small"))</f>
        <v>Small</v>
      </c>
      <c r="Y483" t="str">
        <f>IF(AND(Sales[[#This Row],[Unit Price (₦)]]&gt;68000,Sales[[#This Row],[Quantity]]&gt;15),"Offer Discount", "No Discount")</f>
        <v>No Discount</v>
      </c>
    </row>
    <row r="484" spans="1:25" ht="15" customHeight="1" x14ac:dyDescent="0.25">
      <c r="A484" t="s">
        <v>1400</v>
      </c>
      <c r="B484" s="8">
        <v>45640</v>
      </c>
      <c r="C484" s="8">
        <v>45643</v>
      </c>
      <c r="D484" t="s">
        <v>73</v>
      </c>
      <c r="E484" t="s">
        <v>3091</v>
      </c>
      <c r="F484" t="s">
        <v>3052</v>
      </c>
      <c r="G484" t="s">
        <v>587</v>
      </c>
      <c r="H484">
        <v>8068473546</v>
      </c>
      <c r="I484" t="s">
        <v>35</v>
      </c>
      <c r="J484" t="s">
        <v>25</v>
      </c>
      <c r="K484" t="s">
        <v>44</v>
      </c>
      <c r="L484" t="s">
        <v>96</v>
      </c>
      <c r="M484" t="s">
        <v>254</v>
      </c>
      <c r="N484" t="s">
        <v>530</v>
      </c>
      <c r="O484">
        <v>11</v>
      </c>
      <c r="P484">
        <v>99585.77</v>
      </c>
      <c r="Q484">
        <v>25</v>
      </c>
      <c r="R484" s="39">
        <v>273860.87</v>
      </c>
      <c r="S484" s="39">
        <v>821582.6</v>
      </c>
      <c r="T484" s="39">
        <v>341812.29</v>
      </c>
      <c r="U484" t="str">
        <f t="shared" si="16"/>
        <v>Technology</v>
      </c>
      <c r="V484">
        <f t="shared" si="17"/>
        <v>341812.29</v>
      </c>
      <c r="W484" t="str">
        <f>IF(Sales[[#This Row],[Quantity]]&gt;=15, "Large","Small")</f>
        <v>Small</v>
      </c>
      <c r="X484" t="str">
        <f>IF(Sales[[#This Row],[Quantity]]&gt;=15,"Large",IF(Sales[[#This Row],[Quantity]]=14,"Medium","Small"))</f>
        <v>Small</v>
      </c>
      <c r="Y484" t="str">
        <f>IF(AND(Sales[[#This Row],[Unit Price (₦)]]&gt;68000,Sales[[#This Row],[Quantity]]&gt;15),"Offer Discount", "No Discount")</f>
        <v>No Discount</v>
      </c>
    </row>
    <row r="485" spans="1:25" ht="15" customHeight="1" x14ac:dyDescent="0.25">
      <c r="A485" t="s">
        <v>419</v>
      </c>
      <c r="B485" s="8">
        <v>45307</v>
      </c>
      <c r="C485" s="8">
        <f t="shared" ref="C485:C488" si="18">C484</f>
        <v>45643</v>
      </c>
      <c r="D485" t="s">
        <v>73</v>
      </c>
      <c r="E485" t="s">
        <v>3076</v>
      </c>
      <c r="F485" t="s">
        <v>3045</v>
      </c>
      <c r="G485" t="s">
        <v>421</v>
      </c>
      <c r="H485" t="s">
        <v>422</v>
      </c>
      <c r="I485" t="s">
        <v>24</v>
      </c>
      <c r="J485" t="s">
        <v>69</v>
      </c>
      <c r="K485" t="s">
        <v>70</v>
      </c>
      <c r="L485" t="s">
        <v>27</v>
      </c>
      <c r="M485" t="s">
        <v>79</v>
      </c>
      <c r="N485" t="s">
        <v>80</v>
      </c>
      <c r="O485">
        <v>4</v>
      </c>
      <c r="P485">
        <v>807.52</v>
      </c>
      <c r="Q485">
        <v>25</v>
      </c>
      <c r="R485" s="39">
        <v>807.52</v>
      </c>
      <c r="S485" s="39">
        <v>2422.56</v>
      </c>
      <c r="T485" s="39">
        <v>622.66</v>
      </c>
      <c r="U485" t="str">
        <f t="shared" si="16"/>
        <v>Food &amp; Beverages</v>
      </c>
      <c r="V485">
        <f t="shared" si="17"/>
        <v>622.66</v>
      </c>
      <c r="W485" t="str">
        <f>IF(Sales[[#This Row],[Quantity]]&gt;=15, "Large","Small")</f>
        <v>Small</v>
      </c>
      <c r="X485" t="str">
        <f>IF(Sales[[#This Row],[Quantity]]&gt;=15,"Large",IF(Sales[[#This Row],[Quantity]]=14,"Medium","Small"))</f>
        <v>Small</v>
      </c>
      <c r="Y485" t="str">
        <f>IF(AND(Sales[[#This Row],[Unit Price (₦)]]&gt;68000,Sales[[#This Row],[Quantity]]&gt;15),"Offer Discount", "No Discount")</f>
        <v>No Discount</v>
      </c>
    </row>
    <row r="486" spans="1:25" ht="15" customHeight="1" x14ac:dyDescent="0.25">
      <c r="A486" t="s">
        <v>933</v>
      </c>
      <c r="B486" s="8">
        <v>45583</v>
      </c>
      <c r="C486" s="8">
        <f t="shared" si="18"/>
        <v>45643</v>
      </c>
      <c r="D486" t="s">
        <v>73</v>
      </c>
      <c r="E486" t="s">
        <v>3070</v>
      </c>
      <c r="F486" t="s">
        <v>3034</v>
      </c>
      <c r="G486" t="s">
        <v>934</v>
      </c>
      <c r="H486">
        <v>8158261353</v>
      </c>
      <c r="I486" t="s">
        <v>24</v>
      </c>
      <c r="J486" t="s">
        <v>69</v>
      </c>
      <c r="K486" t="s">
        <v>70</v>
      </c>
      <c r="L486" t="s">
        <v>27</v>
      </c>
      <c r="M486" t="s">
        <v>28</v>
      </c>
      <c r="N486" t="s">
        <v>347</v>
      </c>
      <c r="O486">
        <v>6</v>
      </c>
      <c r="P486">
        <v>6314.33</v>
      </c>
      <c r="Q486">
        <v>0</v>
      </c>
      <c r="R486" s="39">
        <v>0</v>
      </c>
      <c r="S486" s="39">
        <v>37885.980000000003</v>
      </c>
      <c r="T486" s="39">
        <v>10922.41</v>
      </c>
      <c r="U486" t="str">
        <f t="shared" si="16"/>
        <v>Food &amp; Beverages</v>
      </c>
      <c r="V486">
        <f t="shared" si="17"/>
        <v>10922.41</v>
      </c>
      <c r="W486" t="str">
        <f>IF(Sales[[#This Row],[Quantity]]&gt;=15, "Large","Small")</f>
        <v>Small</v>
      </c>
      <c r="X486" t="str">
        <f>IF(Sales[[#This Row],[Quantity]]&gt;=15,"Large",IF(Sales[[#This Row],[Quantity]]=14,"Medium","Small"))</f>
        <v>Small</v>
      </c>
      <c r="Y486" t="str">
        <f>IF(AND(Sales[[#This Row],[Unit Price (₦)]]&gt;68000,Sales[[#This Row],[Quantity]]&gt;15),"Offer Discount", "No Discount")</f>
        <v>No Discount</v>
      </c>
    </row>
    <row r="487" spans="1:25" ht="15" customHeight="1" x14ac:dyDescent="0.25">
      <c r="A487" t="s">
        <v>2534</v>
      </c>
      <c r="B487" s="8">
        <v>45249</v>
      </c>
      <c r="C487" s="8">
        <f t="shared" si="18"/>
        <v>45643</v>
      </c>
      <c r="D487" t="s">
        <v>73</v>
      </c>
      <c r="E487" t="s">
        <v>3053</v>
      </c>
      <c r="F487" t="s">
        <v>3046</v>
      </c>
      <c r="G487" t="s">
        <v>2536</v>
      </c>
      <c r="H487">
        <v>8065123439</v>
      </c>
      <c r="I487" t="s">
        <v>24</v>
      </c>
      <c r="J487" t="s">
        <v>61</v>
      </c>
      <c r="K487" t="s">
        <v>62</v>
      </c>
      <c r="L487" t="s">
        <v>27</v>
      </c>
      <c r="M487" t="s">
        <v>173</v>
      </c>
      <c r="N487" t="s">
        <v>174</v>
      </c>
      <c r="O487">
        <v>5</v>
      </c>
      <c r="P487">
        <v>4587.7700000000004</v>
      </c>
      <c r="Q487">
        <v>25</v>
      </c>
      <c r="R487" s="39">
        <v>5734.71</v>
      </c>
      <c r="S487" s="39">
        <v>17204.14</v>
      </c>
      <c r="T487" s="39">
        <v>7372.08</v>
      </c>
      <c r="U487" t="str">
        <f t="shared" si="16"/>
        <v>Food &amp; Beverages</v>
      </c>
      <c r="V487">
        <f t="shared" si="17"/>
        <v>7372.08</v>
      </c>
      <c r="W487" t="str">
        <f>IF(Sales[[#This Row],[Quantity]]&gt;=15, "Large","Small")</f>
        <v>Small</v>
      </c>
      <c r="X487" t="str">
        <f>IF(Sales[[#This Row],[Quantity]]&gt;=15,"Large",IF(Sales[[#This Row],[Quantity]]=14,"Medium","Small"))</f>
        <v>Small</v>
      </c>
      <c r="Y487" t="str">
        <f>IF(AND(Sales[[#This Row],[Unit Price (₦)]]&gt;68000,Sales[[#This Row],[Quantity]]&gt;15),"Offer Discount", "No Discount")</f>
        <v>No Discount</v>
      </c>
    </row>
    <row r="488" spans="1:25" ht="15" customHeight="1" x14ac:dyDescent="0.25">
      <c r="A488" t="s">
        <v>2933</v>
      </c>
      <c r="B488" s="8">
        <v>45377</v>
      </c>
      <c r="C488" s="8">
        <f t="shared" si="18"/>
        <v>45643</v>
      </c>
      <c r="D488" t="s">
        <v>73</v>
      </c>
      <c r="E488" t="s">
        <v>3056</v>
      </c>
      <c r="F488" t="s">
        <v>3071</v>
      </c>
      <c r="G488" t="s">
        <v>2934</v>
      </c>
      <c r="H488">
        <v>8038415350</v>
      </c>
      <c r="I488" t="s">
        <v>43</v>
      </c>
      <c r="J488" t="s">
        <v>25</v>
      </c>
      <c r="K488" t="s">
        <v>36</v>
      </c>
      <c r="L488" t="s">
        <v>85</v>
      </c>
      <c r="M488" t="s">
        <v>218</v>
      </c>
      <c r="N488" t="s">
        <v>1058</v>
      </c>
      <c r="O488">
        <v>8</v>
      </c>
      <c r="P488">
        <v>104605.46</v>
      </c>
      <c r="Q488">
        <v>25</v>
      </c>
      <c r="R488" s="39">
        <v>209210.92</v>
      </c>
      <c r="S488" s="39">
        <v>627632.76</v>
      </c>
      <c r="T488" s="39">
        <v>134337.67000000001</v>
      </c>
      <c r="U488" t="str">
        <f t="shared" si="16"/>
        <v>Furniture</v>
      </c>
      <c r="V488">
        <f t="shared" si="17"/>
        <v>134337.67000000001</v>
      </c>
      <c r="W488" t="str">
        <f>IF(Sales[[#This Row],[Quantity]]&gt;=15, "Large","Small")</f>
        <v>Small</v>
      </c>
      <c r="X488" t="str">
        <f>IF(Sales[[#This Row],[Quantity]]&gt;=15,"Large",IF(Sales[[#This Row],[Quantity]]=14,"Medium","Small"))</f>
        <v>Small</v>
      </c>
      <c r="Y488" t="str">
        <f>IF(AND(Sales[[#This Row],[Unit Price (₦)]]&gt;68000,Sales[[#This Row],[Quantity]]&gt;15),"Offer Discount", "No Discount")</f>
        <v>No Discount</v>
      </c>
    </row>
    <row r="489" spans="1:25" ht="15" customHeight="1" x14ac:dyDescent="0.25">
      <c r="A489" t="s">
        <v>1372</v>
      </c>
      <c r="B489" s="8">
        <v>44564</v>
      </c>
      <c r="C489" s="8">
        <v>44564</v>
      </c>
      <c r="D489" t="s">
        <v>32</v>
      </c>
      <c r="E489" t="s">
        <v>3098</v>
      </c>
      <c r="F489" t="s">
        <v>3078</v>
      </c>
      <c r="G489" t="s">
        <v>1374</v>
      </c>
      <c r="H489">
        <v>8151548852</v>
      </c>
      <c r="I489" t="s">
        <v>43</v>
      </c>
      <c r="J489" t="s">
        <v>69</v>
      </c>
      <c r="K489" t="s">
        <v>119</v>
      </c>
      <c r="L489" t="s">
        <v>63</v>
      </c>
      <c r="M489" t="s">
        <v>64</v>
      </c>
      <c r="N489" t="s">
        <v>65</v>
      </c>
      <c r="O489">
        <v>20</v>
      </c>
      <c r="P489">
        <v>17602.349999999999</v>
      </c>
      <c r="Q489">
        <v>25</v>
      </c>
      <c r="R489" s="39">
        <v>88011.75</v>
      </c>
      <c r="S489" s="39">
        <v>264035.25</v>
      </c>
      <c r="T489" s="39">
        <v>51523.21</v>
      </c>
      <c r="U489" t="str">
        <f t="shared" si="16"/>
        <v>Office Supplies</v>
      </c>
      <c r="V489">
        <f t="shared" si="17"/>
        <v>51523.21</v>
      </c>
      <c r="W489" t="str">
        <f>IF(Sales[[#This Row],[Quantity]]&gt;=15, "Large","Small")</f>
        <v>Large</v>
      </c>
      <c r="X489" t="str">
        <f>IF(Sales[[#This Row],[Quantity]]&gt;=15,"Large",IF(Sales[[#This Row],[Quantity]]=14,"Medium","Small"))</f>
        <v>Large</v>
      </c>
      <c r="Y489" t="str">
        <f>IF(AND(Sales[[#This Row],[Unit Price (₦)]]&gt;68000,Sales[[#This Row],[Quantity]]&gt;15),"Offer Discount", "No Discount")</f>
        <v>No Discount</v>
      </c>
    </row>
    <row r="490" spans="1:25" ht="15" customHeight="1" x14ac:dyDescent="0.25">
      <c r="A490" t="s">
        <v>2068</v>
      </c>
      <c r="B490" s="8">
        <v>44564</v>
      </c>
      <c r="C490" s="8">
        <v>44565</v>
      </c>
      <c r="D490" t="s">
        <v>32</v>
      </c>
      <c r="E490" t="s">
        <v>3059</v>
      </c>
      <c r="F490" t="s">
        <v>3083</v>
      </c>
      <c r="G490" t="s">
        <v>2070</v>
      </c>
      <c r="H490">
        <v>8031291769</v>
      </c>
      <c r="I490" t="s">
        <v>43</v>
      </c>
      <c r="J490" t="s">
        <v>25</v>
      </c>
      <c r="K490" t="s">
        <v>36</v>
      </c>
      <c r="L490" t="s">
        <v>27</v>
      </c>
      <c r="M490" t="s">
        <v>45</v>
      </c>
      <c r="N490" t="s">
        <v>523</v>
      </c>
      <c r="O490">
        <v>6</v>
      </c>
      <c r="P490">
        <v>4344.57</v>
      </c>
      <c r="Q490">
        <v>0</v>
      </c>
      <c r="R490" s="39">
        <v>0</v>
      </c>
      <c r="S490" s="39">
        <v>26067.42</v>
      </c>
      <c r="T490" s="39">
        <v>8215.25</v>
      </c>
      <c r="U490" t="str">
        <f t="shared" si="16"/>
        <v>Food &amp; Beverages</v>
      </c>
      <c r="V490">
        <f t="shared" si="17"/>
        <v>8215.25</v>
      </c>
      <c r="W490" t="str">
        <f>IF(Sales[[#This Row],[Quantity]]&gt;=15, "Large","Small")</f>
        <v>Small</v>
      </c>
      <c r="X490" t="str">
        <f>IF(Sales[[#This Row],[Quantity]]&gt;=15,"Large",IF(Sales[[#This Row],[Quantity]]=14,"Medium","Small"))</f>
        <v>Small</v>
      </c>
      <c r="Y490" t="str">
        <f>IF(AND(Sales[[#This Row],[Unit Price (₦)]]&gt;68000,Sales[[#This Row],[Quantity]]&gt;15),"Offer Discount", "No Discount")</f>
        <v>No Discount</v>
      </c>
    </row>
    <row r="491" spans="1:25" ht="15" customHeight="1" x14ac:dyDescent="0.25">
      <c r="A491" t="s">
        <v>2639</v>
      </c>
      <c r="B491" s="8">
        <v>44565</v>
      </c>
      <c r="C491" s="8">
        <v>44565</v>
      </c>
      <c r="D491" t="s">
        <v>32</v>
      </c>
      <c r="E491" t="s">
        <v>3094</v>
      </c>
      <c r="F491" t="s">
        <v>3042</v>
      </c>
      <c r="G491" t="s">
        <v>2640</v>
      </c>
      <c r="H491">
        <v>8159196133</v>
      </c>
      <c r="I491" t="s">
        <v>35</v>
      </c>
      <c r="J491" t="s">
        <v>51</v>
      </c>
      <c r="K491" t="s">
        <v>131</v>
      </c>
      <c r="L491" t="s">
        <v>85</v>
      </c>
      <c r="M491" t="s">
        <v>86</v>
      </c>
      <c r="N491" t="s">
        <v>178</v>
      </c>
      <c r="O491">
        <v>20</v>
      </c>
      <c r="P491">
        <v>70613.98</v>
      </c>
      <c r="Q491">
        <v>10</v>
      </c>
      <c r="R491" s="39">
        <v>141227.96</v>
      </c>
      <c r="S491" s="39">
        <v>1271051.6399999999</v>
      </c>
      <c r="T491" s="39">
        <v>157298.35</v>
      </c>
      <c r="U491" t="str">
        <f t="shared" si="16"/>
        <v>Furniture</v>
      </c>
      <c r="V491">
        <f t="shared" si="17"/>
        <v>157298.35</v>
      </c>
      <c r="W491" t="str">
        <f>IF(Sales[[#This Row],[Quantity]]&gt;=15, "Large","Small")</f>
        <v>Large</v>
      </c>
      <c r="X491" t="str">
        <f>IF(Sales[[#This Row],[Quantity]]&gt;=15,"Large",IF(Sales[[#This Row],[Quantity]]=14,"Medium","Small"))</f>
        <v>Large</v>
      </c>
      <c r="Y491" t="str">
        <f>IF(AND(Sales[[#This Row],[Unit Price (₦)]]&gt;68000,Sales[[#This Row],[Quantity]]&gt;15),"Offer Discount", "No Discount")</f>
        <v>Offer Discount</v>
      </c>
    </row>
    <row r="492" spans="1:25" ht="15" customHeight="1" x14ac:dyDescent="0.25">
      <c r="A492" t="s">
        <v>1578</v>
      </c>
      <c r="B492" s="8">
        <v>44575</v>
      </c>
      <c r="C492" s="8">
        <v>44575</v>
      </c>
      <c r="D492" t="s">
        <v>32</v>
      </c>
      <c r="E492" t="s">
        <v>3055</v>
      </c>
      <c r="F492" t="s">
        <v>3074</v>
      </c>
      <c r="G492" t="s">
        <v>1580</v>
      </c>
      <c r="H492">
        <v>8153873296</v>
      </c>
      <c r="I492" t="s">
        <v>43</v>
      </c>
      <c r="J492" t="s">
        <v>25</v>
      </c>
      <c r="K492" t="s">
        <v>126</v>
      </c>
      <c r="L492" t="s">
        <v>96</v>
      </c>
      <c r="M492" t="s">
        <v>97</v>
      </c>
      <c r="N492" t="s">
        <v>1416</v>
      </c>
      <c r="O492">
        <v>14</v>
      </c>
      <c r="P492">
        <v>326111.89</v>
      </c>
      <c r="Q492">
        <v>10</v>
      </c>
      <c r="R492" s="39">
        <v>456556.65</v>
      </c>
      <c r="S492" s="39">
        <v>4109009.81</v>
      </c>
      <c r="T492" s="39">
        <v>935474.6</v>
      </c>
      <c r="U492" t="str">
        <f t="shared" si="16"/>
        <v>Technology</v>
      </c>
      <c r="V492">
        <f t="shared" si="17"/>
        <v>935474.6</v>
      </c>
      <c r="W492" t="str">
        <f>IF(Sales[[#This Row],[Quantity]]&gt;=15, "Large","Small")</f>
        <v>Small</v>
      </c>
      <c r="X492" t="str">
        <f>IF(Sales[[#This Row],[Quantity]]&gt;=15,"Large",IF(Sales[[#This Row],[Quantity]]=14,"Medium","Small"))</f>
        <v>Medium</v>
      </c>
      <c r="Y492" t="str">
        <f>IF(AND(Sales[[#This Row],[Unit Price (₦)]]&gt;68000,Sales[[#This Row],[Quantity]]&gt;15),"Offer Discount", "No Discount")</f>
        <v>No Discount</v>
      </c>
    </row>
    <row r="493" spans="1:25" ht="15" customHeight="1" x14ac:dyDescent="0.25">
      <c r="A493" t="s">
        <v>1103</v>
      </c>
      <c r="B493" s="8">
        <v>44578</v>
      </c>
      <c r="C493" s="8">
        <v>44578</v>
      </c>
      <c r="D493" t="s">
        <v>32</v>
      </c>
      <c r="E493" t="s">
        <v>3081</v>
      </c>
      <c r="F493" t="s">
        <v>3054</v>
      </c>
      <c r="G493" t="s">
        <v>1105</v>
      </c>
      <c r="H493">
        <v>8144643811</v>
      </c>
      <c r="I493" t="s">
        <v>35</v>
      </c>
      <c r="J493" t="s">
        <v>51</v>
      </c>
      <c r="K493" t="s">
        <v>223</v>
      </c>
      <c r="L493" t="s">
        <v>63</v>
      </c>
      <c r="M493" t="s">
        <v>64</v>
      </c>
      <c r="N493" t="s">
        <v>65</v>
      </c>
      <c r="O493">
        <v>16</v>
      </c>
      <c r="P493">
        <v>19750.27</v>
      </c>
      <c r="Q493">
        <v>10</v>
      </c>
      <c r="R493" s="39">
        <v>31600.43</v>
      </c>
      <c r="S493" s="39">
        <v>284403.89</v>
      </c>
      <c r="T493" s="39">
        <v>36463.620000000003</v>
      </c>
      <c r="U493" t="str">
        <f t="shared" si="16"/>
        <v>Office Supplies</v>
      </c>
      <c r="V493">
        <f t="shared" si="17"/>
        <v>36463.620000000003</v>
      </c>
      <c r="W493" t="str">
        <f>IF(Sales[[#This Row],[Quantity]]&gt;=15, "Large","Small")</f>
        <v>Large</v>
      </c>
      <c r="X493" t="str">
        <f>IF(Sales[[#This Row],[Quantity]]&gt;=15,"Large",IF(Sales[[#This Row],[Quantity]]=14,"Medium","Small"))</f>
        <v>Large</v>
      </c>
      <c r="Y493" t="str">
        <f>IF(AND(Sales[[#This Row],[Unit Price (₦)]]&gt;68000,Sales[[#This Row],[Quantity]]&gt;15),"Offer Discount", "No Discount")</f>
        <v>No Discount</v>
      </c>
    </row>
    <row r="494" spans="1:25" ht="15" customHeight="1" x14ac:dyDescent="0.25">
      <c r="A494" t="s">
        <v>2158</v>
      </c>
      <c r="B494" s="8">
        <v>44580</v>
      </c>
      <c r="C494" s="8">
        <v>44581</v>
      </c>
      <c r="D494" t="s">
        <v>32</v>
      </c>
      <c r="E494" t="s">
        <v>3063</v>
      </c>
      <c r="F494" t="s">
        <v>3039</v>
      </c>
      <c r="G494" t="s">
        <v>2160</v>
      </c>
      <c r="H494">
        <v>9074654790</v>
      </c>
      <c r="I494" t="s">
        <v>35</v>
      </c>
      <c r="J494" t="s">
        <v>69</v>
      </c>
      <c r="K494" t="s">
        <v>70</v>
      </c>
      <c r="L494" t="s">
        <v>108</v>
      </c>
      <c r="M494" t="s">
        <v>114</v>
      </c>
      <c r="N494" t="s">
        <v>891</v>
      </c>
      <c r="O494">
        <v>9</v>
      </c>
      <c r="P494">
        <v>42369.87</v>
      </c>
      <c r="Q494">
        <v>25</v>
      </c>
      <c r="R494" s="39">
        <v>95332.21</v>
      </c>
      <c r="S494" s="39">
        <v>285996.62</v>
      </c>
      <c r="T494" s="39">
        <v>10986.82</v>
      </c>
      <c r="U494" t="str">
        <f t="shared" si="16"/>
        <v>Clothing</v>
      </c>
      <c r="V494">
        <f t="shared" si="17"/>
        <v>10986.82</v>
      </c>
      <c r="W494" t="str">
        <f>IF(Sales[[#This Row],[Quantity]]&gt;=15, "Large","Small")</f>
        <v>Small</v>
      </c>
      <c r="X494" t="str">
        <f>IF(Sales[[#This Row],[Quantity]]&gt;=15,"Large",IF(Sales[[#This Row],[Quantity]]=14,"Medium","Small"))</f>
        <v>Small</v>
      </c>
      <c r="Y494" t="str">
        <f>IF(AND(Sales[[#This Row],[Unit Price (₦)]]&gt;68000,Sales[[#This Row],[Quantity]]&gt;15),"Offer Discount", "No Discount")</f>
        <v>No Discount</v>
      </c>
    </row>
    <row r="495" spans="1:25" ht="15" customHeight="1" x14ac:dyDescent="0.25">
      <c r="A495" t="s">
        <v>2247</v>
      </c>
      <c r="B495" s="8">
        <v>44582</v>
      </c>
      <c r="C495" s="8">
        <v>44583</v>
      </c>
      <c r="D495" t="s">
        <v>32</v>
      </c>
      <c r="E495" t="str">
        <f>E496</f>
        <v>Ronke</v>
      </c>
      <c r="F495" t="str">
        <f>F494</f>
        <v>Adebayo</v>
      </c>
      <c r="G495" t="s">
        <v>2248</v>
      </c>
      <c r="H495">
        <v>8142124878</v>
      </c>
      <c r="I495" t="s">
        <v>24</v>
      </c>
      <c r="J495" t="s">
        <v>61</v>
      </c>
      <c r="K495" t="s">
        <v>62</v>
      </c>
      <c r="L495" t="s">
        <v>96</v>
      </c>
      <c r="M495" t="s">
        <v>97</v>
      </c>
      <c r="N495" t="s">
        <v>443</v>
      </c>
      <c r="O495">
        <v>4</v>
      </c>
      <c r="P495">
        <v>101681.42</v>
      </c>
      <c r="Q495">
        <v>25</v>
      </c>
      <c r="R495" s="39">
        <v>101681.42</v>
      </c>
      <c r="S495" s="39">
        <v>305044.26</v>
      </c>
      <c r="T495" s="39">
        <v>38178.160000000003</v>
      </c>
      <c r="U495" t="str">
        <f t="shared" si="16"/>
        <v>Technology</v>
      </c>
      <c r="V495">
        <f t="shared" si="17"/>
        <v>38178.160000000003</v>
      </c>
      <c r="W495" t="str">
        <f>IF(Sales[[#This Row],[Quantity]]&gt;=15, "Large","Small")</f>
        <v>Small</v>
      </c>
      <c r="X495" t="str">
        <f>IF(Sales[[#This Row],[Quantity]]&gt;=15,"Large",IF(Sales[[#This Row],[Quantity]]=14,"Medium","Small"))</f>
        <v>Small</v>
      </c>
      <c r="Y495" t="str">
        <f>IF(AND(Sales[[#This Row],[Unit Price (₦)]]&gt;68000,Sales[[#This Row],[Quantity]]&gt;15),"Offer Discount", "No Discount")</f>
        <v>No Discount</v>
      </c>
    </row>
    <row r="496" spans="1:25" ht="15" customHeight="1" x14ac:dyDescent="0.25">
      <c r="A496" t="s">
        <v>618</v>
      </c>
      <c r="B496" s="8">
        <v>44586</v>
      </c>
      <c r="C496" s="8">
        <v>44586</v>
      </c>
      <c r="D496" t="s">
        <v>32</v>
      </c>
      <c r="E496" t="s">
        <v>3070</v>
      </c>
      <c r="F496" t="s">
        <v>3034</v>
      </c>
      <c r="G496" t="s">
        <v>621</v>
      </c>
      <c r="H496">
        <v>8155809835</v>
      </c>
      <c r="I496" t="s">
        <v>24</v>
      </c>
      <c r="J496" t="s">
        <v>25</v>
      </c>
      <c r="K496" t="s">
        <v>26</v>
      </c>
      <c r="L496" t="s">
        <v>96</v>
      </c>
      <c r="M496" t="s">
        <v>254</v>
      </c>
      <c r="N496" t="s">
        <v>530</v>
      </c>
      <c r="O496">
        <v>6</v>
      </c>
      <c r="P496">
        <v>365682.95</v>
      </c>
      <c r="Q496">
        <v>0</v>
      </c>
      <c r="R496" s="39">
        <v>0</v>
      </c>
      <c r="S496" s="39">
        <v>2194097.7000000002</v>
      </c>
      <c r="T496" s="39">
        <v>879458.66</v>
      </c>
      <c r="U496" t="str">
        <f t="shared" si="16"/>
        <v>Technology</v>
      </c>
      <c r="V496">
        <f t="shared" si="17"/>
        <v>879458.66</v>
      </c>
      <c r="W496" t="str">
        <f>IF(Sales[[#This Row],[Quantity]]&gt;=15, "Large","Small")</f>
        <v>Small</v>
      </c>
      <c r="X496" t="str">
        <f>IF(Sales[[#This Row],[Quantity]]&gt;=15,"Large",IF(Sales[[#This Row],[Quantity]]=14,"Medium","Small"))</f>
        <v>Small</v>
      </c>
      <c r="Y496" t="str">
        <f>IF(AND(Sales[[#This Row],[Unit Price (₦)]]&gt;68000,Sales[[#This Row],[Quantity]]&gt;15),"Offer Discount", "No Discount")</f>
        <v>No Discount</v>
      </c>
    </row>
    <row r="497" spans="1:25" ht="15" customHeight="1" x14ac:dyDescent="0.25">
      <c r="A497" t="s">
        <v>2593</v>
      </c>
      <c r="B497" s="8">
        <v>44588</v>
      </c>
      <c r="C497" s="8">
        <v>44589</v>
      </c>
      <c r="D497" t="s">
        <v>32</v>
      </c>
      <c r="E497" t="s">
        <v>3048</v>
      </c>
      <c r="F497" t="s">
        <v>3074</v>
      </c>
      <c r="G497" t="s">
        <v>2594</v>
      </c>
      <c r="H497">
        <v>9078197382</v>
      </c>
      <c r="I497" t="s">
        <v>43</v>
      </c>
      <c r="J497" t="s">
        <v>69</v>
      </c>
      <c r="K497" t="s">
        <v>119</v>
      </c>
      <c r="L497" t="s">
        <v>27</v>
      </c>
      <c r="M497" t="s">
        <v>79</v>
      </c>
      <c r="N497" t="s">
        <v>234</v>
      </c>
      <c r="O497">
        <v>10</v>
      </c>
      <c r="P497">
        <v>1296.5999999999999</v>
      </c>
      <c r="Q497">
        <v>10</v>
      </c>
      <c r="R497" s="39">
        <v>1296.5999999999999</v>
      </c>
      <c r="S497" s="39">
        <v>11669.4</v>
      </c>
      <c r="T497" s="39">
        <v>3324.08</v>
      </c>
      <c r="U497" t="str">
        <f t="shared" si="16"/>
        <v>Food &amp; Beverages</v>
      </c>
      <c r="V497">
        <f t="shared" si="17"/>
        <v>3324.08</v>
      </c>
      <c r="W497" t="str">
        <f>IF(Sales[[#This Row],[Quantity]]&gt;=15, "Large","Small")</f>
        <v>Small</v>
      </c>
      <c r="X497" t="str">
        <f>IF(Sales[[#This Row],[Quantity]]&gt;=15,"Large",IF(Sales[[#This Row],[Quantity]]=14,"Medium","Small"))</f>
        <v>Small</v>
      </c>
      <c r="Y497" t="str">
        <f>IF(AND(Sales[[#This Row],[Unit Price (₦)]]&gt;68000,Sales[[#This Row],[Quantity]]&gt;15),"Offer Discount", "No Discount")</f>
        <v>No Discount</v>
      </c>
    </row>
    <row r="498" spans="1:25" ht="15" customHeight="1" x14ac:dyDescent="0.25">
      <c r="A498" t="s">
        <v>1331</v>
      </c>
      <c r="B498" s="8">
        <v>44595</v>
      </c>
      <c r="C498" s="8">
        <v>44595</v>
      </c>
      <c r="D498" t="s">
        <v>32</v>
      </c>
      <c r="E498" t="s">
        <v>3095</v>
      </c>
      <c r="F498" t="s">
        <v>3090</v>
      </c>
      <c r="G498" t="s">
        <v>1333</v>
      </c>
      <c r="H498">
        <v>9021718308</v>
      </c>
      <c r="I498" t="s">
        <v>24</v>
      </c>
      <c r="J498" t="s">
        <v>51</v>
      </c>
      <c r="K498" t="s">
        <v>316</v>
      </c>
      <c r="L498" t="s">
        <v>108</v>
      </c>
      <c r="M498" t="s">
        <v>114</v>
      </c>
      <c r="N498" t="s">
        <v>848</v>
      </c>
      <c r="O498">
        <v>17</v>
      </c>
      <c r="P498">
        <v>36705.46</v>
      </c>
      <c r="Q498">
        <v>20</v>
      </c>
      <c r="R498" s="39">
        <v>124798.56</v>
      </c>
      <c r="S498" s="39">
        <v>499194.26</v>
      </c>
      <c r="T498" s="39">
        <v>206693.32</v>
      </c>
      <c r="U498" t="str">
        <f t="shared" si="16"/>
        <v>Clothing</v>
      </c>
      <c r="V498">
        <f t="shared" si="17"/>
        <v>206693.32</v>
      </c>
      <c r="W498" t="str">
        <f>IF(Sales[[#This Row],[Quantity]]&gt;=15, "Large","Small")</f>
        <v>Large</v>
      </c>
      <c r="X498" t="str">
        <f>IF(Sales[[#This Row],[Quantity]]&gt;=15,"Large",IF(Sales[[#This Row],[Quantity]]=14,"Medium","Small"))</f>
        <v>Large</v>
      </c>
      <c r="Y498" t="str">
        <f>IF(AND(Sales[[#This Row],[Unit Price (₦)]]&gt;68000,Sales[[#This Row],[Quantity]]&gt;15),"Offer Discount", "No Discount")</f>
        <v>No Discount</v>
      </c>
    </row>
    <row r="499" spans="1:25" ht="15" customHeight="1" x14ac:dyDescent="0.25">
      <c r="A499" t="s">
        <v>2790</v>
      </c>
      <c r="B499" s="8">
        <v>44595</v>
      </c>
      <c r="C499" s="8">
        <v>44596</v>
      </c>
      <c r="D499" t="s">
        <v>32</v>
      </c>
      <c r="E499" t="s">
        <v>3080</v>
      </c>
      <c r="F499" t="s">
        <v>3069</v>
      </c>
      <c r="G499" t="s">
        <v>2791</v>
      </c>
      <c r="H499">
        <v>8144580502</v>
      </c>
      <c r="I499" t="s">
        <v>24</v>
      </c>
      <c r="J499" t="s">
        <v>51</v>
      </c>
      <c r="K499" t="s">
        <v>227</v>
      </c>
      <c r="L499" t="s">
        <v>27</v>
      </c>
      <c r="M499" t="s">
        <v>173</v>
      </c>
      <c r="N499" t="s">
        <v>174</v>
      </c>
      <c r="O499">
        <v>8</v>
      </c>
      <c r="P499">
        <v>6303.5</v>
      </c>
      <c r="Q499">
        <v>15</v>
      </c>
      <c r="R499" s="39">
        <v>7564.2</v>
      </c>
      <c r="S499" s="39">
        <v>42863.8</v>
      </c>
      <c r="T499" s="39">
        <v>7992.08</v>
      </c>
      <c r="U499" t="str">
        <f t="shared" si="16"/>
        <v>Food &amp; Beverages</v>
      </c>
      <c r="V499">
        <f t="shared" si="17"/>
        <v>7992.08</v>
      </c>
      <c r="W499" t="str">
        <f>IF(Sales[[#This Row],[Quantity]]&gt;=15, "Large","Small")</f>
        <v>Small</v>
      </c>
      <c r="X499" t="str">
        <f>IF(Sales[[#This Row],[Quantity]]&gt;=15,"Large",IF(Sales[[#This Row],[Quantity]]=14,"Medium","Small"))</f>
        <v>Small</v>
      </c>
      <c r="Y499" t="str">
        <f>IF(AND(Sales[[#This Row],[Unit Price (₦)]]&gt;68000,Sales[[#This Row],[Quantity]]&gt;15),"Offer Discount", "No Discount")</f>
        <v>No Discount</v>
      </c>
    </row>
    <row r="500" spans="1:25" ht="15" customHeight="1" x14ac:dyDescent="0.25">
      <c r="A500" t="s">
        <v>528</v>
      </c>
      <c r="B500" s="8">
        <v>44596</v>
      </c>
      <c r="C500" s="8">
        <v>44597</v>
      </c>
      <c r="D500" t="s">
        <v>32</v>
      </c>
      <c r="E500" t="s">
        <v>3095</v>
      </c>
      <c r="F500" t="s">
        <v>3069</v>
      </c>
      <c r="G500" t="s">
        <v>3126</v>
      </c>
      <c r="H500">
        <v>7066161977</v>
      </c>
      <c r="I500" t="s">
        <v>43</v>
      </c>
      <c r="J500" t="s">
        <v>69</v>
      </c>
      <c r="K500" t="s">
        <v>155</v>
      </c>
      <c r="L500" t="s">
        <v>96</v>
      </c>
      <c r="M500" t="s">
        <v>254</v>
      </c>
      <c r="N500" t="s">
        <v>530</v>
      </c>
      <c r="O500">
        <v>19</v>
      </c>
      <c r="P500">
        <v>130505.74</v>
      </c>
      <c r="Q500">
        <v>5</v>
      </c>
      <c r="R500" s="39">
        <v>123980.45</v>
      </c>
      <c r="S500" s="39">
        <v>2355628.61</v>
      </c>
      <c r="T500" s="39">
        <v>666266.15</v>
      </c>
      <c r="U500" t="str">
        <f t="shared" si="16"/>
        <v>Technology</v>
      </c>
      <c r="V500">
        <f t="shared" si="17"/>
        <v>666266.15</v>
      </c>
      <c r="W500" t="str">
        <f>IF(Sales[[#This Row],[Quantity]]&gt;=15, "Large","Small")</f>
        <v>Large</v>
      </c>
      <c r="X500" t="str">
        <f>IF(Sales[[#This Row],[Quantity]]&gt;=15,"Large",IF(Sales[[#This Row],[Quantity]]=14,"Medium","Small"))</f>
        <v>Large</v>
      </c>
      <c r="Y500" t="str">
        <f>IF(AND(Sales[[#This Row],[Unit Price (₦)]]&gt;68000,Sales[[#This Row],[Quantity]]&gt;15),"Offer Discount", "No Discount")</f>
        <v>Offer Discount</v>
      </c>
    </row>
    <row r="501" spans="1:25" ht="15" customHeight="1" x14ac:dyDescent="0.25">
      <c r="A501" t="s">
        <v>1710</v>
      </c>
      <c r="B501" s="8">
        <v>44616</v>
      </c>
      <c r="C501" s="8">
        <v>44616</v>
      </c>
      <c r="D501" t="s">
        <v>32</v>
      </c>
      <c r="E501" t="s">
        <v>3050</v>
      </c>
      <c r="F501" t="s">
        <v>3050</v>
      </c>
      <c r="G501" t="s">
        <v>1712</v>
      </c>
      <c r="H501">
        <v>8164454299</v>
      </c>
      <c r="I501" t="s">
        <v>24</v>
      </c>
      <c r="J501" t="s">
        <v>61</v>
      </c>
      <c r="K501" t="s">
        <v>95</v>
      </c>
      <c r="L501" t="s">
        <v>85</v>
      </c>
      <c r="M501" t="s">
        <v>243</v>
      </c>
      <c r="N501" t="s">
        <v>244</v>
      </c>
      <c r="O501">
        <v>2</v>
      </c>
      <c r="P501">
        <v>20036.46</v>
      </c>
      <c r="Q501">
        <v>10</v>
      </c>
      <c r="R501" s="39">
        <v>4007.29</v>
      </c>
      <c r="S501" s="39">
        <v>36065.629999999997</v>
      </c>
      <c r="T501" s="39">
        <v>5810.86</v>
      </c>
      <c r="U501" t="str">
        <f t="shared" si="16"/>
        <v>Furniture</v>
      </c>
      <c r="V501">
        <f t="shared" si="17"/>
        <v>5810.86</v>
      </c>
      <c r="W501" t="str">
        <f>IF(Sales[[#This Row],[Quantity]]&gt;=15, "Large","Small")</f>
        <v>Small</v>
      </c>
      <c r="X501" t="str">
        <f>IF(Sales[[#This Row],[Quantity]]&gt;=15,"Large",IF(Sales[[#This Row],[Quantity]]=14,"Medium","Small"))</f>
        <v>Small</v>
      </c>
      <c r="Y501" t="str">
        <f>IF(AND(Sales[[#This Row],[Unit Price (₦)]]&gt;68000,Sales[[#This Row],[Quantity]]&gt;15),"Offer Discount", "No Discount")</f>
        <v>No Discount</v>
      </c>
    </row>
    <row r="502" spans="1:25" ht="15" customHeight="1" x14ac:dyDescent="0.25">
      <c r="A502" t="s">
        <v>2329</v>
      </c>
      <c r="B502" s="8">
        <v>44622</v>
      </c>
      <c r="C502" s="8">
        <v>44622</v>
      </c>
      <c r="D502" t="s">
        <v>32</v>
      </c>
      <c r="E502" t="s">
        <v>3085</v>
      </c>
      <c r="F502" t="s">
        <v>3057</v>
      </c>
      <c r="G502" t="s">
        <v>2331</v>
      </c>
      <c r="H502">
        <v>9056899311</v>
      </c>
      <c r="I502" t="s">
        <v>24</v>
      </c>
      <c r="J502" t="s">
        <v>51</v>
      </c>
      <c r="K502" t="s">
        <v>316</v>
      </c>
      <c r="L502" t="s">
        <v>27</v>
      </c>
      <c r="M502" t="s">
        <v>28</v>
      </c>
      <c r="N502" t="s">
        <v>262</v>
      </c>
      <c r="O502">
        <v>1</v>
      </c>
      <c r="P502">
        <v>7967.86</v>
      </c>
      <c r="Q502">
        <v>10</v>
      </c>
      <c r="R502" s="39">
        <v>796.79</v>
      </c>
      <c r="S502" s="39">
        <v>7171.07</v>
      </c>
      <c r="T502" s="39">
        <v>1318.5</v>
      </c>
      <c r="U502" t="str">
        <f t="shared" si="16"/>
        <v>Food &amp; Beverages</v>
      </c>
      <c r="V502">
        <f t="shared" si="17"/>
        <v>1318.5</v>
      </c>
      <c r="W502" t="str">
        <f>IF(Sales[[#This Row],[Quantity]]&gt;=15, "Large","Small")</f>
        <v>Small</v>
      </c>
      <c r="X502" t="str">
        <f>IF(Sales[[#This Row],[Quantity]]&gt;=15,"Large",IF(Sales[[#This Row],[Quantity]]=14,"Medium","Small"))</f>
        <v>Small</v>
      </c>
      <c r="Y502" t="str">
        <f>IF(AND(Sales[[#This Row],[Unit Price (₦)]]&gt;68000,Sales[[#This Row],[Quantity]]&gt;15),"Offer Discount", "No Discount")</f>
        <v>No Discount</v>
      </c>
    </row>
    <row r="503" spans="1:25" ht="15" customHeight="1" x14ac:dyDescent="0.25">
      <c r="A503" t="s">
        <v>2684</v>
      </c>
      <c r="B503" s="8">
        <v>44625</v>
      </c>
      <c r="C503" s="8">
        <v>44626</v>
      </c>
      <c r="D503" t="s">
        <v>32</v>
      </c>
      <c r="E503" t="s">
        <v>3044</v>
      </c>
      <c r="F503" t="s">
        <v>3077</v>
      </c>
      <c r="G503" t="s">
        <v>2685</v>
      </c>
      <c r="H503">
        <v>9013442155</v>
      </c>
      <c r="I503" t="s">
        <v>35</v>
      </c>
      <c r="J503" t="s">
        <v>51</v>
      </c>
      <c r="K503" t="s">
        <v>316</v>
      </c>
      <c r="L503" t="s">
        <v>96</v>
      </c>
      <c r="M503" t="s">
        <v>97</v>
      </c>
      <c r="N503" t="s">
        <v>1416</v>
      </c>
      <c r="O503">
        <v>15</v>
      </c>
      <c r="P503">
        <v>186071.29</v>
      </c>
      <c r="Q503">
        <v>10</v>
      </c>
      <c r="R503" s="39">
        <v>279106.93</v>
      </c>
      <c r="S503" s="39">
        <v>2511962.42</v>
      </c>
      <c r="T503" s="39">
        <v>80629.3</v>
      </c>
      <c r="U503" t="str">
        <f t="shared" si="16"/>
        <v>Technology</v>
      </c>
      <c r="V503">
        <f t="shared" si="17"/>
        <v>80629.3</v>
      </c>
      <c r="W503" t="str">
        <f>IF(Sales[[#This Row],[Quantity]]&gt;=15, "Large","Small")</f>
        <v>Large</v>
      </c>
      <c r="X503" t="str">
        <f>IF(Sales[[#This Row],[Quantity]]&gt;=15,"Large",IF(Sales[[#This Row],[Quantity]]=14,"Medium","Small"))</f>
        <v>Large</v>
      </c>
      <c r="Y503" t="str">
        <f>IF(AND(Sales[[#This Row],[Unit Price (₦)]]&gt;68000,Sales[[#This Row],[Quantity]]&gt;15),"Offer Discount", "No Discount")</f>
        <v>No Discount</v>
      </c>
    </row>
    <row r="504" spans="1:25" ht="15" customHeight="1" x14ac:dyDescent="0.25">
      <c r="A504" t="s">
        <v>1607</v>
      </c>
      <c r="B504" s="8">
        <v>44628</v>
      </c>
      <c r="C504" s="8">
        <v>44628</v>
      </c>
      <c r="D504" t="s">
        <v>32</v>
      </c>
      <c r="E504" t="s">
        <v>3060</v>
      </c>
      <c r="F504" t="s">
        <v>3039</v>
      </c>
      <c r="G504" t="s">
        <v>1609</v>
      </c>
      <c r="H504">
        <v>9057855503</v>
      </c>
      <c r="I504" t="s">
        <v>43</v>
      </c>
      <c r="J504" t="s">
        <v>25</v>
      </c>
      <c r="K504" t="s">
        <v>126</v>
      </c>
      <c r="L504" t="s">
        <v>96</v>
      </c>
      <c r="M504" t="s">
        <v>120</v>
      </c>
      <c r="N504" t="s">
        <v>367</v>
      </c>
      <c r="O504">
        <v>2</v>
      </c>
      <c r="P504">
        <v>263717.67</v>
      </c>
      <c r="Q504">
        <v>25</v>
      </c>
      <c r="R504" s="39">
        <v>131858.82999999999</v>
      </c>
      <c r="S504" s="39">
        <v>395576.51</v>
      </c>
      <c r="T504" s="39">
        <v>-22950.28</v>
      </c>
      <c r="U504" t="str">
        <f t="shared" si="16"/>
        <v>Technology</v>
      </c>
      <c r="V504">
        <f t="shared" si="17"/>
        <v>22950.28</v>
      </c>
      <c r="W504" t="str">
        <f>IF(Sales[[#This Row],[Quantity]]&gt;=15, "Large","Small")</f>
        <v>Small</v>
      </c>
      <c r="X504" t="str">
        <f>IF(Sales[[#This Row],[Quantity]]&gt;=15,"Large",IF(Sales[[#This Row],[Quantity]]=14,"Medium","Small"))</f>
        <v>Small</v>
      </c>
      <c r="Y504" t="str">
        <f>IF(AND(Sales[[#This Row],[Unit Price (₦)]]&gt;68000,Sales[[#This Row],[Quantity]]&gt;15),"Offer Discount", "No Discount")</f>
        <v>No Discount</v>
      </c>
    </row>
    <row r="505" spans="1:25" ht="15" customHeight="1" x14ac:dyDescent="0.25">
      <c r="A505" t="s">
        <v>1997</v>
      </c>
      <c r="B505" s="8">
        <v>44628</v>
      </c>
      <c r="C505" s="8">
        <v>44628</v>
      </c>
      <c r="D505" t="s">
        <v>32</v>
      </c>
      <c r="E505" t="s">
        <v>3047</v>
      </c>
      <c r="F505" t="s">
        <v>3054</v>
      </c>
      <c r="G505" t="s">
        <v>1999</v>
      </c>
      <c r="H505">
        <v>8039706758</v>
      </c>
      <c r="I505" t="s">
        <v>35</v>
      </c>
      <c r="J505" t="s">
        <v>69</v>
      </c>
      <c r="K505" t="s">
        <v>119</v>
      </c>
      <c r="L505" t="s">
        <v>27</v>
      </c>
      <c r="M505" t="s">
        <v>45</v>
      </c>
      <c r="N505" t="s">
        <v>838</v>
      </c>
      <c r="O505">
        <v>19</v>
      </c>
      <c r="P505">
        <v>1612.16</v>
      </c>
      <c r="Q505">
        <v>15</v>
      </c>
      <c r="R505" s="39">
        <v>4594.66</v>
      </c>
      <c r="S505" s="39">
        <v>26036.38</v>
      </c>
      <c r="T505" s="39">
        <v>-127.61</v>
      </c>
      <c r="U505" t="str">
        <f t="shared" si="16"/>
        <v>Food &amp; Beverages</v>
      </c>
      <c r="V505">
        <f t="shared" si="17"/>
        <v>127.61</v>
      </c>
      <c r="W505" t="str">
        <f>IF(Sales[[#This Row],[Quantity]]&gt;=15, "Large","Small")</f>
        <v>Large</v>
      </c>
      <c r="X505" t="str">
        <f>IF(Sales[[#This Row],[Quantity]]&gt;=15,"Large",IF(Sales[[#This Row],[Quantity]]=14,"Medium","Small"))</f>
        <v>Large</v>
      </c>
      <c r="Y505" t="str">
        <f>IF(AND(Sales[[#This Row],[Unit Price (₦)]]&gt;68000,Sales[[#This Row],[Quantity]]&gt;15),"Offer Discount", "No Discount")</f>
        <v>No Discount</v>
      </c>
    </row>
    <row r="506" spans="1:25" ht="15" customHeight="1" x14ac:dyDescent="0.25">
      <c r="A506" t="s">
        <v>471</v>
      </c>
      <c r="B506" s="8">
        <v>44633</v>
      </c>
      <c r="C506" s="8">
        <v>44633</v>
      </c>
      <c r="D506" t="s">
        <v>32</v>
      </c>
      <c r="E506" t="s">
        <v>3044</v>
      </c>
      <c r="F506" t="s">
        <v>3043</v>
      </c>
      <c r="G506" t="s">
        <v>473</v>
      </c>
      <c r="H506">
        <v>7037423230</v>
      </c>
      <c r="I506" t="s">
        <v>35</v>
      </c>
      <c r="J506" t="s">
        <v>61</v>
      </c>
      <c r="K506" t="s">
        <v>95</v>
      </c>
      <c r="L506" t="s">
        <v>27</v>
      </c>
      <c r="M506" t="s">
        <v>79</v>
      </c>
      <c r="N506" t="s">
        <v>234</v>
      </c>
      <c r="O506">
        <v>15</v>
      </c>
      <c r="P506">
        <v>1481.47</v>
      </c>
      <c r="Q506">
        <v>10</v>
      </c>
      <c r="R506" s="39">
        <v>2222.1999999999998</v>
      </c>
      <c r="S506" s="39">
        <v>19999.849999999999</v>
      </c>
      <c r="T506" s="39">
        <v>1464.15</v>
      </c>
      <c r="U506" t="str">
        <f t="shared" si="16"/>
        <v>Food &amp; Beverages</v>
      </c>
      <c r="V506">
        <f t="shared" si="17"/>
        <v>1464.15</v>
      </c>
      <c r="W506" t="str">
        <f>IF(Sales[[#This Row],[Quantity]]&gt;=15, "Large","Small")</f>
        <v>Large</v>
      </c>
      <c r="X506" t="str">
        <f>IF(Sales[[#This Row],[Quantity]]&gt;=15,"Large",IF(Sales[[#This Row],[Quantity]]=14,"Medium","Small"))</f>
        <v>Large</v>
      </c>
      <c r="Y506" t="str">
        <f>IF(AND(Sales[[#This Row],[Unit Price (₦)]]&gt;68000,Sales[[#This Row],[Quantity]]&gt;15),"Offer Discount", "No Discount")</f>
        <v>No Discount</v>
      </c>
    </row>
    <row r="507" spans="1:25" ht="15" customHeight="1" x14ac:dyDescent="0.25">
      <c r="A507" t="s">
        <v>2658</v>
      </c>
      <c r="B507" s="8">
        <v>44632</v>
      </c>
      <c r="C507" s="8">
        <v>44633</v>
      </c>
      <c r="D507" t="s">
        <v>32</v>
      </c>
      <c r="E507" t="s">
        <v>3093</v>
      </c>
      <c r="F507" t="s">
        <v>3077</v>
      </c>
      <c r="G507" t="s">
        <v>2660</v>
      </c>
      <c r="H507">
        <v>8137888843</v>
      </c>
      <c r="I507" t="s">
        <v>24</v>
      </c>
      <c r="J507" t="s">
        <v>51</v>
      </c>
      <c r="K507" t="s">
        <v>131</v>
      </c>
      <c r="L507" t="s">
        <v>96</v>
      </c>
      <c r="M507" t="s">
        <v>120</v>
      </c>
      <c r="N507" t="s">
        <v>359</v>
      </c>
      <c r="O507">
        <v>1</v>
      </c>
      <c r="P507">
        <v>273141.64</v>
      </c>
      <c r="Q507">
        <v>25</v>
      </c>
      <c r="R507" s="39">
        <v>68285.41</v>
      </c>
      <c r="S507" s="39">
        <v>204856.23</v>
      </c>
      <c r="T507" s="39">
        <v>23898.11</v>
      </c>
      <c r="U507" t="str">
        <f t="shared" si="16"/>
        <v>Technology</v>
      </c>
      <c r="V507">
        <f t="shared" si="17"/>
        <v>23898.11</v>
      </c>
      <c r="W507" t="str">
        <f>IF(Sales[[#This Row],[Quantity]]&gt;=15, "Large","Small")</f>
        <v>Small</v>
      </c>
      <c r="X507" t="str">
        <f>IF(Sales[[#This Row],[Quantity]]&gt;=15,"Large",IF(Sales[[#This Row],[Quantity]]=14,"Medium","Small"))</f>
        <v>Small</v>
      </c>
      <c r="Y507" t="str">
        <f>IF(AND(Sales[[#This Row],[Unit Price (₦)]]&gt;68000,Sales[[#This Row],[Quantity]]&gt;15),"Offer Discount", "No Discount")</f>
        <v>No Discount</v>
      </c>
    </row>
    <row r="508" spans="1:25" ht="15" customHeight="1" x14ac:dyDescent="0.25">
      <c r="A508" t="s">
        <v>2298</v>
      </c>
      <c r="B508" s="8">
        <v>44633</v>
      </c>
      <c r="C508" s="8">
        <v>44634</v>
      </c>
      <c r="D508" t="s">
        <v>32</v>
      </c>
      <c r="E508" t="s">
        <v>3051</v>
      </c>
      <c r="F508" t="s">
        <v>3062</v>
      </c>
      <c r="G508" t="s">
        <v>2248</v>
      </c>
      <c r="H508">
        <v>7069679668</v>
      </c>
      <c r="I508" t="s">
        <v>24</v>
      </c>
      <c r="J508" t="s">
        <v>51</v>
      </c>
      <c r="K508" t="s">
        <v>316</v>
      </c>
      <c r="L508" t="s">
        <v>96</v>
      </c>
      <c r="M508" t="s">
        <v>189</v>
      </c>
      <c r="N508" t="s">
        <v>287</v>
      </c>
      <c r="O508">
        <v>4</v>
      </c>
      <c r="P508">
        <v>165634.79</v>
      </c>
      <c r="Q508">
        <v>15</v>
      </c>
      <c r="R508" s="39">
        <v>99380.87</v>
      </c>
      <c r="S508" s="39">
        <v>563158.29</v>
      </c>
      <c r="T508" s="39">
        <v>187041.85</v>
      </c>
      <c r="U508" t="str">
        <f t="shared" si="16"/>
        <v>Technology</v>
      </c>
      <c r="V508">
        <f t="shared" si="17"/>
        <v>187041.85</v>
      </c>
      <c r="W508" t="str">
        <f>IF(Sales[[#This Row],[Quantity]]&gt;=15, "Large","Small")</f>
        <v>Small</v>
      </c>
      <c r="X508" t="str">
        <f>IF(Sales[[#This Row],[Quantity]]&gt;=15,"Large",IF(Sales[[#This Row],[Quantity]]=14,"Medium","Small"))</f>
        <v>Small</v>
      </c>
      <c r="Y508" t="str">
        <f>IF(AND(Sales[[#This Row],[Unit Price (₦)]]&gt;68000,Sales[[#This Row],[Quantity]]&gt;15),"Offer Discount", "No Discount")</f>
        <v>No Discount</v>
      </c>
    </row>
    <row r="509" spans="1:25" ht="15" customHeight="1" x14ac:dyDescent="0.25">
      <c r="A509" t="s">
        <v>284</v>
      </c>
      <c r="B509" s="8">
        <v>44637</v>
      </c>
      <c r="C509" s="8">
        <v>44638</v>
      </c>
      <c r="D509" t="s">
        <v>32</v>
      </c>
      <c r="E509" t="s">
        <v>3081</v>
      </c>
      <c r="F509" t="s">
        <v>3074</v>
      </c>
      <c r="G509" t="s">
        <v>286</v>
      </c>
      <c r="H509">
        <v>7032944841</v>
      </c>
      <c r="I509" t="s">
        <v>24</v>
      </c>
      <c r="J509" t="s">
        <v>69</v>
      </c>
      <c r="K509" t="s">
        <v>144</v>
      </c>
      <c r="L509" t="s">
        <v>108</v>
      </c>
      <c r="M509" t="s">
        <v>189</v>
      </c>
      <c r="N509" t="s">
        <v>287</v>
      </c>
      <c r="O509">
        <v>18</v>
      </c>
      <c r="P509">
        <v>30279.4</v>
      </c>
      <c r="Q509">
        <v>20</v>
      </c>
      <c r="R509" s="39">
        <v>109005.84</v>
      </c>
      <c r="S509" s="39">
        <v>436023.36</v>
      </c>
      <c r="T509" s="39">
        <v>42707.85</v>
      </c>
      <c r="U509" t="str">
        <f t="shared" si="16"/>
        <v>Clothing</v>
      </c>
      <c r="V509">
        <f t="shared" si="17"/>
        <v>42707.85</v>
      </c>
      <c r="W509" t="str">
        <f>IF(Sales[[#This Row],[Quantity]]&gt;=15, "Large","Small")</f>
        <v>Large</v>
      </c>
      <c r="X509" t="str">
        <f>IF(Sales[[#This Row],[Quantity]]&gt;=15,"Large",IF(Sales[[#This Row],[Quantity]]=14,"Medium","Small"))</f>
        <v>Large</v>
      </c>
      <c r="Y509" t="str">
        <f>IF(AND(Sales[[#This Row],[Unit Price (₦)]]&gt;68000,Sales[[#This Row],[Quantity]]&gt;15),"Offer Discount", "No Discount")</f>
        <v>No Discount</v>
      </c>
    </row>
    <row r="510" spans="1:25" ht="15" customHeight="1" x14ac:dyDescent="0.25">
      <c r="A510" t="s">
        <v>2889</v>
      </c>
      <c r="B510" s="8">
        <v>44645</v>
      </c>
      <c r="C510" s="8">
        <v>44646</v>
      </c>
      <c r="D510" t="s">
        <v>32</v>
      </c>
      <c r="E510" t="s">
        <v>3076</v>
      </c>
      <c r="F510" t="s">
        <v>3040</v>
      </c>
      <c r="G510" t="s">
        <v>2891</v>
      </c>
      <c r="H510">
        <v>8106950477</v>
      </c>
      <c r="I510" t="s">
        <v>35</v>
      </c>
      <c r="J510" t="s">
        <v>51</v>
      </c>
      <c r="K510" t="s">
        <v>223</v>
      </c>
      <c r="L510" t="s">
        <v>63</v>
      </c>
      <c r="M510" t="s">
        <v>194</v>
      </c>
      <c r="N510" t="s">
        <v>716</v>
      </c>
      <c r="O510">
        <v>2</v>
      </c>
      <c r="P510">
        <v>21723.7</v>
      </c>
      <c r="Q510">
        <v>0</v>
      </c>
      <c r="R510" s="39">
        <v>0</v>
      </c>
      <c r="S510" s="39">
        <v>43447.4</v>
      </c>
      <c r="T510" s="39">
        <v>3995.75</v>
      </c>
      <c r="U510" t="str">
        <f t="shared" si="16"/>
        <v>Office Supplies</v>
      </c>
      <c r="V510">
        <f t="shared" si="17"/>
        <v>3995.75</v>
      </c>
      <c r="W510" t="str">
        <f>IF(Sales[[#This Row],[Quantity]]&gt;=15, "Large","Small")</f>
        <v>Small</v>
      </c>
      <c r="X510" t="str">
        <f>IF(Sales[[#This Row],[Quantity]]&gt;=15,"Large",IF(Sales[[#This Row],[Quantity]]=14,"Medium","Small"))</f>
        <v>Small</v>
      </c>
      <c r="Y510" t="str">
        <f>IF(AND(Sales[[#This Row],[Unit Price (₦)]]&gt;68000,Sales[[#This Row],[Quantity]]&gt;15),"Offer Discount", "No Discount")</f>
        <v>No Discount</v>
      </c>
    </row>
    <row r="511" spans="1:25" ht="15" customHeight="1" x14ac:dyDescent="0.25">
      <c r="A511" t="s">
        <v>1719</v>
      </c>
      <c r="B511" s="8">
        <v>44651</v>
      </c>
      <c r="C511" s="8">
        <v>44651</v>
      </c>
      <c r="D511" t="s">
        <v>32</v>
      </c>
      <c r="E511" t="s">
        <v>3048</v>
      </c>
      <c r="F511" t="s">
        <v>3036</v>
      </c>
      <c r="G511" t="s">
        <v>1720</v>
      </c>
      <c r="H511">
        <v>9072119776</v>
      </c>
      <c r="I511" t="s">
        <v>35</v>
      </c>
      <c r="J511" t="s">
        <v>61</v>
      </c>
      <c r="K511" t="s">
        <v>3127</v>
      </c>
      <c r="L511" t="s">
        <v>85</v>
      </c>
      <c r="M511" t="s">
        <v>486</v>
      </c>
      <c r="N511" t="s">
        <v>1018</v>
      </c>
      <c r="O511">
        <v>18</v>
      </c>
      <c r="P511">
        <v>178691.03</v>
      </c>
      <c r="Q511">
        <v>0</v>
      </c>
      <c r="R511" s="39">
        <v>0</v>
      </c>
      <c r="S511" s="39">
        <v>3216438.54</v>
      </c>
      <c r="T511" s="39">
        <v>1438358.6</v>
      </c>
      <c r="U511" t="str">
        <f t="shared" si="16"/>
        <v>Furniture</v>
      </c>
      <c r="V511">
        <f t="shared" si="17"/>
        <v>1438358.6</v>
      </c>
      <c r="W511" t="str">
        <f>IF(Sales[[#This Row],[Quantity]]&gt;=15, "Large","Small")</f>
        <v>Large</v>
      </c>
      <c r="X511" t="str">
        <f>IF(Sales[[#This Row],[Quantity]]&gt;=15,"Large",IF(Sales[[#This Row],[Quantity]]=14,"Medium","Small"))</f>
        <v>Large</v>
      </c>
      <c r="Y511" t="str">
        <f>IF(AND(Sales[[#This Row],[Unit Price (₦)]]&gt;68000,Sales[[#This Row],[Quantity]]&gt;15),"Offer Discount", "No Discount")</f>
        <v>Offer Discount</v>
      </c>
    </row>
    <row r="512" spans="1:25" ht="15" customHeight="1" x14ac:dyDescent="0.25">
      <c r="A512" t="s">
        <v>2398</v>
      </c>
      <c r="B512" s="8">
        <v>44660</v>
      </c>
      <c r="C512" s="8">
        <v>44660</v>
      </c>
      <c r="D512" t="s">
        <v>32</v>
      </c>
      <c r="E512" t="s">
        <v>3092</v>
      </c>
      <c r="F512" t="s">
        <v>3039</v>
      </c>
      <c r="G512" t="s">
        <v>2400</v>
      </c>
      <c r="H512">
        <v>9058335114</v>
      </c>
      <c r="I512" t="s">
        <v>43</v>
      </c>
      <c r="J512" t="s">
        <v>69</v>
      </c>
      <c r="K512" t="s">
        <v>70</v>
      </c>
      <c r="L512" t="s">
        <v>96</v>
      </c>
      <c r="M512" t="s">
        <v>254</v>
      </c>
      <c r="N512" t="s">
        <v>455</v>
      </c>
      <c r="O512">
        <v>16</v>
      </c>
      <c r="P512">
        <v>358709.81</v>
      </c>
      <c r="Q512">
        <v>10</v>
      </c>
      <c r="R512" s="39">
        <v>573935.69999999995</v>
      </c>
      <c r="S512" s="39">
        <v>5165421.26</v>
      </c>
      <c r="T512" s="39">
        <v>1006685.24</v>
      </c>
      <c r="U512" t="str">
        <f t="shared" si="16"/>
        <v>Technology</v>
      </c>
      <c r="V512">
        <f t="shared" si="17"/>
        <v>1006685.24</v>
      </c>
      <c r="W512" t="str">
        <f>IF(Sales[[#This Row],[Quantity]]&gt;=15, "Large","Small")</f>
        <v>Large</v>
      </c>
      <c r="X512" t="str">
        <f>IF(Sales[[#This Row],[Quantity]]&gt;=15,"Large",IF(Sales[[#This Row],[Quantity]]=14,"Medium","Small"))</f>
        <v>Large</v>
      </c>
      <c r="Y512" t="str">
        <f>IF(AND(Sales[[#This Row],[Unit Price (₦)]]&gt;68000,Sales[[#This Row],[Quantity]]&gt;15),"Offer Discount", "No Discount")</f>
        <v>Offer Discount</v>
      </c>
    </row>
    <row r="513" spans="1:25" ht="15" customHeight="1" x14ac:dyDescent="0.25">
      <c r="A513" t="s">
        <v>2661</v>
      </c>
      <c r="B513" s="8">
        <v>44661</v>
      </c>
      <c r="C513" s="8">
        <v>44662</v>
      </c>
      <c r="D513" t="s">
        <v>32</v>
      </c>
      <c r="E513" t="s">
        <v>3035</v>
      </c>
      <c r="F513" t="s">
        <v>3038</v>
      </c>
      <c r="G513" t="s">
        <v>2663</v>
      </c>
      <c r="H513">
        <v>8108578703</v>
      </c>
      <c r="I513" t="s">
        <v>43</v>
      </c>
      <c r="J513" t="s">
        <v>61</v>
      </c>
      <c r="K513" t="s">
        <v>204</v>
      </c>
      <c r="L513" t="s">
        <v>63</v>
      </c>
      <c r="M513" t="s">
        <v>194</v>
      </c>
      <c r="N513" t="s">
        <v>336</v>
      </c>
      <c r="O513">
        <v>20</v>
      </c>
      <c r="P513">
        <v>1475.5</v>
      </c>
      <c r="Q513">
        <v>10</v>
      </c>
      <c r="R513" s="39">
        <v>2951</v>
      </c>
      <c r="S513" s="39">
        <v>26559</v>
      </c>
      <c r="T513" s="39">
        <v>2816.29</v>
      </c>
      <c r="U513" t="str">
        <f t="shared" si="16"/>
        <v>Office Supplies</v>
      </c>
      <c r="V513">
        <f t="shared" si="17"/>
        <v>2816.29</v>
      </c>
      <c r="W513" t="str">
        <f>IF(Sales[[#This Row],[Quantity]]&gt;=15, "Large","Small")</f>
        <v>Large</v>
      </c>
      <c r="X513" t="str">
        <f>IF(Sales[[#This Row],[Quantity]]&gt;=15,"Large",IF(Sales[[#This Row],[Quantity]]=14,"Medium","Small"))</f>
        <v>Large</v>
      </c>
      <c r="Y513" t="str">
        <f>IF(AND(Sales[[#This Row],[Unit Price (₦)]]&gt;68000,Sales[[#This Row],[Quantity]]&gt;15),"Offer Discount", "No Discount")</f>
        <v>No Discount</v>
      </c>
    </row>
    <row r="514" spans="1:25" ht="15" customHeight="1" x14ac:dyDescent="0.25">
      <c r="A514" t="s">
        <v>1252</v>
      </c>
      <c r="B514" s="8">
        <v>44665</v>
      </c>
      <c r="C514" s="8">
        <v>44665</v>
      </c>
      <c r="D514" t="s">
        <v>32</v>
      </c>
      <c r="E514" t="s">
        <v>3098</v>
      </c>
      <c r="F514" t="s">
        <v>3090</v>
      </c>
      <c r="G514" t="s">
        <v>1254</v>
      </c>
      <c r="H514">
        <v>7067575272</v>
      </c>
      <c r="I514" t="s">
        <v>125</v>
      </c>
      <c r="J514" t="s">
        <v>25</v>
      </c>
      <c r="K514" t="s">
        <v>3127</v>
      </c>
      <c r="L514" t="s">
        <v>85</v>
      </c>
      <c r="M514" t="s">
        <v>266</v>
      </c>
      <c r="N514" t="s">
        <v>1255</v>
      </c>
      <c r="O514">
        <v>15</v>
      </c>
      <c r="P514">
        <v>116268.96</v>
      </c>
      <c r="Q514">
        <v>10</v>
      </c>
      <c r="R514" s="39">
        <v>174403.44</v>
      </c>
      <c r="S514" s="39">
        <v>1569630.96</v>
      </c>
      <c r="T514" s="39">
        <v>58805.27</v>
      </c>
      <c r="U514" t="str">
        <f t="shared" ref="U514:U577" si="19">PROPER(L514)</f>
        <v>Furniture</v>
      </c>
      <c r="V514">
        <f t="shared" si="17"/>
        <v>58805.27</v>
      </c>
      <c r="W514" t="str">
        <f>IF(Sales[[#This Row],[Quantity]]&gt;=15, "Large","Small")</f>
        <v>Large</v>
      </c>
      <c r="X514" t="str">
        <f>IF(Sales[[#This Row],[Quantity]]&gt;=15,"Large",IF(Sales[[#This Row],[Quantity]]=14,"Medium","Small"))</f>
        <v>Large</v>
      </c>
      <c r="Y514" t="str">
        <f>IF(AND(Sales[[#This Row],[Unit Price (₦)]]&gt;68000,Sales[[#This Row],[Quantity]]&gt;15),"Offer Discount", "No Discount")</f>
        <v>No Discount</v>
      </c>
    </row>
    <row r="515" spans="1:25" ht="15" customHeight="1" x14ac:dyDescent="0.25">
      <c r="A515" t="s">
        <v>2000</v>
      </c>
      <c r="B515" s="8">
        <v>44667</v>
      </c>
      <c r="C515" s="8">
        <v>44668</v>
      </c>
      <c r="D515" t="s">
        <v>32</v>
      </c>
      <c r="E515" t="s">
        <v>3033</v>
      </c>
      <c r="F515" t="s">
        <v>3040</v>
      </c>
      <c r="G515" t="s">
        <v>2001</v>
      </c>
      <c r="H515">
        <v>9013914492</v>
      </c>
      <c r="I515" t="s">
        <v>24</v>
      </c>
      <c r="J515" t="s">
        <v>69</v>
      </c>
      <c r="K515" t="s">
        <v>119</v>
      </c>
      <c r="L515" t="s">
        <v>108</v>
      </c>
      <c r="M515" t="s">
        <v>38</v>
      </c>
      <c r="N515" t="s">
        <v>296</v>
      </c>
      <c r="O515">
        <v>8</v>
      </c>
      <c r="P515">
        <v>8813.08</v>
      </c>
      <c r="Q515">
        <v>0</v>
      </c>
      <c r="R515" s="39">
        <v>0</v>
      </c>
      <c r="S515" s="39">
        <v>70504.639999999999</v>
      </c>
      <c r="T515" s="39">
        <v>19460.330000000002</v>
      </c>
      <c r="U515" t="str">
        <f t="shared" si="19"/>
        <v>Clothing</v>
      </c>
      <c r="V515">
        <f t="shared" ref="V515:V578" si="20">ABS(T515)</f>
        <v>19460.330000000002</v>
      </c>
      <c r="W515" t="str">
        <f>IF(Sales[[#This Row],[Quantity]]&gt;=15, "Large","Small")</f>
        <v>Small</v>
      </c>
      <c r="X515" t="str">
        <f>IF(Sales[[#This Row],[Quantity]]&gt;=15,"Large",IF(Sales[[#This Row],[Quantity]]=14,"Medium","Small"))</f>
        <v>Small</v>
      </c>
      <c r="Y515" t="str">
        <f>IF(AND(Sales[[#This Row],[Unit Price (₦)]]&gt;68000,Sales[[#This Row],[Quantity]]&gt;15),"Offer Discount", "No Discount")</f>
        <v>No Discount</v>
      </c>
    </row>
    <row r="516" spans="1:25" ht="15" customHeight="1" x14ac:dyDescent="0.25">
      <c r="A516" t="s">
        <v>1664</v>
      </c>
      <c r="B516" s="8">
        <v>44674</v>
      </c>
      <c r="C516" s="8">
        <v>44675</v>
      </c>
      <c r="D516" t="s">
        <v>32</v>
      </c>
      <c r="E516" t="s">
        <v>3085</v>
      </c>
      <c r="F516" t="s">
        <v>3040</v>
      </c>
      <c r="G516" t="s">
        <v>1665</v>
      </c>
      <c r="H516">
        <v>8062708383</v>
      </c>
      <c r="I516" t="s">
        <v>35</v>
      </c>
      <c r="J516" t="s">
        <v>25</v>
      </c>
      <c r="K516" t="s">
        <v>126</v>
      </c>
      <c r="L516" t="s">
        <v>96</v>
      </c>
      <c r="M516" t="s">
        <v>254</v>
      </c>
      <c r="N516" t="s">
        <v>756</v>
      </c>
      <c r="O516">
        <v>13</v>
      </c>
      <c r="P516">
        <v>143288.79999999999</v>
      </c>
      <c r="Q516">
        <v>15</v>
      </c>
      <c r="R516" s="39">
        <v>279413.15999999997</v>
      </c>
      <c r="S516" s="39">
        <v>1583341.24</v>
      </c>
      <c r="T516" s="39">
        <f>T515</f>
        <v>19460.330000000002</v>
      </c>
      <c r="U516" t="str">
        <f t="shared" si="19"/>
        <v>Technology</v>
      </c>
      <c r="V516">
        <f t="shared" si="20"/>
        <v>19460.330000000002</v>
      </c>
      <c r="W516" t="str">
        <f>IF(Sales[[#This Row],[Quantity]]&gt;=15, "Large","Small")</f>
        <v>Small</v>
      </c>
      <c r="X516" t="str">
        <f>IF(Sales[[#This Row],[Quantity]]&gt;=15,"Large",IF(Sales[[#This Row],[Quantity]]=14,"Medium","Small"))</f>
        <v>Small</v>
      </c>
      <c r="Y516" t="str">
        <f>IF(AND(Sales[[#This Row],[Unit Price (₦)]]&gt;68000,Sales[[#This Row],[Quantity]]&gt;15),"Offer Discount", "No Discount")</f>
        <v>No Discount</v>
      </c>
    </row>
    <row r="517" spans="1:25" ht="15" customHeight="1" x14ac:dyDescent="0.25">
      <c r="A517" t="s">
        <v>626</v>
      </c>
      <c r="B517" s="8">
        <v>44676</v>
      </c>
      <c r="C517" s="8">
        <v>44676</v>
      </c>
      <c r="D517" t="s">
        <v>32</v>
      </c>
      <c r="E517" t="s">
        <v>3048</v>
      </c>
      <c r="F517" t="s">
        <v>3050</v>
      </c>
      <c r="G517" t="s">
        <v>627</v>
      </c>
      <c r="H517">
        <v>8038279795</v>
      </c>
      <c r="I517" t="s">
        <v>24</v>
      </c>
      <c r="J517" t="s">
        <v>69</v>
      </c>
      <c r="K517" t="s">
        <v>70</v>
      </c>
      <c r="L517" t="s">
        <v>96</v>
      </c>
      <c r="M517" t="s">
        <v>312</v>
      </c>
      <c r="N517" t="s">
        <v>628</v>
      </c>
      <c r="O517">
        <v>2</v>
      </c>
      <c r="P517">
        <v>22422.38</v>
      </c>
      <c r="Q517">
        <v>5</v>
      </c>
      <c r="R517" s="39">
        <v>2242.2399999999998</v>
      </c>
      <c r="S517" s="39">
        <v>42602.52</v>
      </c>
      <c r="T517" s="39">
        <v>-986.24</v>
      </c>
      <c r="U517" t="str">
        <f t="shared" si="19"/>
        <v>Technology</v>
      </c>
      <c r="V517">
        <f t="shared" si="20"/>
        <v>986.24</v>
      </c>
      <c r="W517" t="str">
        <f>IF(Sales[[#This Row],[Quantity]]&gt;=15, "Large","Small")</f>
        <v>Small</v>
      </c>
      <c r="X517" t="str">
        <f>IF(Sales[[#This Row],[Quantity]]&gt;=15,"Large",IF(Sales[[#This Row],[Quantity]]=14,"Medium","Small"))</f>
        <v>Small</v>
      </c>
      <c r="Y517" t="str">
        <f>IF(AND(Sales[[#This Row],[Unit Price (₦)]]&gt;68000,Sales[[#This Row],[Quantity]]&gt;15),"Offer Discount", "No Discount")</f>
        <v>No Discount</v>
      </c>
    </row>
    <row r="518" spans="1:25" ht="15" customHeight="1" x14ac:dyDescent="0.25">
      <c r="A518" t="s">
        <v>1862</v>
      </c>
      <c r="B518" s="8">
        <v>44679</v>
      </c>
      <c r="C518" s="8">
        <v>44680</v>
      </c>
      <c r="D518" t="s">
        <v>32</v>
      </c>
      <c r="E518" t="s">
        <v>3049</v>
      </c>
      <c r="F518" t="s">
        <v>3088</v>
      </c>
      <c r="G518" t="s">
        <v>1864</v>
      </c>
      <c r="H518">
        <v>7036005493</v>
      </c>
      <c r="I518" t="s">
        <v>24</v>
      </c>
      <c r="J518" t="s">
        <v>25</v>
      </c>
      <c r="K518" t="s">
        <v>168</v>
      </c>
      <c r="L518" t="s">
        <v>63</v>
      </c>
      <c r="M518" t="s">
        <v>249</v>
      </c>
      <c r="N518" t="s">
        <v>465</v>
      </c>
      <c r="O518">
        <v>6</v>
      </c>
      <c r="P518">
        <v>9068.18</v>
      </c>
      <c r="Q518">
        <v>15</v>
      </c>
      <c r="R518" s="39">
        <v>8161.36</v>
      </c>
      <c r="S518" s="39">
        <v>46247.72</v>
      </c>
      <c r="T518" s="39">
        <v>2900.63</v>
      </c>
      <c r="U518" t="str">
        <f t="shared" si="19"/>
        <v>Office Supplies</v>
      </c>
      <c r="V518">
        <f t="shared" si="20"/>
        <v>2900.63</v>
      </c>
      <c r="W518" t="str">
        <f>IF(Sales[[#This Row],[Quantity]]&gt;=15, "Large","Small")</f>
        <v>Small</v>
      </c>
      <c r="X518" t="str">
        <f>IF(Sales[[#This Row],[Quantity]]&gt;=15,"Large",IF(Sales[[#This Row],[Quantity]]=14,"Medium","Small"))</f>
        <v>Small</v>
      </c>
      <c r="Y518" t="str">
        <f>IF(AND(Sales[[#This Row],[Unit Price (₦)]]&gt;68000,Sales[[#This Row],[Quantity]]&gt;15),"Offer Discount", "No Discount")</f>
        <v>No Discount</v>
      </c>
    </row>
    <row r="519" spans="1:25" ht="15" customHeight="1" x14ac:dyDescent="0.25">
      <c r="A519" t="s">
        <v>786</v>
      </c>
      <c r="B519" s="8">
        <v>44686</v>
      </c>
      <c r="C519" s="8">
        <v>44686</v>
      </c>
      <c r="D519" t="s">
        <v>32</v>
      </c>
      <c r="E519" t="s">
        <v>3091</v>
      </c>
      <c r="F519" t="s">
        <v>3045</v>
      </c>
      <c r="G519" t="s">
        <v>788</v>
      </c>
      <c r="H519">
        <v>7064346346</v>
      </c>
      <c r="I519" t="s">
        <v>24</v>
      </c>
      <c r="J519" t="s">
        <v>69</v>
      </c>
      <c r="K519" t="s">
        <v>70</v>
      </c>
      <c r="L519" t="s">
        <v>27</v>
      </c>
      <c r="M519" t="s">
        <v>354</v>
      </c>
      <c r="N519" t="s">
        <v>789</v>
      </c>
      <c r="O519">
        <v>13</v>
      </c>
      <c r="P519">
        <v>6420.32</v>
      </c>
      <c r="Q519">
        <v>10</v>
      </c>
      <c r="R519" s="39">
        <v>8346.42</v>
      </c>
      <c r="S519" s="39">
        <v>75117.740000000005</v>
      </c>
      <c r="T519" s="39">
        <v>10352.030000000001</v>
      </c>
      <c r="U519" t="str">
        <f t="shared" si="19"/>
        <v>Food &amp; Beverages</v>
      </c>
      <c r="V519">
        <f t="shared" si="20"/>
        <v>10352.030000000001</v>
      </c>
      <c r="W519" t="str">
        <f>IF(Sales[[#This Row],[Quantity]]&gt;=15, "Large","Small")</f>
        <v>Small</v>
      </c>
      <c r="X519" t="str">
        <f>IF(Sales[[#This Row],[Quantity]]&gt;=15,"Large",IF(Sales[[#This Row],[Quantity]]=14,"Medium","Small"))</f>
        <v>Small</v>
      </c>
      <c r="Y519" t="str">
        <f>IF(AND(Sales[[#This Row],[Unit Price (₦)]]&gt;68000,Sales[[#This Row],[Quantity]]&gt;15),"Offer Discount", "No Discount")</f>
        <v>No Discount</v>
      </c>
    </row>
    <row r="520" spans="1:25" ht="15" customHeight="1" x14ac:dyDescent="0.25">
      <c r="A520" t="s">
        <v>1592</v>
      </c>
      <c r="B520" s="8">
        <v>44691</v>
      </c>
      <c r="C520" s="8">
        <v>44689</v>
      </c>
      <c r="D520" t="s">
        <v>32</v>
      </c>
      <c r="E520" t="s">
        <v>3053</v>
      </c>
      <c r="F520" t="s">
        <v>3039</v>
      </c>
      <c r="G520" t="s">
        <v>1594</v>
      </c>
      <c r="H520">
        <v>8134514088</v>
      </c>
      <c r="I520" t="s">
        <v>24</v>
      </c>
      <c r="J520" t="s">
        <v>61</v>
      </c>
      <c r="K520" t="s">
        <v>182</v>
      </c>
      <c r="L520" t="s">
        <v>63</v>
      </c>
      <c r="M520" t="s">
        <v>469</v>
      </c>
      <c r="N520" t="s">
        <v>1595</v>
      </c>
      <c r="O520">
        <v>11</v>
      </c>
      <c r="P520">
        <v>22798.58</v>
      </c>
      <c r="Q520">
        <v>20</v>
      </c>
      <c r="R520" s="39">
        <v>50156.88</v>
      </c>
      <c r="S520" s="39">
        <v>200627.5</v>
      </c>
      <c r="T520" s="39">
        <v>64618.84</v>
      </c>
      <c r="U520" t="str">
        <f t="shared" si="19"/>
        <v>Office Supplies</v>
      </c>
      <c r="V520">
        <f t="shared" si="20"/>
        <v>64618.84</v>
      </c>
      <c r="W520" t="str">
        <f>IF(Sales[[#This Row],[Quantity]]&gt;=15, "Large","Small")</f>
        <v>Small</v>
      </c>
      <c r="X520" t="str">
        <f>IF(Sales[[#This Row],[Quantity]]&gt;=15,"Large",IF(Sales[[#This Row],[Quantity]]=14,"Medium","Small"))</f>
        <v>Small</v>
      </c>
      <c r="Y520" t="str">
        <f>IF(AND(Sales[[#This Row],[Unit Price (₦)]]&gt;68000,Sales[[#This Row],[Quantity]]&gt;15),"Offer Discount", "No Discount")</f>
        <v>No Discount</v>
      </c>
    </row>
    <row r="521" spans="1:25" ht="15" customHeight="1" x14ac:dyDescent="0.25">
      <c r="A521" t="s">
        <v>2944</v>
      </c>
      <c r="B521" s="8">
        <v>44690</v>
      </c>
      <c r="C521" s="8">
        <v>44690</v>
      </c>
      <c r="D521" t="s">
        <v>32</v>
      </c>
      <c r="E521" t="s">
        <v>3056</v>
      </c>
      <c r="F521" t="s">
        <v>3042</v>
      </c>
      <c r="G521" t="s">
        <v>2946</v>
      </c>
      <c r="H521">
        <v>8154389982</v>
      </c>
      <c r="I521" t="s">
        <v>43</v>
      </c>
      <c r="J521" t="s">
        <v>69</v>
      </c>
      <c r="K521" t="s">
        <v>155</v>
      </c>
      <c r="L521" t="s">
        <v>96</v>
      </c>
      <c r="M521" t="s">
        <v>120</v>
      </c>
      <c r="N521" t="s">
        <v>359</v>
      </c>
      <c r="O521">
        <v>11</v>
      </c>
      <c r="P521">
        <v>369226.48</v>
      </c>
      <c r="Q521">
        <v>0</v>
      </c>
      <c r="R521" s="39">
        <v>0</v>
      </c>
      <c r="S521" s="39">
        <v>4061491.28</v>
      </c>
      <c r="T521" s="39">
        <v>-492457.07</v>
      </c>
      <c r="U521" t="str">
        <f t="shared" si="19"/>
        <v>Technology</v>
      </c>
      <c r="V521">
        <f t="shared" si="20"/>
        <v>492457.07</v>
      </c>
      <c r="W521" t="str">
        <f>IF(Sales[[#This Row],[Quantity]]&gt;=15, "Large","Small")</f>
        <v>Small</v>
      </c>
      <c r="X521" t="str">
        <f>IF(Sales[[#This Row],[Quantity]]&gt;=15,"Large",IF(Sales[[#This Row],[Quantity]]=14,"Medium","Small"))</f>
        <v>Small</v>
      </c>
      <c r="Y521" t="str">
        <f>IF(AND(Sales[[#This Row],[Unit Price (₦)]]&gt;68000,Sales[[#This Row],[Quantity]]&gt;15),"Offer Discount", "No Discount")</f>
        <v>No Discount</v>
      </c>
    </row>
    <row r="522" spans="1:25" ht="15" customHeight="1" x14ac:dyDescent="0.25">
      <c r="A522" t="s">
        <v>1592</v>
      </c>
      <c r="B522" s="8">
        <v>44691</v>
      </c>
      <c r="C522" s="8">
        <v>44691</v>
      </c>
      <c r="D522" t="s">
        <v>32</v>
      </c>
      <c r="E522" t="s">
        <v>3053</v>
      </c>
      <c r="F522" t="s">
        <v>3039</v>
      </c>
      <c r="G522" t="s">
        <v>1594</v>
      </c>
      <c r="H522">
        <v>8134514088</v>
      </c>
      <c r="I522" t="s">
        <v>24</v>
      </c>
      <c r="J522" t="s">
        <v>61</v>
      </c>
      <c r="K522" t="s">
        <v>182</v>
      </c>
      <c r="L522" t="s">
        <v>63</v>
      </c>
      <c r="M522" t="s">
        <v>469</v>
      </c>
      <c r="N522" t="s">
        <v>1595</v>
      </c>
      <c r="O522">
        <v>11</v>
      </c>
      <c r="P522">
        <v>22798.58</v>
      </c>
      <c r="Q522">
        <v>20</v>
      </c>
      <c r="R522" s="39">
        <v>50156.88</v>
      </c>
      <c r="S522" s="39">
        <v>200627.5</v>
      </c>
      <c r="T522" s="39">
        <v>64618.84</v>
      </c>
      <c r="U522" t="str">
        <f t="shared" si="19"/>
        <v>Office Supplies</v>
      </c>
      <c r="V522">
        <f t="shared" si="20"/>
        <v>64618.84</v>
      </c>
      <c r="W522" t="str">
        <f>IF(Sales[[#This Row],[Quantity]]&gt;=15, "Large","Small")</f>
        <v>Small</v>
      </c>
      <c r="X522" t="str">
        <f>IF(Sales[[#This Row],[Quantity]]&gt;=15,"Large",IF(Sales[[#This Row],[Quantity]]=14,"Medium","Small"))</f>
        <v>Small</v>
      </c>
      <c r="Y522" t="str">
        <f>IF(AND(Sales[[#This Row],[Unit Price (₦)]]&gt;68000,Sales[[#This Row],[Quantity]]&gt;15),"Offer Discount", "No Discount")</f>
        <v>No Discount</v>
      </c>
    </row>
    <row r="523" spans="1:25" ht="15" customHeight="1" x14ac:dyDescent="0.25">
      <c r="A523" t="s">
        <v>1848</v>
      </c>
      <c r="B523" s="8">
        <v>44697</v>
      </c>
      <c r="C523" s="8">
        <v>44698</v>
      </c>
      <c r="D523" t="s">
        <v>32</v>
      </c>
      <c r="E523" t="s">
        <v>3081</v>
      </c>
      <c r="F523" t="s">
        <v>3039</v>
      </c>
      <c r="G523" t="s">
        <v>1326</v>
      </c>
      <c r="H523">
        <v>9025584424</v>
      </c>
      <c r="I523" t="s">
        <v>35</v>
      </c>
      <c r="J523" t="s">
        <v>25</v>
      </c>
      <c r="K523" t="s">
        <v>36</v>
      </c>
      <c r="L523" t="s">
        <v>85</v>
      </c>
      <c r="M523" t="s">
        <v>218</v>
      </c>
      <c r="N523" t="s">
        <v>1058</v>
      </c>
      <c r="O523">
        <v>13</v>
      </c>
      <c r="P523">
        <v>9696.49</v>
      </c>
      <c r="Q523">
        <v>5</v>
      </c>
      <c r="R523" s="39">
        <v>6302.72</v>
      </c>
      <c r="S523" s="39">
        <v>119751.65</v>
      </c>
      <c r="T523" s="39">
        <v>9242.36</v>
      </c>
      <c r="U523" t="str">
        <f t="shared" si="19"/>
        <v>Furniture</v>
      </c>
      <c r="V523">
        <f t="shared" si="20"/>
        <v>9242.36</v>
      </c>
      <c r="W523" t="str">
        <f>IF(Sales[[#This Row],[Quantity]]&gt;=15, "Large","Small")</f>
        <v>Small</v>
      </c>
      <c r="X523" t="str">
        <f>IF(Sales[[#This Row],[Quantity]]&gt;=15,"Large",IF(Sales[[#This Row],[Quantity]]=14,"Medium","Small"))</f>
        <v>Small</v>
      </c>
      <c r="Y523" t="str">
        <f>IF(AND(Sales[[#This Row],[Unit Price (₦)]]&gt;68000,Sales[[#This Row],[Quantity]]&gt;15),"Offer Discount", "No Discount")</f>
        <v>No Discount</v>
      </c>
    </row>
    <row r="524" spans="1:25" ht="15" customHeight="1" x14ac:dyDescent="0.25">
      <c r="A524" t="s">
        <v>387</v>
      </c>
      <c r="B524" s="8">
        <v>44704</v>
      </c>
      <c r="C524" s="8">
        <v>44704</v>
      </c>
      <c r="D524" t="s">
        <v>32</v>
      </c>
      <c r="E524" t="s">
        <v>3047</v>
      </c>
      <c r="F524" t="s">
        <v>3050</v>
      </c>
      <c r="G524" t="s">
        <v>388</v>
      </c>
      <c r="H524">
        <v>7068043620</v>
      </c>
      <c r="I524" t="s">
        <v>24</v>
      </c>
      <c r="J524" t="s">
        <v>61</v>
      </c>
      <c r="K524" t="s">
        <v>62</v>
      </c>
      <c r="L524" t="s">
        <v>108</v>
      </c>
      <c r="M524" t="s">
        <v>38</v>
      </c>
      <c r="N524" t="s">
        <v>303</v>
      </c>
      <c r="O524">
        <v>11</v>
      </c>
      <c r="P524">
        <v>17912.28</v>
      </c>
      <c r="Q524">
        <v>0</v>
      </c>
      <c r="R524" s="39">
        <v>0</v>
      </c>
      <c r="S524" s="39">
        <v>197035.08</v>
      </c>
      <c r="T524" s="39">
        <v>74874.38</v>
      </c>
      <c r="U524" t="str">
        <f t="shared" si="19"/>
        <v>Clothing</v>
      </c>
      <c r="V524">
        <f t="shared" si="20"/>
        <v>74874.38</v>
      </c>
      <c r="W524" t="str">
        <f>IF(Sales[[#This Row],[Quantity]]&gt;=15, "Large","Small")</f>
        <v>Small</v>
      </c>
      <c r="X524" t="str">
        <f>IF(Sales[[#This Row],[Quantity]]&gt;=15,"Large",IF(Sales[[#This Row],[Quantity]]=14,"Medium","Small"))</f>
        <v>Small</v>
      </c>
      <c r="Y524" t="str">
        <f>IF(AND(Sales[[#This Row],[Unit Price (₦)]]&gt;68000,Sales[[#This Row],[Quantity]]&gt;15),"Offer Discount", "No Discount")</f>
        <v>No Discount</v>
      </c>
    </row>
    <row r="525" spans="1:25" ht="15" customHeight="1" x14ac:dyDescent="0.25">
      <c r="A525" t="s">
        <v>1079</v>
      </c>
      <c r="B525" s="8">
        <v>44708</v>
      </c>
      <c r="C525" s="8">
        <v>44708</v>
      </c>
      <c r="D525" t="s">
        <v>32</v>
      </c>
      <c r="E525" t="s">
        <v>3048</v>
      </c>
      <c r="F525" t="s">
        <v>3074</v>
      </c>
      <c r="G525" t="s">
        <v>1081</v>
      </c>
      <c r="H525">
        <v>7036316334</v>
      </c>
      <c r="I525" t="s">
        <v>24</v>
      </c>
      <c r="J525" t="s">
        <v>51</v>
      </c>
      <c r="K525" t="s">
        <v>316</v>
      </c>
      <c r="L525" t="s">
        <v>63</v>
      </c>
      <c r="M525" t="s">
        <v>469</v>
      </c>
      <c r="N525" t="s">
        <v>1082</v>
      </c>
      <c r="O525">
        <v>13</v>
      </c>
      <c r="P525">
        <v>15331.93</v>
      </c>
      <c r="Q525">
        <v>10</v>
      </c>
      <c r="R525" s="39">
        <v>19931.509999999998</v>
      </c>
      <c r="S525" s="39">
        <v>179383.58</v>
      </c>
      <c r="T525" s="39">
        <v>68634.86</v>
      </c>
      <c r="U525" t="str">
        <f t="shared" si="19"/>
        <v>Office Supplies</v>
      </c>
      <c r="V525">
        <f t="shared" si="20"/>
        <v>68634.86</v>
      </c>
      <c r="W525" t="str">
        <f>IF(Sales[[#This Row],[Quantity]]&gt;=15, "Large","Small")</f>
        <v>Small</v>
      </c>
      <c r="X525" t="str">
        <f>IF(Sales[[#This Row],[Quantity]]&gt;=15,"Large",IF(Sales[[#This Row],[Quantity]]=14,"Medium","Small"))</f>
        <v>Small</v>
      </c>
      <c r="Y525" t="str">
        <f>IF(AND(Sales[[#This Row],[Unit Price (₦)]]&gt;68000,Sales[[#This Row],[Quantity]]&gt;15),"Offer Discount", "No Discount")</f>
        <v>No Discount</v>
      </c>
    </row>
    <row r="526" spans="1:25" ht="15" customHeight="1" x14ac:dyDescent="0.25">
      <c r="A526" t="s">
        <v>970</v>
      </c>
      <c r="B526" s="8">
        <v>44709</v>
      </c>
      <c r="C526" s="8">
        <v>44709</v>
      </c>
      <c r="D526" t="s">
        <v>32</v>
      </c>
      <c r="E526" t="s">
        <v>3047</v>
      </c>
      <c r="F526" t="s">
        <v>3071</v>
      </c>
      <c r="G526" t="s">
        <v>973</v>
      </c>
      <c r="H526">
        <v>8032468357</v>
      </c>
      <c r="I526" t="s">
        <v>24</v>
      </c>
      <c r="J526" t="s">
        <v>61</v>
      </c>
      <c r="K526" t="s">
        <v>84</v>
      </c>
      <c r="L526" t="s">
        <v>96</v>
      </c>
      <c r="M526" t="s">
        <v>120</v>
      </c>
      <c r="N526" t="s">
        <v>359</v>
      </c>
      <c r="O526">
        <v>18</v>
      </c>
      <c r="P526">
        <v>360483.43</v>
      </c>
      <c r="Q526">
        <v>0</v>
      </c>
      <c r="R526" s="39">
        <v>0</v>
      </c>
      <c r="S526" s="39">
        <v>6488701.7400000002</v>
      </c>
      <c r="T526" s="39">
        <v>1265150.04</v>
      </c>
      <c r="U526" t="str">
        <f t="shared" si="19"/>
        <v>Technology</v>
      </c>
      <c r="V526">
        <f t="shared" si="20"/>
        <v>1265150.04</v>
      </c>
      <c r="W526" t="str">
        <f>IF(Sales[[#This Row],[Quantity]]&gt;=15, "Large","Small")</f>
        <v>Large</v>
      </c>
      <c r="X526" t="str">
        <f>IF(Sales[[#This Row],[Quantity]]&gt;=15,"Large",IF(Sales[[#This Row],[Quantity]]=14,"Medium","Small"))</f>
        <v>Large</v>
      </c>
      <c r="Y526" t="str">
        <f>IF(AND(Sales[[#This Row],[Unit Price (₦)]]&gt;68000,Sales[[#This Row],[Quantity]]&gt;15),"Offer Discount", "No Discount")</f>
        <v>Offer Discount</v>
      </c>
    </row>
    <row r="527" spans="1:25" ht="15" customHeight="1" x14ac:dyDescent="0.25">
      <c r="A527" t="s">
        <v>2132</v>
      </c>
      <c r="B527" s="8">
        <v>44711</v>
      </c>
      <c r="C527" s="8">
        <v>44711</v>
      </c>
      <c r="D527" t="s">
        <v>32</v>
      </c>
      <c r="E527" t="s">
        <v>3097</v>
      </c>
      <c r="F527" t="s">
        <v>3050</v>
      </c>
      <c r="G527" t="s">
        <v>2134</v>
      </c>
      <c r="H527">
        <v>9052352134</v>
      </c>
      <c r="I527" t="s">
        <v>35</v>
      </c>
      <c r="J527" t="s">
        <v>51</v>
      </c>
      <c r="K527" t="s">
        <v>52</v>
      </c>
      <c r="L527" t="s">
        <v>27</v>
      </c>
      <c r="M527" t="s">
        <v>28</v>
      </c>
      <c r="N527" t="s">
        <v>508</v>
      </c>
      <c r="O527">
        <v>2</v>
      </c>
      <c r="P527">
        <v>2382.91</v>
      </c>
      <c r="Q527">
        <v>0</v>
      </c>
      <c r="R527" s="39">
        <v>0</v>
      </c>
      <c r="S527" s="39">
        <v>4765.82</v>
      </c>
      <c r="T527" s="39">
        <v>-613.07000000000005</v>
      </c>
      <c r="U527" t="str">
        <f t="shared" si="19"/>
        <v>Food &amp; Beverages</v>
      </c>
      <c r="V527">
        <f t="shared" si="20"/>
        <v>613.07000000000005</v>
      </c>
      <c r="W527" t="str">
        <f>IF(Sales[[#This Row],[Quantity]]&gt;=15, "Large","Small")</f>
        <v>Small</v>
      </c>
      <c r="X527" t="str">
        <f>IF(Sales[[#This Row],[Quantity]]&gt;=15,"Large",IF(Sales[[#This Row],[Quantity]]=14,"Medium","Small"))</f>
        <v>Small</v>
      </c>
      <c r="Y527" t="str">
        <f>IF(AND(Sales[[#This Row],[Unit Price (₦)]]&gt;68000,Sales[[#This Row],[Quantity]]&gt;15),"Offer Discount", "No Discount")</f>
        <v>No Discount</v>
      </c>
    </row>
    <row r="528" spans="1:25" ht="15" customHeight="1" x14ac:dyDescent="0.25">
      <c r="A528" t="s">
        <v>2295</v>
      </c>
      <c r="B528" s="8">
        <v>44720</v>
      </c>
      <c r="C528" s="8">
        <v>44720</v>
      </c>
      <c r="D528" t="s">
        <v>32</v>
      </c>
      <c r="E528" t="s">
        <v>3033</v>
      </c>
      <c r="F528" t="s">
        <v>3083</v>
      </c>
      <c r="G528" t="s">
        <v>2297</v>
      </c>
      <c r="H528">
        <v>8034543890</v>
      </c>
      <c r="I528" t="s">
        <v>24</v>
      </c>
      <c r="J528" t="s">
        <v>25</v>
      </c>
      <c r="K528" t="s">
        <v>36</v>
      </c>
      <c r="L528" t="s">
        <v>63</v>
      </c>
      <c r="M528" t="s">
        <v>64</v>
      </c>
      <c r="N528" t="s">
        <v>815</v>
      </c>
      <c r="O528">
        <v>6</v>
      </c>
      <c r="P528">
        <v>8819.8700000000008</v>
      </c>
      <c r="Q528">
        <v>15</v>
      </c>
      <c r="R528" s="39">
        <v>7937.88</v>
      </c>
      <c r="S528" s="39">
        <v>44981.34</v>
      </c>
      <c r="T528" s="39">
        <v>-2678.7</v>
      </c>
      <c r="U528" t="str">
        <f t="shared" si="19"/>
        <v>Office Supplies</v>
      </c>
      <c r="V528">
        <f t="shared" si="20"/>
        <v>2678.7</v>
      </c>
      <c r="W528" t="str">
        <f>IF(Sales[[#This Row],[Quantity]]&gt;=15, "Large","Small")</f>
        <v>Small</v>
      </c>
      <c r="X528" t="str">
        <f>IF(Sales[[#This Row],[Quantity]]&gt;=15,"Large",IF(Sales[[#This Row],[Quantity]]=14,"Medium","Small"))</f>
        <v>Small</v>
      </c>
      <c r="Y528" t="str">
        <f>IF(AND(Sales[[#This Row],[Unit Price (₦)]]&gt;68000,Sales[[#This Row],[Quantity]]&gt;15),"Offer Discount", "No Discount")</f>
        <v>No Discount</v>
      </c>
    </row>
    <row r="529" spans="1:25" ht="15" customHeight="1" x14ac:dyDescent="0.25">
      <c r="A529" t="s">
        <v>723</v>
      </c>
      <c r="B529" s="8">
        <v>44721</v>
      </c>
      <c r="C529" s="8">
        <v>44721</v>
      </c>
      <c r="D529" t="s">
        <v>32</v>
      </c>
      <c r="E529" t="s">
        <v>3035</v>
      </c>
      <c r="F529" t="s">
        <v>3043</v>
      </c>
      <c r="G529" t="s">
        <v>725</v>
      </c>
      <c r="H529">
        <v>8031135267</v>
      </c>
      <c r="I529" t="s">
        <v>35</v>
      </c>
      <c r="J529" t="s">
        <v>25</v>
      </c>
      <c r="K529" t="s">
        <v>26</v>
      </c>
      <c r="L529" t="s">
        <v>63</v>
      </c>
      <c r="M529" t="s">
        <v>194</v>
      </c>
      <c r="N529" t="s">
        <v>700</v>
      </c>
      <c r="O529">
        <v>14</v>
      </c>
      <c r="P529">
        <v>24709.8</v>
      </c>
      <c r="Q529">
        <v>0</v>
      </c>
      <c r="R529" s="39">
        <v>0</v>
      </c>
      <c r="S529" s="39">
        <v>345937.2</v>
      </c>
      <c r="T529" s="39">
        <v>47261.99</v>
      </c>
      <c r="U529" t="str">
        <f t="shared" si="19"/>
        <v>Office Supplies</v>
      </c>
      <c r="V529">
        <f t="shared" si="20"/>
        <v>47261.99</v>
      </c>
      <c r="W529" t="str">
        <f>IF(Sales[[#This Row],[Quantity]]&gt;=15, "Large","Small")</f>
        <v>Small</v>
      </c>
      <c r="X529" t="str">
        <f>IF(Sales[[#This Row],[Quantity]]&gt;=15,"Large",IF(Sales[[#This Row],[Quantity]]=14,"Medium","Small"))</f>
        <v>Medium</v>
      </c>
      <c r="Y529" t="str">
        <f>IF(AND(Sales[[#This Row],[Unit Price (₦)]]&gt;68000,Sales[[#This Row],[Quantity]]&gt;15),"Offer Discount", "No Discount")</f>
        <v>No Discount</v>
      </c>
    </row>
    <row r="530" spans="1:25" ht="15" customHeight="1" x14ac:dyDescent="0.25">
      <c r="A530" t="s">
        <v>1343</v>
      </c>
      <c r="B530" s="8">
        <v>44727</v>
      </c>
      <c r="C530" s="8">
        <v>44727</v>
      </c>
      <c r="D530" t="s">
        <v>32</v>
      </c>
      <c r="E530" t="s">
        <v>3049</v>
      </c>
      <c r="F530" t="s">
        <v>3062</v>
      </c>
      <c r="G530" t="s">
        <v>1345</v>
      </c>
      <c r="H530">
        <v>9015760225</v>
      </c>
      <c r="I530" t="s">
        <v>35</v>
      </c>
      <c r="J530" t="s">
        <v>69</v>
      </c>
      <c r="K530" t="s">
        <v>119</v>
      </c>
      <c r="L530" t="s">
        <v>108</v>
      </c>
      <c r="M530" t="s">
        <v>183</v>
      </c>
      <c r="N530" t="s">
        <v>372</v>
      </c>
      <c r="O530">
        <v>9</v>
      </c>
      <c r="P530">
        <v>10864.89</v>
      </c>
      <c r="Q530">
        <v>25</v>
      </c>
      <c r="R530" s="39">
        <v>24446</v>
      </c>
      <c r="S530" s="39">
        <v>73338.009999999995</v>
      </c>
      <c r="T530" s="39">
        <v>8819</v>
      </c>
      <c r="U530" t="str">
        <f t="shared" si="19"/>
        <v>Clothing</v>
      </c>
      <c r="V530">
        <f t="shared" si="20"/>
        <v>8819</v>
      </c>
      <c r="W530" t="str">
        <f>IF(Sales[[#This Row],[Quantity]]&gt;=15, "Large","Small")</f>
        <v>Small</v>
      </c>
      <c r="X530" t="str">
        <f>IF(Sales[[#This Row],[Quantity]]&gt;=15,"Large",IF(Sales[[#This Row],[Quantity]]=14,"Medium","Small"))</f>
        <v>Small</v>
      </c>
      <c r="Y530" t="str">
        <f>IF(AND(Sales[[#This Row],[Unit Price (₦)]]&gt;68000,Sales[[#This Row],[Quantity]]&gt;15),"Offer Discount", "No Discount")</f>
        <v>No Discount</v>
      </c>
    </row>
    <row r="531" spans="1:25" ht="15" customHeight="1" x14ac:dyDescent="0.25">
      <c r="A531" t="s">
        <v>2268</v>
      </c>
      <c r="B531" s="8">
        <v>44738</v>
      </c>
      <c r="C531" s="8">
        <v>44739</v>
      </c>
      <c r="D531" t="s">
        <v>32</v>
      </c>
      <c r="E531" t="s">
        <v>3081</v>
      </c>
      <c r="F531" t="s">
        <v>3038</v>
      </c>
      <c r="G531" t="s">
        <v>2270</v>
      </c>
      <c r="H531">
        <v>8102449847</v>
      </c>
      <c r="I531" t="s">
        <v>43</v>
      </c>
      <c r="J531" t="s">
        <v>51</v>
      </c>
      <c r="K531" t="s">
        <v>52</v>
      </c>
      <c r="L531" t="s">
        <v>85</v>
      </c>
      <c r="M531" t="s">
        <v>243</v>
      </c>
      <c r="N531" t="s">
        <v>244</v>
      </c>
      <c r="O531">
        <v>1</v>
      </c>
      <c r="P531">
        <v>115779.49</v>
      </c>
      <c r="Q531">
        <v>0</v>
      </c>
      <c r="R531" s="39">
        <v>0</v>
      </c>
      <c r="S531" s="39">
        <v>115779.49</v>
      </c>
      <c r="T531" s="39">
        <v>37424.79</v>
      </c>
      <c r="U531" t="str">
        <f t="shared" si="19"/>
        <v>Furniture</v>
      </c>
      <c r="V531">
        <f t="shared" si="20"/>
        <v>37424.79</v>
      </c>
      <c r="W531" t="str">
        <f>IF(Sales[[#This Row],[Quantity]]&gt;=15, "Large","Small")</f>
        <v>Small</v>
      </c>
      <c r="X531" t="str">
        <f>IF(Sales[[#This Row],[Quantity]]&gt;=15,"Large",IF(Sales[[#This Row],[Quantity]]=14,"Medium","Small"))</f>
        <v>Small</v>
      </c>
      <c r="Y531" t="str">
        <f>IF(AND(Sales[[#This Row],[Unit Price (₦)]]&gt;68000,Sales[[#This Row],[Quantity]]&gt;15),"Offer Discount", "No Discount")</f>
        <v>No Discount</v>
      </c>
    </row>
    <row r="532" spans="1:25" ht="15" customHeight="1" x14ac:dyDescent="0.25">
      <c r="A532" t="s">
        <v>918</v>
      </c>
      <c r="B532" s="8">
        <v>44742</v>
      </c>
      <c r="C532" s="8">
        <v>44743</v>
      </c>
      <c r="D532" t="s">
        <v>32</v>
      </c>
      <c r="E532" t="s">
        <v>3053</v>
      </c>
      <c r="F532" t="s">
        <v>3074</v>
      </c>
      <c r="G532" t="s">
        <v>920</v>
      </c>
      <c r="H532" t="s">
        <v>649</v>
      </c>
      <c r="I532" t="s">
        <v>43</v>
      </c>
      <c r="J532" t="s">
        <v>25</v>
      </c>
      <c r="K532" t="s">
        <v>168</v>
      </c>
      <c r="L532" t="s">
        <v>96</v>
      </c>
      <c r="M532" t="s">
        <v>189</v>
      </c>
      <c r="N532" t="s">
        <v>478</v>
      </c>
      <c r="O532">
        <v>18</v>
      </c>
      <c r="P532">
        <v>30586.89</v>
      </c>
      <c r="Q532">
        <v>0</v>
      </c>
      <c r="R532" s="39">
        <v>0</v>
      </c>
      <c r="S532" s="39">
        <v>550564.02</v>
      </c>
      <c r="T532" s="39">
        <v>190244.78</v>
      </c>
      <c r="U532" t="str">
        <f t="shared" si="19"/>
        <v>Technology</v>
      </c>
      <c r="V532">
        <f t="shared" si="20"/>
        <v>190244.78</v>
      </c>
      <c r="W532" t="str">
        <f>IF(Sales[[#This Row],[Quantity]]&gt;=15, "Large","Small")</f>
        <v>Large</v>
      </c>
      <c r="X532" t="str">
        <f>IF(Sales[[#This Row],[Quantity]]&gt;=15,"Large",IF(Sales[[#This Row],[Quantity]]=14,"Medium","Small"))</f>
        <v>Large</v>
      </c>
      <c r="Y532" t="str">
        <f>IF(AND(Sales[[#This Row],[Unit Price (₦)]]&gt;68000,Sales[[#This Row],[Quantity]]&gt;15),"Offer Discount", "No Discount")</f>
        <v>No Discount</v>
      </c>
    </row>
    <row r="533" spans="1:25" ht="15" customHeight="1" x14ac:dyDescent="0.25">
      <c r="A533" t="s">
        <v>1774</v>
      </c>
      <c r="B533" s="8">
        <v>44744</v>
      </c>
      <c r="C533" s="8">
        <v>44744</v>
      </c>
      <c r="D533" t="s">
        <v>32</v>
      </c>
      <c r="E533" t="s">
        <v>3094</v>
      </c>
      <c r="F533" t="s">
        <v>3096</v>
      </c>
      <c r="G533" t="s">
        <v>1776</v>
      </c>
      <c r="H533">
        <v>8033394334</v>
      </c>
      <c r="I533" t="s">
        <v>43</v>
      </c>
      <c r="J533" t="s">
        <v>69</v>
      </c>
      <c r="K533" t="s">
        <v>155</v>
      </c>
      <c r="L533" t="s">
        <v>63</v>
      </c>
      <c r="M533" t="s">
        <v>469</v>
      </c>
      <c r="N533" t="s">
        <v>1595</v>
      </c>
      <c r="O533">
        <v>13</v>
      </c>
      <c r="P533">
        <v>23285.41</v>
      </c>
      <c r="Q533">
        <v>10</v>
      </c>
      <c r="R533" s="39">
        <v>30271.03</v>
      </c>
      <c r="S533" s="39">
        <v>272439.3</v>
      </c>
      <c r="T533" s="39">
        <v>-39816.410000000003</v>
      </c>
      <c r="U533" t="str">
        <f t="shared" si="19"/>
        <v>Office Supplies</v>
      </c>
      <c r="V533">
        <f t="shared" si="20"/>
        <v>39816.410000000003</v>
      </c>
      <c r="W533" t="str">
        <f>IF(Sales[[#This Row],[Quantity]]&gt;=15, "Large","Small")</f>
        <v>Small</v>
      </c>
      <c r="X533" t="str">
        <f>IF(Sales[[#This Row],[Quantity]]&gt;=15,"Large",IF(Sales[[#This Row],[Quantity]]=14,"Medium","Small"))</f>
        <v>Small</v>
      </c>
      <c r="Y533" t="str">
        <f>IF(AND(Sales[[#This Row],[Unit Price (₦)]]&gt;68000,Sales[[#This Row],[Quantity]]&gt;15),"Offer Discount", "No Discount")</f>
        <v>No Discount</v>
      </c>
    </row>
    <row r="534" spans="1:25" ht="15" customHeight="1" x14ac:dyDescent="0.25">
      <c r="A534" t="s">
        <v>960</v>
      </c>
      <c r="B534" s="8">
        <v>44750</v>
      </c>
      <c r="C534" s="8">
        <v>44751</v>
      </c>
      <c r="D534" t="s">
        <v>32</v>
      </c>
      <c r="E534" t="s">
        <v>3067</v>
      </c>
      <c r="F534" t="s">
        <v>3052</v>
      </c>
      <c r="G534" t="s">
        <v>962</v>
      </c>
      <c r="H534">
        <v>7037053183</v>
      </c>
      <c r="I534" t="s">
        <v>24</v>
      </c>
      <c r="J534" t="s">
        <v>61</v>
      </c>
      <c r="K534" t="s">
        <v>204</v>
      </c>
      <c r="L534" t="s">
        <v>63</v>
      </c>
      <c r="M534" t="s">
        <v>54</v>
      </c>
      <c r="N534" t="s">
        <v>963</v>
      </c>
      <c r="O534">
        <v>18</v>
      </c>
      <c r="P534">
        <v>13497.22</v>
      </c>
      <c r="Q534">
        <v>0</v>
      </c>
      <c r="R534" s="39">
        <v>0</v>
      </c>
      <c r="S534" s="39">
        <v>242949.96</v>
      </c>
      <c r="T534" s="39">
        <v>-19719.48</v>
      </c>
      <c r="U534" t="str">
        <f t="shared" si="19"/>
        <v>Office Supplies</v>
      </c>
      <c r="V534">
        <f t="shared" si="20"/>
        <v>19719.48</v>
      </c>
      <c r="W534" t="str">
        <f>IF(Sales[[#This Row],[Quantity]]&gt;=15, "Large","Small")</f>
        <v>Large</v>
      </c>
      <c r="X534" t="str">
        <f>IF(Sales[[#This Row],[Quantity]]&gt;=15,"Large",IF(Sales[[#This Row],[Quantity]]=14,"Medium","Small"))</f>
        <v>Large</v>
      </c>
      <c r="Y534" t="str">
        <f>IF(AND(Sales[[#This Row],[Unit Price (₦)]]&gt;68000,Sales[[#This Row],[Quantity]]&gt;15),"Offer Discount", "No Discount")</f>
        <v>No Discount</v>
      </c>
    </row>
    <row r="535" spans="1:25" ht="15" customHeight="1" x14ac:dyDescent="0.25">
      <c r="A535" t="s">
        <v>293</v>
      </c>
      <c r="B535" s="8">
        <v>44752</v>
      </c>
      <c r="C535" s="8">
        <v>44752</v>
      </c>
      <c r="D535" t="s">
        <v>32</v>
      </c>
      <c r="E535" t="s">
        <v>3056</v>
      </c>
      <c r="F535" t="s">
        <v>3071</v>
      </c>
      <c r="G535" t="s">
        <v>295</v>
      </c>
      <c r="H535">
        <v>9073583206</v>
      </c>
      <c r="I535" t="s">
        <v>35</v>
      </c>
      <c r="J535" t="s">
        <v>51</v>
      </c>
      <c r="K535" t="s">
        <v>227</v>
      </c>
      <c r="L535" t="s">
        <v>108</v>
      </c>
      <c r="M535" t="s">
        <v>38</v>
      </c>
      <c r="N535" t="s">
        <v>296</v>
      </c>
      <c r="O535">
        <v>14</v>
      </c>
      <c r="P535">
        <v>32332.7</v>
      </c>
      <c r="Q535">
        <v>20</v>
      </c>
      <c r="R535" s="39">
        <v>90531.56</v>
      </c>
      <c r="S535" s="39">
        <v>362126.24</v>
      </c>
      <c r="T535" s="39">
        <v>158664.45000000001</v>
      </c>
      <c r="U535" t="str">
        <f t="shared" si="19"/>
        <v>Clothing</v>
      </c>
      <c r="V535">
        <f t="shared" si="20"/>
        <v>158664.45000000001</v>
      </c>
      <c r="W535" t="str">
        <f>IF(Sales[[#This Row],[Quantity]]&gt;=15, "Large","Small")</f>
        <v>Small</v>
      </c>
      <c r="X535" t="str">
        <f>IF(Sales[[#This Row],[Quantity]]&gt;=15,"Large",IF(Sales[[#This Row],[Quantity]]=14,"Medium","Small"))</f>
        <v>Medium</v>
      </c>
      <c r="Y535" t="str">
        <f>IF(AND(Sales[[#This Row],[Unit Price (₦)]]&gt;68000,Sales[[#This Row],[Quantity]]&gt;15),"Offer Discount", "No Discount")</f>
        <v>No Discount</v>
      </c>
    </row>
    <row r="536" spans="1:25" ht="15" customHeight="1" x14ac:dyDescent="0.25">
      <c r="A536" t="s">
        <v>1546</v>
      </c>
      <c r="B536" s="8">
        <v>44755</v>
      </c>
      <c r="C536" s="8">
        <v>44756</v>
      </c>
      <c r="D536" t="s">
        <v>32</v>
      </c>
      <c r="E536" t="s">
        <v>3094</v>
      </c>
      <c r="F536" t="s">
        <v>3042</v>
      </c>
      <c r="G536" t="s">
        <v>1548</v>
      </c>
      <c r="H536">
        <v>7035275844</v>
      </c>
      <c r="I536" t="s">
        <v>43</v>
      </c>
      <c r="J536" t="s">
        <v>25</v>
      </c>
      <c r="K536" t="s">
        <v>36</v>
      </c>
      <c r="L536" t="s">
        <v>27</v>
      </c>
      <c r="M536" t="s">
        <v>79</v>
      </c>
      <c r="N536" t="s">
        <v>234</v>
      </c>
      <c r="O536">
        <v>15</v>
      </c>
      <c r="P536">
        <v>425.27</v>
      </c>
      <c r="Q536">
        <v>0</v>
      </c>
      <c r="R536" s="39">
        <v>0</v>
      </c>
      <c r="S536" s="39">
        <v>6379.05</v>
      </c>
      <c r="T536" s="39">
        <v>2052.1799999999998</v>
      </c>
      <c r="U536" t="str">
        <f t="shared" si="19"/>
        <v>Food &amp; Beverages</v>
      </c>
      <c r="V536">
        <f t="shared" si="20"/>
        <v>2052.1799999999998</v>
      </c>
      <c r="W536" t="str">
        <f>IF(Sales[[#This Row],[Quantity]]&gt;=15, "Large","Small")</f>
        <v>Large</v>
      </c>
      <c r="X536" t="str">
        <f>IF(Sales[[#This Row],[Quantity]]&gt;=15,"Large",IF(Sales[[#This Row],[Quantity]]=14,"Medium","Small"))</f>
        <v>Large</v>
      </c>
      <c r="Y536" t="str">
        <f>IF(AND(Sales[[#This Row],[Unit Price (₦)]]&gt;68000,Sales[[#This Row],[Quantity]]&gt;15),"Offer Discount", "No Discount")</f>
        <v>No Discount</v>
      </c>
    </row>
    <row r="537" spans="1:25" ht="15" customHeight="1" x14ac:dyDescent="0.25">
      <c r="A537" t="s">
        <v>1144</v>
      </c>
      <c r="B537" s="8">
        <v>44757</v>
      </c>
      <c r="C537" s="8">
        <v>44758</v>
      </c>
      <c r="D537" t="s">
        <v>32</v>
      </c>
      <c r="E537" t="str">
        <f>E538</f>
        <v>Ibrahim</v>
      </c>
      <c r="F537" t="s">
        <v>3063</v>
      </c>
      <c r="G537" t="s">
        <v>1146</v>
      </c>
      <c r="H537">
        <v>8061938227</v>
      </c>
      <c r="I537" t="s">
        <v>35</v>
      </c>
      <c r="J537" t="s">
        <v>51</v>
      </c>
      <c r="K537" t="s">
        <v>316</v>
      </c>
      <c r="L537" t="s">
        <v>63</v>
      </c>
      <c r="M537" t="s">
        <v>558</v>
      </c>
      <c r="N537" t="s">
        <v>559</v>
      </c>
      <c r="O537">
        <v>4</v>
      </c>
      <c r="P537">
        <v>10704.78</v>
      </c>
      <c r="Q537">
        <v>5</v>
      </c>
      <c r="R537" s="39">
        <v>2140.96</v>
      </c>
      <c r="S537" s="39">
        <v>40678.160000000003</v>
      </c>
      <c r="T537" s="39">
        <v>12146.79</v>
      </c>
      <c r="U537" t="str">
        <f t="shared" si="19"/>
        <v>Office Supplies</v>
      </c>
      <c r="V537">
        <f t="shared" si="20"/>
        <v>12146.79</v>
      </c>
      <c r="W537" t="str">
        <f>IF(Sales[[#This Row],[Quantity]]&gt;=15, "Large","Small")</f>
        <v>Small</v>
      </c>
      <c r="X537" t="str">
        <f>IF(Sales[[#This Row],[Quantity]]&gt;=15,"Large",IF(Sales[[#This Row],[Quantity]]=14,"Medium","Small"))</f>
        <v>Small</v>
      </c>
      <c r="Y537" t="str">
        <f>IF(AND(Sales[[#This Row],[Unit Price (₦)]]&gt;68000,Sales[[#This Row],[Quantity]]&gt;15),"Offer Discount", "No Discount")</f>
        <v>No Discount</v>
      </c>
    </row>
    <row r="538" spans="1:25" ht="15" customHeight="1" x14ac:dyDescent="0.25">
      <c r="A538" t="s">
        <v>1985</v>
      </c>
      <c r="B538" s="8">
        <v>44761</v>
      </c>
      <c r="C538" s="8">
        <v>44761</v>
      </c>
      <c r="D538" t="s">
        <v>32</v>
      </c>
      <c r="E538" t="s">
        <v>3082</v>
      </c>
      <c r="F538" t="s">
        <v>3034</v>
      </c>
      <c r="G538" t="s">
        <v>1987</v>
      </c>
      <c r="H538">
        <v>7063786712</v>
      </c>
      <c r="I538" t="s">
        <v>35</v>
      </c>
      <c r="J538" t="s">
        <v>25</v>
      </c>
      <c r="K538" t="s">
        <v>168</v>
      </c>
      <c r="L538" t="s">
        <v>27</v>
      </c>
      <c r="M538" t="s">
        <v>28</v>
      </c>
      <c r="N538" t="s">
        <v>508</v>
      </c>
      <c r="O538">
        <v>0</v>
      </c>
      <c r="P538">
        <v>2980.26</v>
      </c>
      <c r="Q538">
        <v>0</v>
      </c>
      <c r="R538" s="39">
        <v>0</v>
      </c>
      <c r="S538" s="39">
        <v>20861.82</v>
      </c>
      <c r="T538" s="39">
        <v>1505.26</v>
      </c>
      <c r="U538" t="str">
        <f t="shared" si="19"/>
        <v>Food &amp; Beverages</v>
      </c>
      <c r="V538">
        <f t="shared" si="20"/>
        <v>1505.26</v>
      </c>
      <c r="W538" t="str">
        <f>IF(Sales[[#This Row],[Quantity]]&gt;=15, "Large","Small")</f>
        <v>Small</v>
      </c>
      <c r="X538" t="str">
        <f>IF(Sales[[#This Row],[Quantity]]&gt;=15,"Large",IF(Sales[[#This Row],[Quantity]]=14,"Medium","Small"))</f>
        <v>Small</v>
      </c>
      <c r="Y538" t="str">
        <f>IF(AND(Sales[[#This Row],[Unit Price (₦)]]&gt;68000,Sales[[#This Row],[Quantity]]&gt;15),"Offer Discount", "No Discount")</f>
        <v>No Discount</v>
      </c>
    </row>
    <row r="539" spans="1:25" ht="15" customHeight="1" x14ac:dyDescent="0.25">
      <c r="A539" t="s">
        <v>1985</v>
      </c>
      <c r="B539" s="8">
        <v>44761</v>
      </c>
      <c r="C539" s="8">
        <v>44761</v>
      </c>
      <c r="D539" t="s">
        <v>32</v>
      </c>
      <c r="E539" t="s">
        <v>3082</v>
      </c>
      <c r="F539" t="s">
        <v>3034</v>
      </c>
      <c r="G539" t="s">
        <v>1987</v>
      </c>
      <c r="H539">
        <v>7063786712</v>
      </c>
      <c r="I539" t="s">
        <v>35</v>
      </c>
      <c r="J539" t="s">
        <v>25</v>
      </c>
      <c r="K539" t="s">
        <v>168</v>
      </c>
      <c r="L539" t="s">
        <v>27</v>
      </c>
      <c r="M539" t="s">
        <v>28</v>
      </c>
      <c r="N539" t="s">
        <v>508</v>
      </c>
      <c r="O539">
        <v>7</v>
      </c>
      <c r="P539">
        <v>2980.26</v>
      </c>
      <c r="Q539">
        <v>0</v>
      </c>
      <c r="R539" s="39">
        <v>0</v>
      </c>
      <c r="S539" s="39">
        <v>20861.82</v>
      </c>
      <c r="T539" s="39">
        <v>1505.26</v>
      </c>
      <c r="U539" t="str">
        <f t="shared" si="19"/>
        <v>Food &amp; Beverages</v>
      </c>
      <c r="V539">
        <f t="shared" si="20"/>
        <v>1505.26</v>
      </c>
      <c r="W539" t="str">
        <f>IF(Sales[[#This Row],[Quantity]]&gt;=15, "Large","Small")</f>
        <v>Small</v>
      </c>
      <c r="X539" t="str">
        <f>IF(Sales[[#This Row],[Quantity]]&gt;=15,"Large",IF(Sales[[#This Row],[Quantity]]=14,"Medium","Small"))</f>
        <v>Small</v>
      </c>
      <c r="Y539" t="str">
        <f>IF(AND(Sales[[#This Row],[Unit Price (₦)]]&gt;68000,Sales[[#This Row],[Quantity]]&gt;15),"Offer Discount", "No Discount")</f>
        <v>No Discount</v>
      </c>
    </row>
    <row r="540" spans="1:25" ht="15" customHeight="1" x14ac:dyDescent="0.25">
      <c r="A540" t="s">
        <v>1794</v>
      </c>
      <c r="B540" s="8">
        <v>44767</v>
      </c>
      <c r="C540" s="8">
        <v>44768</v>
      </c>
      <c r="D540" t="s">
        <v>32</v>
      </c>
      <c r="E540" t="s">
        <v>3076</v>
      </c>
      <c r="F540" t="s">
        <v>3088</v>
      </c>
      <c r="G540" t="s">
        <v>1095</v>
      </c>
      <c r="H540">
        <v>9013401850</v>
      </c>
      <c r="I540" t="s">
        <v>43</v>
      </c>
      <c r="J540" t="s">
        <v>25</v>
      </c>
      <c r="K540" t="s">
        <v>44</v>
      </c>
      <c r="L540" t="s">
        <v>27</v>
      </c>
      <c r="M540" t="s">
        <v>173</v>
      </c>
      <c r="N540" t="s">
        <v>1795</v>
      </c>
      <c r="O540">
        <v>16</v>
      </c>
      <c r="P540">
        <v>544.44000000000005</v>
      </c>
      <c r="Q540">
        <v>0</v>
      </c>
      <c r="R540" s="39">
        <v>0</v>
      </c>
      <c r="S540" s="39">
        <v>20861.82</v>
      </c>
      <c r="T540" s="39">
        <v>268.38</v>
      </c>
      <c r="U540" t="str">
        <f t="shared" si="19"/>
        <v>Food &amp; Beverages</v>
      </c>
      <c r="V540">
        <f t="shared" si="20"/>
        <v>268.38</v>
      </c>
      <c r="W540" t="str">
        <f>IF(Sales[[#This Row],[Quantity]]&gt;=15, "Large","Small")</f>
        <v>Large</v>
      </c>
      <c r="X540" t="str">
        <f>IF(Sales[[#This Row],[Quantity]]&gt;=15,"Large",IF(Sales[[#This Row],[Quantity]]=14,"Medium","Small"))</f>
        <v>Large</v>
      </c>
      <c r="Y540" t="str">
        <f>IF(AND(Sales[[#This Row],[Unit Price (₦)]]&gt;68000,Sales[[#This Row],[Quantity]]&gt;15),"Offer Discount", "No Discount")</f>
        <v>No Discount</v>
      </c>
    </row>
    <row r="541" spans="1:25" ht="15" customHeight="1" x14ac:dyDescent="0.25">
      <c r="A541" t="s">
        <v>2203</v>
      </c>
      <c r="B541" s="8">
        <v>44767</v>
      </c>
      <c r="C541" s="8">
        <v>44768</v>
      </c>
      <c r="D541" t="s">
        <v>32</v>
      </c>
      <c r="E541" t="s">
        <v>3050</v>
      </c>
      <c r="F541" t="s">
        <v>3042</v>
      </c>
      <c r="G541" t="s">
        <v>853</v>
      </c>
      <c r="H541">
        <v>9071133724</v>
      </c>
      <c r="I541" t="s">
        <v>35</v>
      </c>
      <c r="J541" t="s">
        <v>25</v>
      </c>
      <c r="K541" t="s">
        <v>44</v>
      </c>
      <c r="L541" t="s">
        <v>85</v>
      </c>
      <c r="M541" t="s">
        <v>218</v>
      </c>
      <c r="N541" t="s">
        <v>842</v>
      </c>
      <c r="O541">
        <v>8</v>
      </c>
      <c r="P541">
        <v>72707.960000000006</v>
      </c>
      <c r="Q541">
        <v>5</v>
      </c>
      <c r="R541" s="39">
        <v>29083.18</v>
      </c>
      <c r="S541" s="39">
        <v>552580.5</v>
      </c>
      <c r="T541" s="39">
        <v>5068.0600000000004</v>
      </c>
      <c r="U541" t="str">
        <f t="shared" si="19"/>
        <v>Furniture</v>
      </c>
      <c r="V541">
        <f t="shared" si="20"/>
        <v>5068.0600000000004</v>
      </c>
      <c r="W541" t="str">
        <f>IF(Sales[[#This Row],[Quantity]]&gt;=15, "Large","Small")</f>
        <v>Small</v>
      </c>
      <c r="X541" t="str">
        <f>IF(Sales[[#This Row],[Quantity]]&gt;=15,"Large",IF(Sales[[#This Row],[Quantity]]=14,"Medium","Small"))</f>
        <v>Small</v>
      </c>
      <c r="Y541" t="str">
        <f>IF(AND(Sales[[#This Row],[Unit Price (₦)]]&gt;68000,Sales[[#This Row],[Quantity]]&gt;15),"Offer Discount", "No Discount")</f>
        <v>No Discount</v>
      </c>
    </row>
    <row r="542" spans="1:25" ht="15" customHeight="1" x14ac:dyDescent="0.25">
      <c r="A542" t="s">
        <v>643</v>
      </c>
      <c r="B542" s="8">
        <v>44773</v>
      </c>
      <c r="C542" s="8">
        <v>44773</v>
      </c>
      <c r="D542" t="s">
        <v>32</v>
      </c>
      <c r="E542" t="s">
        <v>3081</v>
      </c>
      <c r="F542" t="s">
        <v>3039</v>
      </c>
      <c r="G542" t="s">
        <v>645</v>
      </c>
      <c r="H542">
        <v>9056443037</v>
      </c>
      <c r="I542" t="s">
        <v>24</v>
      </c>
      <c r="J542" t="s">
        <v>69</v>
      </c>
      <c r="K542" t="s">
        <v>70</v>
      </c>
      <c r="L542" t="s">
        <v>108</v>
      </c>
      <c r="M542" t="s">
        <v>114</v>
      </c>
      <c r="N542" t="s">
        <v>482</v>
      </c>
      <c r="O542">
        <f>O541</f>
        <v>8</v>
      </c>
      <c r="P542">
        <v>19793.830000000002</v>
      </c>
      <c r="Q542">
        <v>25</v>
      </c>
      <c r="R542" s="39">
        <v>14845.37</v>
      </c>
      <c r="S542" s="39">
        <v>44536.12</v>
      </c>
      <c r="T542" s="39">
        <v>17508.240000000002</v>
      </c>
      <c r="U542" t="str">
        <f t="shared" si="19"/>
        <v>Clothing</v>
      </c>
      <c r="V542">
        <f t="shared" si="20"/>
        <v>17508.240000000002</v>
      </c>
      <c r="W542" t="str">
        <f>IF(Sales[[#This Row],[Quantity]]&gt;=15, "Large","Small")</f>
        <v>Small</v>
      </c>
      <c r="X542" t="str">
        <f>IF(Sales[[#This Row],[Quantity]]&gt;=15,"Large",IF(Sales[[#This Row],[Quantity]]=14,"Medium","Small"))</f>
        <v>Small</v>
      </c>
      <c r="Y542" t="str">
        <f>IF(AND(Sales[[#This Row],[Unit Price (₦)]]&gt;68000,Sales[[#This Row],[Quantity]]&gt;15),"Offer Discount", "No Discount")</f>
        <v>No Discount</v>
      </c>
    </row>
    <row r="543" spans="1:25" ht="15" customHeight="1" x14ac:dyDescent="0.25">
      <c r="A543" t="s">
        <v>2264</v>
      </c>
      <c r="B543" s="8">
        <v>44774</v>
      </c>
      <c r="C543" s="8">
        <v>44774</v>
      </c>
      <c r="D543" t="s">
        <v>32</v>
      </c>
      <c r="E543" t="s">
        <v>3073</v>
      </c>
      <c r="F543" t="s">
        <v>3046</v>
      </c>
      <c r="G543" t="s">
        <v>3126</v>
      </c>
      <c r="H543">
        <v>9013968018</v>
      </c>
      <c r="I543" t="s">
        <v>35</v>
      </c>
      <c r="J543" t="s">
        <v>69</v>
      </c>
      <c r="K543" t="s">
        <v>70</v>
      </c>
      <c r="L543" t="s">
        <v>85</v>
      </c>
      <c r="M543" t="s">
        <v>86</v>
      </c>
      <c r="N543" t="s">
        <v>199</v>
      </c>
      <c r="O543">
        <v>4</v>
      </c>
      <c r="P543">
        <v>151459.07999999999</v>
      </c>
      <c r="Q543">
        <v>0</v>
      </c>
      <c r="R543" s="39">
        <v>0</v>
      </c>
      <c r="S543" s="39">
        <v>605836.31999999995</v>
      </c>
      <c r="T543" s="39">
        <v>70293.25</v>
      </c>
      <c r="U543" t="str">
        <f t="shared" si="19"/>
        <v>Furniture</v>
      </c>
      <c r="V543">
        <f t="shared" si="20"/>
        <v>70293.25</v>
      </c>
      <c r="W543" t="str">
        <f>IF(Sales[[#This Row],[Quantity]]&gt;=15, "Large","Small")</f>
        <v>Small</v>
      </c>
      <c r="X543" t="str">
        <f>IF(Sales[[#This Row],[Quantity]]&gt;=15,"Large",IF(Sales[[#This Row],[Quantity]]=14,"Medium","Small"))</f>
        <v>Small</v>
      </c>
      <c r="Y543" t="str">
        <f>IF(AND(Sales[[#This Row],[Unit Price (₦)]]&gt;68000,Sales[[#This Row],[Quantity]]&gt;15),"Offer Discount", "No Discount")</f>
        <v>No Discount</v>
      </c>
    </row>
    <row r="544" spans="1:25" ht="15" customHeight="1" x14ac:dyDescent="0.25">
      <c r="A544" t="s">
        <v>2505</v>
      </c>
      <c r="B544" s="8">
        <v>44775</v>
      </c>
      <c r="C544" s="8">
        <v>44776</v>
      </c>
      <c r="D544" t="s">
        <v>32</v>
      </c>
      <c r="E544" t="s">
        <v>3060</v>
      </c>
      <c r="F544" t="s">
        <v>3083</v>
      </c>
      <c r="G544" t="s">
        <v>2507</v>
      </c>
      <c r="H544">
        <v>8169348587</v>
      </c>
      <c r="I544" t="s">
        <v>35</v>
      </c>
      <c r="J544" t="s">
        <v>25</v>
      </c>
      <c r="K544" t="s">
        <v>168</v>
      </c>
      <c r="L544" t="s">
        <v>63</v>
      </c>
      <c r="M544" t="s">
        <v>194</v>
      </c>
      <c r="N544" t="s">
        <v>700</v>
      </c>
      <c r="O544">
        <v>2</v>
      </c>
      <c r="P544">
        <v>13424.98</v>
      </c>
      <c r="Q544">
        <v>5</v>
      </c>
      <c r="R544" s="39">
        <v>1342.5</v>
      </c>
      <c r="S544" s="39">
        <v>25507.46</v>
      </c>
      <c r="T544" s="39">
        <v>10663.85</v>
      </c>
      <c r="U544" t="str">
        <f t="shared" si="19"/>
        <v>Office Supplies</v>
      </c>
      <c r="V544">
        <f t="shared" si="20"/>
        <v>10663.85</v>
      </c>
      <c r="W544" t="str">
        <f>IF(Sales[[#This Row],[Quantity]]&gt;=15, "Large","Small")</f>
        <v>Small</v>
      </c>
      <c r="X544" t="str">
        <f>IF(Sales[[#This Row],[Quantity]]&gt;=15,"Large",IF(Sales[[#This Row],[Quantity]]=14,"Medium","Small"))</f>
        <v>Small</v>
      </c>
      <c r="Y544" t="str">
        <f>IF(AND(Sales[[#This Row],[Unit Price (₦)]]&gt;68000,Sales[[#This Row],[Quantity]]&gt;15),"Offer Discount", "No Discount")</f>
        <v>No Discount</v>
      </c>
    </row>
    <row r="545" spans="1:25" ht="15" customHeight="1" x14ac:dyDescent="0.25">
      <c r="A545" t="s">
        <v>1262</v>
      </c>
      <c r="B545" s="8">
        <v>44781</v>
      </c>
      <c r="C545" s="8">
        <v>44782</v>
      </c>
      <c r="D545" t="s">
        <v>32</v>
      </c>
      <c r="E545" t="s">
        <v>3060</v>
      </c>
      <c r="F545" t="s">
        <v>3040</v>
      </c>
      <c r="G545" t="s">
        <v>1264</v>
      </c>
      <c r="H545">
        <v>9026068701</v>
      </c>
      <c r="I545" t="s">
        <v>35</v>
      </c>
      <c r="J545" t="s">
        <v>61</v>
      </c>
      <c r="K545" t="s">
        <v>84</v>
      </c>
      <c r="L545" t="s">
        <v>27</v>
      </c>
      <c r="M545" t="s">
        <v>28</v>
      </c>
      <c r="N545" t="s">
        <v>262</v>
      </c>
      <c r="O545">
        <v>-2</v>
      </c>
      <c r="P545">
        <v>4847.13</v>
      </c>
      <c r="Q545">
        <v>5</v>
      </c>
      <c r="R545" s="39">
        <v>1938.85</v>
      </c>
      <c r="S545" s="39">
        <v>36838.19</v>
      </c>
      <c r="T545" s="39">
        <v>6585.54</v>
      </c>
      <c r="U545" t="str">
        <f t="shared" si="19"/>
        <v>Food &amp; Beverages</v>
      </c>
      <c r="V545">
        <f t="shared" si="20"/>
        <v>6585.54</v>
      </c>
      <c r="W545" t="str">
        <f>IF(Sales[[#This Row],[Quantity]]&gt;=15, "Large","Small")</f>
        <v>Small</v>
      </c>
      <c r="X545" t="str">
        <f>IF(Sales[[#This Row],[Quantity]]&gt;=15,"Large",IF(Sales[[#This Row],[Quantity]]=14,"Medium","Small"))</f>
        <v>Small</v>
      </c>
      <c r="Y545" t="str">
        <f>IF(AND(Sales[[#This Row],[Unit Price (₦)]]&gt;68000,Sales[[#This Row],[Quantity]]&gt;15),"Offer Discount", "No Discount")</f>
        <v>No Discount</v>
      </c>
    </row>
    <row r="546" spans="1:25" ht="15" customHeight="1" x14ac:dyDescent="0.25">
      <c r="A546" t="s">
        <v>683</v>
      </c>
      <c r="B546" s="8">
        <v>44795</v>
      </c>
      <c r="C546" s="8">
        <v>44796</v>
      </c>
      <c r="D546" t="s">
        <v>32</v>
      </c>
      <c r="E546" t="s">
        <v>3097</v>
      </c>
      <c r="F546" t="s">
        <v>3086</v>
      </c>
      <c r="G546" t="s">
        <v>685</v>
      </c>
      <c r="H546">
        <v>9053894531</v>
      </c>
      <c r="I546" t="s">
        <v>43</v>
      </c>
      <c r="J546" t="s">
        <v>51</v>
      </c>
      <c r="K546" t="s">
        <v>227</v>
      </c>
      <c r="L546" t="s">
        <v>63</v>
      </c>
      <c r="M546" t="s">
        <v>312</v>
      </c>
      <c r="N546" t="s">
        <v>686</v>
      </c>
      <c r="O546">
        <v>5</v>
      </c>
      <c r="P546">
        <v>2576.42</v>
      </c>
      <c r="Q546">
        <v>10</v>
      </c>
      <c r="R546" s="39">
        <v>1288.21</v>
      </c>
      <c r="S546" s="39">
        <v>11593.89</v>
      </c>
      <c r="T546" s="39">
        <v>-919.2</v>
      </c>
      <c r="U546" t="str">
        <f t="shared" si="19"/>
        <v>Office Supplies</v>
      </c>
      <c r="V546">
        <f t="shared" si="20"/>
        <v>919.2</v>
      </c>
      <c r="W546" t="str">
        <f>IF(Sales[[#This Row],[Quantity]]&gt;=15, "Large","Small")</f>
        <v>Small</v>
      </c>
      <c r="X546" t="str">
        <f>IF(Sales[[#This Row],[Quantity]]&gt;=15,"Large",IF(Sales[[#This Row],[Quantity]]=14,"Medium","Small"))</f>
        <v>Small</v>
      </c>
      <c r="Y546" t="str">
        <f>IF(AND(Sales[[#This Row],[Unit Price (₦)]]&gt;68000,Sales[[#This Row],[Quantity]]&gt;15),"Offer Discount", "No Discount")</f>
        <v>No Discount</v>
      </c>
    </row>
    <row r="547" spans="1:25" ht="15" customHeight="1" x14ac:dyDescent="0.25">
      <c r="A547" t="s">
        <v>2559</v>
      </c>
      <c r="B547" s="8">
        <v>44804</v>
      </c>
      <c r="C547" s="8">
        <v>44805</v>
      </c>
      <c r="D547" t="s">
        <v>32</v>
      </c>
      <c r="E547" t="s">
        <v>3048</v>
      </c>
      <c r="F547" t="s">
        <v>3077</v>
      </c>
      <c r="G547" t="s">
        <v>2561</v>
      </c>
      <c r="H547">
        <v>9015718333</v>
      </c>
      <c r="I547" t="s">
        <v>35</v>
      </c>
      <c r="J547" t="s">
        <v>61</v>
      </c>
      <c r="K547" t="s">
        <v>62</v>
      </c>
      <c r="L547" t="s">
        <v>85</v>
      </c>
      <c r="M547" t="s">
        <v>86</v>
      </c>
      <c r="N547" t="s">
        <v>87</v>
      </c>
      <c r="O547">
        <v>4</v>
      </c>
      <c r="P547">
        <v>164379.79</v>
      </c>
      <c r="Q547">
        <v>0</v>
      </c>
      <c r="R547" s="39">
        <v>0</v>
      </c>
      <c r="S547" s="39">
        <v>657519.16</v>
      </c>
      <c r="T547" s="39">
        <v>-45132.61</v>
      </c>
      <c r="U547" t="str">
        <f t="shared" si="19"/>
        <v>Furniture</v>
      </c>
      <c r="V547">
        <f t="shared" si="20"/>
        <v>45132.61</v>
      </c>
      <c r="W547" t="str">
        <f>IF(Sales[[#This Row],[Quantity]]&gt;=15, "Large","Small")</f>
        <v>Small</v>
      </c>
      <c r="X547" t="str">
        <f>IF(Sales[[#This Row],[Quantity]]&gt;=15,"Large",IF(Sales[[#This Row],[Quantity]]=14,"Medium","Small"))</f>
        <v>Small</v>
      </c>
      <c r="Y547" t="str">
        <f>IF(AND(Sales[[#This Row],[Unit Price (₦)]]&gt;68000,Sales[[#This Row],[Quantity]]&gt;15),"Offer Discount", "No Discount")</f>
        <v>No Discount</v>
      </c>
    </row>
    <row r="548" spans="1:25" ht="15" customHeight="1" x14ac:dyDescent="0.25">
      <c r="A548" t="s">
        <v>2485</v>
      </c>
      <c r="B548" s="8">
        <v>44806</v>
      </c>
      <c r="C548" s="8">
        <v>44807</v>
      </c>
      <c r="D548" t="s">
        <v>32</v>
      </c>
      <c r="E548" t="s">
        <v>3081</v>
      </c>
      <c r="F548" t="s">
        <v>3038</v>
      </c>
      <c r="G548" t="s">
        <v>2487</v>
      </c>
      <c r="H548">
        <v>9057500351</v>
      </c>
      <c r="I548" t="s">
        <v>959</v>
      </c>
      <c r="J548" t="s">
        <v>61</v>
      </c>
      <c r="K548" t="s">
        <v>62</v>
      </c>
      <c r="L548" t="s">
        <v>108</v>
      </c>
      <c r="M548" t="s">
        <v>183</v>
      </c>
      <c r="N548" t="s">
        <v>869</v>
      </c>
      <c r="O548">
        <v>11</v>
      </c>
      <c r="P548">
        <v>7955.91</v>
      </c>
      <c r="Q548">
        <v>0</v>
      </c>
      <c r="R548" s="39">
        <v>0</v>
      </c>
      <c r="S548" s="39">
        <v>87515.01</v>
      </c>
      <c r="T548" s="39">
        <v>-8093.56</v>
      </c>
      <c r="U548" t="str">
        <f t="shared" si="19"/>
        <v>Clothing</v>
      </c>
      <c r="V548">
        <f t="shared" si="20"/>
        <v>8093.56</v>
      </c>
      <c r="W548" t="str">
        <f>IF(Sales[[#This Row],[Quantity]]&gt;=15, "Large","Small")</f>
        <v>Small</v>
      </c>
      <c r="X548" t="str">
        <f>IF(Sales[[#This Row],[Quantity]]&gt;=15,"Large",IF(Sales[[#This Row],[Quantity]]=14,"Medium","Small"))</f>
        <v>Small</v>
      </c>
      <c r="Y548" t="str">
        <f>IF(AND(Sales[[#This Row],[Unit Price (₦)]]&gt;68000,Sales[[#This Row],[Quantity]]&gt;15),"Offer Discount", "No Discount")</f>
        <v>No Discount</v>
      </c>
    </row>
    <row r="549" spans="1:25" ht="15" customHeight="1" x14ac:dyDescent="0.25">
      <c r="A549" t="s">
        <v>1641</v>
      </c>
      <c r="B549" s="8">
        <v>44813</v>
      </c>
      <c r="C549" s="8">
        <v>44813</v>
      </c>
      <c r="D549" t="s">
        <v>32</v>
      </c>
      <c r="E549" t="s">
        <v>3060</v>
      </c>
      <c r="F549" t="s">
        <v>3036</v>
      </c>
      <c r="G549" t="s">
        <v>1643</v>
      </c>
      <c r="H549">
        <v>8139469478</v>
      </c>
      <c r="I549" t="s">
        <v>35</v>
      </c>
      <c r="J549" t="s">
        <v>25</v>
      </c>
      <c r="K549" t="s">
        <v>44</v>
      </c>
      <c r="L549" t="s">
        <v>63</v>
      </c>
      <c r="M549" t="s">
        <v>469</v>
      </c>
      <c r="N549" t="s">
        <v>1082</v>
      </c>
      <c r="O549">
        <v>15</v>
      </c>
      <c r="P549">
        <v>16061.66</v>
      </c>
      <c r="Q549">
        <v>10</v>
      </c>
      <c r="R549" s="39">
        <v>24092.49</v>
      </c>
      <c r="S549" s="39">
        <v>216832.41</v>
      </c>
      <c r="T549" s="39">
        <v>-529.73</v>
      </c>
      <c r="U549" t="str">
        <f t="shared" si="19"/>
        <v>Office Supplies</v>
      </c>
      <c r="V549">
        <f t="shared" si="20"/>
        <v>529.73</v>
      </c>
      <c r="W549" t="str">
        <f>IF(Sales[[#This Row],[Quantity]]&gt;=15, "Large","Small")</f>
        <v>Large</v>
      </c>
      <c r="X549" t="str">
        <f>IF(Sales[[#This Row],[Quantity]]&gt;=15,"Large",IF(Sales[[#This Row],[Quantity]]=14,"Medium","Small"))</f>
        <v>Large</v>
      </c>
      <c r="Y549" t="str">
        <f>IF(AND(Sales[[#This Row],[Unit Price (₦)]]&gt;68000,Sales[[#This Row],[Quantity]]&gt;15),"Offer Discount", "No Discount")</f>
        <v>No Discount</v>
      </c>
    </row>
    <row r="550" spans="1:25" ht="15" customHeight="1" x14ac:dyDescent="0.25">
      <c r="A550" t="s">
        <v>1798</v>
      </c>
      <c r="B550" s="8">
        <v>44814</v>
      </c>
      <c r="C550" s="8">
        <v>44814</v>
      </c>
      <c r="D550" t="s">
        <v>32</v>
      </c>
      <c r="E550" t="s">
        <v>3037</v>
      </c>
      <c r="F550" t="s">
        <v>3040</v>
      </c>
      <c r="G550" t="s">
        <v>1800</v>
      </c>
      <c r="H550">
        <v>8066583476</v>
      </c>
      <c r="I550" t="s">
        <v>24</v>
      </c>
      <c r="J550" t="s">
        <v>61</v>
      </c>
      <c r="K550" t="s">
        <v>182</v>
      </c>
      <c r="L550" t="s">
        <v>85</v>
      </c>
      <c r="M550" t="s">
        <v>266</v>
      </c>
      <c r="N550" t="s">
        <v>1255</v>
      </c>
      <c r="O550">
        <v>11</v>
      </c>
      <c r="P550">
        <v>19122.73</v>
      </c>
      <c r="Q550">
        <v>15</v>
      </c>
      <c r="R550" s="39">
        <v>31552.5</v>
      </c>
      <c r="S550" s="39">
        <v>178797.53</v>
      </c>
      <c r="T550" s="39">
        <v>70821.75</v>
      </c>
      <c r="U550" t="str">
        <f t="shared" si="19"/>
        <v>Furniture</v>
      </c>
      <c r="V550">
        <f t="shared" si="20"/>
        <v>70821.75</v>
      </c>
      <c r="W550" t="str">
        <f>IF(Sales[[#This Row],[Quantity]]&gt;=15, "Large","Small")</f>
        <v>Small</v>
      </c>
      <c r="X550" t="str">
        <f>IF(Sales[[#This Row],[Quantity]]&gt;=15,"Large",IF(Sales[[#This Row],[Quantity]]=14,"Medium","Small"))</f>
        <v>Small</v>
      </c>
      <c r="Y550" t="str">
        <f>IF(AND(Sales[[#This Row],[Unit Price (₦)]]&gt;68000,Sales[[#This Row],[Quantity]]&gt;15),"Offer Discount", "No Discount")</f>
        <v>No Discount</v>
      </c>
    </row>
    <row r="551" spans="1:25" ht="15" customHeight="1" x14ac:dyDescent="0.25">
      <c r="A551" t="s">
        <v>1647</v>
      </c>
      <c r="B551" s="8">
        <v>44814</v>
      </c>
      <c r="C551" s="8">
        <v>44815</v>
      </c>
      <c r="D551" t="s">
        <v>32</v>
      </c>
      <c r="E551" t="s">
        <v>3098</v>
      </c>
      <c r="F551" t="s">
        <v>3042</v>
      </c>
      <c r="G551" t="s">
        <v>1648</v>
      </c>
      <c r="H551">
        <v>7063972698</v>
      </c>
      <c r="I551" t="s">
        <v>35</v>
      </c>
      <c r="J551" t="s">
        <v>25</v>
      </c>
      <c r="K551" t="s">
        <v>36</v>
      </c>
      <c r="L551" t="s">
        <v>96</v>
      </c>
      <c r="M551" t="s">
        <v>120</v>
      </c>
      <c r="N551" t="s">
        <v>133</v>
      </c>
      <c r="O551">
        <v>7</v>
      </c>
      <c r="P551">
        <v>176159.08</v>
      </c>
      <c r="Q551">
        <v>20</v>
      </c>
      <c r="R551" s="39">
        <v>246622.71</v>
      </c>
      <c r="S551" s="39">
        <v>986490.85</v>
      </c>
      <c r="T551" s="39">
        <v>-142431.54</v>
      </c>
      <c r="U551" t="str">
        <f t="shared" si="19"/>
        <v>Technology</v>
      </c>
      <c r="V551">
        <f t="shared" si="20"/>
        <v>142431.54</v>
      </c>
      <c r="W551" t="str">
        <f>IF(Sales[[#This Row],[Quantity]]&gt;=15, "Large","Small")</f>
        <v>Small</v>
      </c>
      <c r="X551" t="str">
        <f>IF(Sales[[#This Row],[Quantity]]&gt;=15,"Large",IF(Sales[[#This Row],[Quantity]]=14,"Medium","Small"))</f>
        <v>Small</v>
      </c>
      <c r="Y551" t="str">
        <f>IF(AND(Sales[[#This Row],[Unit Price (₦)]]&gt;68000,Sales[[#This Row],[Quantity]]&gt;15),"Offer Discount", "No Discount")</f>
        <v>No Discount</v>
      </c>
    </row>
    <row r="552" spans="1:25" ht="15" customHeight="1" x14ac:dyDescent="0.25">
      <c r="A552" t="s">
        <v>2774</v>
      </c>
      <c r="B552" s="8">
        <v>44820</v>
      </c>
      <c r="C552" s="8">
        <v>44820</v>
      </c>
      <c r="D552" t="s">
        <v>32</v>
      </c>
      <c r="E552" t="s">
        <v>3044</v>
      </c>
      <c r="F552" t="s">
        <v>3064</v>
      </c>
      <c r="G552" t="s">
        <v>2776</v>
      </c>
      <c r="H552">
        <v>9016367876</v>
      </c>
      <c r="I552" t="s">
        <v>35</v>
      </c>
      <c r="J552" t="s">
        <v>25</v>
      </c>
      <c r="K552" t="s">
        <v>126</v>
      </c>
      <c r="L552" t="s">
        <v>27</v>
      </c>
      <c r="M552" t="s">
        <v>354</v>
      </c>
      <c r="N552" t="s">
        <v>433</v>
      </c>
      <c r="O552">
        <v>4</v>
      </c>
      <c r="P552">
        <v>3652.08</v>
      </c>
      <c r="Q552">
        <v>25</v>
      </c>
      <c r="R552" s="39">
        <v>3652.08</v>
      </c>
      <c r="S552" s="39">
        <v>10956.24</v>
      </c>
      <c r="T552" s="39">
        <v>3151.32</v>
      </c>
      <c r="U552" t="str">
        <f t="shared" si="19"/>
        <v>Food &amp; Beverages</v>
      </c>
      <c r="V552">
        <f t="shared" si="20"/>
        <v>3151.32</v>
      </c>
      <c r="W552" t="str">
        <f>IF(Sales[[#This Row],[Quantity]]&gt;=15, "Large","Small")</f>
        <v>Small</v>
      </c>
      <c r="X552" t="str">
        <f>IF(Sales[[#This Row],[Quantity]]&gt;=15,"Large",IF(Sales[[#This Row],[Quantity]]=14,"Medium","Small"))</f>
        <v>Small</v>
      </c>
      <c r="Y552" t="str">
        <f>IF(AND(Sales[[#This Row],[Unit Price (₦)]]&gt;68000,Sales[[#This Row],[Quantity]]&gt;15),"Offer Discount", "No Discount")</f>
        <v>No Discount</v>
      </c>
    </row>
    <row r="553" spans="1:25" ht="15" customHeight="1" x14ac:dyDescent="0.25">
      <c r="A553" t="s">
        <v>2519</v>
      </c>
      <c r="B553" s="8">
        <v>44825</v>
      </c>
      <c r="C553" s="8">
        <v>44825</v>
      </c>
      <c r="D553" t="s">
        <v>32</v>
      </c>
      <c r="E553" t="s">
        <v>3044</v>
      </c>
      <c r="F553" t="s">
        <v>3040</v>
      </c>
      <c r="G553" t="s">
        <v>2522</v>
      </c>
      <c r="H553">
        <v>8063666299</v>
      </c>
      <c r="I553" t="s">
        <v>24</v>
      </c>
      <c r="J553" t="s">
        <v>69</v>
      </c>
      <c r="K553" t="s">
        <v>307</v>
      </c>
      <c r="L553" t="s">
        <v>108</v>
      </c>
      <c r="M553" t="s">
        <v>114</v>
      </c>
      <c r="N553" t="s">
        <v>848</v>
      </c>
      <c r="O553">
        <v>6</v>
      </c>
      <c r="P553">
        <v>25088.41</v>
      </c>
      <c r="Q553">
        <v>10</v>
      </c>
      <c r="R553" s="39">
        <v>15053.05</v>
      </c>
      <c r="S553" s="39">
        <v>135477.41</v>
      </c>
      <c r="T553" s="39">
        <v>57332.73</v>
      </c>
      <c r="U553" t="str">
        <f t="shared" si="19"/>
        <v>Clothing</v>
      </c>
      <c r="V553">
        <f t="shared" si="20"/>
        <v>57332.73</v>
      </c>
      <c r="W553" t="str">
        <f>IF(Sales[[#This Row],[Quantity]]&gt;=15, "Large","Small")</f>
        <v>Small</v>
      </c>
      <c r="X553" t="str">
        <f>IF(Sales[[#This Row],[Quantity]]&gt;=15,"Large",IF(Sales[[#This Row],[Quantity]]=14,"Medium","Small"))</f>
        <v>Small</v>
      </c>
      <c r="Y553" t="str">
        <f>IF(AND(Sales[[#This Row],[Unit Price (₦)]]&gt;68000,Sales[[#This Row],[Quantity]]&gt;15),"Offer Discount", "No Discount")</f>
        <v>No Discount</v>
      </c>
    </row>
    <row r="554" spans="1:25" ht="15" customHeight="1" x14ac:dyDescent="0.25">
      <c r="A554" t="s">
        <v>1256</v>
      </c>
      <c r="B554" s="8">
        <v>44831</v>
      </c>
      <c r="C554" s="8">
        <v>44831</v>
      </c>
      <c r="D554" t="s">
        <v>32</v>
      </c>
      <c r="E554" t="s">
        <v>3039</v>
      </c>
      <c r="F554" t="s">
        <v>3038</v>
      </c>
      <c r="G554" t="s">
        <v>1257</v>
      </c>
      <c r="H554">
        <v>8168808058</v>
      </c>
      <c r="I554" t="s">
        <v>35</v>
      </c>
      <c r="J554" t="s">
        <v>61</v>
      </c>
      <c r="K554" t="s">
        <v>84</v>
      </c>
      <c r="L554" t="s">
        <v>108</v>
      </c>
      <c r="M554" t="s">
        <v>109</v>
      </c>
      <c r="N554" t="s">
        <v>1258</v>
      </c>
      <c r="O554">
        <v>20</v>
      </c>
      <c r="P554">
        <v>8180.03</v>
      </c>
      <c r="Q554">
        <v>10</v>
      </c>
      <c r="R554" s="39">
        <v>16360.06</v>
      </c>
      <c r="S554" s="39">
        <v>147240.54</v>
      </c>
      <c r="T554" s="39">
        <v>58560.06</v>
      </c>
      <c r="U554" t="str">
        <f t="shared" si="19"/>
        <v>Clothing</v>
      </c>
      <c r="V554">
        <f t="shared" si="20"/>
        <v>58560.06</v>
      </c>
      <c r="W554" t="str">
        <f>IF(Sales[[#This Row],[Quantity]]&gt;=15, "Large","Small")</f>
        <v>Large</v>
      </c>
      <c r="X554" t="str">
        <f>IF(Sales[[#This Row],[Quantity]]&gt;=15,"Large",IF(Sales[[#This Row],[Quantity]]=14,"Medium","Small"))</f>
        <v>Large</v>
      </c>
      <c r="Y554" t="str">
        <f>IF(AND(Sales[[#This Row],[Unit Price (₦)]]&gt;68000,Sales[[#This Row],[Quantity]]&gt;15),"Offer Discount", "No Discount")</f>
        <v>No Discount</v>
      </c>
    </row>
    <row r="555" spans="1:25" ht="15" customHeight="1" x14ac:dyDescent="0.25">
      <c r="A555" t="s">
        <v>1739</v>
      </c>
      <c r="B555" s="8">
        <v>44834</v>
      </c>
      <c r="C555" s="8">
        <v>44835</v>
      </c>
      <c r="D555" t="s">
        <v>32</v>
      </c>
      <c r="E555" t="s">
        <v>3065</v>
      </c>
      <c r="F555" t="s">
        <v>3040</v>
      </c>
      <c r="G555" t="s">
        <v>1741</v>
      </c>
      <c r="H555">
        <v>8039088805</v>
      </c>
      <c r="I555" t="s">
        <v>43</v>
      </c>
      <c r="J555" t="s">
        <v>25</v>
      </c>
      <c r="K555" t="s">
        <v>36</v>
      </c>
      <c r="L555" t="s">
        <v>96</v>
      </c>
      <c r="M555" t="s">
        <v>97</v>
      </c>
      <c r="N555" t="s">
        <v>98</v>
      </c>
      <c r="O555">
        <v>19</v>
      </c>
      <c r="P555">
        <v>279712</v>
      </c>
      <c r="Q555">
        <v>20</v>
      </c>
      <c r="R555" s="39">
        <v>1062905.6000000001</v>
      </c>
      <c r="S555" s="39">
        <v>4251622.4000000004</v>
      </c>
      <c r="T555" s="39">
        <v>337675.92</v>
      </c>
      <c r="U555" t="str">
        <f t="shared" si="19"/>
        <v>Technology</v>
      </c>
      <c r="V555">
        <f t="shared" si="20"/>
        <v>337675.92</v>
      </c>
      <c r="W555" t="str">
        <f>IF(Sales[[#This Row],[Quantity]]&gt;=15, "Large","Small")</f>
        <v>Large</v>
      </c>
      <c r="X555" t="str">
        <f>IF(Sales[[#This Row],[Quantity]]&gt;=15,"Large",IF(Sales[[#This Row],[Quantity]]=14,"Medium","Small"))</f>
        <v>Large</v>
      </c>
      <c r="Y555" t="str">
        <f>IF(AND(Sales[[#This Row],[Unit Price (₦)]]&gt;68000,Sales[[#This Row],[Quantity]]&gt;15),"Offer Discount", "No Discount")</f>
        <v>Offer Discount</v>
      </c>
    </row>
    <row r="556" spans="1:25" ht="15" customHeight="1" x14ac:dyDescent="0.25">
      <c r="A556" t="s">
        <v>653</v>
      </c>
      <c r="B556" s="8">
        <v>44840</v>
      </c>
      <c r="C556" s="8">
        <v>44841</v>
      </c>
      <c r="D556" t="s">
        <v>32</v>
      </c>
      <c r="E556" t="s">
        <v>3041</v>
      </c>
      <c r="F556" t="s">
        <v>3088</v>
      </c>
      <c r="G556" t="s">
        <v>655</v>
      </c>
      <c r="H556">
        <v>8146271120</v>
      </c>
      <c r="I556" t="s">
        <v>43</v>
      </c>
      <c r="J556" t="s">
        <v>51</v>
      </c>
      <c r="K556" t="s">
        <v>316</v>
      </c>
      <c r="L556" t="s">
        <v>85</v>
      </c>
      <c r="M556" t="s">
        <v>486</v>
      </c>
      <c r="N556" t="s">
        <v>543</v>
      </c>
      <c r="O556">
        <v>16</v>
      </c>
      <c r="P556">
        <v>58129.08</v>
      </c>
      <c r="Q556">
        <v>5</v>
      </c>
      <c r="R556" s="39">
        <v>46503.26</v>
      </c>
      <c r="S556" s="39">
        <v>883562.02</v>
      </c>
      <c r="T556" s="39">
        <v>40230.120000000003</v>
      </c>
      <c r="U556" t="str">
        <f t="shared" si="19"/>
        <v>Furniture</v>
      </c>
      <c r="V556">
        <f t="shared" si="20"/>
        <v>40230.120000000003</v>
      </c>
      <c r="W556" t="str">
        <f>IF(Sales[[#This Row],[Quantity]]&gt;=15, "Large","Small")</f>
        <v>Large</v>
      </c>
      <c r="X556" t="str">
        <f>IF(Sales[[#This Row],[Quantity]]&gt;=15,"Large",IF(Sales[[#This Row],[Quantity]]=14,"Medium","Small"))</f>
        <v>Large</v>
      </c>
      <c r="Y556" t="str">
        <f>IF(AND(Sales[[#This Row],[Unit Price (₦)]]&gt;68000,Sales[[#This Row],[Quantity]]&gt;15),"Offer Discount", "No Discount")</f>
        <v>No Discount</v>
      </c>
    </row>
    <row r="557" spans="1:25" ht="15" customHeight="1" x14ac:dyDescent="0.25">
      <c r="A557" t="s">
        <v>444</v>
      </c>
      <c r="B557" s="8">
        <v>44846</v>
      </c>
      <c r="C557" s="8">
        <v>44847</v>
      </c>
      <c r="D557" t="s">
        <v>32</v>
      </c>
      <c r="E557" t="s">
        <v>3053</v>
      </c>
      <c r="F557" t="s">
        <v>3088</v>
      </c>
      <c r="G557" t="s">
        <v>446</v>
      </c>
      <c r="H557">
        <v>8061318832</v>
      </c>
      <c r="I557" t="s">
        <v>43</v>
      </c>
      <c r="J557" t="s">
        <v>61</v>
      </c>
      <c r="K557" t="s">
        <v>95</v>
      </c>
      <c r="L557" t="s">
        <v>63</v>
      </c>
      <c r="M557" t="s">
        <v>54</v>
      </c>
      <c r="N557" t="s">
        <v>150</v>
      </c>
      <c r="O557">
        <v>20</v>
      </c>
      <c r="P557">
        <v>13945.7</v>
      </c>
      <c r="Q557">
        <v>25</v>
      </c>
      <c r="R557" s="39">
        <v>69728.5</v>
      </c>
      <c r="S557" s="39">
        <v>209185.5</v>
      </c>
      <c r="T557" s="39">
        <v>21745.43</v>
      </c>
      <c r="U557" t="str">
        <f t="shared" si="19"/>
        <v>Office Supplies</v>
      </c>
      <c r="V557">
        <f t="shared" si="20"/>
        <v>21745.43</v>
      </c>
      <c r="W557" t="str">
        <f>IF(Sales[[#This Row],[Quantity]]&gt;=15, "Large","Small")</f>
        <v>Large</v>
      </c>
      <c r="X557" t="str">
        <f>IF(Sales[[#This Row],[Quantity]]&gt;=15,"Large",IF(Sales[[#This Row],[Quantity]]=14,"Medium","Small"))</f>
        <v>Large</v>
      </c>
      <c r="Y557" t="str">
        <f>IF(AND(Sales[[#This Row],[Unit Price (₦)]]&gt;68000,Sales[[#This Row],[Quantity]]&gt;15),"Offer Discount", "No Discount")</f>
        <v>No Discount</v>
      </c>
    </row>
    <row r="558" spans="1:25" ht="15" customHeight="1" x14ac:dyDescent="0.25">
      <c r="A558" t="s">
        <v>632</v>
      </c>
      <c r="B558" s="8">
        <v>44848</v>
      </c>
      <c r="C558" s="8">
        <v>44848</v>
      </c>
      <c r="D558" t="s">
        <v>32</v>
      </c>
      <c r="E558" t="s">
        <v>3092</v>
      </c>
      <c r="F558" t="s">
        <v>3034</v>
      </c>
      <c r="G558" t="s">
        <v>634</v>
      </c>
      <c r="H558">
        <v>8032638895</v>
      </c>
      <c r="I558" t="s">
        <v>43</v>
      </c>
      <c r="J558" t="s">
        <v>69</v>
      </c>
      <c r="K558" t="s">
        <v>155</v>
      </c>
      <c r="L558" t="s">
        <v>108</v>
      </c>
      <c r="M558" t="s">
        <v>109</v>
      </c>
      <c r="N558" t="s">
        <v>110</v>
      </c>
      <c r="O558">
        <v>20</v>
      </c>
      <c r="P558">
        <v>16645.490000000002</v>
      </c>
      <c r="Q558">
        <v>15</v>
      </c>
      <c r="R558" s="39">
        <v>49936.47</v>
      </c>
      <c r="S558" s="39">
        <v>282973.33</v>
      </c>
      <c r="T558" s="39">
        <v>122061.2</v>
      </c>
      <c r="U558" t="str">
        <f t="shared" si="19"/>
        <v>Clothing</v>
      </c>
      <c r="V558">
        <f t="shared" si="20"/>
        <v>122061.2</v>
      </c>
      <c r="W558" t="str">
        <f>IF(Sales[[#This Row],[Quantity]]&gt;=15, "Large","Small")</f>
        <v>Large</v>
      </c>
      <c r="X558" t="str">
        <f>IF(Sales[[#This Row],[Quantity]]&gt;=15,"Large",IF(Sales[[#This Row],[Quantity]]=14,"Medium","Small"))</f>
        <v>Large</v>
      </c>
      <c r="Y558" t="str">
        <f>IF(AND(Sales[[#This Row],[Unit Price (₦)]]&gt;68000,Sales[[#This Row],[Quantity]]&gt;15),"Offer Discount", "No Discount")</f>
        <v>No Discount</v>
      </c>
    </row>
    <row r="559" spans="1:25" ht="15" customHeight="1" x14ac:dyDescent="0.25">
      <c r="A559" t="s">
        <v>66</v>
      </c>
      <c r="B559" s="8">
        <v>44854</v>
      </c>
      <c r="C559" s="8">
        <v>44855</v>
      </c>
      <c r="D559" t="s">
        <v>32</v>
      </c>
      <c r="E559" t="s">
        <v>3033</v>
      </c>
      <c r="F559" t="s">
        <v>3043</v>
      </c>
      <c r="G559" t="s">
        <v>68</v>
      </c>
      <c r="H559">
        <v>9018187926</v>
      </c>
      <c r="I559" t="s">
        <v>24</v>
      </c>
      <c r="J559" t="s">
        <v>69</v>
      </c>
      <c r="K559" t="s">
        <v>70</v>
      </c>
      <c r="L559" t="s">
        <v>27</v>
      </c>
      <c r="M559" t="s">
        <v>28</v>
      </c>
      <c r="N559" t="s">
        <v>71</v>
      </c>
      <c r="O559">
        <v>5</v>
      </c>
      <c r="P559">
        <v>1988.77</v>
      </c>
      <c r="Q559">
        <v>25</v>
      </c>
      <c r="R559" s="39">
        <v>2485.96</v>
      </c>
      <c r="S559" s="39">
        <v>7457.89</v>
      </c>
      <c r="T559" s="39">
        <f>T558</f>
        <v>122061.2</v>
      </c>
      <c r="U559" t="str">
        <f t="shared" si="19"/>
        <v>Food &amp; Beverages</v>
      </c>
      <c r="V559">
        <f t="shared" si="20"/>
        <v>122061.2</v>
      </c>
      <c r="W559" t="str">
        <f>IF(Sales[[#This Row],[Quantity]]&gt;=15, "Large","Small")</f>
        <v>Small</v>
      </c>
      <c r="X559" t="str">
        <f>IF(Sales[[#This Row],[Quantity]]&gt;=15,"Large",IF(Sales[[#This Row],[Quantity]]=14,"Medium","Small"))</f>
        <v>Small</v>
      </c>
      <c r="Y559" t="str">
        <f>IF(AND(Sales[[#This Row],[Unit Price (₦)]]&gt;68000,Sales[[#This Row],[Quantity]]&gt;15),"Offer Discount", "No Discount")</f>
        <v>No Discount</v>
      </c>
    </row>
    <row r="560" spans="1:25" ht="15" customHeight="1" x14ac:dyDescent="0.25">
      <c r="A560" t="s">
        <v>531</v>
      </c>
      <c r="B560" s="8">
        <v>44864</v>
      </c>
      <c r="C560" s="8">
        <v>44864</v>
      </c>
      <c r="D560" t="s">
        <v>32</v>
      </c>
      <c r="E560" t="s">
        <v>3063</v>
      </c>
      <c r="F560" t="s">
        <v>3057</v>
      </c>
      <c r="G560" t="s">
        <v>533</v>
      </c>
      <c r="H560">
        <v>8131317716</v>
      </c>
      <c r="I560" t="s">
        <v>24</v>
      </c>
      <c r="J560" t="s">
        <v>69</v>
      </c>
      <c r="K560" t="s">
        <v>119</v>
      </c>
      <c r="L560" t="s">
        <v>534</v>
      </c>
      <c r="M560" t="s">
        <v>38</v>
      </c>
      <c r="N560" t="s">
        <v>213</v>
      </c>
      <c r="O560">
        <v>7</v>
      </c>
      <c r="P560">
        <v>8511.5400000000009</v>
      </c>
      <c r="Q560">
        <v>15</v>
      </c>
      <c r="R560" s="39">
        <v>8937.1200000000008</v>
      </c>
      <c r="S560" s="39">
        <v>50643.66</v>
      </c>
      <c r="T560" s="39">
        <v>7651.84</v>
      </c>
      <c r="U560" t="str">
        <f t="shared" si="19"/>
        <v>Clothing</v>
      </c>
      <c r="V560">
        <f t="shared" si="20"/>
        <v>7651.84</v>
      </c>
      <c r="W560" t="str">
        <f>IF(Sales[[#This Row],[Quantity]]&gt;=15, "Large","Small")</f>
        <v>Small</v>
      </c>
      <c r="X560" t="str">
        <f>IF(Sales[[#This Row],[Quantity]]&gt;=15,"Large",IF(Sales[[#This Row],[Quantity]]=14,"Medium","Small"))</f>
        <v>Small</v>
      </c>
      <c r="Y560" t="str">
        <f>IF(AND(Sales[[#This Row],[Unit Price (₦)]]&gt;68000,Sales[[#This Row],[Quantity]]&gt;15),"Offer Discount", "No Discount")</f>
        <v>No Discount</v>
      </c>
    </row>
    <row r="561" spans="1:25" ht="15" customHeight="1" x14ac:dyDescent="0.25">
      <c r="A561" t="s">
        <v>1556</v>
      </c>
      <c r="B561" s="8">
        <v>44865</v>
      </c>
      <c r="C561" s="8">
        <v>44866</v>
      </c>
      <c r="D561" t="s">
        <v>32</v>
      </c>
      <c r="E561" t="s">
        <v>3068</v>
      </c>
      <c r="F561" t="s">
        <v>3046</v>
      </c>
      <c r="G561" t="s">
        <v>1557</v>
      </c>
      <c r="H561">
        <v>8103557220</v>
      </c>
      <c r="I561" t="s">
        <v>43</v>
      </c>
      <c r="J561" t="s">
        <v>61</v>
      </c>
      <c r="K561" t="s">
        <v>95</v>
      </c>
      <c r="L561" t="s">
        <v>108</v>
      </c>
      <c r="M561" t="s">
        <v>183</v>
      </c>
      <c r="N561" t="s">
        <v>869</v>
      </c>
      <c r="O561">
        <v>15</v>
      </c>
      <c r="P561">
        <v>2843.99</v>
      </c>
      <c r="Q561">
        <v>5</v>
      </c>
      <c r="R561" s="39">
        <v>2132.9899999999998</v>
      </c>
      <c r="S561" s="39">
        <v>40526.86</v>
      </c>
      <c r="T561" s="39">
        <v>-1183.26</v>
      </c>
      <c r="U561" t="str">
        <f t="shared" si="19"/>
        <v>Clothing</v>
      </c>
      <c r="V561">
        <f t="shared" si="20"/>
        <v>1183.26</v>
      </c>
      <c r="W561" t="str">
        <f>IF(Sales[[#This Row],[Quantity]]&gt;=15, "Large","Small")</f>
        <v>Large</v>
      </c>
      <c r="X561" t="str">
        <f>IF(Sales[[#This Row],[Quantity]]&gt;=15,"Large",IF(Sales[[#This Row],[Quantity]]=14,"Medium","Small"))</f>
        <v>Large</v>
      </c>
      <c r="Y561" t="str">
        <f>IF(AND(Sales[[#This Row],[Unit Price (₦)]]&gt;68000,Sales[[#This Row],[Quantity]]&gt;15),"Offer Discount", "No Discount")</f>
        <v>No Discount</v>
      </c>
    </row>
    <row r="562" spans="1:25" ht="15" customHeight="1" x14ac:dyDescent="0.25">
      <c r="A562" t="s">
        <v>300</v>
      </c>
      <c r="B562" s="8">
        <v>44866</v>
      </c>
      <c r="C562" s="8">
        <v>44867</v>
      </c>
      <c r="D562" t="s">
        <v>32</v>
      </c>
      <c r="E562" t="s">
        <v>3037</v>
      </c>
      <c r="F562" t="s">
        <v>3083</v>
      </c>
      <c r="G562" t="s">
        <v>302</v>
      </c>
      <c r="H562">
        <v>7037328534</v>
      </c>
      <c r="I562" t="s">
        <v>24</v>
      </c>
      <c r="J562" t="s">
        <v>51</v>
      </c>
      <c r="K562" t="s">
        <v>223</v>
      </c>
      <c r="L562" t="s">
        <v>108</v>
      </c>
      <c r="M562" t="s">
        <v>38</v>
      </c>
      <c r="N562" t="s">
        <v>303</v>
      </c>
      <c r="O562">
        <v>8</v>
      </c>
      <c r="P562">
        <v>44173.31</v>
      </c>
      <c r="Q562">
        <v>15</v>
      </c>
      <c r="R562" s="39">
        <v>53007.97</v>
      </c>
      <c r="S562" s="39">
        <v>300378.51</v>
      </c>
      <c r="T562" s="39">
        <v>-2962.49</v>
      </c>
      <c r="U562" t="str">
        <f t="shared" si="19"/>
        <v>Clothing</v>
      </c>
      <c r="V562">
        <f t="shared" si="20"/>
        <v>2962.49</v>
      </c>
      <c r="W562" t="str">
        <f>IF(Sales[[#This Row],[Quantity]]&gt;=15, "Large","Small")</f>
        <v>Small</v>
      </c>
      <c r="X562" t="str">
        <f>IF(Sales[[#This Row],[Quantity]]&gt;=15,"Large",IF(Sales[[#This Row],[Quantity]]=14,"Medium","Small"))</f>
        <v>Small</v>
      </c>
      <c r="Y562" t="str">
        <f>IF(AND(Sales[[#This Row],[Unit Price (₦)]]&gt;68000,Sales[[#This Row],[Quantity]]&gt;15),"Offer Discount", "No Discount")</f>
        <v>No Discount</v>
      </c>
    </row>
    <row r="563" spans="1:25" ht="15" customHeight="1" x14ac:dyDescent="0.25">
      <c r="A563" t="s">
        <v>1524</v>
      </c>
      <c r="B563" s="8">
        <v>44871</v>
      </c>
      <c r="C563" s="8">
        <v>44872</v>
      </c>
      <c r="D563" t="s">
        <v>32</v>
      </c>
      <c r="E563" t="s">
        <v>3087</v>
      </c>
      <c r="F563" t="s">
        <v>3052</v>
      </c>
      <c r="G563" t="s">
        <v>1526</v>
      </c>
      <c r="H563">
        <v>8034856420</v>
      </c>
      <c r="I563" t="s">
        <v>43</v>
      </c>
      <c r="J563" t="s">
        <v>69</v>
      </c>
      <c r="K563" t="s">
        <v>119</v>
      </c>
      <c r="L563" t="s">
        <v>85</v>
      </c>
      <c r="M563" t="s">
        <v>86</v>
      </c>
      <c r="N563" t="s">
        <v>199</v>
      </c>
      <c r="O563">
        <v>15</v>
      </c>
      <c r="P563">
        <v>52758.52</v>
      </c>
      <c r="Q563">
        <v>15</v>
      </c>
      <c r="R563" s="39">
        <v>118706.67</v>
      </c>
      <c r="S563" s="39">
        <v>672671.13</v>
      </c>
      <c r="T563" s="39">
        <f>T562</f>
        <v>-2962.49</v>
      </c>
      <c r="U563" t="str">
        <f t="shared" si="19"/>
        <v>Furniture</v>
      </c>
      <c r="V563">
        <f t="shared" si="20"/>
        <v>2962.49</v>
      </c>
      <c r="W563" t="str">
        <f>IF(Sales[[#This Row],[Quantity]]&gt;=15, "Large","Small")</f>
        <v>Large</v>
      </c>
      <c r="X563" t="str">
        <f>IF(Sales[[#This Row],[Quantity]]&gt;=15,"Large",IF(Sales[[#This Row],[Quantity]]=14,"Medium","Small"))</f>
        <v>Large</v>
      </c>
      <c r="Y563" t="str">
        <f>IF(AND(Sales[[#This Row],[Unit Price (₦)]]&gt;68000,Sales[[#This Row],[Quantity]]&gt;15),"Offer Discount", "No Discount")</f>
        <v>No Discount</v>
      </c>
    </row>
    <row r="564" spans="1:25" ht="15" customHeight="1" x14ac:dyDescent="0.25">
      <c r="A564" t="s">
        <v>2586</v>
      </c>
      <c r="B564" s="8">
        <v>44874</v>
      </c>
      <c r="C564" s="8">
        <v>44874</v>
      </c>
      <c r="D564" t="s">
        <v>32</v>
      </c>
      <c r="E564" t="s">
        <v>3098</v>
      </c>
      <c r="F564" t="s">
        <v>3066</v>
      </c>
      <c r="G564" t="s">
        <v>2587</v>
      </c>
      <c r="H564">
        <v>8033339281</v>
      </c>
      <c r="I564" t="s">
        <v>43</v>
      </c>
      <c r="J564" t="s">
        <v>69</v>
      </c>
      <c r="K564" t="s">
        <v>70</v>
      </c>
      <c r="L564" t="s">
        <v>63</v>
      </c>
      <c r="M564" t="s">
        <v>64</v>
      </c>
      <c r="N564" t="s">
        <v>501</v>
      </c>
      <c r="O564">
        <v>1</v>
      </c>
      <c r="P564">
        <v>10285.75</v>
      </c>
      <c r="Q564">
        <v>15</v>
      </c>
      <c r="R564" s="39">
        <v>1542.86</v>
      </c>
      <c r="S564" s="39">
        <v>8742.89</v>
      </c>
      <c r="T564" s="39">
        <v>2839.91</v>
      </c>
      <c r="U564" t="str">
        <f t="shared" si="19"/>
        <v>Office Supplies</v>
      </c>
      <c r="V564">
        <f t="shared" si="20"/>
        <v>2839.91</v>
      </c>
      <c r="W564" t="str">
        <f>IF(Sales[[#This Row],[Quantity]]&gt;=15, "Large","Small")</f>
        <v>Small</v>
      </c>
      <c r="X564" t="str">
        <f>IF(Sales[[#This Row],[Quantity]]&gt;=15,"Large",IF(Sales[[#This Row],[Quantity]]=14,"Medium","Small"))</f>
        <v>Small</v>
      </c>
      <c r="Y564" t="str">
        <f>IF(AND(Sales[[#This Row],[Unit Price (₦)]]&gt;68000,Sales[[#This Row],[Quantity]]&gt;15),"Offer Discount", "No Discount")</f>
        <v>No Discount</v>
      </c>
    </row>
    <row r="565" spans="1:25" ht="15" customHeight="1" x14ac:dyDescent="0.25">
      <c r="A565" t="s">
        <v>825</v>
      </c>
      <c r="B565" s="8">
        <v>44876</v>
      </c>
      <c r="C565" s="8">
        <v>44876</v>
      </c>
      <c r="D565" t="s">
        <v>32</v>
      </c>
      <c r="E565" t="s">
        <v>3073</v>
      </c>
      <c r="F565" t="s">
        <v>3046</v>
      </c>
      <c r="G565" t="s">
        <v>827</v>
      </c>
      <c r="H565">
        <v>8065941719</v>
      </c>
      <c r="I565" t="s">
        <v>24</v>
      </c>
      <c r="J565" t="s">
        <v>25</v>
      </c>
      <c r="K565" t="s">
        <v>168</v>
      </c>
      <c r="L565" t="s">
        <v>27</v>
      </c>
      <c r="M565" t="s">
        <v>28</v>
      </c>
      <c r="N565" t="s">
        <v>508</v>
      </c>
      <c r="O565">
        <v>7</v>
      </c>
      <c r="P565">
        <v>1046.8</v>
      </c>
      <c r="Q565">
        <v>0</v>
      </c>
      <c r="R565" s="39">
        <v>0</v>
      </c>
      <c r="S565" s="39">
        <v>7327.6</v>
      </c>
      <c r="T565" s="39">
        <v>1706.7</v>
      </c>
      <c r="U565" t="str">
        <f t="shared" si="19"/>
        <v>Food &amp; Beverages</v>
      </c>
      <c r="V565">
        <f t="shared" si="20"/>
        <v>1706.7</v>
      </c>
      <c r="W565" t="str">
        <f>IF(Sales[[#This Row],[Quantity]]&gt;=15, "Large","Small")</f>
        <v>Small</v>
      </c>
      <c r="X565" t="str">
        <f>IF(Sales[[#This Row],[Quantity]]&gt;=15,"Large",IF(Sales[[#This Row],[Quantity]]=14,"Medium","Small"))</f>
        <v>Small</v>
      </c>
      <c r="Y565" t="str">
        <f>IF(AND(Sales[[#This Row],[Unit Price (₦)]]&gt;68000,Sales[[#This Row],[Quantity]]&gt;15),"Offer Discount", "No Discount")</f>
        <v>No Discount</v>
      </c>
    </row>
    <row r="566" spans="1:25" ht="15" customHeight="1" x14ac:dyDescent="0.25">
      <c r="A566" t="s">
        <v>641</v>
      </c>
      <c r="B566" s="8">
        <v>44877</v>
      </c>
      <c r="C566" s="8">
        <v>44878</v>
      </c>
      <c r="D566" t="s">
        <v>32</v>
      </c>
      <c r="E566" t="s">
        <v>3041</v>
      </c>
      <c r="F566" t="s">
        <v>3039</v>
      </c>
      <c r="G566" t="s">
        <v>3126</v>
      </c>
      <c r="H566">
        <v>8061087161</v>
      </c>
      <c r="I566" t="s">
        <v>35</v>
      </c>
      <c r="J566" t="s">
        <v>25</v>
      </c>
      <c r="K566" t="s">
        <v>44</v>
      </c>
      <c r="L566" t="s">
        <v>63</v>
      </c>
      <c r="M566" t="s">
        <v>64</v>
      </c>
      <c r="N566" t="s">
        <v>65</v>
      </c>
      <c r="O566">
        <v>4</v>
      </c>
      <c r="P566">
        <v>19152.990000000002</v>
      </c>
      <c r="Q566">
        <v>0</v>
      </c>
      <c r="R566" s="39">
        <v>0</v>
      </c>
      <c r="S566" s="39">
        <v>76611.960000000006</v>
      </c>
      <c r="T566" s="39">
        <v>-7478.99</v>
      </c>
      <c r="U566" t="str">
        <f t="shared" si="19"/>
        <v>Office Supplies</v>
      </c>
      <c r="V566">
        <f t="shared" si="20"/>
        <v>7478.99</v>
      </c>
      <c r="W566" t="str">
        <f>IF(Sales[[#This Row],[Quantity]]&gt;=15, "Large","Small")</f>
        <v>Small</v>
      </c>
      <c r="X566" t="str">
        <f>IF(Sales[[#This Row],[Quantity]]&gt;=15,"Large",IF(Sales[[#This Row],[Quantity]]=14,"Medium","Small"))</f>
        <v>Small</v>
      </c>
      <c r="Y566" t="str">
        <f>IF(AND(Sales[[#This Row],[Unit Price (₦)]]&gt;68000,Sales[[#This Row],[Quantity]]&gt;15),"Offer Discount", "No Discount")</f>
        <v>No Discount</v>
      </c>
    </row>
    <row r="567" spans="1:25" ht="15" customHeight="1" x14ac:dyDescent="0.25">
      <c r="A567" t="s">
        <v>1113</v>
      </c>
      <c r="B567" s="8">
        <v>44879</v>
      </c>
      <c r="C567" s="8">
        <v>44880</v>
      </c>
      <c r="D567" t="s">
        <v>32</v>
      </c>
      <c r="E567" t="s">
        <v>3081</v>
      </c>
      <c r="F567" t="s">
        <v>3043</v>
      </c>
      <c r="G567" t="s">
        <v>1115</v>
      </c>
      <c r="H567">
        <v>8142533463</v>
      </c>
      <c r="I567" t="s">
        <v>35</v>
      </c>
      <c r="J567" t="s">
        <v>61</v>
      </c>
      <c r="K567" t="s">
        <v>95</v>
      </c>
      <c r="L567" t="s">
        <v>27</v>
      </c>
      <c r="M567" t="s">
        <v>45</v>
      </c>
      <c r="N567" t="s">
        <v>308</v>
      </c>
      <c r="O567">
        <v>5</v>
      </c>
      <c r="P567">
        <v>760.27</v>
      </c>
      <c r="Q567">
        <v>25</v>
      </c>
      <c r="R567" s="39">
        <v>950.34</v>
      </c>
      <c r="S567" s="39">
        <v>2851.01</v>
      </c>
      <c r="T567" s="39">
        <v>926.24</v>
      </c>
      <c r="U567" t="str">
        <f t="shared" si="19"/>
        <v>Food &amp; Beverages</v>
      </c>
      <c r="V567">
        <f t="shared" si="20"/>
        <v>926.24</v>
      </c>
      <c r="W567" t="str">
        <f>IF(Sales[[#This Row],[Quantity]]&gt;=15, "Large","Small")</f>
        <v>Small</v>
      </c>
      <c r="X567" t="str">
        <f>IF(Sales[[#This Row],[Quantity]]&gt;=15,"Large",IF(Sales[[#This Row],[Quantity]]=14,"Medium","Small"))</f>
        <v>Small</v>
      </c>
      <c r="Y567" t="str">
        <f>IF(AND(Sales[[#This Row],[Unit Price (₦)]]&gt;68000,Sales[[#This Row],[Quantity]]&gt;15),"Offer Discount", "No Discount")</f>
        <v>No Discount</v>
      </c>
    </row>
    <row r="568" spans="1:25" ht="15" customHeight="1" x14ac:dyDescent="0.25">
      <c r="A568" t="s">
        <v>2276</v>
      </c>
      <c r="B568" s="8">
        <v>44880</v>
      </c>
      <c r="C568" s="8">
        <v>44880</v>
      </c>
      <c r="D568" t="s">
        <v>32</v>
      </c>
      <c r="E568" t="s">
        <v>3068</v>
      </c>
      <c r="F568" t="s">
        <v>3039</v>
      </c>
      <c r="G568" t="s">
        <v>1463</v>
      </c>
      <c r="H568">
        <v>8136740847</v>
      </c>
      <c r="I568" t="s">
        <v>24</v>
      </c>
      <c r="J568" t="s">
        <v>61</v>
      </c>
      <c r="K568" t="s">
        <v>95</v>
      </c>
      <c r="L568" t="s">
        <v>27</v>
      </c>
      <c r="M568" t="s">
        <v>173</v>
      </c>
      <c r="N568" t="s">
        <v>174</v>
      </c>
      <c r="O568">
        <v>7</v>
      </c>
      <c r="P568">
        <v>998.83</v>
      </c>
      <c r="Q568">
        <v>10</v>
      </c>
      <c r="R568" s="39">
        <v>699.18</v>
      </c>
      <c r="S568" s="39">
        <v>6292.63</v>
      </c>
      <c r="T568" s="39">
        <f>T567</f>
        <v>926.24</v>
      </c>
      <c r="U568" t="str">
        <f t="shared" si="19"/>
        <v>Food &amp; Beverages</v>
      </c>
      <c r="V568">
        <f t="shared" si="20"/>
        <v>926.24</v>
      </c>
      <c r="W568" t="str">
        <f>IF(Sales[[#This Row],[Quantity]]&gt;=15, "Large","Small")</f>
        <v>Small</v>
      </c>
      <c r="X568" t="str">
        <f>IF(Sales[[#This Row],[Quantity]]&gt;=15,"Large",IF(Sales[[#This Row],[Quantity]]=14,"Medium","Small"))</f>
        <v>Small</v>
      </c>
      <c r="Y568" t="str">
        <f>IF(AND(Sales[[#This Row],[Unit Price (₦)]]&gt;68000,Sales[[#This Row],[Quantity]]&gt;15),"Offer Discount", "No Discount")</f>
        <v>No Discount</v>
      </c>
    </row>
    <row r="569" spans="1:25" ht="15" customHeight="1" x14ac:dyDescent="0.25">
      <c r="A569" t="s">
        <v>1758</v>
      </c>
      <c r="B569" s="8">
        <v>44881</v>
      </c>
      <c r="C569" s="8">
        <v>44882</v>
      </c>
      <c r="D569" t="s">
        <v>32</v>
      </c>
      <c r="E569" t="s">
        <v>3047</v>
      </c>
      <c r="F569" t="s">
        <v>3096</v>
      </c>
      <c r="G569" t="s">
        <v>1760</v>
      </c>
      <c r="H569">
        <v>7062396415</v>
      </c>
      <c r="I569" t="s">
        <v>43</v>
      </c>
      <c r="J569" t="s">
        <v>69</v>
      </c>
      <c r="K569" t="s">
        <v>70</v>
      </c>
      <c r="L569" t="s">
        <v>63</v>
      </c>
      <c r="M569" t="s">
        <v>312</v>
      </c>
      <c r="N569" t="s">
        <v>686</v>
      </c>
      <c r="O569">
        <v>6</v>
      </c>
      <c r="P569">
        <v>4243.57</v>
      </c>
      <c r="Q569">
        <v>10</v>
      </c>
      <c r="R569" s="39">
        <v>2546.14</v>
      </c>
      <c r="S569" s="39">
        <v>22915.279999999999</v>
      </c>
      <c r="T569" s="39">
        <v>1793.58</v>
      </c>
      <c r="U569" t="str">
        <f t="shared" si="19"/>
        <v>Office Supplies</v>
      </c>
      <c r="V569">
        <f t="shared" si="20"/>
        <v>1793.58</v>
      </c>
      <c r="W569" t="str">
        <f>IF(Sales[[#This Row],[Quantity]]&gt;=15, "Large","Small")</f>
        <v>Small</v>
      </c>
      <c r="X569" t="str">
        <f>IF(Sales[[#This Row],[Quantity]]&gt;=15,"Large",IF(Sales[[#This Row],[Quantity]]=14,"Medium","Small"))</f>
        <v>Small</v>
      </c>
      <c r="Y569" t="str">
        <f>IF(AND(Sales[[#This Row],[Unit Price (₦)]]&gt;68000,Sales[[#This Row],[Quantity]]&gt;15),"Offer Discount", "No Discount")</f>
        <v>No Discount</v>
      </c>
    </row>
    <row r="570" spans="1:25" ht="15" customHeight="1" x14ac:dyDescent="0.25">
      <c r="A570" t="s">
        <v>2249</v>
      </c>
      <c r="B570" s="8">
        <v>44882</v>
      </c>
      <c r="C570" s="8">
        <v>44882</v>
      </c>
      <c r="D570" t="s">
        <v>32</v>
      </c>
      <c r="E570" t="s">
        <v>3097</v>
      </c>
      <c r="F570" t="s">
        <v>3040</v>
      </c>
      <c r="G570" t="s">
        <v>2251</v>
      </c>
      <c r="H570">
        <v>7031237053</v>
      </c>
      <c r="I570" t="s">
        <v>24</v>
      </c>
      <c r="J570" t="s">
        <v>25</v>
      </c>
      <c r="K570" t="s">
        <v>26</v>
      </c>
      <c r="L570" t="s">
        <v>85</v>
      </c>
      <c r="M570" t="s">
        <v>243</v>
      </c>
      <c r="N570" t="s">
        <v>404</v>
      </c>
      <c r="O570">
        <v>0</v>
      </c>
      <c r="P570">
        <v>149169.76</v>
      </c>
      <c r="Q570">
        <v>10</v>
      </c>
      <c r="R570" s="39">
        <v>208837.66</v>
      </c>
      <c r="S570" s="39">
        <v>1879538.98</v>
      </c>
      <c r="T570" s="39">
        <v>132253.54</v>
      </c>
      <c r="U570" t="str">
        <f t="shared" si="19"/>
        <v>Furniture</v>
      </c>
      <c r="V570">
        <f t="shared" si="20"/>
        <v>132253.54</v>
      </c>
      <c r="W570" t="str">
        <f>IF(Sales[[#This Row],[Quantity]]&gt;=15, "Large","Small")</f>
        <v>Small</v>
      </c>
      <c r="X570" t="str">
        <f>IF(Sales[[#This Row],[Quantity]]&gt;=15,"Large",IF(Sales[[#This Row],[Quantity]]=14,"Medium","Small"))</f>
        <v>Small</v>
      </c>
      <c r="Y570" t="str">
        <f>IF(AND(Sales[[#This Row],[Unit Price (₦)]]&gt;68000,Sales[[#This Row],[Quantity]]&gt;15),"Offer Discount", "No Discount")</f>
        <v>No Discount</v>
      </c>
    </row>
    <row r="571" spans="1:25" ht="15" customHeight="1" x14ac:dyDescent="0.25">
      <c r="A571" t="s">
        <v>1713</v>
      </c>
      <c r="B571" s="8">
        <v>44883</v>
      </c>
      <c r="C571" s="8">
        <v>44883</v>
      </c>
      <c r="D571" t="s">
        <v>32</v>
      </c>
      <c r="E571" t="s">
        <v>3033</v>
      </c>
      <c r="F571" t="s">
        <v>3077</v>
      </c>
      <c r="G571" t="s">
        <v>1715</v>
      </c>
      <c r="H571">
        <v>8142153651</v>
      </c>
      <c r="I571" t="s">
        <v>43</v>
      </c>
      <c r="J571" t="s">
        <v>61</v>
      </c>
      <c r="K571" t="s">
        <v>182</v>
      </c>
      <c r="L571" t="s">
        <v>108</v>
      </c>
      <c r="M571" t="s">
        <v>109</v>
      </c>
      <c r="N571" t="s">
        <v>1258</v>
      </c>
      <c r="O571">
        <v>10</v>
      </c>
      <c r="P571">
        <v>39429.31</v>
      </c>
      <c r="Q571">
        <v>15</v>
      </c>
      <c r="R571" s="39">
        <v>59143.96</v>
      </c>
      <c r="S571" s="39">
        <v>335149.14</v>
      </c>
      <c r="T571" s="39">
        <v>114197.93</v>
      </c>
      <c r="U571" t="str">
        <f t="shared" si="19"/>
        <v>Clothing</v>
      </c>
      <c r="V571">
        <f t="shared" si="20"/>
        <v>114197.93</v>
      </c>
      <c r="W571" t="str">
        <f>IF(Sales[[#This Row],[Quantity]]&gt;=15, "Large","Small")</f>
        <v>Small</v>
      </c>
      <c r="X571" t="str">
        <f>IF(Sales[[#This Row],[Quantity]]&gt;=15,"Large",IF(Sales[[#This Row],[Quantity]]=14,"Medium","Small"))</f>
        <v>Small</v>
      </c>
      <c r="Y571" t="str">
        <f>IF(AND(Sales[[#This Row],[Unit Price (₦)]]&gt;68000,Sales[[#This Row],[Quantity]]&gt;15),"Offer Discount", "No Discount")</f>
        <v>No Discount</v>
      </c>
    </row>
    <row r="572" spans="1:25" ht="15" customHeight="1" x14ac:dyDescent="0.25">
      <c r="A572" t="s">
        <v>2604</v>
      </c>
      <c r="B572" s="8">
        <v>44883</v>
      </c>
      <c r="C572" s="8">
        <v>44884</v>
      </c>
      <c r="D572" t="s">
        <v>32</v>
      </c>
      <c r="E572" t="s">
        <v>3041</v>
      </c>
      <c r="F572" t="s">
        <v>3038</v>
      </c>
      <c r="G572" t="s">
        <v>2606</v>
      </c>
      <c r="H572">
        <v>8145629663</v>
      </c>
      <c r="I572" t="s">
        <v>24</v>
      </c>
      <c r="J572" t="s">
        <v>61</v>
      </c>
      <c r="K572" t="s">
        <v>204</v>
      </c>
      <c r="L572" t="s">
        <v>85</v>
      </c>
      <c r="M572" t="s">
        <v>266</v>
      </c>
      <c r="N572" t="s">
        <v>952</v>
      </c>
      <c r="O572">
        <v>19</v>
      </c>
      <c r="P572">
        <v>56979.199999999997</v>
      </c>
      <c r="Q572">
        <v>0</v>
      </c>
      <c r="R572" s="39">
        <v>0</v>
      </c>
      <c r="S572" s="39">
        <v>1082604.8</v>
      </c>
      <c r="T572" s="39">
        <v>47290.59</v>
      </c>
      <c r="U572" t="str">
        <f t="shared" si="19"/>
        <v>Furniture</v>
      </c>
      <c r="V572">
        <f t="shared" si="20"/>
        <v>47290.59</v>
      </c>
      <c r="W572" t="str">
        <f>IF(Sales[[#This Row],[Quantity]]&gt;=15, "Large","Small")</f>
        <v>Large</v>
      </c>
      <c r="X572" t="str">
        <f>IF(Sales[[#This Row],[Quantity]]&gt;=15,"Large",IF(Sales[[#This Row],[Quantity]]=14,"Medium","Small"))</f>
        <v>Large</v>
      </c>
      <c r="Y572" t="str">
        <f>IF(AND(Sales[[#This Row],[Unit Price (₦)]]&gt;68000,Sales[[#This Row],[Quantity]]&gt;15),"Offer Discount", "No Discount")</f>
        <v>No Discount</v>
      </c>
    </row>
    <row r="573" spans="1:25" ht="15" customHeight="1" x14ac:dyDescent="0.25">
      <c r="A573" t="s">
        <v>2417</v>
      </c>
      <c r="B573" s="8">
        <v>44884</v>
      </c>
      <c r="C573" s="8">
        <v>44885</v>
      </c>
      <c r="D573" t="s">
        <v>32</v>
      </c>
      <c r="E573" t="s">
        <v>3065</v>
      </c>
      <c r="F573" t="s">
        <v>3062</v>
      </c>
      <c r="G573" t="s">
        <v>2418</v>
      </c>
      <c r="H573">
        <v>9014046988</v>
      </c>
      <c r="I573" t="s">
        <v>43</v>
      </c>
      <c r="J573" t="s">
        <v>61</v>
      </c>
      <c r="K573" t="s">
        <v>182</v>
      </c>
      <c r="L573" t="s">
        <v>63</v>
      </c>
      <c r="M573" t="s">
        <v>249</v>
      </c>
      <c r="N573" t="s">
        <v>2013</v>
      </c>
      <c r="O573">
        <v>7</v>
      </c>
      <c r="P573">
        <v>1234.51</v>
      </c>
      <c r="Q573">
        <v>10</v>
      </c>
      <c r="R573" s="39">
        <v>864.16</v>
      </c>
      <c r="S573" s="39">
        <v>7777.41</v>
      </c>
      <c r="T573" s="39">
        <v>717.02</v>
      </c>
      <c r="U573" t="str">
        <f t="shared" si="19"/>
        <v>Office Supplies</v>
      </c>
      <c r="V573">
        <f t="shared" si="20"/>
        <v>717.02</v>
      </c>
      <c r="W573" t="str">
        <f>IF(Sales[[#This Row],[Quantity]]&gt;=15, "Large","Small")</f>
        <v>Small</v>
      </c>
      <c r="X573" t="str">
        <f>IF(Sales[[#This Row],[Quantity]]&gt;=15,"Large",IF(Sales[[#This Row],[Quantity]]=14,"Medium","Small"))</f>
        <v>Small</v>
      </c>
      <c r="Y573" t="str">
        <f>IF(AND(Sales[[#This Row],[Unit Price (₦)]]&gt;68000,Sales[[#This Row],[Quantity]]&gt;15),"Offer Discount", "No Discount")</f>
        <v>No Discount</v>
      </c>
    </row>
    <row r="574" spans="1:25" ht="15" customHeight="1" x14ac:dyDescent="0.25">
      <c r="A574" t="s">
        <v>1395</v>
      </c>
      <c r="B574" s="8">
        <v>44894</v>
      </c>
      <c r="C574" s="8">
        <v>44895</v>
      </c>
      <c r="D574" t="s">
        <v>32</v>
      </c>
      <c r="E574" t="s">
        <v>3056</v>
      </c>
      <c r="F574" t="s">
        <v>3046</v>
      </c>
      <c r="G574" t="s">
        <v>1397</v>
      </c>
      <c r="H574">
        <v>8143439136</v>
      </c>
      <c r="I574" t="s">
        <v>43</v>
      </c>
      <c r="J574" t="s">
        <v>51</v>
      </c>
      <c r="K574" t="s">
        <v>131</v>
      </c>
      <c r="L574" t="s">
        <v>108</v>
      </c>
      <c r="M574" t="s">
        <v>38</v>
      </c>
      <c r="N574" t="s">
        <v>303</v>
      </c>
      <c r="O574">
        <v>18</v>
      </c>
      <c r="P574">
        <v>2184.66</v>
      </c>
      <c r="Q574">
        <v>25</v>
      </c>
      <c r="R574" s="39">
        <v>9830.9699999999993</v>
      </c>
      <c r="S574" s="39">
        <v>29492.91</v>
      </c>
      <c r="T574" s="39">
        <v>1438.32</v>
      </c>
      <c r="U574" t="str">
        <f t="shared" si="19"/>
        <v>Clothing</v>
      </c>
      <c r="V574">
        <f t="shared" si="20"/>
        <v>1438.32</v>
      </c>
      <c r="W574" t="str">
        <f>IF(Sales[[#This Row],[Quantity]]&gt;=15, "Large","Small")</f>
        <v>Large</v>
      </c>
      <c r="X574" t="str">
        <f>IF(Sales[[#This Row],[Quantity]]&gt;=15,"Large",IF(Sales[[#This Row],[Quantity]]=14,"Medium","Small"))</f>
        <v>Large</v>
      </c>
      <c r="Y574" t="str">
        <f>IF(AND(Sales[[#This Row],[Unit Price (₦)]]&gt;68000,Sales[[#This Row],[Quantity]]&gt;15),"Offer Discount", "No Discount")</f>
        <v>No Discount</v>
      </c>
    </row>
    <row r="575" spans="1:25" ht="15" customHeight="1" x14ac:dyDescent="0.25">
      <c r="A575" t="s">
        <v>1584</v>
      </c>
      <c r="B575" s="8">
        <v>44898</v>
      </c>
      <c r="C575" s="8">
        <v>44899</v>
      </c>
      <c r="D575" t="s">
        <v>32</v>
      </c>
      <c r="E575" t="s">
        <v>3087</v>
      </c>
      <c r="F575" t="s">
        <v>3045</v>
      </c>
      <c r="G575" t="s">
        <v>1586</v>
      </c>
      <c r="H575">
        <v>9073532555</v>
      </c>
      <c r="I575" t="s">
        <v>43</v>
      </c>
      <c r="J575" t="s">
        <v>25</v>
      </c>
      <c r="K575" t="s">
        <v>44</v>
      </c>
      <c r="L575" t="s">
        <v>27</v>
      </c>
      <c r="M575" t="s">
        <v>79</v>
      </c>
      <c r="N575" t="s">
        <v>234</v>
      </c>
      <c r="O575">
        <v>14</v>
      </c>
      <c r="P575">
        <v>7789.49</v>
      </c>
      <c r="Q575">
        <v>15</v>
      </c>
      <c r="R575" s="39">
        <v>16357.93</v>
      </c>
      <c r="S575" s="39">
        <v>92694.93</v>
      </c>
      <c r="T575" s="39">
        <v>35360.31</v>
      </c>
      <c r="U575" t="str">
        <f t="shared" si="19"/>
        <v>Food &amp; Beverages</v>
      </c>
      <c r="V575">
        <f t="shared" si="20"/>
        <v>35360.31</v>
      </c>
      <c r="W575" t="str">
        <f>IF(Sales[[#This Row],[Quantity]]&gt;=15, "Large","Small")</f>
        <v>Small</v>
      </c>
      <c r="X575" t="str">
        <f>IF(Sales[[#This Row],[Quantity]]&gt;=15,"Large",IF(Sales[[#This Row],[Quantity]]=14,"Medium","Small"))</f>
        <v>Medium</v>
      </c>
      <c r="Y575" t="str">
        <f>IF(AND(Sales[[#This Row],[Unit Price (₦)]]&gt;68000,Sales[[#This Row],[Quantity]]&gt;15),"Offer Discount", "No Discount")</f>
        <v>No Discount</v>
      </c>
    </row>
    <row r="576" spans="1:25" ht="15" customHeight="1" x14ac:dyDescent="0.25">
      <c r="A576" t="s">
        <v>915</v>
      </c>
      <c r="B576" s="8">
        <v>44900</v>
      </c>
      <c r="C576" s="8">
        <v>44900</v>
      </c>
      <c r="D576" t="s">
        <v>32</v>
      </c>
      <c r="E576" t="s">
        <v>3089</v>
      </c>
      <c r="F576" t="s">
        <v>3074</v>
      </c>
      <c r="G576" t="s">
        <v>917</v>
      </c>
      <c r="H576">
        <v>7035666702</v>
      </c>
      <c r="I576" t="s">
        <v>43</v>
      </c>
      <c r="J576" t="s">
        <v>61</v>
      </c>
      <c r="K576" t="s">
        <v>84</v>
      </c>
      <c r="L576" t="s">
        <v>96</v>
      </c>
      <c r="M576" t="s">
        <v>254</v>
      </c>
      <c r="N576" t="s">
        <v>255</v>
      </c>
      <c r="O576">
        <v>13</v>
      </c>
      <c r="P576">
        <v>254465.57</v>
      </c>
      <c r="Q576">
        <v>15</v>
      </c>
      <c r="R576" s="39">
        <v>496207.86</v>
      </c>
      <c r="S576" s="39">
        <v>2811844.55</v>
      </c>
      <c r="T576" s="39">
        <v>956763.8</v>
      </c>
      <c r="U576" t="str">
        <f t="shared" si="19"/>
        <v>Technology</v>
      </c>
      <c r="V576">
        <f t="shared" si="20"/>
        <v>956763.8</v>
      </c>
      <c r="W576" t="str">
        <f>IF(Sales[[#This Row],[Quantity]]&gt;=15, "Large","Small")</f>
        <v>Small</v>
      </c>
      <c r="X576" t="str">
        <f>IF(Sales[[#This Row],[Quantity]]&gt;=15,"Large",IF(Sales[[#This Row],[Quantity]]=14,"Medium","Small"))</f>
        <v>Small</v>
      </c>
      <c r="Y576" t="str">
        <f>IF(AND(Sales[[#This Row],[Unit Price (₦)]]&gt;68000,Sales[[#This Row],[Quantity]]&gt;15),"Offer Discount", "No Discount")</f>
        <v>No Discount</v>
      </c>
    </row>
    <row r="577" spans="1:25" ht="15" customHeight="1" x14ac:dyDescent="0.25">
      <c r="A577" t="s">
        <v>1002</v>
      </c>
      <c r="B577" s="8">
        <v>44901</v>
      </c>
      <c r="C577" s="8">
        <v>44901</v>
      </c>
      <c r="D577" t="s">
        <v>32</v>
      </c>
      <c r="E577" t="s">
        <v>3044</v>
      </c>
      <c r="F577" t="s">
        <v>3075</v>
      </c>
      <c r="G577" t="s">
        <v>1004</v>
      </c>
      <c r="H577">
        <v>8133520615</v>
      </c>
      <c r="I577" t="s">
        <v>35</v>
      </c>
      <c r="J577" t="s">
        <v>25</v>
      </c>
      <c r="K577" t="s">
        <v>36</v>
      </c>
      <c r="L577" t="s">
        <v>85</v>
      </c>
      <c r="M577" t="s">
        <v>218</v>
      </c>
      <c r="N577" t="s">
        <v>1005</v>
      </c>
      <c r="O577">
        <v>4</v>
      </c>
      <c r="P577">
        <v>111547.49</v>
      </c>
      <c r="Q577">
        <v>5</v>
      </c>
      <c r="R577" s="39">
        <v>22309.5</v>
      </c>
      <c r="S577" s="39">
        <v>423880.46</v>
      </c>
      <c r="T577" s="39">
        <v>41865.910000000003</v>
      </c>
      <c r="U577" t="str">
        <f t="shared" si="19"/>
        <v>Furniture</v>
      </c>
      <c r="V577">
        <f t="shared" si="20"/>
        <v>41865.910000000003</v>
      </c>
      <c r="W577" t="str">
        <f>IF(Sales[[#This Row],[Quantity]]&gt;=15, "Large","Small")</f>
        <v>Small</v>
      </c>
      <c r="X577" t="str">
        <f>IF(Sales[[#This Row],[Quantity]]&gt;=15,"Large",IF(Sales[[#This Row],[Quantity]]=14,"Medium","Small"))</f>
        <v>Small</v>
      </c>
      <c r="Y577" t="str">
        <f>IF(AND(Sales[[#This Row],[Unit Price (₦)]]&gt;68000,Sales[[#This Row],[Quantity]]&gt;15),"Offer Discount", "No Discount")</f>
        <v>No Discount</v>
      </c>
    </row>
    <row r="578" spans="1:25" ht="15" customHeight="1" x14ac:dyDescent="0.25">
      <c r="A578" t="s">
        <v>1289</v>
      </c>
      <c r="B578" s="8">
        <v>44908</v>
      </c>
      <c r="C578" s="8">
        <v>44908</v>
      </c>
      <c r="D578" t="s">
        <v>32</v>
      </c>
      <c r="E578" t="s">
        <v>3076</v>
      </c>
      <c r="F578" t="s">
        <v>3079</v>
      </c>
      <c r="G578" t="s">
        <v>1291</v>
      </c>
      <c r="H578">
        <v>8169132926</v>
      </c>
      <c r="I578" t="s">
        <v>24</v>
      </c>
      <c r="J578" t="s">
        <v>51</v>
      </c>
      <c r="K578" t="s">
        <v>52</v>
      </c>
      <c r="L578" t="s">
        <v>96</v>
      </c>
      <c r="M578" t="s">
        <v>385</v>
      </c>
      <c r="N578" t="s">
        <v>1010</v>
      </c>
      <c r="O578">
        <v>9</v>
      </c>
      <c r="P578">
        <v>48435.08</v>
      </c>
      <c r="Q578">
        <v>10</v>
      </c>
      <c r="R578" s="39">
        <v>43591.57</v>
      </c>
      <c r="S578" s="39">
        <v>392324.15</v>
      </c>
      <c r="T578" s="39">
        <f>T577</f>
        <v>41865.910000000003</v>
      </c>
      <c r="U578" t="str">
        <f t="shared" ref="U578:U641" si="21">PROPER(L578)</f>
        <v>Technology</v>
      </c>
      <c r="V578">
        <f t="shared" si="20"/>
        <v>41865.910000000003</v>
      </c>
      <c r="W578" t="str">
        <f>IF(Sales[[#This Row],[Quantity]]&gt;=15, "Large","Small")</f>
        <v>Small</v>
      </c>
      <c r="X578" t="str">
        <f>IF(Sales[[#This Row],[Quantity]]&gt;=15,"Large",IF(Sales[[#This Row],[Quantity]]=14,"Medium","Small"))</f>
        <v>Small</v>
      </c>
      <c r="Y578" t="str">
        <f>IF(AND(Sales[[#This Row],[Unit Price (₦)]]&gt;68000,Sales[[#This Row],[Quantity]]&gt;15),"Offer Discount", "No Discount")</f>
        <v>No Discount</v>
      </c>
    </row>
    <row r="579" spans="1:25" ht="15" customHeight="1" x14ac:dyDescent="0.25">
      <c r="A579" t="s">
        <v>2567</v>
      </c>
      <c r="B579" s="8">
        <v>44908</v>
      </c>
      <c r="C579" s="8">
        <v>44909</v>
      </c>
      <c r="D579" t="s">
        <v>32</v>
      </c>
      <c r="E579" t="s">
        <v>3061</v>
      </c>
      <c r="F579" t="s">
        <v>3052</v>
      </c>
      <c r="G579" t="s">
        <v>602</v>
      </c>
      <c r="H579">
        <v>8151393330</v>
      </c>
      <c r="I579" t="s">
        <v>24</v>
      </c>
      <c r="J579" t="s">
        <v>69</v>
      </c>
      <c r="K579" t="s">
        <v>307</v>
      </c>
      <c r="L579" t="s">
        <v>108</v>
      </c>
      <c r="M579" t="s">
        <v>38</v>
      </c>
      <c r="N579" t="s">
        <v>303</v>
      </c>
      <c r="O579">
        <v>8</v>
      </c>
      <c r="P579">
        <v>4236.4799999999996</v>
      </c>
      <c r="Q579">
        <v>10</v>
      </c>
      <c r="R579" s="39">
        <v>3389.18</v>
      </c>
      <c r="S579" s="39">
        <v>30502.66</v>
      </c>
      <c r="T579" s="39">
        <v>240</v>
      </c>
      <c r="U579" t="str">
        <f t="shared" si="21"/>
        <v>Clothing</v>
      </c>
      <c r="V579">
        <f t="shared" ref="V579:V642" si="22">ABS(T579)</f>
        <v>240</v>
      </c>
      <c r="W579" t="str">
        <f>IF(Sales[[#This Row],[Quantity]]&gt;=15, "Large","Small")</f>
        <v>Small</v>
      </c>
      <c r="X579" t="str">
        <f>IF(Sales[[#This Row],[Quantity]]&gt;=15,"Large",IF(Sales[[#This Row],[Quantity]]=14,"Medium","Small"))</f>
        <v>Small</v>
      </c>
      <c r="Y579" t="str">
        <f>IF(AND(Sales[[#This Row],[Unit Price (₦)]]&gt;68000,Sales[[#This Row],[Quantity]]&gt;15),"Offer Discount", "No Discount")</f>
        <v>No Discount</v>
      </c>
    </row>
    <row r="580" spans="1:25" ht="15" customHeight="1" x14ac:dyDescent="0.25">
      <c r="A580" t="s">
        <v>1652</v>
      </c>
      <c r="B580" s="8">
        <v>44911</v>
      </c>
      <c r="C580" s="8">
        <v>44911</v>
      </c>
      <c r="D580" t="s">
        <v>32</v>
      </c>
      <c r="E580" t="s">
        <v>3094</v>
      </c>
      <c r="F580" t="s">
        <v>3069</v>
      </c>
      <c r="G580" t="s">
        <v>222</v>
      </c>
      <c r="H580">
        <v>8063151617</v>
      </c>
      <c r="I580" t="s">
        <v>43</v>
      </c>
      <c r="J580" t="s">
        <v>69</v>
      </c>
      <c r="K580" t="s">
        <v>307</v>
      </c>
      <c r="L580" t="s">
        <v>96</v>
      </c>
      <c r="M580" t="s">
        <v>385</v>
      </c>
      <c r="N580" t="s">
        <v>386</v>
      </c>
      <c r="O580">
        <v>8</v>
      </c>
      <c r="P580">
        <v>421100.08</v>
      </c>
      <c r="Q580">
        <v>25</v>
      </c>
      <c r="R580" s="39">
        <v>842200.16</v>
      </c>
      <c r="S580" s="39">
        <v>2526600.48</v>
      </c>
      <c r="T580" s="39">
        <v>725991.66</v>
      </c>
      <c r="U580" t="str">
        <f t="shared" si="21"/>
        <v>Technology</v>
      </c>
      <c r="V580">
        <f t="shared" si="22"/>
        <v>725991.66</v>
      </c>
      <c r="W580" t="str">
        <f>IF(Sales[[#This Row],[Quantity]]&gt;=15, "Large","Small")</f>
        <v>Small</v>
      </c>
      <c r="X580" t="str">
        <f>IF(Sales[[#This Row],[Quantity]]&gt;=15,"Large",IF(Sales[[#This Row],[Quantity]]=14,"Medium","Small"))</f>
        <v>Small</v>
      </c>
      <c r="Y580" t="str">
        <f>IF(AND(Sales[[#This Row],[Unit Price (₦)]]&gt;68000,Sales[[#This Row],[Quantity]]&gt;15),"Offer Discount", "No Discount")</f>
        <v>No Discount</v>
      </c>
    </row>
    <row r="581" spans="1:25" ht="15" customHeight="1" x14ac:dyDescent="0.25">
      <c r="A581" t="s">
        <v>2562</v>
      </c>
      <c r="B581" s="8">
        <v>44911</v>
      </c>
      <c r="C581" s="8">
        <v>44911</v>
      </c>
      <c r="D581" t="s">
        <v>32</v>
      </c>
      <c r="E581" t="s">
        <v>3035</v>
      </c>
      <c r="F581" t="s">
        <v>3078</v>
      </c>
      <c r="G581" t="s">
        <v>2564</v>
      </c>
      <c r="H581">
        <v>8144050662</v>
      </c>
      <c r="I581" t="s">
        <v>43</v>
      </c>
      <c r="J581" t="s">
        <v>69</v>
      </c>
      <c r="K581" t="s">
        <v>70</v>
      </c>
      <c r="L581" t="s">
        <v>108</v>
      </c>
      <c r="M581" t="s">
        <v>114</v>
      </c>
      <c r="N581" t="s">
        <v>115</v>
      </c>
      <c r="O581">
        <v>19</v>
      </c>
      <c r="P581">
        <v>42703.98</v>
      </c>
      <c r="Q581">
        <v>10</v>
      </c>
      <c r="R581" s="39">
        <v>81137.56</v>
      </c>
      <c r="S581" s="39">
        <v>730238.06</v>
      </c>
      <c r="T581" s="39">
        <v>278485.28000000003</v>
      </c>
      <c r="U581" t="str">
        <f t="shared" si="21"/>
        <v>Clothing</v>
      </c>
      <c r="V581">
        <f t="shared" si="22"/>
        <v>278485.28000000003</v>
      </c>
      <c r="W581" t="str">
        <f>IF(Sales[[#This Row],[Quantity]]&gt;=15, "Large","Small")</f>
        <v>Large</v>
      </c>
      <c r="X581" t="str">
        <f>IF(Sales[[#This Row],[Quantity]]&gt;=15,"Large",IF(Sales[[#This Row],[Quantity]]=14,"Medium","Small"))</f>
        <v>Large</v>
      </c>
      <c r="Y581" t="str">
        <f>IF(AND(Sales[[#This Row],[Unit Price (₦)]]&gt;68000,Sales[[#This Row],[Quantity]]&gt;15),"Offer Discount", "No Discount")</f>
        <v>No Discount</v>
      </c>
    </row>
    <row r="582" spans="1:25" ht="15" customHeight="1" x14ac:dyDescent="0.25">
      <c r="A582" t="s">
        <v>2243</v>
      </c>
      <c r="B582" s="8">
        <v>44911</v>
      </c>
      <c r="C582" s="8">
        <v>44912</v>
      </c>
      <c r="D582" t="s">
        <v>32</v>
      </c>
      <c r="E582" t="s">
        <v>3033</v>
      </c>
      <c r="F582" t="s">
        <v>3034</v>
      </c>
      <c r="G582" t="s">
        <v>2244</v>
      </c>
      <c r="H582">
        <v>7061155332</v>
      </c>
      <c r="I582" t="s">
        <v>43</v>
      </c>
      <c r="J582" t="s">
        <v>25</v>
      </c>
      <c r="K582" t="s">
        <v>26</v>
      </c>
      <c r="L582" t="s">
        <v>63</v>
      </c>
      <c r="M582" t="s">
        <v>249</v>
      </c>
      <c r="N582" t="s">
        <v>329</v>
      </c>
      <c r="O582">
        <v>9</v>
      </c>
      <c r="P582">
        <v>24895.74</v>
      </c>
      <c r="Q582">
        <v>25</v>
      </c>
      <c r="R582" s="39">
        <v>56015.42</v>
      </c>
      <c r="S582" s="39">
        <v>168046.24</v>
      </c>
      <c r="T582" s="39">
        <f>T581</f>
        <v>278485.28000000003</v>
      </c>
      <c r="U582" t="str">
        <f t="shared" si="21"/>
        <v>Office Supplies</v>
      </c>
      <c r="V582">
        <f t="shared" si="22"/>
        <v>278485.28000000003</v>
      </c>
      <c r="W582" t="str">
        <f>IF(Sales[[#This Row],[Quantity]]&gt;=15, "Large","Small")</f>
        <v>Small</v>
      </c>
      <c r="X582" t="str">
        <f>IF(Sales[[#This Row],[Quantity]]&gt;=15,"Large",IF(Sales[[#This Row],[Quantity]]=14,"Medium","Small"))</f>
        <v>Small</v>
      </c>
      <c r="Y582" t="str">
        <f>IF(AND(Sales[[#This Row],[Unit Price (₦)]]&gt;68000,Sales[[#This Row],[Quantity]]&gt;15),"Offer Discount", "No Discount")</f>
        <v>No Discount</v>
      </c>
    </row>
    <row r="583" spans="1:25" ht="15" customHeight="1" x14ac:dyDescent="0.25">
      <c r="A583" t="s">
        <v>1360</v>
      </c>
      <c r="B583" s="8">
        <v>44912</v>
      </c>
      <c r="C583" s="8">
        <v>44913</v>
      </c>
      <c r="D583" t="s">
        <v>32</v>
      </c>
      <c r="E583" t="s">
        <v>3067</v>
      </c>
      <c r="F583" t="s">
        <v>3064</v>
      </c>
      <c r="G583" t="s">
        <v>1362</v>
      </c>
      <c r="H583">
        <v>9023851044</v>
      </c>
      <c r="I583" t="s">
        <v>43</v>
      </c>
      <c r="J583" t="s">
        <v>25</v>
      </c>
      <c r="K583" t="s">
        <v>168</v>
      </c>
      <c r="L583" t="s">
        <v>27</v>
      </c>
      <c r="M583" t="s">
        <v>173</v>
      </c>
      <c r="N583" t="s">
        <v>380</v>
      </c>
      <c r="O583">
        <v>17</v>
      </c>
      <c r="P583">
        <v>965.85</v>
      </c>
      <c r="Q583">
        <v>20</v>
      </c>
      <c r="R583" s="39">
        <v>3283.89</v>
      </c>
      <c r="S583" s="39">
        <v>13135.56</v>
      </c>
      <c r="T583" s="39">
        <v>4824.95</v>
      </c>
      <c r="U583" t="str">
        <f t="shared" si="21"/>
        <v>Food &amp; Beverages</v>
      </c>
      <c r="V583">
        <f t="shared" si="22"/>
        <v>4824.95</v>
      </c>
      <c r="W583" t="str">
        <f>IF(Sales[[#This Row],[Quantity]]&gt;=15, "Large","Small")</f>
        <v>Large</v>
      </c>
      <c r="X583" t="str">
        <f>IF(Sales[[#This Row],[Quantity]]&gt;=15,"Large",IF(Sales[[#This Row],[Quantity]]=14,"Medium","Small"))</f>
        <v>Large</v>
      </c>
      <c r="Y583" t="str">
        <f>IF(AND(Sales[[#This Row],[Unit Price (₦)]]&gt;68000,Sales[[#This Row],[Quantity]]&gt;15),"Offer Discount", "No Discount")</f>
        <v>No Discount</v>
      </c>
    </row>
    <row r="584" spans="1:25" ht="15" customHeight="1" x14ac:dyDescent="0.25">
      <c r="A584" t="s">
        <v>333</v>
      </c>
      <c r="B584" s="8">
        <v>44921</v>
      </c>
      <c r="C584" s="8">
        <v>44921</v>
      </c>
      <c r="D584" t="s">
        <v>32</v>
      </c>
      <c r="E584" t="s">
        <v>3033</v>
      </c>
      <c r="F584" t="s">
        <v>3079</v>
      </c>
      <c r="G584" t="s">
        <v>335</v>
      </c>
      <c r="H584">
        <v>8159418719</v>
      </c>
      <c r="I584" t="s">
        <v>24</v>
      </c>
      <c r="J584" t="s">
        <v>51</v>
      </c>
      <c r="K584" t="s">
        <v>223</v>
      </c>
      <c r="L584" t="s">
        <v>63</v>
      </c>
      <c r="M584" t="s">
        <v>194</v>
      </c>
      <c r="N584" t="s">
        <v>336</v>
      </c>
      <c r="O584">
        <v>16</v>
      </c>
      <c r="P584">
        <v>6795.77</v>
      </c>
      <c r="Q584">
        <v>10</v>
      </c>
      <c r="R584" s="39">
        <v>10873.23</v>
      </c>
      <c r="S584" s="39">
        <v>97859.09</v>
      </c>
      <c r="T584" s="39">
        <v>29155.71</v>
      </c>
      <c r="U584" t="str">
        <f t="shared" si="21"/>
        <v>Office Supplies</v>
      </c>
      <c r="V584">
        <f t="shared" si="22"/>
        <v>29155.71</v>
      </c>
      <c r="W584" t="str">
        <f>IF(Sales[[#This Row],[Quantity]]&gt;=15, "Large","Small")</f>
        <v>Large</v>
      </c>
      <c r="X584" t="str">
        <f>IF(Sales[[#This Row],[Quantity]]&gt;=15,"Large",IF(Sales[[#This Row],[Quantity]]=14,"Medium","Small"))</f>
        <v>Large</v>
      </c>
      <c r="Y584" t="str">
        <f>IF(AND(Sales[[#This Row],[Unit Price (₦)]]&gt;68000,Sales[[#This Row],[Quantity]]&gt;15),"Offer Discount", "No Discount")</f>
        <v>No Discount</v>
      </c>
    </row>
    <row r="585" spans="1:25" ht="15" customHeight="1" x14ac:dyDescent="0.25">
      <c r="A585" t="s">
        <v>953</v>
      </c>
      <c r="B585" s="8">
        <v>44925</v>
      </c>
      <c r="C585" s="8">
        <v>44925</v>
      </c>
      <c r="D585" t="s">
        <v>32</v>
      </c>
      <c r="E585" t="s">
        <v>3065</v>
      </c>
      <c r="F585" t="s">
        <v>3062</v>
      </c>
      <c r="G585" t="s">
        <v>955</v>
      </c>
      <c r="H585">
        <v>7061681729</v>
      </c>
      <c r="I585" t="s">
        <v>43</v>
      </c>
      <c r="J585" t="s">
        <v>61</v>
      </c>
      <c r="K585" t="s">
        <v>62</v>
      </c>
      <c r="L585" t="s">
        <v>108</v>
      </c>
      <c r="M585" t="s">
        <v>38</v>
      </c>
      <c r="N585" t="s">
        <v>296</v>
      </c>
      <c r="O585">
        <v>6</v>
      </c>
      <c r="P585">
        <v>13362.3</v>
      </c>
      <c r="Q585">
        <v>10</v>
      </c>
      <c r="R585" s="39">
        <v>8017.38</v>
      </c>
      <c r="S585" s="39">
        <v>72156.42</v>
      </c>
      <c r="T585" s="39">
        <v>-10579.06</v>
      </c>
      <c r="U585" t="str">
        <f t="shared" si="21"/>
        <v>Clothing</v>
      </c>
      <c r="V585">
        <f t="shared" si="22"/>
        <v>10579.06</v>
      </c>
      <c r="W585" t="str">
        <f>IF(Sales[[#This Row],[Quantity]]&gt;=15, "Large","Small")</f>
        <v>Small</v>
      </c>
      <c r="X585" t="str">
        <f>IF(Sales[[#This Row],[Quantity]]&gt;=15,"Large",IF(Sales[[#This Row],[Quantity]]=14,"Medium","Small"))</f>
        <v>Small</v>
      </c>
      <c r="Y585" t="str">
        <f>IF(AND(Sales[[#This Row],[Unit Price (₦)]]&gt;68000,Sales[[#This Row],[Quantity]]&gt;15),"Offer Discount", "No Discount")</f>
        <v>No Discount</v>
      </c>
    </row>
    <row r="586" spans="1:25" ht="15" customHeight="1" x14ac:dyDescent="0.25">
      <c r="A586" t="s">
        <v>2368</v>
      </c>
      <c r="B586" s="8">
        <v>44925</v>
      </c>
      <c r="C586" s="8">
        <v>44925</v>
      </c>
      <c r="D586" t="s">
        <v>32</v>
      </c>
      <c r="E586" t="s">
        <v>3080</v>
      </c>
      <c r="F586" t="s">
        <v>3036</v>
      </c>
      <c r="G586" t="s">
        <v>2369</v>
      </c>
      <c r="H586">
        <v>8064187908</v>
      </c>
      <c r="I586" t="s">
        <v>35</v>
      </c>
      <c r="J586" t="s">
        <v>61</v>
      </c>
      <c r="K586" t="s">
        <v>62</v>
      </c>
      <c r="L586" t="s">
        <v>96</v>
      </c>
      <c r="M586" t="s">
        <v>385</v>
      </c>
      <c r="N586" t="s">
        <v>1010</v>
      </c>
      <c r="O586">
        <v>7</v>
      </c>
      <c r="P586">
        <v>146700.97</v>
      </c>
      <c r="Q586">
        <v>5</v>
      </c>
      <c r="R586" s="39">
        <v>51345.34</v>
      </c>
      <c r="S586" s="39">
        <v>975561.45</v>
      </c>
      <c r="T586" s="39">
        <v>-3546.79</v>
      </c>
      <c r="U586" t="str">
        <f t="shared" si="21"/>
        <v>Technology</v>
      </c>
      <c r="V586">
        <f t="shared" si="22"/>
        <v>3546.79</v>
      </c>
      <c r="W586" t="str">
        <f>IF(Sales[[#This Row],[Quantity]]&gt;=15, "Large","Small")</f>
        <v>Small</v>
      </c>
      <c r="X586" t="str">
        <f>IF(Sales[[#This Row],[Quantity]]&gt;=15,"Large",IF(Sales[[#This Row],[Quantity]]=14,"Medium","Small"))</f>
        <v>Small</v>
      </c>
      <c r="Y586" t="str">
        <f>IF(AND(Sales[[#This Row],[Unit Price (₦)]]&gt;68000,Sales[[#This Row],[Quantity]]&gt;15),"Offer Discount", "No Discount")</f>
        <v>No Discount</v>
      </c>
    </row>
    <row r="587" spans="1:25" ht="15" customHeight="1" x14ac:dyDescent="0.25">
      <c r="A587" t="s">
        <v>1356</v>
      </c>
      <c r="B587" s="8">
        <v>44926</v>
      </c>
      <c r="C587" s="8">
        <v>44927</v>
      </c>
      <c r="D587" t="s">
        <v>32</v>
      </c>
      <c r="E587" t="s">
        <v>3073</v>
      </c>
      <c r="F587" t="s">
        <v>3054</v>
      </c>
      <c r="G587" t="s">
        <v>1359</v>
      </c>
      <c r="H587">
        <v>9014257379</v>
      </c>
      <c r="I587" t="s">
        <v>35</v>
      </c>
      <c r="J587" t="s">
        <v>69</v>
      </c>
      <c r="K587" t="s">
        <v>119</v>
      </c>
      <c r="L587" t="s">
        <v>63</v>
      </c>
      <c r="M587" t="s">
        <v>558</v>
      </c>
      <c r="N587" t="s">
        <v>680</v>
      </c>
      <c r="O587">
        <v>2</v>
      </c>
      <c r="P587">
        <v>8729.34</v>
      </c>
      <c r="Q587">
        <v>0</v>
      </c>
      <c r="R587" s="39">
        <v>0</v>
      </c>
      <c r="S587" s="39">
        <v>17458.68</v>
      </c>
      <c r="T587" s="39">
        <v>320.58</v>
      </c>
      <c r="U587" t="str">
        <f t="shared" si="21"/>
        <v>Office Supplies</v>
      </c>
      <c r="V587">
        <f t="shared" si="22"/>
        <v>320.58</v>
      </c>
      <c r="W587" t="str">
        <f>IF(Sales[[#This Row],[Quantity]]&gt;=15, "Large","Small")</f>
        <v>Small</v>
      </c>
      <c r="X587" t="str">
        <f>IF(Sales[[#This Row],[Quantity]]&gt;=15,"Large",IF(Sales[[#This Row],[Quantity]]=14,"Medium","Small"))</f>
        <v>Small</v>
      </c>
      <c r="Y587" t="str">
        <f>IF(AND(Sales[[#This Row],[Unit Price (₦)]]&gt;68000,Sales[[#This Row],[Quantity]]&gt;15),"Offer Discount", "No Discount")</f>
        <v>No Discount</v>
      </c>
    </row>
    <row r="588" spans="1:25" ht="15" customHeight="1" x14ac:dyDescent="0.25">
      <c r="A588" t="s">
        <v>909</v>
      </c>
      <c r="B588" s="8">
        <v>44933</v>
      </c>
      <c r="C588" s="8">
        <v>44934</v>
      </c>
      <c r="D588" t="s">
        <v>32</v>
      </c>
      <c r="E588" t="s">
        <v>3097</v>
      </c>
      <c r="F588" t="s">
        <v>3088</v>
      </c>
      <c r="G588" t="s">
        <v>911</v>
      </c>
      <c r="H588">
        <v>8033192032</v>
      </c>
      <c r="I588" t="s">
        <v>24</v>
      </c>
      <c r="J588" t="s">
        <v>69</v>
      </c>
      <c r="K588" t="s">
        <v>155</v>
      </c>
      <c r="L588" t="s">
        <v>108</v>
      </c>
      <c r="M588" t="s">
        <v>183</v>
      </c>
      <c r="N588" t="s">
        <v>719</v>
      </c>
      <c r="O588">
        <v>15</v>
      </c>
      <c r="P588">
        <v>40166.54</v>
      </c>
      <c r="Q588">
        <v>0</v>
      </c>
      <c r="R588" s="39">
        <v>0</v>
      </c>
      <c r="S588" s="39">
        <v>602498.1</v>
      </c>
      <c r="T588" s="39">
        <v>-67478.81</v>
      </c>
      <c r="U588" t="str">
        <f t="shared" si="21"/>
        <v>Clothing</v>
      </c>
      <c r="V588">
        <f t="shared" si="22"/>
        <v>67478.81</v>
      </c>
      <c r="W588" t="str">
        <f>IF(Sales[[#This Row],[Quantity]]&gt;=15, "Large","Small")</f>
        <v>Large</v>
      </c>
      <c r="X588" t="str">
        <f>IF(Sales[[#This Row],[Quantity]]&gt;=15,"Large",IF(Sales[[#This Row],[Quantity]]=14,"Medium","Small"))</f>
        <v>Large</v>
      </c>
      <c r="Y588" t="str">
        <f>IF(AND(Sales[[#This Row],[Unit Price (₦)]]&gt;68000,Sales[[#This Row],[Quantity]]&gt;15),"Offer Discount", "No Discount")</f>
        <v>No Discount</v>
      </c>
    </row>
    <row r="589" spans="1:25" ht="15" customHeight="1" x14ac:dyDescent="0.25">
      <c r="A589" t="s">
        <v>2494</v>
      </c>
      <c r="B589" s="8">
        <v>44934</v>
      </c>
      <c r="C589" s="8">
        <v>44934</v>
      </c>
      <c r="D589" t="s">
        <v>32</v>
      </c>
      <c r="E589" t="s">
        <v>3097</v>
      </c>
      <c r="F589" t="s">
        <v>3038</v>
      </c>
      <c r="G589" t="s">
        <v>2496</v>
      </c>
      <c r="H589">
        <v>9057277502</v>
      </c>
      <c r="I589" t="s">
        <v>24</v>
      </c>
      <c r="J589" t="s">
        <v>61</v>
      </c>
      <c r="K589" t="s">
        <v>62</v>
      </c>
      <c r="L589" t="s">
        <v>27</v>
      </c>
      <c r="M589" t="s">
        <v>354</v>
      </c>
      <c r="N589" t="s">
        <v>433</v>
      </c>
      <c r="O589">
        <v>6</v>
      </c>
      <c r="P589">
        <v>5739.03</v>
      </c>
      <c r="Q589">
        <v>25</v>
      </c>
      <c r="R589" s="39">
        <v>8608.5499999999993</v>
      </c>
      <c r="S589" s="39">
        <v>25825.63</v>
      </c>
      <c r="T589" s="39">
        <v>-1567.36</v>
      </c>
      <c r="U589" t="str">
        <f t="shared" si="21"/>
        <v>Food &amp; Beverages</v>
      </c>
      <c r="V589">
        <f t="shared" si="22"/>
        <v>1567.36</v>
      </c>
      <c r="W589" t="str">
        <f>IF(Sales[[#This Row],[Quantity]]&gt;=15, "Large","Small")</f>
        <v>Small</v>
      </c>
      <c r="X589" t="str">
        <f>IF(Sales[[#This Row],[Quantity]]&gt;=15,"Large",IF(Sales[[#This Row],[Quantity]]=14,"Medium","Small"))</f>
        <v>Small</v>
      </c>
      <c r="Y589" t="str">
        <f>IF(AND(Sales[[#This Row],[Unit Price (₦)]]&gt;68000,Sales[[#This Row],[Quantity]]&gt;15),"Offer Discount", "No Discount")</f>
        <v>No Discount</v>
      </c>
    </row>
    <row r="590" spans="1:25" ht="15" customHeight="1" x14ac:dyDescent="0.25">
      <c r="A590" t="s">
        <v>456</v>
      </c>
      <c r="B590" s="8">
        <v>44935</v>
      </c>
      <c r="C590" s="8">
        <v>44935</v>
      </c>
      <c r="D590" t="s">
        <v>32</v>
      </c>
      <c r="E590" t="s">
        <v>3044</v>
      </c>
      <c r="F590" t="s">
        <v>3078</v>
      </c>
      <c r="G590" t="s">
        <v>458</v>
      </c>
      <c r="H590">
        <v>8035923149</v>
      </c>
      <c r="I590" t="s">
        <v>24</v>
      </c>
      <c r="J590" t="s">
        <v>61</v>
      </c>
      <c r="K590" t="s">
        <v>204</v>
      </c>
      <c r="L590" t="s">
        <v>85</v>
      </c>
      <c r="M590" t="s">
        <v>86</v>
      </c>
      <c r="N590" t="s">
        <v>87</v>
      </c>
      <c r="O590">
        <v>11</v>
      </c>
      <c r="P590">
        <v>160355.95000000001</v>
      </c>
      <c r="Q590">
        <v>10</v>
      </c>
      <c r="R590" s="39">
        <v>176391.55</v>
      </c>
      <c r="S590" s="39">
        <v>1587523.9</v>
      </c>
      <c r="T590" s="39">
        <v>252781.67</v>
      </c>
      <c r="U590" t="str">
        <f t="shared" si="21"/>
        <v>Furniture</v>
      </c>
      <c r="V590">
        <f t="shared" si="22"/>
        <v>252781.67</v>
      </c>
      <c r="W590" t="str">
        <f>IF(Sales[[#This Row],[Quantity]]&gt;=15, "Large","Small")</f>
        <v>Small</v>
      </c>
      <c r="X590" t="str">
        <f>IF(Sales[[#This Row],[Quantity]]&gt;=15,"Large",IF(Sales[[#This Row],[Quantity]]=14,"Medium","Small"))</f>
        <v>Small</v>
      </c>
      <c r="Y590" t="str">
        <f>IF(AND(Sales[[#This Row],[Unit Price (₦)]]&gt;68000,Sales[[#This Row],[Quantity]]&gt;15),"Offer Discount", "No Discount")</f>
        <v>No Discount</v>
      </c>
    </row>
    <row r="591" spans="1:25" ht="15" customHeight="1" x14ac:dyDescent="0.25">
      <c r="A591" t="s">
        <v>1851</v>
      </c>
      <c r="B591" s="8">
        <v>44936</v>
      </c>
      <c r="C591" s="8">
        <v>44937</v>
      </c>
      <c r="D591" t="s">
        <v>32</v>
      </c>
      <c r="E591" t="s">
        <v>3097</v>
      </c>
      <c r="F591" t="s">
        <v>3079</v>
      </c>
      <c r="G591" t="s">
        <v>1702</v>
      </c>
      <c r="H591">
        <v>8155812035</v>
      </c>
      <c r="I591" t="s">
        <v>43</v>
      </c>
      <c r="J591" t="s">
        <v>61</v>
      </c>
      <c r="K591" t="s">
        <v>84</v>
      </c>
      <c r="L591" t="s">
        <v>63</v>
      </c>
      <c r="M591" t="s">
        <v>64</v>
      </c>
      <c r="N591" t="s">
        <v>777</v>
      </c>
      <c r="O591">
        <v>8</v>
      </c>
      <c r="P591">
        <v>23571.09</v>
      </c>
      <c r="Q591">
        <v>10</v>
      </c>
      <c r="R591" s="39">
        <v>18856.87</v>
      </c>
      <c r="S591" s="39">
        <v>169711.85</v>
      </c>
      <c r="T591" s="39">
        <v>39268.120000000003</v>
      </c>
      <c r="U591" t="str">
        <f t="shared" si="21"/>
        <v>Office Supplies</v>
      </c>
      <c r="V591">
        <f t="shared" si="22"/>
        <v>39268.120000000003</v>
      </c>
      <c r="W591" t="str">
        <f>IF(Sales[[#This Row],[Quantity]]&gt;=15, "Large","Small")</f>
        <v>Small</v>
      </c>
      <c r="X591" t="str">
        <f>IF(Sales[[#This Row],[Quantity]]&gt;=15,"Large",IF(Sales[[#This Row],[Quantity]]=14,"Medium","Small"))</f>
        <v>Small</v>
      </c>
      <c r="Y591" t="str">
        <f>IF(AND(Sales[[#This Row],[Unit Price (₦)]]&gt;68000,Sales[[#This Row],[Quantity]]&gt;15),"Offer Discount", "No Discount")</f>
        <v>No Discount</v>
      </c>
    </row>
    <row r="592" spans="1:25" ht="15" customHeight="1" x14ac:dyDescent="0.25">
      <c r="A592" t="s">
        <v>555</v>
      </c>
      <c r="B592" s="8">
        <v>44943</v>
      </c>
      <c r="C592" s="8">
        <v>44944</v>
      </c>
      <c r="D592" t="s">
        <v>32</v>
      </c>
      <c r="E592" t="s">
        <v>3063</v>
      </c>
      <c r="F592" t="s">
        <v>3046</v>
      </c>
      <c r="G592" t="s">
        <v>557</v>
      </c>
      <c r="H592">
        <v>9052800206</v>
      </c>
      <c r="I592" t="s">
        <v>43</v>
      </c>
      <c r="J592" t="s">
        <v>61</v>
      </c>
      <c r="K592" t="s">
        <v>95</v>
      </c>
      <c r="L592" t="s">
        <v>63</v>
      </c>
      <c r="M592" t="s">
        <v>558</v>
      </c>
      <c r="N592" t="s">
        <v>559</v>
      </c>
      <c r="O592">
        <v>18</v>
      </c>
      <c r="P592">
        <v>24732.94</v>
      </c>
      <c r="Q592">
        <v>25</v>
      </c>
      <c r="R592" s="39">
        <v>111298.23</v>
      </c>
      <c r="S592" s="39">
        <v>333894.69</v>
      </c>
      <c r="T592" s="39">
        <v>48864.639999999999</v>
      </c>
      <c r="U592" t="str">
        <f t="shared" si="21"/>
        <v>Office Supplies</v>
      </c>
      <c r="V592">
        <f t="shared" si="22"/>
        <v>48864.639999999999</v>
      </c>
      <c r="W592" t="str">
        <f>IF(Sales[[#This Row],[Quantity]]&gt;=15, "Large","Small")</f>
        <v>Large</v>
      </c>
      <c r="X592" t="str">
        <f>IF(Sales[[#This Row],[Quantity]]&gt;=15,"Large",IF(Sales[[#This Row],[Quantity]]=14,"Medium","Small"))</f>
        <v>Large</v>
      </c>
      <c r="Y592" t="str">
        <f>IF(AND(Sales[[#This Row],[Unit Price (₦)]]&gt;68000,Sales[[#This Row],[Quantity]]&gt;15),"Offer Discount", "No Discount")</f>
        <v>No Discount</v>
      </c>
    </row>
    <row r="593" spans="1:25" ht="15" customHeight="1" x14ac:dyDescent="0.25">
      <c r="A593" t="s">
        <v>2806</v>
      </c>
      <c r="B593" s="8">
        <v>44947</v>
      </c>
      <c r="C593" s="8">
        <v>44947</v>
      </c>
      <c r="D593" t="s">
        <v>32</v>
      </c>
      <c r="E593" t="s">
        <v>3094</v>
      </c>
      <c r="F593" t="s">
        <v>3039</v>
      </c>
      <c r="G593" t="s">
        <v>2807</v>
      </c>
      <c r="H593">
        <v>9077250140</v>
      </c>
      <c r="I593" t="s">
        <v>35</v>
      </c>
      <c r="J593" t="s">
        <v>61</v>
      </c>
      <c r="K593" t="s">
        <v>95</v>
      </c>
      <c r="L593" t="s">
        <v>63</v>
      </c>
      <c r="M593" t="s">
        <v>64</v>
      </c>
      <c r="N593" t="s">
        <v>815</v>
      </c>
      <c r="O593">
        <v>15</v>
      </c>
      <c r="P593">
        <v>24254.799999999999</v>
      </c>
      <c r="Q593">
        <v>0</v>
      </c>
      <c r="R593" s="39">
        <v>0</v>
      </c>
      <c r="S593" s="39">
        <v>363822</v>
      </c>
      <c r="T593" s="39">
        <v>-25304.63</v>
      </c>
      <c r="U593" t="str">
        <f t="shared" si="21"/>
        <v>Office Supplies</v>
      </c>
      <c r="V593">
        <f t="shared" si="22"/>
        <v>25304.63</v>
      </c>
      <c r="W593" t="str">
        <f>IF(Sales[[#This Row],[Quantity]]&gt;=15, "Large","Small")</f>
        <v>Large</v>
      </c>
      <c r="X593" t="str">
        <f>IF(Sales[[#This Row],[Quantity]]&gt;=15,"Large",IF(Sales[[#This Row],[Quantity]]=14,"Medium","Small"))</f>
        <v>Large</v>
      </c>
      <c r="Y593" t="str">
        <f>IF(AND(Sales[[#This Row],[Unit Price (₦)]]&gt;68000,Sales[[#This Row],[Quantity]]&gt;15),"Offer Discount", "No Discount")</f>
        <v>No Discount</v>
      </c>
    </row>
    <row r="594" spans="1:25" ht="15" customHeight="1" x14ac:dyDescent="0.25">
      <c r="A594" t="s">
        <v>2794</v>
      </c>
      <c r="B594" s="8">
        <v>44979</v>
      </c>
      <c r="C594" s="8">
        <v>44979</v>
      </c>
      <c r="D594" t="s">
        <v>32</v>
      </c>
      <c r="E594" t="s">
        <v>3073</v>
      </c>
      <c r="F594" t="s">
        <v>3038</v>
      </c>
      <c r="G594" t="s">
        <v>3126</v>
      </c>
      <c r="H594">
        <v>8162150745</v>
      </c>
      <c r="I594" t="s">
        <v>35</v>
      </c>
      <c r="J594" t="s">
        <v>51</v>
      </c>
      <c r="K594" t="s">
        <v>316</v>
      </c>
      <c r="L594" t="s">
        <v>96</v>
      </c>
      <c r="M594" t="s">
        <v>385</v>
      </c>
      <c r="N594" t="s">
        <v>743</v>
      </c>
      <c r="O594">
        <v>1</v>
      </c>
      <c r="P594">
        <v>386068.17</v>
      </c>
      <c r="Q594">
        <v>5</v>
      </c>
      <c r="R594" s="39">
        <v>19303.41</v>
      </c>
      <c r="S594" s="39">
        <v>366764.76</v>
      </c>
      <c r="T594" s="39">
        <v>-40494.730000000003</v>
      </c>
      <c r="U594" t="str">
        <f t="shared" si="21"/>
        <v>Technology</v>
      </c>
      <c r="V594">
        <f t="shared" si="22"/>
        <v>40494.730000000003</v>
      </c>
      <c r="W594" t="str">
        <f>IF(Sales[[#This Row],[Quantity]]&gt;=15, "Large","Small")</f>
        <v>Small</v>
      </c>
      <c r="X594" t="str">
        <f>IF(Sales[[#This Row],[Quantity]]&gt;=15,"Large",IF(Sales[[#This Row],[Quantity]]=14,"Medium","Small"))</f>
        <v>Small</v>
      </c>
      <c r="Y594" t="str">
        <f>IF(AND(Sales[[#This Row],[Unit Price (₦)]]&gt;68000,Sales[[#This Row],[Quantity]]&gt;15),"Offer Discount", "No Discount")</f>
        <v>No Discount</v>
      </c>
    </row>
    <row r="595" spans="1:25" ht="15" customHeight="1" x14ac:dyDescent="0.25">
      <c r="A595" t="s">
        <v>2701</v>
      </c>
      <c r="B595" s="8">
        <v>44981</v>
      </c>
      <c r="C595" s="8">
        <v>44981</v>
      </c>
      <c r="D595" t="s">
        <v>32</v>
      </c>
      <c r="E595" t="s">
        <v>3094</v>
      </c>
      <c r="F595" t="s">
        <v>3090</v>
      </c>
      <c r="G595" t="s">
        <v>2703</v>
      </c>
      <c r="H595">
        <v>8066664086</v>
      </c>
      <c r="I595" t="s">
        <v>35</v>
      </c>
      <c r="J595" t="s">
        <v>51</v>
      </c>
      <c r="K595" t="s">
        <v>131</v>
      </c>
      <c r="L595" t="s">
        <v>27</v>
      </c>
      <c r="M595" t="s">
        <v>45</v>
      </c>
      <c r="N595" t="s">
        <v>2704</v>
      </c>
      <c r="O595">
        <v>8</v>
      </c>
      <c r="P595">
        <v>3609.48</v>
      </c>
      <c r="Q595">
        <v>5</v>
      </c>
      <c r="R595" s="39">
        <v>1443.79</v>
      </c>
      <c r="S595" s="39">
        <v>27432.05</v>
      </c>
      <c r="T595" s="39">
        <v>6062.13</v>
      </c>
      <c r="U595" t="str">
        <f t="shared" si="21"/>
        <v>Food &amp; Beverages</v>
      </c>
      <c r="V595">
        <f t="shared" si="22"/>
        <v>6062.13</v>
      </c>
      <c r="W595" t="str">
        <f>IF(Sales[[#This Row],[Quantity]]&gt;=15, "Large","Small")</f>
        <v>Small</v>
      </c>
      <c r="X595" t="str">
        <f>IF(Sales[[#This Row],[Quantity]]&gt;=15,"Large",IF(Sales[[#This Row],[Quantity]]=14,"Medium","Small"))</f>
        <v>Small</v>
      </c>
      <c r="Y595" t="str">
        <f>IF(AND(Sales[[#This Row],[Unit Price (₦)]]&gt;68000,Sales[[#This Row],[Quantity]]&gt;15),"Offer Discount", "No Discount")</f>
        <v>No Discount</v>
      </c>
    </row>
    <row r="596" spans="1:25" ht="15" customHeight="1" x14ac:dyDescent="0.25">
      <c r="A596" t="s">
        <v>2320</v>
      </c>
      <c r="B596" s="8">
        <v>44986</v>
      </c>
      <c r="C596" s="8">
        <v>44986</v>
      </c>
      <c r="D596" t="s">
        <v>32</v>
      </c>
      <c r="E596" t="s">
        <v>3051</v>
      </c>
      <c r="F596" t="s">
        <v>3069</v>
      </c>
      <c r="G596" t="s">
        <v>2322</v>
      </c>
      <c r="H596">
        <v>8165480410</v>
      </c>
      <c r="I596" t="s">
        <v>35</v>
      </c>
      <c r="J596" t="s">
        <v>51</v>
      </c>
      <c r="K596" t="s">
        <v>223</v>
      </c>
      <c r="L596" t="s">
        <v>108</v>
      </c>
      <c r="M596" t="s">
        <v>189</v>
      </c>
      <c r="N596" t="s">
        <v>325</v>
      </c>
      <c r="O596">
        <v>8</v>
      </c>
      <c r="P596">
        <v>6177.35</v>
      </c>
      <c r="Q596">
        <v>0</v>
      </c>
      <c r="R596" s="39">
        <v>0</v>
      </c>
      <c r="S596" s="39">
        <v>49418.8</v>
      </c>
      <c r="T596" s="39">
        <v>13610.19</v>
      </c>
      <c r="U596" t="str">
        <f t="shared" si="21"/>
        <v>Clothing</v>
      </c>
      <c r="V596">
        <f t="shared" si="22"/>
        <v>13610.19</v>
      </c>
      <c r="W596" t="str">
        <f>IF(Sales[[#This Row],[Quantity]]&gt;=15, "Large","Small")</f>
        <v>Small</v>
      </c>
      <c r="X596" t="str">
        <f>IF(Sales[[#This Row],[Quantity]]&gt;=15,"Large",IF(Sales[[#This Row],[Quantity]]=14,"Medium","Small"))</f>
        <v>Small</v>
      </c>
      <c r="Y596" t="str">
        <f>IF(AND(Sales[[#This Row],[Unit Price (₦)]]&gt;68000,Sales[[#This Row],[Quantity]]&gt;15),"Offer Discount", "No Discount")</f>
        <v>No Discount</v>
      </c>
    </row>
    <row r="597" spans="1:25" ht="15" customHeight="1" x14ac:dyDescent="0.25">
      <c r="A597" t="s">
        <v>2253</v>
      </c>
      <c r="B597" s="8">
        <v>44990</v>
      </c>
      <c r="C597" s="8">
        <v>44990</v>
      </c>
      <c r="D597" t="s">
        <v>32</v>
      </c>
      <c r="E597" t="s">
        <v>3049</v>
      </c>
      <c r="F597" t="s">
        <v>3079</v>
      </c>
      <c r="G597" t="s">
        <v>2254</v>
      </c>
      <c r="H597">
        <v>8132532401</v>
      </c>
      <c r="I597" t="s">
        <v>24</v>
      </c>
      <c r="J597" t="s">
        <v>51</v>
      </c>
      <c r="K597" t="s">
        <v>227</v>
      </c>
      <c r="L597" t="s">
        <v>27</v>
      </c>
      <c r="M597" t="s">
        <v>354</v>
      </c>
      <c r="N597" t="s">
        <v>625</v>
      </c>
      <c r="O597">
        <v>1</v>
      </c>
      <c r="P597">
        <v>1569.1</v>
      </c>
      <c r="Q597">
        <v>10</v>
      </c>
      <c r="R597" s="39">
        <v>156.91</v>
      </c>
      <c r="S597" s="39">
        <v>1412.19</v>
      </c>
      <c r="T597" s="39">
        <v>-145.91999999999999</v>
      </c>
      <c r="U597" t="str">
        <f t="shared" si="21"/>
        <v>Food &amp; Beverages</v>
      </c>
      <c r="V597">
        <f t="shared" si="22"/>
        <v>145.91999999999999</v>
      </c>
      <c r="W597" t="str">
        <f>IF(Sales[[#This Row],[Quantity]]&gt;=15, "Large","Small")</f>
        <v>Small</v>
      </c>
      <c r="X597" t="str">
        <f>IF(Sales[[#This Row],[Quantity]]&gt;=15,"Large",IF(Sales[[#This Row],[Quantity]]=14,"Medium","Small"))</f>
        <v>Small</v>
      </c>
      <c r="Y597" t="str">
        <f>IF(AND(Sales[[#This Row],[Unit Price (₦)]]&gt;68000,Sales[[#This Row],[Quantity]]&gt;15),"Offer Discount", "No Discount")</f>
        <v>No Discount</v>
      </c>
    </row>
    <row r="598" spans="1:25" ht="15" customHeight="1" x14ac:dyDescent="0.25">
      <c r="A598" t="s">
        <v>2849</v>
      </c>
      <c r="B598" s="8">
        <v>44990</v>
      </c>
      <c r="C598" s="8">
        <v>44990</v>
      </c>
      <c r="D598" t="s">
        <v>32</v>
      </c>
      <c r="E598" t="s">
        <v>3095</v>
      </c>
      <c r="F598" t="s">
        <v>3043</v>
      </c>
      <c r="G598" t="s">
        <v>2850</v>
      </c>
      <c r="H598">
        <v>8065199616</v>
      </c>
      <c r="I598" t="s">
        <v>43</v>
      </c>
      <c r="J598" t="s">
        <v>69</v>
      </c>
      <c r="K598" t="s">
        <v>307</v>
      </c>
      <c r="L598" t="s">
        <v>27</v>
      </c>
      <c r="M598" t="s">
        <v>173</v>
      </c>
      <c r="N598" t="s">
        <v>380</v>
      </c>
      <c r="O598">
        <v>9</v>
      </c>
      <c r="P598">
        <v>640.11</v>
      </c>
      <c r="Q598">
        <v>25</v>
      </c>
      <c r="R598" s="39">
        <v>1440.25</v>
      </c>
      <c r="S598" s="39">
        <v>4320.74</v>
      </c>
      <c r="T598" s="39">
        <v>-215.08</v>
      </c>
      <c r="U598" t="str">
        <f t="shared" si="21"/>
        <v>Food &amp; Beverages</v>
      </c>
      <c r="V598">
        <f t="shared" si="22"/>
        <v>215.08</v>
      </c>
      <c r="W598" t="str">
        <f>IF(Sales[[#This Row],[Quantity]]&gt;=15, "Large","Small")</f>
        <v>Small</v>
      </c>
      <c r="X598" t="str">
        <f>IF(Sales[[#This Row],[Quantity]]&gt;=15,"Large",IF(Sales[[#This Row],[Quantity]]=14,"Medium","Small"))</f>
        <v>Small</v>
      </c>
      <c r="Y598" t="str">
        <f>IF(AND(Sales[[#This Row],[Unit Price (₦)]]&gt;68000,Sales[[#This Row],[Quantity]]&gt;15),"Offer Discount", "No Discount")</f>
        <v>No Discount</v>
      </c>
    </row>
    <row r="599" spans="1:25" ht="15" customHeight="1" x14ac:dyDescent="0.25">
      <c r="A599" t="s">
        <v>2803</v>
      </c>
      <c r="B599" s="8">
        <v>44996</v>
      </c>
      <c r="C599" s="8">
        <v>44996</v>
      </c>
      <c r="D599" t="s">
        <v>32</v>
      </c>
      <c r="E599" t="s">
        <v>3050</v>
      </c>
      <c r="F599" t="s">
        <v>3088</v>
      </c>
      <c r="G599" t="s">
        <v>2805</v>
      </c>
      <c r="H599">
        <v>9022122405</v>
      </c>
      <c r="I599" t="s">
        <v>35</v>
      </c>
      <c r="J599" t="s">
        <v>69</v>
      </c>
      <c r="K599" t="s">
        <v>70</v>
      </c>
      <c r="L599" t="s">
        <v>85</v>
      </c>
      <c r="M599" t="s">
        <v>486</v>
      </c>
      <c r="N599" t="s">
        <v>527</v>
      </c>
      <c r="O599">
        <v>13</v>
      </c>
      <c r="P599">
        <v>140584.31</v>
      </c>
      <c r="Q599">
        <v>10</v>
      </c>
      <c r="R599" s="39">
        <v>182759.6</v>
      </c>
      <c r="S599" s="39">
        <v>1644836.43</v>
      </c>
      <c r="T599" s="39">
        <v>387386</v>
      </c>
      <c r="U599" t="str">
        <f t="shared" si="21"/>
        <v>Furniture</v>
      </c>
      <c r="V599">
        <f t="shared" si="22"/>
        <v>387386</v>
      </c>
      <c r="W599" t="str">
        <f>IF(Sales[[#This Row],[Quantity]]&gt;=15, "Large","Small")</f>
        <v>Small</v>
      </c>
      <c r="X599" t="str">
        <f>IF(Sales[[#This Row],[Quantity]]&gt;=15,"Large",IF(Sales[[#This Row],[Quantity]]=14,"Medium","Small"))</f>
        <v>Small</v>
      </c>
      <c r="Y599" t="str">
        <f>IF(AND(Sales[[#This Row],[Unit Price (₦)]]&gt;68000,Sales[[#This Row],[Quantity]]&gt;15),"Offer Discount", "No Discount")</f>
        <v>No Discount</v>
      </c>
    </row>
    <row r="600" spans="1:25" ht="15" customHeight="1" x14ac:dyDescent="0.25">
      <c r="A600" t="s">
        <v>231</v>
      </c>
      <c r="B600" s="8">
        <v>44996</v>
      </c>
      <c r="C600" s="8">
        <v>44997</v>
      </c>
      <c r="D600" t="s">
        <v>32</v>
      </c>
      <c r="E600" t="s">
        <v>3061</v>
      </c>
      <c r="F600" t="s">
        <v>3074</v>
      </c>
      <c r="G600" t="s">
        <v>233</v>
      </c>
      <c r="H600">
        <v>9055635017</v>
      </c>
      <c r="I600" t="s">
        <v>35</v>
      </c>
      <c r="J600" t="s">
        <v>69</v>
      </c>
      <c r="K600" t="s">
        <v>144</v>
      </c>
      <c r="L600" t="s">
        <v>27</v>
      </c>
      <c r="M600" t="s">
        <v>79</v>
      </c>
      <c r="N600" t="s">
        <v>234</v>
      </c>
      <c r="O600">
        <v>3</v>
      </c>
      <c r="P600">
        <v>7600.08</v>
      </c>
      <c r="Q600">
        <v>5</v>
      </c>
      <c r="R600" s="39">
        <v>1140.01</v>
      </c>
      <c r="S600" s="39">
        <v>1644836.43</v>
      </c>
      <c r="T600" s="39">
        <v>6109.16</v>
      </c>
      <c r="U600" t="str">
        <f t="shared" si="21"/>
        <v>Food &amp; Beverages</v>
      </c>
      <c r="V600">
        <f t="shared" si="22"/>
        <v>6109.16</v>
      </c>
      <c r="W600" t="str">
        <f>IF(Sales[[#This Row],[Quantity]]&gt;=15, "Large","Small")</f>
        <v>Small</v>
      </c>
      <c r="X600" t="str">
        <f>IF(Sales[[#This Row],[Quantity]]&gt;=15,"Large",IF(Sales[[#This Row],[Quantity]]=14,"Medium","Small"))</f>
        <v>Small</v>
      </c>
      <c r="Y600" t="str">
        <f>IF(AND(Sales[[#This Row],[Unit Price (₦)]]&gt;68000,Sales[[#This Row],[Quantity]]&gt;15),"Offer Discount", "No Discount")</f>
        <v>No Discount</v>
      </c>
    </row>
    <row r="601" spans="1:25" ht="15" customHeight="1" x14ac:dyDescent="0.25">
      <c r="A601" t="s">
        <v>1516</v>
      </c>
      <c r="B601" s="8">
        <v>44996</v>
      </c>
      <c r="C601" s="8">
        <v>44997</v>
      </c>
      <c r="D601" t="s">
        <v>32</v>
      </c>
      <c r="E601" t="s">
        <v>3068</v>
      </c>
      <c r="F601" t="s">
        <v>3034</v>
      </c>
      <c r="G601" t="s">
        <v>1517</v>
      </c>
      <c r="H601">
        <v>8062598523</v>
      </c>
      <c r="I601" t="s">
        <v>24</v>
      </c>
      <c r="J601" t="s">
        <v>61</v>
      </c>
      <c r="K601" t="s">
        <v>182</v>
      </c>
      <c r="L601" t="s">
        <v>27</v>
      </c>
      <c r="M601" t="s">
        <v>79</v>
      </c>
      <c r="N601" t="s">
        <v>145</v>
      </c>
      <c r="O601">
        <v>8</v>
      </c>
      <c r="P601">
        <v>2863.04</v>
      </c>
      <c r="Q601">
        <v>20</v>
      </c>
      <c r="R601" s="39">
        <v>4580.8599999999997</v>
      </c>
      <c r="S601" s="39">
        <v>18323.46</v>
      </c>
      <c r="T601" s="39">
        <v>7236.59</v>
      </c>
      <c r="U601" t="str">
        <f t="shared" si="21"/>
        <v>Food &amp; Beverages</v>
      </c>
      <c r="V601">
        <f t="shared" si="22"/>
        <v>7236.59</v>
      </c>
      <c r="W601" t="str">
        <f>IF(Sales[[#This Row],[Quantity]]&gt;=15, "Large","Small")</f>
        <v>Small</v>
      </c>
      <c r="X601" t="str">
        <f>IF(Sales[[#This Row],[Quantity]]&gt;=15,"Large",IF(Sales[[#This Row],[Quantity]]=14,"Medium","Small"))</f>
        <v>Small</v>
      </c>
      <c r="Y601" t="str">
        <f>IF(AND(Sales[[#This Row],[Unit Price (₦)]]&gt;68000,Sales[[#This Row],[Quantity]]&gt;15),"Offer Discount", "No Discount")</f>
        <v>No Discount</v>
      </c>
    </row>
    <row r="602" spans="1:25" ht="15" customHeight="1" x14ac:dyDescent="0.25">
      <c r="A602" t="s">
        <v>2260</v>
      </c>
      <c r="B602" s="8">
        <v>44999</v>
      </c>
      <c r="C602" s="8">
        <v>44999</v>
      </c>
      <c r="D602" t="s">
        <v>32</v>
      </c>
      <c r="E602" t="s">
        <v>3098</v>
      </c>
      <c r="F602" t="s">
        <v>3039</v>
      </c>
      <c r="G602" t="s">
        <v>2262</v>
      </c>
      <c r="H602">
        <v>9011179053</v>
      </c>
      <c r="I602" t="s">
        <v>24</v>
      </c>
      <c r="J602" t="s">
        <v>69</v>
      </c>
      <c r="K602" t="s">
        <v>144</v>
      </c>
      <c r="L602" t="s">
        <v>85</v>
      </c>
      <c r="M602" t="s">
        <v>486</v>
      </c>
      <c r="N602" t="s">
        <v>543</v>
      </c>
      <c r="O602">
        <v>1</v>
      </c>
      <c r="P602">
        <v>98472.45</v>
      </c>
      <c r="Q602">
        <v>10</v>
      </c>
      <c r="R602" s="39">
        <v>9847.25</v>
      </c>
      <c r="S602" s="39">
        <v>88625.2</v>
      </c>
      <c r="T602" s="39">
        <v>4171.67</v>
      </c>
      <c r="U602" t="str">
        <f t="shared" si="21"/>
        <v>Furniture</v>
      </c>
      <c r="V602">
        <f t="shared" si="22"/>
        <v>4171.67</v>
      </c>
      <c r="W602" t="str">
        <f>IF(Sales[[#This Row],[Quantity]]&gt;=15, "Large","Small")</f>
        <v>Small</v>
      </c>
      <c r="X602" t="str">
        <f>IF(Sales[[#This Row],[Quantity]]&gt;=15,"Large",IF(Sales[[#This Row],[Quantity]]=14,"Medium","Small"))</f>
        <v>Small</v>
      </c>
      <c r="Y602" t="str">
        <f>IF(AND(Sales[[#This Row],[Unit Price (₦)]]&gt;68000,Sales[[#This Row],[Quantity]]&gt;15),"Offer Discount", "No Discount")</f>
        <v>No Discount</v>
      </c>
    </row>
    <row r="603" spans="1:25" ht="15" customHeight="1" x14ac:dyDescent="0.25">
      <c r="A603" t="s">
        <v>2675</v>
      </c>
      <c r="B603" s="8">
        <v>44999</v>
      </c>
      <c r="C603" s="8">
        <v>44999</v>
      </c>
      <c r="D603" t="s">
        <v>32</v>
      </c>
      <c r="E603" t="s">
        <v>3055</v>
      </c>
      <c r="F603" t="s">
        <v>3083</v>
      </c>
      <c r="G603" t="s">
        <v>2677</v>
      </c>
      <c r="H603">
        <v>8132661733</v>
      </c>
      <c r="I603" t="s">
        <v>35</v>
      </c>
      <c r="J603" t="s">
        <v>61</v>
      </c>
      <c r="K603" t="s">
        <v>182</v>
      </c>
      <c r="L603" t="s">
        <v>85</v>
      </c>
      <c r="M603" t="s">
        <v>486</v>
      </c>
      <c r="N603" t="s">
        <v>527</v>
      </c>
      <c r="O603">
        <v>18</v>
      </c>
      <c r="P603">
        <v>116944.21</v>
      </c>
      <c r="Q603">
        <v>0</v>
      </c>
      <c r="R603" s="39">
        <v>0</v>
      </c>
      <c r="S603" s="39">
        <v>2104995.7799999998</v>
      </c>
      <c r="T603" s="39">
        <v>-131209.78</v>
      </c>
      <c r="U603" t="str">
        <f t="shared" si="21"/>
        <v>Furniture</v>
      </c>
      <c r="V603">
        <f t="shared" si="22"/>
        <v>131209.78</v>
      </c>
      <c r="W603" t="str">
        <f>IF(Sales[[#This Row],[Quantity]]&gt;=15, "Large","Small")</f>
        <v>Large</v>
      </c>
      <c r="X603" t="str">
        <f>IF(Sales[[#This Row],[Quantity]]&gt;=15,"Large",IF(Sales[[#This Row],[Quantity]]=14,"Medium","Small"))</f>
        <v>Large</v>
      </c>
      <c r="Y603" t="str">
        <f>IF(AND(Sales[[#This Row],[Unit Price (₦)]]&gt;68000,Sales[[#This Row],[Quantity]]&gt;15),"Offer Discount", "No Discount")</f>
        <v>Offer Discount</v>
      </c>
    </row>
    <row r="604" spans="1:25" ht="15" customHeight="1" x14ac:dyDescent="0.25">
      <c r="A604" t="s">
        <v>728</v>
      </c>
      <c r="B604" s="8">
        <v>45006</v>
      </c>
      <c r="C604" s="8">
        <v>45006</v>
      </c>
      <c r="D604" t="s">
        <v>32</v>
      </c>
      <c r="E604" t="s">
        <v>3072</v>
      </c>
      <c r="F604" t="s">
        <v>3054</v>
      </c>
      <c r="G604" t="s">
        <v>730</v>
      </c>
      <c r="H604">
        <v>9057442986</v>
      </c>
      <c r="I604" t="s">
        <v>43</v>
      </c>
      <c r="J604" t="s">
        <v>61</v>
      </c>
      <c r="K604" t="s">
        <v>62</v>
      </c>
      <c r="L604" t="s">
        <v>53</v>
      </c>
      <c r="M604" t="s">
        <v>64</v>
      </c>
      <c r="N604" t="s">
        <v>65</v>
      </c>
      <c r="O604">
        <v>8</v>
      </c>
      <c r="P604">
        <v>19881.38</v>
      </c>
      <c r="Q604">
        <v>10</v>
      </c>
      <c r="R604" s="39">
        <v>15905.1</v>
      </c>
      <c r="S604" s="39">
        <v>143145.94</v>
      </c>
      <c r="T604" s="39">
        <v>33893</v>
      </c>
      <c r="U604" t="str">
        <f t="shared" si="21"/>
        <v>Office Supplies</v>
      </c>
      <c r="V604">
        <f t="shared" si="22"/>
        <v>33893</v>
      </c>
      <c r="W604" t="str">
        <f>IF(Sales[[#This Row],[Quantity]]&gt;=15, "Large","Small")</f>
        <v>Small</v>
      </c>
      <c r="X604" t="str">
        <f>IF(Sales[[#This Row],[Quantity]]&gt;=15,"Large",IF(Sales[[#This Row],[Quantity]]=14,"Medium","Small"))</f>
        <v>Small</v>
      </c>
      <c r="Y604" t="str">
        <f>IF(AND(Sales[[#This Row],[Unit Price (₦)]]&gt;68000,Sales[[#This Row],[Quantity]]&gt;15),"Offer Discount", "No Discount")</f>
        <v>No Discount</v>
      </c>
    </row>
    <row r="605" spans="1:25" ht="15" customHeight="1" x14ac:dyDescent="0.25">
      <c r="A605" t="s">
        <v>186</v>
      </c>
      <c r="B605" s="8">
        <v>45010</v>
      </c>
      <c r="C605" s="8">
        <v>45010</v>
      </c>
      <c r="D605" t="s">
        <v>32</v>
      </c>
      <c r="E605" t="s">
        <v>3070</v>
      </c>
      <c r="F605" t="s">
        <v>3071</v>
      </c>
      <c r="G605" t="s">
        <v>188</v>
      </c>
      <c r="H605">
        <v>8155180853</v>
      </c>
      <c r="I605" t="s">
        <v>35</v>
      </c>
      <c r="J605" t="s">
        <v>61</v>
      </c>
      <c r="K605" t="s">
        <v>95</v>
      </c>
      <c r="L605" t="s">
        <v>96</v>
      </c>
      <c r="M605" t="s">
        <v>189</v>
      </c>
      <c r="N605" t="s">
        <v>190</v>
      </c>
      <c r="O605">
        <v>17</v>
      </c>
      <c r="P605">
        <v>363616.22</v>
      </c>
      <c r="Q605">
        <v>25</v>
      </c>
      <c r="R605" s="39">
        <v>1545368.93</v>
      </c>
      <c r="S605" s="39">
        <v>4636106.8099999996</v>
      </c>
      <c r="T605" s="39">
        <v>960932.31</v>
      </c>
      <c r="U605" t="str">
        <f t="shared" si="21"/>
        <v>Technology</v>
      </c>
      <c r="V605">
        <f t="shared" si="22"/>
        <v>960932.31</v>
      </c>
      <c r="W605" t="str">
        <f>IF(Sales[[#This Row],[Quantity]]&gt;=15, "Large","Small")</f>
        <v>Large</v>
      </c>
      <c r="X605" t="str">
        <f>IF(Sales[[#This Row],[Quantity]]&gt;=15,"Large",IF(Sales[[#This Row],[Quantity]]=14,"Medium","Small"))</f>
        <v>Large</v>
      </c>
      <c r="Y605" t="str">
        <f>IF(AND(Sales[[#This Row],[Unit Price (₦)]]&gt;68000,Sales[[#This Row],[Quantity]]&gt;15),"Offer Discount", "No Discount")</f>
        <v>Offer Discount</v>
      </c>
    </row>
    <row r="606" spans="1:25" ht="15" customHeight="1" x14ac:dyDescent="0.25">
      <c r="A606" t="s">
        <v>31</v>
      </c>
      <c r="B606" s="8">
        <v>45013</v>
      </c>
      <c r="C606" s="8">
        <v>45014</v>
      </c>
      <c r="D606" t="s">
        <v>32</v>
      </c>
      <c r="E606" t="s">
        <v>3035</v>
      </c>
      <c r="F606" t="s">
        <v>3036</v>
      </c>
      <c r="G606" t="s">
        <v>34</v>
      </c>
      <c r="H606">
        <v>9023678638</v>
      </c>
      <c r="I606" t="s">
        <v>35</v>
      </c>
      <c r="J606" t="s">
        <v>25</v>
      </c>
      <c r="K606" t="s">
        <v>36</v>
      </c>
      <c r="L606" t="s">
        <v>37</v>
      </c>
      <c r="M606" t="s">
        <v>38</v>
      </c>
      <c r="N606" t="s">
        <v>39</v>
      </c>
      <c r="O606">
        <v>11</v>
      </c>
      <c r="P606">
        <v>8685.6200000000008</v>
      </c>
      <c r="Q606">
        <v>0</v>
      </c>
      <c r="R606" s="39">
        <v>0</v>
      </c>
      <c r="S606" s="39">
        <v>95541.82</v>
      </c>
      <c r="T606" s="39">
        <v>-9014.61</v>
      </c>
      <c r="U606" t="str">
        <f t="shared" si="21"/>
        <v>Clothing</v>
      </c>
      <c r="V606">
        <f t="shared" si="22"/>
        <v>9014.61</v>
      </c>
      <c r="W606" t="str">
        <f>IF(Sales[[#This Row],[Quantity]]&gt;=15, "Large","Small")</f>
        <v>Small</v>
      </c>
      <c r="X606" t="str">
        <f>IF(Sales[[#This Row],[Quantity]]&gt;=15,"Large",IF(Sales[[#This Row],[Quantity]]=14,"Medium","Small"))</f>
        <v>Small</v>
      </c>
      <c r="Y606" t="str">
        <f>IF(AND(Sales[[#This Row],[Unit Price (₦)]]&gt;68000,Sales[[#This Row],[Quantity]]&gt;15),"Offer Discount", "No Discount")</f>
        <v>No Discount</v>
      </c>
    </row>
    <row r="607" spans="1:25" ht="15" customHeight="1" x14ac:dyDescent="0.25">
      <c r="A607" t="s">
        <v>1181</v>
      </c>
      <c r="B607" s="8">
        <v>45017</v>
      </c>
      <c r="C607" s="8">
        <v>45017</v>
      </c>
      <c r="D607" t="s">
        <v>32</v>
      </c>
      <c r="E607" t="s">
        <v>3082</v>
      </c>
      <c r="F607" t="s">
        <v>3050</v>
      </c>
      <c r="G607" t="s">
        <v>1183</v>
      </c>
      <c r="H607">
        <v>8149219877</v>
      </c>
      <c r="I607" t="s">
        <v>43</v>
      </c>
      <c r="J607" t="s">
        <v>69</v>
      </c>
      <c r="K607" t="s">
        <v>307</v>
      </c>
      <c r="L607" t="s">
        <v>63</v>
      </c>
      <c r="M607" t="s">
        <v>194</v>
      </c>
      <c r="N607" t="s">
        <v>257</v>
      </c>
      <c r="O607">
        <v>14</v>
      </c>
      <c r="P607">
        <v>22245.88</v>
      </c>
      <c r="Q607">
        <v>15</v>
      </c>
      <c r="R607" s="39">
        <v>46716.35</v>
      </c>
      <c r="S607" s="39">
        <v>264725.96999999997</v>
      </c>
      <c r="T607" s="39">
        <v>83581.62</v>
      </c>
      <c r="U607" t="str">
        <f t="shared" si="21"/>
        <v>Office Supplies</v>
      </c>
      <c r="V607">
        <f t="shared" si="22"/>
        <v>83581.62</v>
      </c>
      <c r="W607" t="str">
        <f>IF(Sales[[#This Row],[Quantity]]&gt;=15, "Large","Small")</f>
        <v>Small</v>
      </c>
      <c r="X607" t="str">
        <f>IF(Sales[[#This Row],[Quantity]]&gt;=15,"Large",IF(Sales[[#This Row],[Quantity]]=14,"Medium","Small"))</f>
        <v>Medium</v>
      </c>
      <c r="Y607" t="str">
        <f>IF(AND(Sales[[#This Row],[Unit Price (₦)]]&gt;68000,Sales[[#This Row],[Quantity]]&gt;15),"Offer Discount", "No Discount")</f>
        <v>No Discount</v>
      </c>
    </row>
    <row r="608" spans="1:25" ht="15" customHeight="1" x14ac:dyDescent="0.25">
      <c r="A608" t="s">
        <v>1581</v>
      </c>
      <c r="B608" s="8">
        <v>45029</v>
      </c>
      <c r="C608" s="8">
        <v>45029</v>
      </c>
      <c r="D608" t="s">
        <v>32</v>
      </c>
      <c r="E608" t="s">
        <v>3068</v>
      </c>
      <c r="F608" t="s">
        <v>3066</v>
      </c>
      <c r="G608" t="s">
        <v>1583</v>
      </c>
      <c r="H608">
        <v>8149659648</v>
      </c>
      <c r="I608" t="s">
        <v>24</v>
      </c>
      <c r="J608" t="s">
        <v>61</v>
      </c>
      <c r="K608" t="s">
        <v>62</v>
      </c>
      <c r="L608" t="s">
        <v>63</v>
      </c>
      <c r="M608" t="s">
        <v>249</v>
      </c>
      <c r="N608" t="s">
        <v>329</v>
      </c>
      <c r="O608">
        <v>1</v>
      </c>
      <c r="P608">
        <v>4066.82</v>
      </c>
      <c r="Q608">
        <v>25</v>
      </c>
      <c r="R608" s="39">
        <v>1016.71</v>
      </c>
      <c r="S608" s="39">
        <v>3050.11</v>
      </c>
      <c r="T608" s="39">
        <v>1269.4100000000001</v>
      </c>
      <c r="U608" t="str">
        <f t="shared" si="21"/>
        <v>Office Supplies</v>
      </c>
      <c r="V608">
        <f t="shared" si="22"/>
        <v>1269.4100000000001</v>
      </c>
      <c r="W608" t="str">
        <f>IF(Sales[[#This Row],[Quantity]]&gt;=15, "Large","Small")</f>
        <v>Small</v>
      </c>
      <c r="X608" t="str">
        <f>IF(Sales[[#This Row],[Quantity]]&gt;=15,"Large",IF(Sales[[#This Row],[Quantity]]=14,"Medium","Small"))</f>
        <v>Small</v>
      </c>
      <c r="Y608" t="str">
        <f>IF(AND(Sales[[#This Row],[Unit Price (₦)]]&gt;68000,Sales[[#This Row],[Quantity]]&gt;15),"Offer Discount", "No Discount")</f>
        <v>No Discount</v>
      </c>
    </row>
    <row r="609" spans="1:25" ht="15" customHeight="1" x14ac:dyDescent="0.25">
      <c r="A609" t="s">
        <v>2219</v>
      </c>
      <c r="B609" s="8">
        <v>45031</v>
      </c>
      <c r="C609" s="8">
        <v>45032</v>
      </c>
      <c r="D609" t="s">
        <v>32</v>
      </c>
      <c r="E609" t="s">
        <v>3048</v>
      </c>
      <c r="F609" t="s">
        <v>3039</v>
      </c>
      <c r="G609" t="s">
        <v>2221</v>
      </c>
      <c r="H609">
        <v>7064617421</v>
      </c>
      <c r="I609" t="s">
        <v>24</v>
      </c>
      <c r="J609" t="s">
        <v>61</v>
      </c>
      <c r="K609" t="s">
        <v>62</v>
      </c>
      <c r="L609" t="s">
        <v>27</v>
      </c>
      <c r="M609" t="s">
        <v>354</v>
      </c>
      <c r="N609" t="s">
        <v>355</v>
      </c>
      <c r="O609">
        <v>1</v>
      </c>
      <c r="P609">
        <v>577.78</v>
      </c>
      <c r="Q609">
        <v>25</v>
      </c>
      <c r="R609" s="39">
        <v>144.44</v>
      </c>
      <c r="S609" s="39">
        <v>433.34</v>
      </c>
      <c r="T609" s="39">
        <v>-38.35</v>
      </c>
      <c r="U609" t="str">
        <f t="shared" si="21"/>
        <v>Food &amp; Beverages</v>
      </c>
      <c r="V609">
        <f t="shared" si="22"/>
        <v>38.35</v>
      </c>
      <c r="W609" t="str">
        <f>IF(Sales[[#This Row],[Quantity]]&gt;=15, "Large","Small")</f>
        <v>Small</v>
      </c>
      <c r="X609" t="str">
        <f>IF(Sales[[#This Row],[Quantity]]&gt;=15,"Large",IF(Sales[[#This Row],[Quantity]]=14,"Medium","Small"))</f>
        <v>Small</v>
      </c>
      <c r="Y609" t="str">
        <f>IF(AND(Sales[[#This Row],[Unit Price (₦)]]&gt;68000,Sales[[#This Row],[Quantity]]&gt;15),"Offer Discount", "No Discount")</f>
        <v>No Discount</v>
      </c>
    </row>
    <row r="610" spans="1:25" ht="15" customHeight="1" x14ac:dyDescent="0.25">
      <c r="A610" t="s">
        <v>1564</v>
      </c>
      <c r="B610" s="8">
        <v>45037</v>
      </c>
      <c r="C610" s="8">
        <v>45037</v>
      </c>
      <c r="D610" t="s">
        <v>32</v>
      </c>
      <c r="E610" t="s">
        <v>3035</v>
      </c>
      <c r="F610" t="s">
        <v>3069</v>
      </c>
      <c r="G610" t="s">
        <v>1565</v>
      </c>
      <c r="H610">
        <v>9058859576</v>
      </c>
      <c r="I610" t="s">
        <v>43</v>
      </c>
      <c r="J610" t="s">
        <v>61</v>
      </c>
      <c r="K610" t="s">
        <v>204</v>
      </c>
      <c r="L610" t="s">
        <v>1566</v>
      </c>
      <c r="M610" t="s">
        <v>243</v>
      </c>
      <c r="N610" t="s">
        <v>439</v>
      </c>
      <c r="O610">
        <v>12</v>
      </c>
      <c r="P610">
        <v>173086.18</v>
      </c>
      <c r="Q610">
        <v>20</v>
      </c>
      <c r="R610" s="39">
        <v>415406.83</v>
      </c>
      <c r="S610" s="39">
        <v>1661627.33</v>
      </c>
      <c r="T610" s="39">
        <v>548092.81999999995</v>
      </c>
      <c r="U610" t="str">
        <f t="shared" si="21"/>
        <v>Furniture</v>
      </c>
      <c r="V610">
        <f t="shared" si="22"/>
        <v>548092.81999999995</v>
      </c>
      <c r="W610" t="str">
        <f>IF(Sales[[#This Row],[Quantity]]&gt;=15, "Large","Small")</f>
        <v>Small</v>
      </c>
      <c r="X610" t="str">
        <f>IF(Sales[[#This Row],[Quantity]]&gt;=15,"Large",IF(Sales[[#This Row],[Quantity]]=14,"Medium","Small"))</f>
        <v>Small</v>
      </c>
      <c r="Y610" t="str">
        <f>IF(AND(Sales[[#This Row],[Unit Price (₦)]]&gt;68000,Sales[[#This Row],[Quantity]]&gt;15),"Offer Discount", "No Discount")</f>
        <v>No Discount</v>
      </c>
    </row>
    <row r="611" spans="1:25" ht="15" customHeight="1" x14ac:dyDescent="0.25">
      <c r="A611" t="s">
        <v>2211</v>
      </c>
      <c r="B611" s="8">
        <v>45042</v>
      </c>
      <c r="C611" s="8">
        <v>45042</v>
      </c>
      <c r="D611" t="s">
        <v>32</v>
      </c>
      <c r="E611" t="s">
        <v>3076</v>
      </c>
      <c r="F611" t="s">
        <v>3036</v>
      </c>
      <c r="G611" t="s">
        <v>2213</v>
      </c>
      <c r="H611">
        <v>8037861979</v>
      </c>
      <c r="I611" t="s">
        <v>43</v>
      </c>
      <c r="J611" t="s">
        <v>61</v>
      </c>
      <c r="K611" t="s">
        <v>2214</v>
      </c>
      <c r="L611" t="s">
        <v>96</v>
      </c>
      <c r="M611" t="s">
        <v>254</v>
      </c>
      <c r="N611" t="s">
        <v>455</v>
      </c>
      <c r="O611">
        <v>11</v>
      </c>
      <c r="P611">
        <v>128798.29</v>
      </c>
      <c r="Q611">
        <v>15</v>
      </c>
      <c r="R611" s="39">
        <v>212517.18</v>
      </c>
      <c r="S611" s="39">
        <v>1204264.01</v>
      </c>
      <c r="T611" s="39">
        <v>102154.15</v>
      </c>
      <c r="U611" t="str">
        <f t="shared" si="21"/>
        <v>Technology</v>
      </c>
      <c r="V611">
        <f t="shared" si="22"/>
        <v>102154.15</v>
      </c>
      <c r="W611" t="str">
        <f>IF(Sales[[#This Row],[Quantity]]&gt;=15, "Large","Small")</f>
        <v>Small</v>
      </c>
      <c r="X611" t="str">
        <f>IF(Sales[[#This Row],[Quantity]]&gt;=15,"Large",IF(Sales[[#This Row],[Quantity]]=14,"Medium","Small"))</f>
        <v>Small</v>
      </c>
      <c r="Y611" t="str">
        <f>IF(AND(Sales[[#This Row],[Unit Price (₦)]]&gt;68000,Sales[[#This Row],[Quantity]]&gt;15),"Offer Discount", "No Discount")</f>
        <v>No Discount</v>
      </c>
    </row>
    <row r="612" spans="1:25" ht="15" customHeight="1" x14ac:dyDescent="0.25">
      <c r="A612" t="s">
        <v>1238</v>
      </c>
      <c r="B612" s="8">
        <v>45048</v>
      </c>
      <c r="C612" s="8">
        <v>45049</v>
      </c>
      <c r="D612" t="s">
        <v>32</v>
      </c>
      <c r="E612" t="s">
        <v>3053</v>
      </c>
      <c r="F612" t="s">
        <v>3042</v>
      </c>
      <c r="G612" t="s">
        <v>1240</v>
      </c>
      <c r="H612">
        <v>8139809723</v>
      </c>
      <c r="I612" t="s">
        <v>35</v>
      </c>
      <c r="J612" t="s">
        <v>51</v>
      </c>
      <c r="K612" t="s">
        <v>316</v>
      </c>
      <c r="L612" t="s">
        <v>63</v>
      </c>
      <c r="M612" t="s">
        <v>54</v>
      </c>
      <c r="N612" t="s">
        <v>1039</v>
      </c>
      <c r="O612">
        <v>2</v>
      </c>
      <c r="P612">
        <v>9668.2800000000007</v>
      </c>
      <c r="Q612">
        <v>5</v>
      </c>
      <c r="R612" s="39">
        <v>966.83</v>
      </c>
      <c r="S612" s="39">
        <v>18369.73</v>
      </c>
      <c r="T612" s="39">
        <v>7311.38</v>
      </c>
      <c r="U612" t="str">
        <f t="shared" si="21"/>
        <v>Office Supplies</v>
      </c>
      <c r="V612">
        <f t="shared" si="22"/>
        <v>7311.38</v>
      </c>
      <c r="W612" t="str">
        <f>IF(Sales[[#This Row],[Quantity]]&gt;=15, "Large","Small")</f>
        <v>Small</v>
      </c>
      <c r="X612" t="str">
        <f>IF(Sales[[#This Row],[Quantity]]&gt;=15,"Large",IF(Sales[[#This Row],[Quantity]]=14,"Medium","Small"))</f>
        <v>Small</v>
      </c>
      <c r="Y612" t="str">
        <f>IF(AND(Sales[[#This Row],[Unit Price (₦)]]&gt;68000,Sales[[#This Row],[Quantity]]&gt;15),"Offer Discount", "No Discount")</f>
        <v>No Discount</v>
      </c>
    </row>
    <row r="613" spans="1:25" ht="15" customHeight="1" x14ac:dyDescent="0.25">
      <c r="A613" t="s">
        <v>100</v>
      </c>
      <c r="B613" s="8">
        <v>45059</v>
      </c>
      <c r="C613" s="8">
        <v>45060</v>
      </c>
      <c r="D613" t="s">
        <v>32</v>
      </c>
      <c r="E613" t="s">
        <v>3051</v>
      </c>
      <c r="F613" t="s">
        <v>3052</v>
      </c>
      <c r="G613" t="s">
        <v>102</v>
      </c>
      <c r="H613">
        <v>8068231838</v>
      </c>
      <c r="I613" t="s">
        <v>24</v>
      </c>
      <c r="J613" t="s">
        <v>61</v>
      </c>
      <c r="K613" t="s">
        <v>103</v>
      </c>
      <c r="L613" t="s">
        <v>63</v>
      </c>
      <c r="M613" t="s">
        <v>64</v>
      </c>
      <c r="N613" t="s">
        <v>104</v>
      </c>
      <c r="O613">
        <v>2</v>
      </c>
      <c r="P613">
        <v>11942.1</v>
      </c>
      <c r="Q613">
        <v>0</v>
      </c>
      <c r="R613" s="39">
        <v>0</v>
      </c>
      <c r="S613" s="39">
        <v>23884.2</v>
      </c>
      <c r="T613" s="39">
        <v>-2714.02</v>
      </c>
      <c r="U613" t="str">
        <f t="shared" si="21"/>
        <v>Office Supplies</v>
      </c>
      <c r="V613">
        <f t="shared" si="22"/>
        <v>2714.02</v>
      </c>
      <c r="W613" t="str">
        <f>IF(Sales[[#This Row],[Quantity]]&gt;=15, "Large","Small")</f>
        <v>Small</v>
      </c>
      <c r="X613" t="str">
        <f>IF(Sales[[#This Row],[Quantity]]&gt;=15,"Large",IF(Sales[[#This Row],[Quantity]]=14,"Medium","Small"))</f>
        <v>Small</v>
      </c>
      <c r="Y613" t="str">
        <f>IF(AND(Sales[[#This Row],[Unit Price (₦)]]&gt;68000,Sales[[#This Row],[Quantity]]&gt;15),"Offer Discount", "No Discount")</f>
        <v>No Discount</v>
      </c>
    </row>
    <row r="614" spans="1:25" ht="15" customHeight="1" x14ac:dyDescent="0.25">
      <c r="A614" t="s">
        <v>100</v>
      </c>
      <c r="B614" s="8">
        <v>45059</v>
      </c>
      <c r="C614" s="8">
        <v>45060</v>
      </c>
      <c r="D614" t="s">
        <v>32</v>
      </c>
      <c r="E614" t="s">
        <v>3051</v>
      </c>
      <c r="F614" t="s">
        <v>3052</v>
      </c>
      <c r="G614" t="s">
        <v>102</v>
      </c>
      <c r="H614">
        <v>8068231838</v>
      </c>
      <c r="I614" t="s">
        <v>1669</v>
      </c>
      <c r="J614" t="s">
        <v>61</v>
      </c>
      <c r="K614" t="s">
        <v>84</v>
      </c>
      <c r="L614" t="s">
        <v>63</v>
      </c>
      <c r="M614" t="s">
        <v>64</v>
      </c>
      <c r="N614" t="s">
        <v>104</v>
      </c>
      <c r="O614">
        <v>2</v>
      </c>
      <c r="P614">
        <v>11942.1</v>
      </c>
      <c r="Q614">
        <v>0</v>
      </c>
      <c r="R614" s="39">
        <v>0</v>
      </c>
      <c r="S614" s="39">
        <v>23884.2</v>
      </c>
      <c r="T614" s="39">
        <v>-2714.02</v>
      </c>
      <c r="U614" t="str">
        <f t="shared" si="21"/>
        <v>Office Supplies</v>
      </c>
      <c r="V614">
        <f t="shared" si="22"/>
        <v>2714.02</v>
      </c>
      <c r="W614" t="str">
        <f>IF(Sales[[#This Row],[Quantity]]&gt;=15, "Large","Small")</f>
        <v>Small</v>
      </c>
      <c r="X614" t="str">
        <f>IF(Sales[[#This Row],[Quantity]]&gt;=15,"Large",IF(Sales[[#This Row],[Quantity]]=14,"Medium","Small"))</f>
        <v>Small</v>
      </c>
      <c r="Y614" t="str">
        <f>IF(AND(Sales[[#This Row],[Unit Price (₦)]]&gt;68000,Sales[[#This Row],[Quantity]]&gt;15),"Offer Discount", "No Discount")</f>
        <v>No Discount</v>
      </c>
    </row>
    <row r="615" spans="1:25" ht="15" customHeight="1" x14ac:dyDescent="0.25">
      <c r="A615" t="s">
        <v>2345</v>
      </c>
      <c r="B615" s="8">
        <v>45063</v>
      </c>
      <c r="C615" s="8">
        <v>45064</v>
      </c>
      <c r="D615" t="s">
        <v>32</v>
      </c>
      <c r="E615" t="s">
        <v>3059</v>
      </c>
      <c r="F615" t="s">
        <v>3079</v>
      </c>
      <c r="G615" t="s">
        <v>2347</v>
      </c>
      <c r="H615">
        <v>8149392214</v>
      </c>
      <c r="I615" t="s">
        <v>43</v>
      </c>
      <c r="J615" t="s">
        <v>61</v>
      </c>
      <c r="K615" t="s">
        <v>84</v>
      </c>
      <c r="L615" t="s">
        <v>96</v>
      </c>
      <c r="M615" t="s">
        <v>254</v>
      </c>
      <c r="N615" t="s">
        <v>455</v>
      </c>
      <c r="O615">
        <f>O614</f>
        <v>2</v>
      </c>
      <c r="P615">
        <v>394357.17</v>
      </c>
      <c r="Q615">
        <v>5</v>
      </c>
      <c r="R615" s="39">
        <v>118307.15</v>
      </c>
      <c r="S615" s="39">
        <v>2247835.87</v>
      </c>
      <c r="T615" s="39">
        <v>286210.96000000002</v>
      </c>
      <c r="U615" t="str">
        <f t="shared" si="21"/>
        <v>Technology</v>
      </c>
      <c r="V615">
        <f t="shared" si="22"/>
        <v>286210.96000000002</v>
      </c>
      <c r="W615" t="str">
        <f>IF(Sales[[#This Row],[Quantity]]&gt;=15, "Large","Small")</f>
        <v>Small</v>
      </c>
      <c r="X615" t="str">
        <f>IF(Sales[[#This Row],[Quantity]]&gt;=15,"Large",IF(Sales[[#This Row],[Quantity]]=14,"Medium","Small"))</f>
        <v>Small</v>
      </c>
      <c r="Y615" t="str">
        <f>IF(AND(Sales[[#This Row],[Unit Price (₦)]]&gt;68000,Sales[[#This Row],[Quantity]]&gt;15),"Offer Discount", "No Discount")</f>
        <v>No Discount</v>
      </c>
    </row>
    <row r="616" spans="1:25" ht="15" customHeight="1" x14ac:dyDescent="0.25">
      <c r="A616" t="s">
        <v>778</v>
      </c>
      <c r="B616" s="8">
        <v>45073</v>
      </c>
      <c r="C616" s="8">
        <v>45073</v>
      </c>
      <c r="D616" t="s">
        <v>32</v>
      </c>
      <c r="E616" t="s">
        <v>3039</v>
      </c>
      <c r="F616" t="s">
        <v>3038</v>
      </c>
      <c r="G616" t="s">
        <v>780</v>
      </c>
      <c r="H616">
        <v>8061200603</v>
      </c>
      <c r="I616" t="s">
        <v>43</v>
      </c>
      <c r="J616" t="s">
        <v>61</v>
      </c>
      <c r="K616" t="s">
        <v>95</v>
      </c>
      <c r="L616" t="s">
        <v>96</v>
      </c>
      <c r="M616" t="s">
        <v>385</v>
      </c>
      <c r="N616" t="s">
        <v>781</v>
      </c>
      <c r="O616">
        <v>13</v>
      </c>
      <c r="P616">
        <v>101187.87</v>
      </c>
      <c r="Q616">
        <v>10</v>
      </c>
      <c r="R616" s="39">
        <v>131544.23000000001</v>
      </c>
      <c r="S616" s="39">
        <v>1183898.08</v>
      </c>
      <c r="T616" s="39">
        <v>309910.37</v>
      </c>
      <c r="U616" t="str">
        <f t="shared" si="21"/>
        <v>Technology</v>
      </c>
      <c r="V616">
        <f t="shared" si="22"/>
        <v>309910.37</v>
      </c>
      <c r="W616" t="str">
        <f>IF(Sales[[#This Row],[Quantity]]&gt;=15, "Large","Small")</f>
        <v>Small</v>
      </c>
      <c r="X616" t="str">
        <f>IF(Sales[[#This Row],[Quantity]]&gt;=15,"Large",IF(Sales[[#This Row],[Quantity]]=14,"Medium","Small"))</f>
        <v>Small</v>
      </c>
      <c r="Y616" t="str">
        <f>IF(AND(Sales[[#This Row],[Unit Price (₦)]]&gt;68000,Sales[[#This Row],[Quantity]]&gt;15),"Offer Discount", "No Discount")</f>
        <v>No Discount</v>
      </c>
    </row>
    <row r="617" spans="1:25" ht="15" customHeight="1" x14ac:dyDescent="0.25">
      <c r="A617" t="s">
        <v>235</v>
      </c>
      <c r="B617" s="8">
        <v>45076</v>
      </c>
      <c r="C617" s="8">
        <v>45077</v>
      </c>
      <c r="D617" t="s">
        <v>32</v>
      </c>
      <c r="E617" t="s">
        <v>3048</v>
      </c>
      <c r="F617" t="s">
        <v>3075</v>
      </c>
      <c r="G617" t="s">
        <v>237</v>
      </c>
      <c r="H617">
        <v>8101610970</v>
      </c>
      <c r="I617" t="s">
        <v>24</v>
      </c>
      <c r="J617" t="s">
        <v>51</v>
      </c>
      <c r="K617" t="s">
        <v>227</v>
      </c>
      <c r="L617" t="s">
        <v>85</v>
      </c>
      <c r="M617" t="s">
        <v>86</v>
      </c>
      <c r="N617" t="s">
        <v>238</v>
      </c>
      <c r="O617">
        <v>10</v>
      </c>
      <c r="P617">
        <v>179090.91</v>
      </c>
      <c r="Q617">
        <v>0</v>
      </c>
      <c r="R617" s="39">
        <v>0</v>
      </c>
      <c r="S617" s="39">
        <v>1790909.1</v>
      </c>
      <c r="T617" s="39">
        <v>380814.35</v>
      </c>
      <c r="U617" t="str">
        <f t="shared" si="21"/>
        <v>Furniture</v>
      </c>
      <c r="V617">
        <f t="shared" si="22"/>
        <v>380814.35</v>
      </c>
      <c r="W617" t="str">
        <f>IF(Sales[[#This Row],[Quantity]]&gt;=15, "Large","Small")</f>
        <v>Small</v>
      </c>
      <c r="X617" t="str">
        <f>IF(Sales[[#This Row],[Quantity]]&gt;=15,"Large",IF(Sales[[#This Row],[Quantity]]=14,"Medium","Small"))</f>
        <v>Small</v>
      </c>
      <c r="Y617" t="str">
        <f>IF(AND(Sales[[#This Row],[Unit Price (₦)]]&gt;68000,Sales[[#This Row],[Quantity]]&gt;15),"Offer Discount", "No Discount")</f>
        <v>No Discount</v>
      </c>
    </row>
    <row r="618" spans="1:25" ht="15" customHeight="1" x14ac:dyDescent="0.25">
      <c r="A618" t="s">
        <v>235</v>
      </c>
      <c r="B618" s="8">
        <v>45076</v>
      </c>
      <c r="C618" s="8">
        <v>45077</v>
      </c>
      <c r="D618" t="s">
        <v>32</v>
      </c>
      <c r="E618" t="s">
        <v>3048</v>
      </c>
      <c r="F618" t="s">
        <v>3075</v>
      </c>
      <c r="G618" t="s">
        <v>237</v>
      </c>
      <c r="H618">
        <v>8101610970</v>
      </c>
      <c r="I618" t="s">
        <v>24</v>
      </c>
      <c r="J618" t="s">
        <v>51</v>
      </c>
      <c r="K618" t="s">
        <v>227</v>
      </c>
      <c r="L618" t="s">
        <v>85</v>
      </c>
      <c r="M618" t="s">
        <v>86</v>
      </c>
      <c r="N618" t="s">
        <v>238</v>
      </c>
      <c r="O618">
        <v>10</v>
      </c>
      <c r="P618">
        <v>179090.91</v>
      </c>
      <c r="Q618">
        <v>0</v>
      </c>
      <c r="R618" s="39">
        <v>0</v>
      </c>
      <c r="S618" s="39">
        <v>1790909.1</v>
      </c>
      <c r="T618" s="39">
        <v>380814.35</v>
      </c>
      <c r="U618" t="str">
        <f t="shared" si="21"/>
        <v>Furniture</v>
      </c>
      <c r="V618">
        <f t="shared" si="22"/>
        <v>380814.35</v>
      </c>
      <c r="W618" t="str">
        <f>IF(Sales[[#This Row],[Quantity]]&gt;=15, "Large","Small")</f>
        <v>Small</v>
      </c>
      <c r="X618" t="str">
        <f>IF(Sales[[#This Row],[Quantity]]&gt;=15,"Large",IF(Sales[[#This Row],[Quantity]]=14,"Medium","Small"))</f>
        <v>Small</v>
      </c>
      <c r="Y618" t="str">
        <f>IF(AND(Sales[[#This Row],[Unit Price (₦)]]&gt;68000,Sales[[#This Row],[Quantity]]&gt;15),"Offer Discount", "No Discount")</f>
        <v>No Discount</v>
      </c>
    </row>
    <row r="619" spans="1:25" ht="15" customHeight="1" x14ac:dyDescent="0.25">
      <c r="A619" t="s">
        <v>2488</v>
      </c>
      <c r="B619" s="8">
        <v>45078</v>
      </c>
      <c r="C619" s="8">
        <v>45079</v>
      </c>
      <c r="D619" t="s">
        <v>32</v>
      </c>
      <c r="E619" t="s">
        <v>3081</v>
      </c>
      <c r="F619" t="s">
        <v>3062</v>
      </c>
      <c r="G619" t="s">
        <v>2490</v>
      </c>
      <c r="H619">
        <v>7064365631</v>
      </c>
      <c r="I619" t="s">
        <v>24</v>
      </c>
      <c r="J619" t="s">
        <v>51</v>
      </c>
      <c r="K619" t="s">
        <v>131</v>
      </c>
      <c r="L619" t="s">
        <v>85</v>
      </c>
      <c r="M619" t="s">
        <v>243</v>
      </c>
      <c r="N619" t="s">
        <v>1054</v>
      </c>
      <c r="O619">
        <v>4</v>
      </c>
      <c r="P619">
        <v>66431.87</v>
      </c>
      <c r="Q619">
        <v>25</v>
      </c>
      <c r="R619" s="39">
        <v>66431.87</v>
      </c>
      <c r="S619" s="39">
        <v>199295.61</v>
      </c>
      <c r="T619" s="39">
        <v>928.86</v>
      </c>
      <c r="U619" t="str">
        <f t="shared" si="21"/>
        <v>Furniture</v>
      </c>
      <c r="V619">
        <f t="shared" si="22"/>
        <v>928.86</v>
      </c>
      <c r="W619" t="str">
        <f>IF(Sales[[#This Row],[Quantity]]&gt;=15, "Large","Small")</f>
        <v>Small</v>
      </c>
      <c r="X619" t="str">
        <f>IF(Sales[[#This Row],[Quantity]]&gt;=15,"Large",IF(Sales[[#This Row],[Quantity]]=14,"Medium","Small"))</f>
        <v>Small</v>
      </c>
      <c r="Y619" t="str">
        <f>IF(AND(Sales[[#This Row],[Unit Price (₦)]]&gt;68000,Sales[[#This Row],[Quantity]]&gt;15),"Offer Discount", "No Discount")</f>
        <v>No Discount</v>
      </c>
    </row>
    <row r="620" spans="1:25" ht="15" customHeight="1" x14ac:dyDescent="0.25">
      <c r="A620" t="s">
        <v>1898</v>
      </c>
      <c r="B620" s="8">
        <v>45079</v>
      </c>
      <c r="C620" s="8">
        <v>45080</v>
      </c>
      <c r="D620" t="s">
        <v>32</v>
      </c>
      <c r="E620" t="s">
        <v>3073</v>
      </c>
      <c r="F620" t="s">
        <v>3071</v>
      </c>
      <c r="G620" t="s">
        <v>1900</v>
      </c>
      <c r="H620">
        <v>7062135960</v>
      </c>
      <c r="I620" t="s">
        <v>35</v>
      </c>
      <c r="J620" t="s">
        <v>25</v>
      </c>
      <c r="K620" t="s">
        <v>3127</v>
      </c>
      <c r="L620" t="s">
        <v>108</v>
      </c>
      <c r="M620" t="s">
        <v>183</v>
      </c>
      <c r="N620" t="s">
        <v>184</v>
      </c>
      <c r="O620">
        <v>17</v>
      </c>
      <c r="P620">
        <v>42047.29</v>
      </c>
      <c r="Q620">
        <v>0</v>
      </c>
      <c r="R620" s="39">
        <v>0</v>
      </c>
      <c r="S620" s="39">
        <v>714803.93</v>
      </c>
      <c r="T620" s="39">
        <v>-35625.06</v>
      </c>
      <c r="U620" t="str">
        <f t="shared" si="21"/>
        <v>Clothing</v>
      </c>
      <c r="V620">
        <f t="shared" si="22"/>
        <v>35625.06</v>
      </c>
      <c r="W620" t="str">
        <f>IF(Sales[[#This Row],[Quantity]]&gt;=15, "Large","Small")</f>
        <v>Large</v>
      </c>
      <c r="X620" t="str">
        <f>IF(Sales[[#This Row],[Quantity]]&gt;=15,"Large",IF(Sales[[#This Row],[Quantity]]=14,"Medium","Small"))</f>
        <v>Large</v>
      </c>
      <c r="Y620" t="str">
        <f>IF(AND(Sales[[#This Row],[Unit Price (₦)]]&gt;68000,Sales[[#This Row],[Quantity]]&gt;15),"Offer Discount", "No Discount")</f>
        <v>No Discount</v>
      </c>
    </row>
    <row r="621" spans="1:25" ht="15" customHeight="1" x14ac:dyDescent="0.25">
      <c r="A621" t="s">
        <v>2456</v>
      </c>
      <c r="B621" s="8">
        <v>45081</v>
      </c>
      <c r="C621" s="8">
        <v>45082</v>
      </c>
      <c r="D621" t="s">
        <v>32</v>
      </c>
      <c r="E621" t="s">
        <v>3097</v>
      </c>
      <c r="F621" t="s">
        <v>3039</v>
      </c>
      <c r="G621" t="s">
        <v>2458</v>
      </c>
      <c r="H621">
        <v>8168482755</v>
      </c>
      <c r="I621" t="s">
        <v>24</v>
      </c>
      <c r="J621" t="s">
        <v>69</v>
      </c>
      <c r="K621" t="s">
        <v>307</v>
      </c>
      <c r="L621" t="s">
        <v>96</v>
      </c>
      <c r="M621" t="s">
        <v>97</v>
      </c>
      <c r="N621" t="s">
        <v>230</v>
      </c>
      <c r="O621">
        <v>9</v>
      </c>
      <c r="P621">
        <v>319110.43</v>
      </c>
      <c r="Q621">
        <v>0</v>
      </c>
      <c r="R621" s="39">
        <v>0</v>
      </c>
      <c r="S621" s="39">
        <v>2871993.87</v>
      </c>
      <c r="T621" s="39">
        <v>-69994.48</v>
      </c>
      <c r="U621" t="str">
        <f t="shared" si="21"/>
        <v>Technology</v>
      </c>
      <c r="V621">
        <f t="shared" si="22"/>
        <v>69994.48</v>
      </c>
      <c r="W621" t="str">
        <f>IF(Sales[[#This Row],[Quantity]]&gt;=15, "Large","Small")</f>
        <v>Small</v>
      </c>
      <c r="X621" t="str">
        <f>IF(Sales[[#This Row],[Quantity]]&gt;=15,"Large",IF(Sales[[#This Row],[Quantity]]=14,"Medium","Small"))</f>
        <v>Small</v>
      </c>
      <c r="Y621" t="str">
        <f>IF(AND(Sales[[#This Row],[Unit Price (₦)]]&gt;68000,Sales[[#This Row],[Quantity]]&gt;15),"Offer Discount", "No Discount")</f>
        <v>No Discount</v>
      </c>
    </row>
    <row r="622" spans="1:25" ht="15" customHeight="1" x14ac:dyDescent="0.25">
      <c r="A622" t="s">
        <v>1024</v>
      </c>
      <c r="B622" s="8">
        <v>45089</v>
      </c>
      <c r="C622" s="8">
        <v>45089</v>
      </c>
      <c r="D622" t="s">
        <v>32</v>
      </c>
      <c r="E622" t="s">
        <v>3049</v>
      </c>
      <c r="F622" t="s">
        <v>3078</v>
      </c>
      <c r="G622" t="s">
        <v>1025</v>
      </c>
      <c r="H622">
        <v>9059766777</v>
      </c>
      <c r="I622" t="s">
        <v>43</v>
      </c>
      <c r="J622" t="s">
        <v>61</v>
      </c>
      <c r="K622" t="s">
        <v>95</v>
      </c>
      <c r="L622" t="s">
        <v>96</v>
      </c>
      <c r="M622" t="s">
        <v>254</v>
      </c>
      <c r="N622" t="s">
        <v>756</v>
      </c>
      <c r="O622">
        <v>7</v>
      </c>
      <c r="P622">
        <v>178138</v>
      </c>
      <c r="Q622">
        <v>10</v>
      </c>
      <c r="R622" s="39">
        <v>124696.6</v>
      </c>
      <c r="S622" s="39">
        <v>1122269.3999999999</v>
      </c>
      <c r="T622" s="39">
        <v>106960.18</v>
      </c>
      <c r="U622" t="str">
        <f t="shared" si="21"/>
        <v>Technology</v>
      </c>
      <c r="V622">
        <f t="shared" si="22"/>
        <v>106960.18</v>
      </c>
      <c r="W622" t="str">
        <f>IF(Sales[[#This Row],[Quantity]]&gt;=15, "Large","Small")</f>
        <v>Small</v>
      </c>
      <c r="X622" t="str">
        <f>IF(Sales[[#This Row],[Quantity]]&gt;=15,"Large",IF(Sales[[#This Row],[Quantity]]=14,"Medium","Small"))</f>
        <v>Small</v>
      </c>
      <c r="Y622" t="str">
        <f>IF(AND(Sales[[#This Row],[Unit Price (₦)]]&gt;68000,Sales[[#This Row],[Quantity]]&gt;15),"Offer Discount", "No Discount")</f>
        <v>No Discount</v>
      </c>
    </row>
    <row r="623" spans="1:25" ht="15" customHeight="1" x14ac:dyDescent="0.25">
      <c r="A623" t="s">
        <v>1960</v>
      </c>
      <c r="B623" s="8">
        <v>45090</v>
      </c>
      <c r="C623" s="8">
        <v>45091</v>
      </c>
      <c r="D623" t="s">
        <v>32</v>
      </c>
      <c r="E623" t="s">
        <v>3061</v>
      </c>
      <c r="F623" t="s">
        <v>3096</v>
      </c>
      <c r="G623" t="s">
        <v>1962</v>
      </c>
      <c r="H623">
        <v>9073356313</v>
      </c>
      <c r="I623" t="s">
        <v>24</v>
      </c>
      <c r="J623" t="s">
        <v>25</v>
      </c>
      <c r="K623" t="s">
        <v>126</v>
      </c>
      <c r="L623" t="s">
        <v>96</v>
      </c>
      <c r="M623" t="s">
        <v>254</v>
      </c>
      <c r="N623" t="s">
        <v>530</v>
      </c>
      <c r="O623">
        <v>10</v>
      </c>
      <c r="P623">
        <v>32222.799999999999</v>
      </c>
      <c r="Q623">
        <v>15</v>
      </c>
      <c r="R623" s="39">
        <v>48334.2</v>
      </c>
      <c r="S623" s="39">
        <v>273893.8</v>
      </c>
      <c r="T623" s="39">
        <v>26134.93</v>
      </c>
      <c r="U623" t="str">
        <f t="shared" si="21"/>
        <v>Technology</v>
      </c>
      <c r="V623">
        <f t="shared" si="22"/>
        <v>26134.93</v>
      </c>
      <c r="W623" t="str">
        <f>IF(Sales[[#This Row],[Quantity]]&gt;=15, "Large","Small")</f>
        <v>Small</v>
      </c>
      <c r="X623" t="str">
        <f>IF(Sales[[#This Row],[Quantity]]&gt;=15,"Large",IF(Sales[[#This Row],[Quantity]]=14,"Medium","Small"))</f>
        <v>Small</v>
      </c>
      <c r="Y623" t="str">
        <f>IF(AND(Sales[[#This Row],[Unit Price (₦)]]&gt;68000,Sales[[#This Row],[Quantity]]&gt;15),"Offer Discount", "No Discount")</f>
        <v>No Discount</v>
      </c>
    </row>
    <row r="624" spans="1:25" ht="15" customHeight="1" x14ac:dyDescent="0.25">
      <c r="A624" t="s">
        <v>2002</v>
      </c>
      <c r="B624" s="8">
        <v>45094</v>
      </c>
      <c r="C624" s="8">
        <v>45094</v>
      </c>
      <c r="D624" t="s">
        <v>32</v>
      </c>
      <c r="E624" t="s">
        <v>3041</v>
      </c>
      <c r="F624" t="s">
        <v>3052</v>
      </c>
      <c r="G624" t="s">
        <v>2003</v>
      </c>
      <c r="H624">
        <v>8061430171</v>
      </c>
      <c r="I624" t="s">
        <v>35</v>
      </c>
      <c r="J624" t="s">
        <v>61</v>
      </c>
      <c r="K624" t="s">
        <v>84</v>
      </c>
      <c r="L624" t="s">
        <v>108</v>
      </c>
      <c r="M624" t="s">
        <v>114</v>
      </c>
      <c r="N624" t="s">
        <v>891</v>
      </c>
      <c r="O624">
        <v>20</v>
      </c>
      <c r="P624">
        <v>8581.09</v>
      </c>
      <c r="Q624">
        <v>25</v>
      </c>
      <c r="R624" s="39">
        <v>42905.45</v>
      </c>
      <c r="S624" s="39">
        <v>128716.35</v>
      </c>
      <c r="T624" s="39">
        <v>51789.88</v>
      </c>
      <c r="U624" t="str">
        <f t="shared" si="21"/>
        <v>Clothing</v>
      </c>
      <c r="V624">
        <f t="shared" si="22"/>
        <v>51789.88</v>
      </c>
      <c r="W624" t="str">
        <f>IF(Sales[[#This Row],[Quantity]]&gt;=15, "Large","Small")</f>
        <v>Large</v>
      </c>
      <c r="X624" t="str">
        <f>IF(Sales[[#This Row],[Quantity]]&gt;=15,"Large",IF(Sales[[#This Row],[Quantity]]=14,"Medium","Small"))</f>
        <v>Large</v>
      </c>
      <c r="Y624" t="str">
        <f>IF(AND(Sales[[#This Row],[Unit Price (₦)]]&gt;68000,Sales[[#This Row],[Quantity]]&gt;15),"Offer Discount", "No Discount")</f>
        <v>No Discount</v>
      </c>
    </row>
    <row r="625" spans="1:25" ht="15" customHeight="1" x14ac:dyDescent="0.25">
      <c r="A625" t="s">
        <v>2768</v>
      </c>
      <c r="B625" s="8">
        <v>45094</v>
      </c>
      <c r="C625" s="8">
        <v>45094</v>
      </c>
      <c r="D625" t="s">
        <v>32</v>
      </c>
      <c r="E625" t="s">
        <v>3092</v>
      </c>
      <c r="F625" t="s">
        <v>3038</v>
      </c>
      <c r="G625" t="s">
        <v>2770</v>
      </c>
      <c r="H625">
        <v>9054754605</v>
      </c>
      <c r="I625" t="s">
        <v>959</v>
      </c>
      <c r="J625" t="s">
        <v>51</v>
      </c>
      <c r="K625" t="s">
        <v>131</v>
      </c>
      <c r="L625" t="s">
        <v>63</v>
      </c>
      <c r="M625" t="s">
        <v>249</v>
      </c>
      <c r="N625" t="s">
        <v>329</v>
      </c>
      <c r="O625">
        <v>6</v>
      </c>
      <c r="P625">
        <v>21377.83</v>
      </c>
      <c r="Q625">
        <v>20</v>
      </c>
      <c r="R625" s="39">
        <v>25653.4</v>
      </c>
      <c r="S625" s="39">
        <v>102613.58</v>
      </c>
      <c r="T625" s="39">
        <v>34494.83</v>
      </c>
      <c r="U625" t="str">
        <f t="shared" si="21"/>
        <v>Office Supplies</v>
      </c>
      <c r="V625">
        <f t="shared" si="22"/>
        <v>34494.83</v>
      </c>
      <c r="W625" t="str">
        <f>IF(Sales[[#This Row],[Quantity]]&gt;=15, "Large","Small")</f>
        <v>Small</v>
      </c>
      <c r="X625" t="str">
        <f>IF(Sales[[#This Row],[Quantity]]&gt;=15,"Large",IF(Sales[[#This Row],[Quantity]]=14,"Medium","Small"))</f>
        <v>Small</v>
      </c>
      <c r="Y625" t="str">
        <f>IF(AND(Sales[[#This Row],[Unit Price (₦)]]&gt;68000,Sales[[#This Row],[Quantity]]&gt;15),"Offer Discount", "No Discount")</f>
        <v>No Discount</v>
      </c>
    </row>
    <row r="626" spans="1:25" ht="15" customHeight="1" x14ac:dyDescent="0.25">
      <c r="A626" t="s">
        <v>2182</v>
      </c>
      <c r="B626" s="8">
        <v>45101</v>
      </c>
      <c r="C626" s="8">
        <v>45102</v>
      </c>
      <c r="D626" t="s">
        <v>32</v>
      </c>
      <c r="E626" t="s">
        <v>3072</v>
      </c>
      <c r="F626" t="s">
        <v>3054</v>
      </c>
      <c r="G626" t="s">
        <v>730</v>
      </c>
      <c r="H626">
        <v>8038238024</v>
      </c>
      <c r="I626" t="s">
        <v>35</v>
      </c>
      <c r="J626" t="s">
        <v>25</v>
      </c>
      <c r="K626" t="s">
        <v>126</v>
      </c>
      <c r="L626" t="s">
        <v>96</v>
      </c>
      <c r="M626" t="s">
        <v>385</v>
      </c>
      <c r="N626" t="s">
        <v>743</v>
      </c>
      <c r="O626">
        <v>17</v>
      </c>
      <c r="P626">
        <v>72584.320000000007</v>
      </c>
      <c r="Q626">
        <v>15</v>
      </c>
      <c r="R626" s="39">
        <v>185090.02</v>
      </c>
      <c r="S626" s="39">
        <v>1048843.42</v>
      </c>
      <c r="T626" s="39">
        <v>411730.02</v>
      </c>
      <c r="U626" t="str">
        <f t="shared" si="21"/>
        <v>Technology</v>
      </c>
      <c r="V626">
        <f t="shared" si="22"/>
        <v>411730.02</v>
      </c>
      <c r="W626" t="str">
        <f>IF(Sales[[#This Row],[Quantity]]&gt;=15, "Large","Small")</f>
        <v>Large</v>
      </c>
      <c r="X626" t="str">
        <f>IF(Sales[[#This Row],[Quantity]]&gt;=15,"Large",IF(Sales[[#This Row],[Quantity]]=14,"Medium","Small"))</f>
        <v>Large</v>
      </c>
      <c r="Y626" t="str">
        <f>IF(AND(Sales[[#This Row],[Unit Price (₦)]]&gt;68000,Sales[[#This Row],[Quantity]]&gt;15),"Offer Discount", "No Discount")</f>
        <v>Offer Discount</v>
      </c>
    </row>
    <row r="627" spans="1:25" ht="15" customHeight="1" x14ac:dyDescent="0.25">
      <c r="A627" t="s">
        <v>2748</v>
      </c>
      <c r="B627" s="8">
        <v>45109</v>
      </c>
      <c r="C627" s="8">
        <v>45109</v>
      </c>
      <c r="D627" t="s">
        <v>32</v>
      </c>
      <c r="E627" t="s">
        <v>3084</v>
      </c>
      <c r="F627" t="s">
        <v>3096</v>
      </c>
      <c r="G627" t="s">
        <v>2749</v>
      </c>
      <c r="H627">
        <v>8067440597</v>
      </c>
      <c r="I627" t="s">
        <v>43</v>
      </c>
      <c r="J627" t="s">
        <v>69</v>
      </c>
      <c r="K627" t="s">
        <v>204</v>
      </c>
      <c r="L627" t="s">
        <v>63</v>
      </c>
      <c r="M627" t="s">
        <v>64</v>
      </c>
      <c r="N627" t="s">
        <v>501</v>
      </c>
      <c r="O627">
        <v>10</v>
      </c>
      <c r="P627">
        <v>1526.35</v>
      </c>
      <c r="Q627">
        <v>0</v>
      </c>
      <c r="R627" s="39">
        <v>0</v>
      </c>
      <c r="S627" s="39">
        <v>15263.5</v>
      </c>
      <c r="T627" s="39">
        <v>6443.27</v>
      </c>
      <c r="U627" t="str">
        <f t="shared" si="21"/>
        <v>Office Supplies</v>
      </c>
      <c r="V627">
        <f t="shared" si="22"/>
        <v>6443.27</v>
      </c>
      <c r="W627" t="str">
        <f>IF(Sales[[#This Row],[Quantity]]&gt;=15, "Large","Small")</f>
        <v>Small</v>
      </c>
      <c r="X627" t="str">
        <f>IF(Sales[[#This Row],[Quantity]]&gt;=15,"Large",IF(Sales[[#This Row],[Quantity]]=14,"Medium","Small"))</f>
        <v>Small</v>
      </c>
      <c r="Y627" t="str">
        <f>IF(AND(Sales[[#This Row],[Unit Price (₦)]]&gt;68000,Sales[[#This Row],[Quantity]]&gt;15),"Offer Discount", "No Discount")</f>
        <v>No Discount</v>
      </c>
    </row>
    <row r="628" spans="1:25" ht="15" customHeight="1" x14ac:dyDescent="0.25">
      <c r="A628" t="s">
        <v>845</v>
      </c>
      <c r="B628" s="8">
        <v>45112</v>
      </c>
      <c r="C628" s="8">
        <v>45113</v>
      </c>
      <c r="D628" t="s">
        <v>32</v>
      </c>
      <c r="E628" t="s">
        <v>3047</v>
      </c>
      <c r="F628" t="s">
        <v>3074</v>
      </c>
      <c r="G628" t="s">
        <v>847</v>
      </c>
      <c r="H628">
        <v>8165703436</v>
      </c>
      <c r="I628" t="s">
        <v>35</v>
      </c>
      <c r="J628" t="s">
        <v>51</v>
      </c>
      <c r="K628" t="s">
        <v>131</v>
      </c>
      <c r="L628" t="s">
        <v>534</v>
      </c>
      <c r="M628" t="s">
        <v>114</v>
      </c>
      <c r="N628" t="s">
        <v>848</v>
      </c>
      <c r="O628">
        <v>15</v>
      </c>
      <c r="P628">
        <v>7778.58</v>
      </c>
      <c r="Q628">
        <v>10</v>
      </c>
      <c r="R628" s="39">
        <v>11667.87</v>
      </c>
      <c r="S628" s="39">
        <v>105010.83</v>
      </c>
      <c r="T628" s="39">
        <v>1223.58</v>
      </c>
      <c r="U628" t="str">
        <f t="shared" si="21"/>
        <v>Clothing</v>
      </c>
      <c r="V628">
        <f t="shared" si="22"/>
        <v>1223.58</v>
      </c>
      <c r="W628" t="str">
        <f>IF(Sales[[#This Row],[Quantity]]&gt;=15, "Large","Small")</f>
        <v>Large</v>
      </c>
      <c r="X628" t="str">
        <f>IF(Sales[[#This Row],[Quantity]]&gt;=15,"Large",IF(Sales[[#This Row],[Quantity]]=14,"Medium","Small"))</f>
        <v>Large</v>
      </c>
      <c r="Y628" t="str">
        <f>IF(AND(Sales[[#This Row],[Unit Price (₦)]]&gt;68000,Sales[[#This Row],[Quantity]]&gt;15),"Offer Discount", "No Discount")</f>
        <v>No Discount</v>
      </c>
    </row>
    <row r="629" spans="1:25" ht="15" customHeight="1" x14ac:dyDescent="0.25">
      <c r="A629" t="s">
        <v>56</v>
      </c>
      <c r="B629" s="8">
        <v>45114</v>
      </c>
      <c r="C629" s="8">
        <v>45114</v>
      </c>
      <c r="D629" t="s">
        <v>32</v>
      </c>
      <c r="E629" t="s">
        <v>3041</v>
      </c>
      <c r="F629" t="s">
        <v>3042</v>
      </c>
      <c r="G629" t="s">
        <v>58</v>
      </c>
      <c r="H629" t="s">
        <v>59</v>
      </c>
      <c r="I629" t="s">
        <v>43</v>
      </c>
      <c r="J629" t="s">
        <v>61</v>
      </c>
      <c r="K629" t="s">
        <v>62</v>
      </c>
      <c r="L629" t="s">
        <v>63</v>
      </c>
      <c r="M629" t="s">
        <v>64</v>
      </c>
      <c r="N629" t="s">
        <v>65</v>
      </c>
      <c r="O629">
        <v>19</v>
      </c>
      <c r="P629">
        <v>2121.62</v>
      </c>
      <c r="Q629">
        <v>10</v>
      </c>
      <c r="R629" s="39">
        <v>4031.08</v>
      </c>
      <c r="S629" s="39">
        <v>36279.699999999997</v>
      </c>
      <c r="T629" s="39">
        <v>-813.54</v>
      </c>
      <c r="U629" t="str">
        <f t="shared" si="21"/>
        <v>Office Supplies</v>
      </c>
      <c r="V629">
        <f t="shared" si="22"/>
        <v>813.54</v>
      </c>
      <c r="W629" t="str">
        <f>IF(Sales[[#This Row],[Quantity]]&gt;=15, "Large","Small")</f>
        <v>Large</v>
      </c>
      <c r="X629" t="str">
        <f>IF(Sales[[#This Row],[Quantity]]&gt;=15,"Large",IF(Sales[[#This Row],[Quantity]]=14,"Medium","Small"))</f>
        <v>Large</v>
      </c>
      <c r="Y629" t="str">
        <f>IF(AND(Sales[[#This Row],[Unit Price (₦)]]&gt;68000,Sales[[#This Row],[Quantity]]&gt;15),"Offer Discount", "No Discount")</f>
        <v>No Discount</v>
      </c>
    </row>
    <row r="630" spans="1:25" ht="15" customHeight="1" x14ac:dyDescent="0.25">
      <c r="A630" t="s">
        <v>245</v>
      </c>
      <c r="B630" s="8">
        <v>45116</v>
      </c>
      <c r="C630" s="8">
        <v>45117</v>
      </c>
      <c r="D630" t="s">
        <v>32</v>
      </c>
      <c r="E630" t="s">
        <v>3061</v>
      </c>
      <c r="F630" t="s">
        <v>3043</v>
      </c>
      <c r="G630" t="s">
        <v>247</v>
      </c>
      <c r="H630">
        <v>9014231028</v>
      </c>
      <c r="I630" t="s">
        <v>24</v>
      </c>
      <c r="J630" t="s">
        <v>51</v>
      </c>
      <c r="K630" t="s">
        <v>223</v>
      </c>
      <c r="L630" t="s">
        <v>63</v>
      </c>
      <c r="M630" t="s">
        <v>249</v>
      </c>
      <c r="N630" t="s">
        <v>250</v>
      </c>
      <c r="O630">
        <v>6</v>
      </c>
      <c r="P630">
        <v>23796.5</v>
      </c>
      <c r="Q630">
        <v>5</v>
      </c>
      <c r="R630" s="39">
        <v>7138.95</v>
      </c>
      <c r="S630" s="39">
        <v>135640.04999999999</v>
      </c>
      <c r="T630" s="39">
        <v>-2735.75</v>
      </c>
      <c r="U630" t="str">
        <f t="shared" si="21"/>
        <v>Office Supplies</v>
      </c>
      <c r="V630">
        <f t="shared" si="22"/>
        <v>2735.75</v>
      </c>
      <c r="W630" t="str">
        <f>IF(Sales[[#This Row],[Quantity]]&gt;=15, "Large","Small")</f>
        <v>Small</v>
      </c>
      <c r="X630" t="str">
        <f>IF(Sales[[#This Row],[Quantity]]&gt;=15,"Large",IF(Sales[[#This Row],[Quantity]]=14,"Medium","Small"))</f>
        <v>Small</v>
      </c>
      <c r="Y630" t="str">
        <f>IF(AND(Sales[[#This Row],[Unit Price (₦)]]&gt;68000,Sales[[#This Row],[Quantity]]&gt;15),"Offer Discount", "No Discount")</f>
        <v>No Discount</v>
      </c>
    </row>
    <row r="631" spans="1:25" ht="15" customHeight="1" x14ac:dyDescent="0.25">
      <c r="A631" t="s">
        <v>1176</v>
      </c>
      <c r="B631" s="8">
        <v>45122</v>
      </c>
      <c r="C631" s="8">
        <v>45122</v>
      </c>
      <c r="D631" t="s">
        <v>32</v>
      </c>
      <c r="E631" t="s">
        <v>3050</v>
      </c>
      <c r="F631" t="s">
        <v>3038</v>
      </c>
      <c r="G631" t="s">
        <v>1178</v>
      </c>
      <c r="H631">
        <v>8101439533</v>
      </c>
      <c r="I631" t="s">
        <v>43</v>
      </c>
      <c r="J631" t="s">
        <v>69</v>
      </c>
      <c r="K631" t="s">
        <v>70</v>
      </c>
      <c r="L631" t="s">
        <v>27</v>
      </c>
      <c r="M631" t="s">
        <v>173</v>
      </c>
      <c r="N631" t="s">
        <v>174</v>
      </c>
      <c r="O631">
        <v>20</v>
      </c>
      <c r="P631">
        <v>4963.1499999999996</v>
      </c>
      <c r="Q631">
        <v>5</v>
      </c>
      <c r="R631" s="39">
        <v>4963.1499999999996</v>
      </c>
      <c r="S631" s="39">
        <v>94299.85</v>
      </c>
      <c r="T631" s="39">
        <v>19597.060000000001</v>
      </c>
      <c r="U631" t="str">
        <f t="shared" si="21"/>
        <v>Food &amp; Beverages</v>
      </c>
      <c r="V631">
        <f t="shared" si="22"/>
        <v>19597.060000000001</v>
      </c>
      <c r="W631" t="str">
        <f>IF(Sales[[#This Row],[Quantity]]&gt;=15, "Large","Small")</f>
        <v>Large</v>
      </c>
      <c r="X631" t="str">
        <f>IF(Sales[[#This Row],[Quantity]]&gt;=15,"Large",IF(Sales[[#This Row],[Quantity]]=14,"Medium","Small"))</f>
        <v>Large</v>
      </c>
      <c r="Y631" t="str">
        <f>IF(AND(Sales[[#This Row],[Unit Price (₦)]]&gt;68000,Sales[[#This Row],[Quantity]]&gt;15),"Offer Discount", "No Discount")</f>
        <v>No Discount</v>
      </c>
    </row>
    <row r="632" spans="1:25" ht="15" customHeight="1" x14ac:dyDescent="0.25">
      <c r="A632" t="s">
        <v>2387</v>
      </c>
      <c r="B632" s="8">
        <v>45123</v>
      </c>
      <c r="C632" s="8">
        <v>45123</v>
      </c>
      <c r="D632" t="s">
        <v>32</v>
      </c>
      <c r="E632" t="s">
        <v>3044</v>
      </c>
      <c r="F632" t="s">
        <v>3043</v>
      </c>
      <c r="G632" t="s">
        <v>2388</v>
      </c>
      <c r="H632">
        <v>7039047740</v>
      </c>
      <c r="I632" t="s">
        <v>24</v>
      </c>
      <c r="J632" t="s">
        <v>61</v>
      </c>
      <c r="K632" t="s">
        <v>62</v>
      </c>
      <c r="L632" t="s">
        <v>27</v>
      </c>
      <c r="M632" t="s">
        <v>28</v>
      </c>
      <c r="N632" t="s">
        <v>29</v>
      </c>
      <c r="O632">
        <v>13</v>
      </c>
      <c r="P632">
        <v>6315.46</v>
      </c>
      <c r="Q632">
        <v>20</v>
      </c>
      <c r="R632" s="39">
        <v>16420.2</v>
      </c>
      <c r="S632" s="39">
        <v>65680.78</v>
      </c>
      <c r="T632" s="39">
        <v>-6.06</v>
      </c>
      <c r="U632" t="str">
        <f t="shared" si="21"/>
        <v>Food &amp; Beverages</v>
      </c>
      <c r="V632">
        <f t="shared" si="22"/>
        <v>6.06</v>
      </c>
      <c r="W632" t="str">
        <f>IF(Sales[[#This Row],[Quantity]]&gt;=15, "Large","Small")</f>
        <v>Small</v>
      </c>
      <c r="X632" t="str">
        <f>IF(Sales[[#This Row],[Quantity]]&gt;=15,"Large",IF(Sales[[#This Row],[Quantity]]=14,"Medium","Small"))</f>
        <v>Small</v>
      </c>
      <c r="Y632" t="str">
        <f>IF(AND(Sales[[#This Row],[Unit Price (₦)]]&gt;68000,Sales[[#This Row],[Quantity]]&gt;15),"Offer Discount", "No Discount")</f>
        <v>No Discount</v>
      </c>
    </row>
    <row r="633" spans="1:25" ht="15" customHeight="1" x14ac:dyDescent="0.25">
      <c r="A633" t="s">
        <v>1830</v>
      </c>
      <c r="B633" s="8">
        <v>45125</v>
      </c>
      <c r="C633" s="8">
        <v>45126</v>
      </c>
      <c r="D633" t="s">
        <v>32</v>
      </c>
      <c r="E633" t="s">
        <v>3101</v>
      </c>
      <c r="F633" t="s">
        <v>3046</v>
      </c>
      <c r="G633" t="s">
        <v>1832</v>
      </c>
      <c r="H633">
        <v>8062386418</v>
      </c>
      <c r="I633" t="s">
        <v>24</v>
      </c>
      <c r="J633" t="s">
        <v>25</v>
      </c>
      <c r="K633" t="s">
        <v>168</v>
      </c>
      <c r="L633" t="s">
        <v>96</v>
      </c>
      <c r="M633" t="s">
        <v>189</v>
      </c>
      <c r="N633" t="s">
        <v>205</v>
      </c>
      <c r="O633">
        <v>19</v>
      </c>
      <c r="P633">
        <v>112846.74</v>
      </c>
      <c r="Q633">
        <v>20</v>
      </c>
      <c r="R633" s="39">
        <v>428817.61</v>
      </c>
      <c r="S633" s="39">
        <v>1715270.45</v>
      </c>
      <c r="T633" s="39">
        <v>24416.68</v>
      </c>
      <c r="U633" t="str">
        <f t="shared" si="21"/>
        <v>Technology</v>
      </c>
      <c r="V633">
        <f t="shared" si="22"/>
        <v>24416.68</v>
      </c>
      <c r="W633" t="str">
        <f>IF(Sales[[#This Row],[Quantity]]&gt;=15, "Large","Small")</f>
        <v>Large</v>
      </c>
      <c r="X633" t="str">
        <f>IF(Sales[[#This Row],[Quantity]]&gt;=15,"Large",IF(Sales[[#This Row],[Quantity]]=14,"Medium","Small"))</f>
        <v>Large</v>
      </c>
      <c r="Y633" t="str">
        <f>IF(AND(Sales[[#This Row],[Unit Price (₦)]]&gt;68000,Sales[[#This Row],[Quantity]]&gt;15),"Offer Discount", "No Discount")</f>
        <v>Offer Discount</v>
      </c>
    </row>
    <row r="634" spans="1:25" ht="15" customHeight="1" x14ac:dyDescent="0.25">
      <c r="A634" t="s">
        <v>2910</v>
      </c>
      <c r="B634" s="8">
        <v>45125</v>
      </c>
      <c r="C634" s="8">
        <v>45126</v>
      </c>
      <c r="D634" t="s">
        <v>32</v>
      </c>
      <c r="E634" t="s">
        <v>3095</v>
      </c>
      <c r="F634" t="s">
        <v>3066</v>
      </c>
      <c r="G634" t="s">
        <v>2912</v>
      </c>
      <c r="H634">
        <v>8065280661</v>
      </c>
      <c r="I634" t="s">
        <v>35</v>
      </c>
      <c r="J634" t="s">
        <v>61</v>
      </c>
      <c r="K634" t="s">
        <v>95</v>
      </c>
      <c r="L634" t="s">
        <v>96</v>
      </c>
      <c r="M634" t="s">
        <v>97</v>
      </c>
      <c r="N634" t="s">
        <v>443</v>
      </c>
      <c r="O634">
        <v>14</v>
      </c>
      <c r="P634">
        <v>241060.91</v>
      </c>
      <c r="Q634">
        <v>0</v>
      </c>
      <c r="R634" s="39">
        <v>0</v>
      </c>
      <c r="S634" s="39">
        <v>3374852.74</v>
      </c>
      <c r="T634" s="39">
        <v>1173604.52</v>
      </c>
      <c r="U634" t="str">
        <f t="shared" si="21"/>
        <v>Technology</v>
      </c>
      <c r="V634">
        <f t="shared" si="22"/>
        <v>1173604.52</v>
      </c>
      <c r="W634" t="str">
        <f>IF(Sales[[#This Row],[Quantity]]&gt;=15, "Large","Small")</f>
        <v>Small</v>
      </c>
      <c r="X634" t="str">
        <f>IF(Sales[[#This Row],[Quantity]]&gt;=15,"Large",IF(Sales[[#This Row],[Quantity]]=14,"Medium","Small"))</f>
        <v>Medium</v>
      </c>
      <c r="Y634" t="str">
        <f>IF(AND(Sales[[#This Row],[Unit Price (₦)]]&gt;68000,Sales[[#This Row],[Quantity]]&gt;15),"Offer Discount", "No Discount")</f>
        <v>No Discount</v>
      </c>
    </row>
    <row r="635" spans="1:25" ht="15" customHeight="1" x14ac:dyDescent="0.25">
      <c r="A635" t="s">
        <v>280</v>
      </c>
      <c r="B635" s="8">
        <v>45131</v>
      </c>
      <c r="C635" s="8">
        <v>45131</v>
      </c>
      <c r="D635" t="s">
        <v>32</v>
      </c>
      <c r="E635" t="s">
        <v>3035</v>
      </c>
      <c r="F635" t="s">
        <v>3066</v>
      </c>
      <c r="G635" t="s">
        <v>282</v>
      </c>
      <c r="H635">
        <v>8068885465</v>
      </c>
      <c r="I635" t="s">
        <v>24</v>
      </c>
      <c r="J635" t="s">
        <v>61</v>
      </c>
      <c r="K635" t="s">
        <v>204</v>
      </c>
      <c r="L635" t="s">
        <v>63</v>
      </c>
      <c r="M635" t="s">
        <v>64</v>
      </c>
      <c r="N635" t="s">
        <v>65</v>
      </c>
      <c r="O635">
        <v>4</v>
      </c>
      <c r="P635">
        <v>8365.93</v>
      </c>
      <c r="Q635">
        <v>0</v>
      </c>
      <c r="R635" s="39">
        <v>0</v>
      </c>
      <c r="S635" s="39">
        <v>33463.72</v>
      </c>
      <c r="T635" s="39">
        <v>1602.32</v>
      </c>
      <c r="U635" t="str">
        <f t="shared" si="21"/>
        <v>Office Supplies</v>
      </c>
      <c r="V635">
        <f t="shared" si="22"/>
        <v>1602.32</v>
      </c>
      <c r="W635" t="str">
        <f>IF(Sales[[#This Row],[Quantity]]&gt;=15, "Large","Small")</f>
        <v>Small</v>
      </c>
      <c r="X635" t="str">
        <f>IF(Sales[[#This Row],[Quantity]]&gt;=15,"Large",IF(Sales[[#This Row],[Quantity]]=14,"Medium","Small"))</f>
        <v>Small</v>
      </c>
      <c r="Y635" t="str">
        <f>IF(AND(Sales[[#This Row],[Unit Price (₦)]]&gt;68000,Sales[[#This Row],[Quantity]]&gt;15),"Offer Discount", "No Discount")</f>
        <v>No Discount</v>
      </c>
    </row>
    <row r="636" spans="1:25" ht="15" customHeight="1" x14ac:dyDescent="0.25">
      <c r="A636" t="s">
        <v>280</v>
      </c>
      <c r="B636" s="8">
        <v>45131</v>
      </c>
      <c r="C636" s="8">
        <v>45131</v>
      </c>
      <c r="D636" t="s">
        <v>32</v>
      </c>
      <c r="E636" t="s">
        <v>3035</v>
      </c>
      <c r="F636" t="s">
        <v>3066</v>
      </c>
      <c r="G636" t="s">
        <v>282</v>
      </c>
      <c r="H636">
        <v>8068885465</v>
      </c>
      <c r="I636" t="s">
        <v>24</v>
      </c>
      <c r="J636" t="s">
        <v>61</v>
      </c>
      <c r="K636" t="s">
        <v>204</v>
      </c>
      <c r="L636" t="s">
        <v>63</v>
      </c>
      <c r="M636" t="s">
        <v>64</v>
      </c>
      <c r="N636" t="s">
        <v>65</v>
      </c>
      <c r="O636">
        <v>4</v>
      </c>
      <c r="P636">
        <v>8365.93</v>
      </c>
      <c r="Q636">
        <v>0</v>
      </c>
      <c r="R636" s="39">
        <v>0</v>
      </c>
      <c r="S636" s="39">
        <v>33463.72</v>
      </c>
      <c r="T636" s="39">
        <v>1602.32</v>
      </c>
      <c r="U636" t="str">
        <f t="shared" si="21"/>
        <v>Office Supplies</v>
      </c>
      <c r="V636">
        <f t="shared" si="22"/>
        <v>1602.32</v>
      </c>
      <c r="W636" t="str">
        <f>IF(Sales[[#This Row],[Quantity]]&gt;=15, "Large","Small")</f>
        <v>Small</v>
      </c>
      <c r="X636" t="str">
        <f>IF(Sales[[#This Row],[Quantity]]&gt;=15,"Large",IF(Sales[[#This Row],[Quantity]]=14,"Medium","Small"))</f>
        <v>Small</v>
      </c>
      <c r="Y636" t="str">
        <f>IF(AND(Sales[[#This Row],[Unit Price (₦)]]&gt;68000,Sales[[#This Row],[Quantity]]&gt;15),"Offer Discount", "No Discount")</f>
        <v>No Discount</v>
      </c>
    </row>
    <row r="637" spans="1:25" ht="15" customHeight="1" x14ac:dyDescent="0.25">
      <c r="A637" t="s">
        <v>2782</v>
      </c>
      <c r="B637" s="8">
        <v>45131</v>
      </c>
      <c r="C637" s="8">
        <v>45131</v>
      </c>
      <c r="D637" t="s">
        <v>32</v>
      </c>
      <c r="E637" t="s">
        <v>3065</v>
      </c>
      <c r="F637" t="s">
        <v>3066</v>
      </c>
      <c r="G637" t="s">
        <v>153</v>
      </c>
      <c r="H637">
        <v>9021154772</v>
      </c>
      <c r="I637" t="s">
        <v>24</v>
      </c>
      <c r="J637" t="s">
        <v>61</v>
      </c>
      <c r="K637" t="s">
        <v>62</v>
      </c>
      <c r="L637" t="s">
        <v>63</v>
      </c>
      <c r="M637" t="s">
        <v>469</v>
      </c>
      <c r="N637" t="s">
        <v>1082</v>
      </c>
      <c r="O637">
        <v>12</v>
      </c>
      <c r="P637">
        <v>20105.11</v>
      </c>
      <c r="Q637">
        <v>10</v>
      </c>
      <c r="R637" s="39">
        <v>24126.13</v>
      </c>
      <c r="S637" s="39">
        <v>217135.19</v>
      </c>
      <c r="T637" s="39">
        <v>-32213.66</v>
      </c>
      <c r="U637" t="str">
        <f t="shared" si="21"/>
        <v>Office Supplies</v>
      </c>
      <c r="V637">
        <f t="shared" si="22"/>
        <v>32213.66</v>
      </c>
      <c r="W637" t="str">
        <f>IF(Sales[[#This Row],[Quantity]]&gt;=15, "Large","Small")</f>
        <v>Small</v>
      </c>
      <c r="X637" t="str">
        <f>IF(Sales[[#This Row],[Quantity]]&gt;=15,"Large",IF(Sales[[#This Row],[Quantity]]=14,"Medium","Small"))</f>
        <v>Small</v>
      </c>
      <c r="Y637" t="str">
        <f>IF(AND(Sales[[#This Row],[Unit Price (₦)]]&gt;68000,Sales[[#This Row],[Quantity]]&gt;15),"Offer Discount", "No Discount")</f>
        <v>No Discount</v>
      </c>
    </row>
    <row r="638" spans="1:25" ht="15" customHeight="1" x14ac:dyDescent="0.25">
      <c r="A638" t="s">
        <v>1932</v>
      </c>
      <c r="B638" s="8">
        <v>45132</v>
      </c>
      <c r="C638" s="8">
        <v>45132</v>
      </c>
      <c r="D638" t="s">
        <v>32</v>
      </c>
      <c r="E638" t="s">
        <v>3081</v>
      </c>
      <c r="F638" t="s">
        <v>3074</v>
      </c>
      <c r="G638" t="s">
        <v>1705</v>
      </c>
      <c r="H638">
        <v>8107459520</v>
      </c>
      <c r="I638" t="s">
        <v>35</v>
      </c>
      <c r="J638" t="s">
        <v>69</v>
      </c>
      <c r="K638" t="s">
        <v>307</v>
      </c>
      <c r="L638" t="s">
        <v>63</v>
      </c>
      <c r="M638" t="s">
        <v>558</v>
      </c>
      <c r="N638" t="s">
        <v>559</v>
      </c>
      <c r="O638">
        <v>14</v>
      </c>
      <c r="P638">
        <v>10883.89</v>
      </c>
      <c r="Q638">
        <v>10</v>
      </c>
      <c r="R638" s="39">
        <v>15237.45</v>
      </c>
      <c r="S638" s="39">
        <v>137137.01</v>
      </c>
      <c r="T638" s="39">
        <v>-9197.4</v>
      </c>
      <c r="U638" t="str">
        <f t="shared" si="21"/>
        <v>Office Supplies</v>
      </c>
      <c r="V638">
        <f t="shared" si="22"/>
        <v>9197.4</v>
      </c>
      <c r="W638" t="str">
        <f>IF(Sales[[#This Row],[Quantity]]&gt;=15, "Large","Small")</f>
        <v>Small</v>
      </c>
      <c r="X638" t="str">
        <f>IF(Sales[[#This Row],[Quantity]]&gt;=15,"Large",IF(Sales[[#This Row],[Quantity]]=14,"Medium","Small"))</f>
        <v>Medium</v>
      </c>
      <c r="Y638" t="str">
        <f>IF(AND(Sales[[#This Row],[Unit Price (₦)]]&gt;68000,Sales[[#This Row],[Quantity]]&gt;15),"Offer Discount", "No Discount")</f>
        <v>No Discount</v>
      </c>
    </row>
    <row r="639" spans="1:25" ht="15" customHeight="1" x14ac:dyDescent="0.25">
      <c r="A639" t="s">
        <v>1363</v>
      </c>
      <c r="B639" s="8">
        <v>45133</v>
      </c>
      <c r="C639" s="8">
        <v>45133</v>
      </c>
      <c r="D639" t="s">
        <v>32</v>
      </c>
      <c r="E639" t="s">
        <v>3068</v>
      </c>
      <c r="F639" t="s">
        <v>3034</v>
      </c>
      <c r="G639" t="s">
        <v>1365</v>
      </c>
      <c r="H639">
        <v>8136491114</v>
      </c>
      <c r="I639" t="s">
        <v>43</v>
      </c>
      <c r="J639" t="s">
        <v>61</v>
      </c>
      <c r="K639" t="s">
        <v>84</v>
      </c>
      <c r="L639" t="s">
        <v>108</v>
      </c>
      <c r="M639" t="s">
        <v>189</v>
      </c>
      <c r="N639" t="s">
        <v>190</v>
      </c>
      <c r="O639">
        <v>19</v>
      </c>
      <c r="P639">
        <v>40348.370000000003</v>
      </c>
      <c r="Q639">
        <v>0</v>
      </c>
      <c r="R639" s="39">
        <v>0</v>
      </c>
      <c r="S639" s="39">
        <v>766619.03</v>
      </c>
      <c r="T639" s="39">
        <v>305308.2</v>
      </c>
      <c r="U639" t="str">
        <f t="shared" si="21"/>
        <v>Clothing</v>
      </c>
      <c r="V639">
        <f t="shared" si="22"/>
        <v>305308.2</v>
      </c>
      <c r="W639" t="str">
        <f>IF(Sales[[#This Row],[Quantity]]&gt;=15, "Large","Small")</f>
        <v>Large</v>
      </c>
      <c r="X639" t="str">
        <f>IF(Sales[[#This Row],[Quantity]]&gt;=15,"Large",IF(Sales[[#This Row],[Quantity]]=14,"Medium","Small"))</f>
        <v>Large</v>
      </c>
      <c r="Y639" t="str">
        <f>IF(AND(Sales[[#This Row],[Unit Price (₦)]]&gt;68000,Sales[[#This Row],[Quantity]]&gt;15),"Offer Discount", "No Discount")</f>
        <v>No Discount</v>
      </c>
    </row>
    <row r="640" spans="1:25" ht="15" customHeight="1" x14ac:dyDescent="0.25">
      <c r="A640" t="s">
        <v>520</v>
      </c>
      <c r="B640" s="8">
        <v>45134</v>
      </c>
      <c r="C640" s="8">
        <v>45134</v>
      </c>
      <c r="D640" t="s">
        <v>32</v>
      </c>
      <c r="E640" t="s">
        <v>3033</v>
      </c>
      <c r="F640" t="s">
        <v>3038</v>
      </c>
      <c r="G640" t="s">
        <v>522</v>
      </c>
      <c r="H640">
        <v>7036688907</v>
      </c>
      <c r="I640" t="s">
        <v>43</v>
      </c>
      <c r="J640" t="s">
        <v>51</v>
      </c>
      <c r="K640" t="s">
        <v>52</v>
      </c>
      <c r="L640" t="s">
        <v>27</v>
      </c>
      <c r="M640" t="s">
        <v>45</v>
      </c>
      <c r="N640" t="s">
        <v>523</v>
      </c>
      <c r="O640">
        <v>17</v>
      </c>
      <c r="P640">
        <v>1832.75</v>
      </c>
      <c r="Q640">
        <v>15</v>
      </c>
      <c r="R640" s="39">
        <v>4673.51</v>
      </c>
      <c r="S640" s="39">
        <v>26483.24</v>
      </c>
      <c r="T640" s="39">
        <v>3973.72</v>
      </c>
      <c r="U640" t="str">
        <f t="shared" si="21"/>
        <v>Food &amp; Beverages</v>
      </c>
      <c r="V640">
        <f t="shared" si="22"/>
        <v>3973.72</v>
      </c>
      <c r="W640" t="str">
        <f>IF(Sales[[#This Row],[Quantity]]&gt;=15, "Large","Small")</f>
        <v>Large</v>
      </c>
      <c r="X640" t="str">
        <f>IF(Sales[[#This Row],[Quantity]]&gt;=15,"Large",IF(Sales[[#This Row],[Quantity]]=14,"Medium","Small"))</f>
        <v>Large</v>
      </c>
      <c r="Y640" t="str">
        <f>IF(AND(Sales[[#This Row],[Unit Price (₦)]]&gt;68000,Sales[[#This Row],[Quantity]]&gt;15),"Offer Discount", "No Discount")</f>
        <v>No Discount</v>
      </c>
    </row>
    <row r="641" spans="1:25" ht="15" customHeight="1" x14ac:dyDescent="0.25">
      <c r="A641" t="s">
        <v>2304</v>
      </c>
      <c r="B641" s="8">
        <v>45138</v>
      </c>
      <c r="C641" s="8">
        <v>45138</v>
      </c>
      <c r="D641" t="s">
        <v>32</v>
      </c>
      <c r="E641" t="s">
        <v>3056</v>
      </c>
      <c r="F641" t="s">
        <v>3086</v>
      </c>
      <c r="G641" t="s">
        <v>2306</v>
      </c>
      <c r="H641">
        <v>8147158985</v>
      </c>
      <c r="I641" t="s">
        <v>35</v>
      </c>
      <c r="J641" t="s">
        <v>69</v>
      </c>
      <c r="K641" t="s">
        <v>3127</v>
      </c>
      <c r="L641" t="s">
        <v>96</v>
      </c>
      <c r="M641" t="s">
        <v>254</v>
      </c>
      <c r="N641" t="s">
        <v>455</v>
      </c>
      <c r="O641">
        <v>11</v>
      </c>
      <c r="P641">
        <v>124762.16</v>
      </c>
      <c r="Q641">
        <v>10</v>
      </c>
      <c r="R641" s="39">
        <v>137238.38</v>
      </c>
      <c r="S641" s="39">
        <v>1235145.3799999999</v>
      </c>
      <c r="T641" s="39">
        <v>383018.89</v>
      </c>
      <c r="U641" t="str">
        <f t="shared" si="21"/>
        <v>Technology</v>
      </c>
      <c r="V641">
        <f t="shared" si="22"/>
        <v>383018.89</v>
      </c>
      <c r="W641" t="str">
        <f>IF(Sales[[#This Row],[Quantity]]&gt;=15, "Large","Small")</f>
        <v>Small</v>
      </c>
      <c r="X641" t="str">
        <f>IF(Sales[[#This Row],[Quantity]]&gt;=15,"Large",IF(Sales[[#This Row],[Quantity]]=14,"Medium","Small"))</f>
        <v>Small</v>
      </c>
      <c r="Y641" t="str">
        <f>IF(AND(Sales[[#This Row],[Unit Price (₦)]]&gt;68000,Sales[[#This Row],[Quantity]]&gt;15),"Offer Discount", "No Discount")</f>
        <v>No Discount</v>
      </c>
    </row>
    <row r="642" spans="1:25" ht="15" customHeight="1" x14ac:dyDescent="0.25">
      <c r="A642" t="s">
        <v>2204</v>
      </c>
      <c r="B642" s="8">
        <v>45140</v>
      </c>
      <c r="C642" s="8">
        <v>45140</v>
      </c>
      <c r="D642" t="s">
        <v>32</v>
      </c>
      <c r="E642" t="s">
        <v>3050</v>
      </c>
      <c r="F642" t="s">
        <v>3040</v>
      </c>
      <c r="G642" t="s">
        <v>2206</v>
      </c>
      <c r="H642">
        <v>8154593496</v>
      </c>
      <c r="I642" t="s">
        <v>35</v>
      </c>
      <c r="J642" t="s">
        <v>61</v>
      </c>
      <c r="K642" t="s">
        <v>204</v>
      </c>
      <c r="L642" t="s">
        <v>96</v>
      </c>
      <c r="M642" t="s">
        <v>189</v>
      </c>
      <c r="N642" t="s">
        <v>287</v>
      </c>
      <c r="O642">
        <v>20</v>
      </c>
      <c r="P642">
        <v>228450.65</v>
      </c>
      <c r="Q642">
        <v>5</v>
      </c>
      <c r="R642" s="39">
        <v>228450.65</v>
      </c>
      <c r="S642" s="39">
        <v>4340562.3499999996</v>
      </c>
      <c r="T642" s="39">
        <v>1197970.49</v>
      </c>
      <c r="U642" t="str">
        <f t="shared" ref="U642:U705" si="23">PROPER(L642)</f>
        <v>Technology</v>
      </c>
      <c r="V642">
        <f t="shared" si="22"/>
        <v>1197970.49</v>
      </c>
      <c r="W642" t="str">
        <f>IF(Sales[[#This Row],[Quantity]]&gt;=15, "Large","Small")</f>
        <v>Large</v>
      </c>
      <c r="X642" t="str">
        <f>IF(Sales[[#This Row],[Quantity]]&gt;=15,"Large",IF(Sales[[#This Row],[Quantity]]=14,"Medium","Small"))</f>
        <v>Large</v>
      </c>
      <c r="Y642" t="str">
        <f>IF(AND(Sales[[#This Row],[Unit Price (₦)]]&gt;68000,Sales[[#This Row],[Quantity]]&gt;15),"Offer Discount", "No Discount")</f>
        <v>Offer Discount</v>
      </c>
    </row>
    <row r="643" spans="1:25" ht="15" customHeight="1" x14ac:dyDescent="0.25">
      <c r="A643" t="s">
        <v>516</v>
      </c>
      <c r="B643" s="8">
        <v>45147</v>
      </c>
      <c r="C643" s="8">
        <v>45147</v>
      </c>
      <c r="D643" t="s">
        <v>32</v>
      </c>
      <c r="E643" t="s">
        <v>3072</v>
      </c>
      <c r="F643" t="s">
        <v>3066</v>
      </c>
      <c r="G643" t="s">
        <v>518</v>
      </c>
      <c r="H643">
        <v>8167136730</v>
      </c>
      <c r="I643" t="s">
        <v>24</v>
      </c>
      <c r="J643" t="s">
        <v>51</v>
      </c>
      <c r="K643" t="s">
        <v>316</v>
      </c>
      <c r="L643" t="s">
        <v>108</v>
      </c>
      <c r="M643" t="s">
        <v>38</v>
      </c>
      <c r="N643" t="s">
        <v>519</v>
      </c>
      <c r="O643">
        <v>19</v>
      </c>
      <c r="P643">
        <v>19225.009999999998</v>
      </c>
      <c r="Q643">
        <v>25</v>
      </c>
      <c r="R643" s="39">
        <v>91318.8</v>
      </c>
      <c r="S643" s="39">
        <v>273956.39</v>
      </c>
      <c r="T643" s="39">
        <v>-9097.2199999999993</v>
      </c>
      <c r="U643" t="str">
        <f t="shared" si="23"/>
        <v>Clothing</v>
      </c>
      <c r="V643">
        <f t="shared" ref="V643:V706" si="24">ABS(T643)</f>
        <v>9097.2199999999993</v>
      </c>
      <c r="W643" t="str">
        <f>IF(Sales[[#This Row],[Quantity]]&gt;=15, "Large","Small")</f>
        <v>Large</v>
      </c>
      <c r="X643" t="str">
        <f>IF(Sales[[#This Row],[Quantity]]&gt;=15,"Large",IF(Sales[[#This Row],[Quantity]]=14,"Medium","Small"))</f>
        <v>Large</v>
      </c>
      <c r="Y643" t="str">
        <f>IF(AND(Sales[[#This Row],[Unit Price (₦)]]&gt;68000,Sales[[#This Row],[Quantity]]&gt;15),"Offer Discount", "No Discount")</f>
        <v>No Discount</v>
      </c>
    </row>
    <row r="644" spans="1:25" ht="15" customHeight="1" x14ac:dyDescent="0.25">
      <c r="A644" t="s">
        <v>2155</v>
      </c>
      <c r="B644" s="8">
        <v>45150</v>
      </c>
      <c r="C644" s="8">
        <v>45151</v>
      </c>
      <c r="D644" t="s">
        <v>32</v>
      </c>
      <c r="E644" t="s">
        <v>3068</v>
      </c>
      <c r="F644" t="s">
        <v>3057</v>
      </c>
      <c r="G644" t="s">
        <v>1267</v>
      </c>
      <c r="H644">
        <v>8107397002</v>
      </c>
      <c r="I644" t="s">
        <v>24</v>
      </c>
      <c r="J644" t="s">
        <v>25</v>
      </c>
      <c r="K644" t="s">
        <v>26</v>
      </c>
      <c r="L644" t="s">
        <v>108</v>
      </c>
      <c r="M644" t="s">
        <v>109</v>
      </c>
      <c r="N644" t="s">
        <v>1258</v>
      </c>
      <c r="O644">
        <v>9</v>
      </c>
      <c r="P644">
        <v>41031.64</v>
      </c>
      <c r="Q644">
        <v>10</v>
      </c>
      <c r="R644" s="39">
        <v>36928.480000000003</v>
      </c>
      <c r="S644" s="39">
        <v>332356.28000000003</v>
      </c>
      <c r="T644" s="39">
        <v>-32796.21</v>
      </c>
      <c r="U644" t="str">
        <f t="shared" si="23"/>
        <v>Clothing</v>
      </c>
      <c r="V644">
        <f t="shared" si="24"/>
        <v>32796.21</v>
      </c>
      <c r="W644" t="str">
        <f>IF(Sales[[#This Row],[Quantity]]&gt;=15, "Large","Small")</f>
        <v>Small</v>
      </c>
      <c r="X644" t="str">
        <f>IF(Sales[[#This Row],[Quantity]]&gt;=15,"Large",IF(Sales[[#This Row],[Quantity]]=14,"Medium","Small"))</f>
        <v>Small</v>
      </c>
      <c r="Y644" t="str">
        <f>IF(AND(Sales[[#This Row],[Unit Price (₦)]]&gt;68000,Sales[[#This Row],[Quantity]]&gt;15),"Offer Discount", "No Discount")</f>
        <v>No Discount</v>
      </c>
    </row>
    <row r="645" spans="1:25" ht="15" customHeight="1" x14ac:dyDescent="0.25">
      <c r="A645" t="s">
        <v>2339</v>
      </c>
      <c r="B645" s="8">
        <v>45152</v>
      </c>
      <c r="C645" s="8">
        <v>45152</v>
      </c>
      <c r="D645" t="s">
        <v>32</v>
      </c>
      <c r="E645" t="s">
        <v>3037</v>
      </c>
      <c r="F645" t="s">
        <v>3042</v>
      </c>
      <c r="G645" t="s">
        <v>2340</v>
      </c>
      <c r="H645">
        <v>9028784988</v>
      </c>
      <c r="I645" t="s">
        <v>35</v>
      </c>
      <c r="J645" t="s">
        <v>69</v>
      </c>
      <c r="K645" t="s">
        <v>119</v>
      </c>
      <c r="L645" t="s">
        <v>85</v>
      </c>
      <c r="M645" t="s">
        <v>86</v>
      </c>
      <c r="N645" t="s">
        <v>199</v>
      </c>
      <c r="O645">
        <v>14</v>
      </c>
      <c r="P645">
        <v>107787.15</v>
      </c>
      <c r="Q645">
        <v>15</v>
      </c>
      <c r="R645" s="39">
        <v>226353.01</v>
      </c>
      <c r="S645" s="39">
        <v>332356.28000000003</v>
      </c>
      <c r="T645" s="39">
        <v>123362.15</v>
      </c>
      <c r="U645" t="str">
        <f t="shared" si="23"/>
        <v>Furniture</v>
      </c>
      <c r="V645">
        <f t="shared" si="24"/>
        <v>123362.15</v>
      </c>
      <c r="W645" t="str">
        <f>IF(Sales[[#This Row],[Quantity]]&gt;=15, "Large","Small")</f>
        <v>Small</v>
      </c>
      <c r="X645" t="str">
        <f>IF(Sales[[#This Row],[Quantity]]&gt;=15,"Large",IF(Sales[[#This Row],[Quantity]]=14,"Medium","Small"))</f>
        <v>Medium</v>
      </c>
      <c r="Y645" t="str">
        <f>IF(AND(Sales[[#This Row],[Unit Price (₦)]]&gt;68000,Sales[[#This Row],[Quantity]]&gt;15),"Offer Discount", "No Discount")</f>
        <v>No Discount</v>
      </c>
    </row>
    <row r="646" spans="1:25" ht="15" customHeight="1" x14ac:dyDescent="0.25">
      <c r="A646" t="s">
        <v>1438</v>
      </c>
      <c r="B646" s="8">
        <v>45157</v>
      </c>
      <c r="C646" s="8">
        <v>45158</v>
      </c>
      <c r="D646" t="s">
        <v>32</v>
      </c>
      <c r="E646" t="s">
        <v>3050</v>
      </c>
      <c r="F646" t="s">
        <v>3086</v>
      </c>
      <c r="G646" t="s">
        <v>1440</v>
      </c>
      <c r="H646" t="s">
        <v>649</v>
      </c>
      <c r="I646" t="s">
        <v>35</v>
      </c>
      <c r="J646" t="s">
        <v>51</v>
      </c>
      <c r="K646" t="s">
        <v>316</v>
      </c>
      <c r="L646" t="s">
        <v>1441</v>
      </c>
      <c r="M646" t="s">
        <v>54</v>
      </c>
      <c r="N646" t="s">
        <v>1039</v>
      </c>
      <c r="O646">
        <v>16</v>
      </c>
      <c r="P646">
        <v>24968.720000000001</v>
      </c>
      <c r="Q646">
        <v>0</v>
      </c>
      <c r="R646" s="39">
        <v>0</v>
      </c>
      <c r="S646" s="39">
        <v>399499.52000000002</v>
      </c>
      <c r="T646" s="39">
        <v>35084.79</v>
      </c>
      <c r="U646" t="str">
        <f t="shared" si="23"/>
        <v>Office Supplies</v>
      </c>
      <c r="V646">
        <f t="shared" si="24"/>
        <v>35084.79</v>
      </c>
      <c r="W646" t="str">
        <f>IF(Sales[[#This Row],[Quantity]]&gt;=15, "Large","Small")</f>
        <v>Large</v>
      </c>
      <c r="X646" t="str">
        <f>IF(Sales[[#This Row],[Quantity]]&gt;=15,"Large",IF(Sales[[#This Row],[Quantity]]=14,"Medium","Small"))</f>
        <v>Large</v>
      </c>
      <c r="Y646" t="str">
        <f>IF(AND(Sales[[#This Row],[Unit Price (₦)]]&gt;68000,Sales[[#This Row],[Quantity]]&gt;15),"Offer Discount", "No Discount")</f>
        <v>No Discount</v>
      </c>
    </row>
    <row r="647" spans="1:25" ht="15" customHeight="1" x14ac:dyDescent="0.25">
      <c r="A647" t="s">
        <v>2450</v>
      </c>
      <c r="B647" s="8">
        <v>45158</v>
      </c>
      <c r="C647" s="8">
        <v>45158</v>
      </c>
      <c r="D647" t="s">
        <v>32</v>
      </c>
      <c r="E647" t="s">
        <v>3070</v>
      </c>
      <c r="F647" t="s">
        <v>3038</v>
      </c>
      <c r="G647" t="s">
        <v>1246</v>
      </c>
      <c r="H647">
        <v>9017082569</v>
      </c>
      <c r="I647" t="s">
        <v>35</v>
      </c>
      <c r="J647" t="s">
        <v>69</v>
      </c>
      <c r="K647" t="s">
        <v>155</v>
      </c>
      <c r="L647" t="s">
        <v>85</v>
      </c>
      <c r="M647" t="s">
        <v>486</v>
      </c>
      <c r="N647" t="s">
        <v>1018</v>
      </c>
      <c r="O647">
        <v>4</v>
      </c>
      <c r="P647">
        <v>80527.95</v>
      </c>
      <c r="Q647">
        <v>10</v>
      </c>
      <c r="R647" s="39">
        <v>32211.18</v>
      </c>
      <c r="S647" s="39">
        <v>289900.62</v>
      </c>
      <c r="T647" s="39">
        <v>103029.23</v>
      </c>
      <c r="U647" t="str">
        <f t="shared" si="23"/>
        <v>Furniture</v>
      </c>
      <c r="V647">
        <f t="shared" si="24"/>
        <v>103029.23</v>
      </c>
      <c r="W647" t="str">
        <f>IF(Sales[[#This Row],[Quantity]]&gt;=15, "Large","Small")</f>
        <v>Small</v>
      </c>
      <c r="X647" t="str">
        <f>IF(Sales[[#This Row],[Quantity]]&gt;=15,"Large",IF(Sales[[#This Row],[Quantity]]=14,"Medium","Small"))</f>
        <v>Small</v>
      </c>
      <c r="Y647" t="str">
        <f>IF(AND(Sales[[#This Row],[Unit Price (₦)]]&gt;68000,Sales[[#This Row],[Quantity]]&gt;15),"Offer Discount", "No Discount")</f>
        <v>No Discount</v>
      </c>
    </row>
    <row r="648" spans="1:25" ht="15" customHeight="1" x14ac:dyDescent="0.25">
      <c r="A648" t="s">
        <v>2021</v>
      </c>
      <c r="B648" s="8">
        <v>45163</v>
      </c>
      <c r="C648" s="8">
        <v>45164</v>
      </c>
      <c r="D648" t="s">
        <v>32</v>
      </c>
      <c r="E648" t="s">
        <v>3058</v>
      </c>
      <c r="F648" t="s">
        <v>3046</v>
      </c>
      <c r="G648" t="s">
        <v>2023</v>
      </c>
      <c r="H648">
        <v>8106413691</v>
      </c>
      <c r="I648" t="s">
        <v>43</v>
      </c>
      <c r="J648" t="s">
        <v>25</v>
      </c>
      <c r="K648" t="s">
        <v>36</v>
      </c>
      <c r="L648" t="s">
        <v>108</v>
      </c>
      <c r="M648" t="s">
        <v>109</v>
      </c>
      <c r="N648" t="s">
        <v>2024</v>
      </c>
      <c r="O648">
        <v>7</v>
      </c>
      <c r="P648">
        <v>12548.68</v>
      </c>
      <c r="Q648">
        <v>10</v>
      </c>
      <c r="R648" s="39">
        <v>8784.08</v>
      </c>
      <c r="S648" s="39">
        <v>79056.679999999993</v>
      </c>
      <c r="T648" s="39">
        <v>5785.25</v>
      </c>
      <c r="U648" t="str">
        <f t="shared" si="23"/>
        <v>Clothing</v>
      </c>
      <c r="V648">
        <f t="shared" si="24"/>
        <v>5785.25</v>
      </c>
      <c r="W648" t="str">
        <f>IF(Sales[[#This Row],[Quantity]]&gt;=15, "Large","Small")</f>
        <v>Small</v>
      </c>
      <c r="X648" t="str">
        <f>IF(Sales[[#This Row],[Quantity]]&gt;=15,"Large",IF(Sales[[#This Row],[Quantity]]=14,"Medium","Small"))</f>
        <v>Small</v>
      </c>
      <c r="Y648" t="str">
        <f>IF(AND(Sales[[#This Row],[Unit Price (₦)]]&gt;68000,Sales[[#This Row],[Quantity]]&gt;15),"Offer Discount", "No Discount")</f>
        <v>No Discount</v>
      </c>
    </row>
    <row r="649" spans="1:25" ht="15" customHeight="1" x14ac:dyDescent="0.25">
      <c r="A649" t="s">
        <v>833</v>
      </c>
      <c r="B649" s="8">
        <v>45174</v>
      </c>
      <c r="C649" s="8">
        <v>45174</v>
      </c>
      <c r="D649" t="s">
        <v>32</v>
      </c>
      <c r="E649" t="s">
        <v>3058</v>
      </c>
      <c r="F649" t="s">
        <v>3086</v>
      </c>
      <c r="G649" t="s">
        <v>834</v>
      </c>
      <c r="H649">
        <v>8159670757</v>
      </c>
      <c r="I649" t="s">
        <v>35</v>
      </c>
      <c r="J649" t="s">
        <v>69</v>
      </c>
      <c r="K649" t="s">
        <v>155</v>
      </c>
      <c r="L649" t="s">
        <v>27</v>
      </c>
      <c r="M649" t="s">
        <v>173</v>
      </c>
      <c r="N649" t="s">
        <v>380</v>
      </c>
      <c r="O649">
        <v>15</v>
      </c>
      <c r="P649">
        <v>1226.17</v>
      </c>
      <c r="Q649">
        <v>0</v>
      </c>
      <c r="R649" s="39">
        <v>0</v>
      </c>
      <c r="S649" s="39">
        <v>18392.55</v>
      </c>
      <c r="T649" s="39">
        <v>7714.51</v>
      </c>
      <c r="U649" t="str">
        <f t="shared" si="23"/>
        <v>Food &amp; Beverages</v>
      </c>
      <c r="V649">
        <f t="shared" si="24"/>
        <v>7714.51</v>
      </c>
      <c r="W649" t="str">
        <f>IF(Sales[[#This Row],[Quantity]]&gt;=15, "Large","Small")</f>
        <v>Large</v>
      </c>
      <c r="X649" t="str">
        <f>IF(Sales[[#This Row],[Quantity]]&gt;=15,"Large",IF(Sales[[#This Row],[Quantity]]=14,"Medium","Small"))</f>
        <v>Large</v>
      </c>
      <c r="Y649" t="str">
        <f>IF(AND(Sales[[#This Row],[Unit Price (₦)]]&gt;68000,Sales[[#This Row],[Quantity]]&gt;15),"Offer Discount", "No Discount")</f>
        <v>No Discount</v>
      </c>
    </row>
    <row r="650" spans="1:25" ht="15" customHeight="1" x14ac:dyDescent="0.25">
      <c r="A650" t="s">
        <v>1816</v>
      </c>
      <c r="B650" s="8">
        <v>45174</v>
      </c>
      <c r="C650" s="8">
        <v>45174</v>
      </c>
      <c r="D650" t="s">
        <v>32</v>
      </c>
      <c r="E650" t="s">
        <v>3047</v>
      </c>
      <c r="F650" t="s">
        <v>3077</v>
      </c>
      <c r="G650" t="s">
        <v>1818</v>
      </c>
      <c r="H650">
        <v>7038087324</v>
      </c>
      <c r="I650" t="s">
        <v>43</v>
      </c>
      <c r="J650" t="s">
        <v>25</v>
      </c>
      <c r="K650" t="s">
        <v>126</v>
      </c>
      <c r="L650" t="s">
        <v>108</v>
      </c>
      <c r="M650" t="s">
        <v>38</v>
      </c>
      <c r="N650" t="s">
        <v>213</v>
      </c>
      <c r="O650">
        <v>17</v>
      </c>
      <c r="P650">
        <v>18815.71</v>
      </c>
      <c r="Q650">
        <v>10</v>
      </c>
      <c r="R650" s="39">
        <v>31986.71</v>
      </c>
      <c r="S650" s="39">
        <v>287880.36</v>
      </c>
      <c r="T650" s="39">
        <v>5590.19</v>
      </c>
      <c r="U650" t="str">
        <f t="shared" si="23"/>
        <v>Clothing</v>
      </c>
      <c r="V650">
        <f t="shared" si="24"/>
        <v>5590.19</v>
      </c>
      <c r="W650" t="str">
        <f>IF(Sales[[#This Row],[Quantity]]&gt;=15, "Large","Small")</f>
        <v>Large</v>
      </c>
      <c r="X650" t="str">
        <f>IF(Sales[[#This Row],[Quantity]]&gt;=15,"Large",IF(Sales[[#This Row],[Quantity]]=14,"Medium","Small"))</f>
        <v>Large</v>
      </c>
      <c r="Y650" t="str">
        <f>IF(AND(Sales[[#This Row],[Unit Price (₦)]]&gt;68000,Sales[[#This Row],[Quantity]]&gt;15),"Offer Discount", "No Discount")</f>
        <v>No Discount</v>
      </c>
    </row>
    <row r="651" spans="1:25" ht="15" customHeight="1" x14ac:dyDescent="0.25">
      <c r="A651" t="s">
        <v>1541</v>
      </c>
      <c r="B651" s="8">
        <v>45177</v>
      </c>
      <c r="C651" s="8">
        <v>45177</v>
      </c>
      <c r="D651" t="s">
        <v>32</v>
      </c>
      <c r="E651" t="s">
        <v>3033</v>
      </c>
      <c r="F651" t="s">
        <v>3069</v>
      </c>
      <c r="G651" t="s">
        <v>1544</v>
      </c>
      <c r="H651">
        <v>8035171713</v>
      </c>
      <c r="I651" t="s">
        <v>35</v>
      </c>
      <c r="J651" t="s">
        <v>69</v>
      </c>
      <c r="K651" t="s">
        <v>70</v>
      </c>
      <c r="L651" t="s">
        <v>27</v>
      </c>
      <c r="M651" t="s">
        <v>28</v>
      </c>
      <c r="N651" t="s">
        <v>71</v>
      </c>
      <c r="O651">
        <v>18</v>
      </c>
      <c r="P651">
        <v>4677.72</v>
      </c>
      <c r="Q651">
        <v>0</v>
      </c>
      <c r="R651" s="39">
        <v>0</v>
      </c>
      <c r="S651" s="39">
        <v>84198.96</v>
      </c>
      <c r="T651" s="39">
        <v>33711.68</v>
      </c>
      <c r="U651" t="str">
        <f t="shared" si="23"/>
        <v>Food &amp; Beverages</v>
      </c>
      <c r="V651">
        <f t="shared" si="24"/>
        <v>33711.68</v>
      </c>
      <c r="W651" t="str">
        <f>IF(Sales[[#This Row],[Quantity]]&gt;=15, "Large","Small")</f>
        <v>Large</v>
      </c>
      <c r="X651" t="str">
        <f>IF(Sales[[#This Row],[Quantity]]&gt;=15,"Large",IF(Sales[[#This Row],[Quantity]]=14,"Medium","Small"))</f>
        <v>Large</v>
      </c>
      <c r="Y651" t="str">
        <f>IF(AND(Sales[[#This Row],[Unit Price (₦)]]&gt;68000,Sales[[#This Row],[Quantity]]&gt;15),"Offer Discount", "No Discount")</f>
        <v>No Discount</v>
      </c>
    </row>
    <row r="652" spans="1:25" ht="15" customHeight="1" x14ac:dyDescent="0.25">
      <c r="A652" t="s">
        <v>2149</v>
      </c>
      <c r="B652" s="8">
        <v>45177</v>
      </c>
      <c r="C652" s="8">
        <v>45177</v>
      </c>
      <c r="D652" t="s">
        <v>32</v>
      </c>
      <c r="E652" t="s">
        <v>3087</v>
      </c>
      <c r="F652" t="s">
        <v>3036</v>
      </c>
      <c r="G652" t="s">
        <v>2150</v>
      </c>
      <c r="H652">
        <v>8141316224</v>
      </c>
      <c r="I652" t="s">
        <v>43</v>
      </c>
      <c r="J652" t="s">
        <v>25</v>
      </c>
      <c r="K652" t="s">
        <v>44</v>
      </c>
      <c r="L652" t="s">
        <v>108</v>
      </c>
      <c r="M652" t="s">
        <v>183</v>
      </c>
      <c r="N652" t="s">
        <v>869</v>
      </c>
      <c r="O652">
        <v>7</v>
      </c>
      <c r="P652">
        <v>3909.87</v>
      </c>
      <c r="Q652">
        <v>15</v>
      </c>
      <c r="R652" s="39">
        <v>4105.3599999999997</v>
      </c>
      <c r="S652" s="39">
        <v>23263.73</v>
      </c>
      <c r="T652" s="39">
        <v>-915.29</v>
      </c>
      <c r="U652" t="str">
        <f t="shared" si="23"/>
        <v>Clothing</v>
      </c>
      <c r="V652">
        <f t="shared" si="24"/>
        <v>915.29</v>
      </c>
      <c r="W652" t="str">
        <f>IF(Sales[[#This Row],[Quantity]]&gt;=15, "Large","Small")</f>
        <v>Small</v>
      </c>
      <c r="X652" t="str">
        <f>IF(Sales[[#This Row],[Quantity]]&gt;=15,"Large",IF(Sales[[#This Row],[Quantity]]=14,"Medium","Small"))</f>
        <v>Small</v>
      </c>
      <c r="Y652" t="str">
        <f>IF(AND(Sales[[#This Row],[Unit Price (₦)]]&gt;68000,Sales[[#This Row],[Quantity]]&gt;15),"Offer Discount", "No Discount")</f>
        <v>No Discount</v>
      </c>
    </row>
    <row r="653" spans="1:25" ht="15" customHeight="1" x14ac:dyDescent="0.25">
      <c r="A653" t="s">
        <v>1518</v>
      </c>
      <c r="B653" s="8">
        <v>45181</v>
      </c>
      <c r="C653" s="8">
        <v>45182</v>
      </c>
      <c r="D653" t="s">
        <v>32</v>
      </c>
      <c r="E653" t="str">
        <f>E654</f>
        <v>Amara</v>
      </c>
      <c r="F653" t="s">
        <v>3073</v>
      </c>
      <c r="G653" t="s">
        <v>1520</v>
      </c>
      <c r="H653">
        <v>9054009366</v>
      </c>
      <c r="I653" t="s">
        <v>43</v>
      </c>
      <c r="J653" t="s">
        <v>25</v>
      </c>
      <c r="K653" t="s">
        <v>26</v>
      </c>
      <c r="L653" t="s">
        <v>63</v>
      </c>
      <c r="M653" t="s">
        <v>54</v>
      </c>
      <c r="N653" t="s">
        <v>963</v>
      </c>
      <c r="O653">
        <v>11</v>
      </c>
      <c r="P653">
        <v>12574.58</v>
      </c>
      <c r="Q653">
        <v>20</v>
      </c>
      <c r="R653" s="39">
        <v>27664.080000000002</v>
      </c>
      <c r="S653" s="39">
        <v>110656.3</v>
      </c>
      <c r="T653" s="39">
        <v>-7839.81</v>
      </c>
      <c r="U653" t="str">
        <f t="shared" si="23"/>
        <v>Office Supplies</v>
      </c>
      <c r="V653">
        <f t="shared" si="24"/>
        <v>7839.81</v>
      </c>
      <c r="W653" t="str">
        <f>IF(Sales[[#This Row],[Quantity]]&gt;=15, "Large","Small")</f>
        <v>Small</v>
      </c>
      <c r="X653" t="str">
        <f>IF(Sales[[#This Row],[Quantity]]&gt;=15,"Large",IF(Sales[[#This Row],[Quantity]]=14,"Medium","Small"))</f>
        <v>Small</v>
      </c>
      <c r="Y653" t="str">
        <f>IF(AND(Sales[[#This Row],[Unit Price (₦)]]&gt;68000,Sales[[#This Row],[Quantity]]&gt;15),"Offer Discount", "No Discount")</f>
        <v>No Discount</v>
      </c>
    </row>
    <row r="654" spans="1:25" ht="15" customHeight="1" x14ac:dyDescent="0.25">
      <c r="A654" t="s">
        <v>2135</v>
      </c>
      <c r="B654" s="8">
        <v>45183</v>
      </c>
      <c r="C654" s="8">
        <v>45183</v>
      </c>
      <c r="D654" t="s">
        <v>32</v>
      </c>
      <c r="E654" t="s">
        <v>3047</v>
      </c>
      <c r="F654" t="s">
        <v>3090</v>
      </c>
      <c r="G654" t="s">
        <v>3126</v>
      </c>
      <c r="H654">
        <v>9024291258</v>
      </c>
      <c r="I654" t="s">
        <v>43</v>
      </c>
      <c r="J654" t="s">
        <v>61</v>
      </c>
      <c r="K654" t="s">
        <v>182</v>
      </c>
      <c r="L654" t="s">
        <v>27</v>
      </c>
      <c r="M654" t="s">
        <v>173</v>
      </c>
      <c r="N654" t="s">
        <v>662</v>
      </c>
      <c r="O654">
        <v>1</v>
      </c>
      <c r="P654">
        <v>5550.95</v>
      </c>
      <c r="Q654">
        <v>25</v>
      </c>
      <c r="R654" s="39">
        <v>1387.74</v>
      </c>
      <c r="S654" s="39">
        <v>4163.21</v>
      </c>
      <c r="T654" s="39">
        <v>579.95000000000005</v>
      </c>
      <c r="U654" t="str">
        <f t="shared" si="23"/>
        <v>Food &amp; Beverages</v>
      </c>
      <c r="V654">
        <f t="shared" si="24"/>
        <v>579.95000000000005</v>
      </c>
      <c r="W654" t="str">
        <f>IF(Sales[[#This Row],[Quantity]]&gt;=15, "Large","Small")</f>
        <v>Small</v>
      </c>
      <c r="X654" t="str">
        <f>IF(Sales[[#This Row],[Quantity]]&gt;=15,"Large",IF(Sales[[#This Row],[Quantity]]=14,"Medium","Small"))</f>
        <v>Small</v>
      </c>
      <c r="Y654" t="str">
        <f>IF(AND(Sales[[#This Row],[Unit Price (₦)]]&gt;68000,Sales[[#This Row],[Quantity]]&gt;15),"Offer Discount", "No Discount")</f>
        <v>No Discount</v>
      </c>
    </row>
    <row r="655" spans="1:25" ht="15" customHeight="1" x14ac:dyDescent="0.25">
      <c r="A655" t="s">
        <v>1840</v>
      </c>
      <c r="B655" s="8">
        <v>45202</v>
      </c>
      <c r="C655" s="8">
        <v>45203</v>
      </c>
      <c r="D655" t="s">
        <v>32</v>
      </c>
      <c r="E655" t="str">
        <f>E656</f>
        <v>Femi</v>
      </c>
      <c r="F655" t="str">
        <f>F654</f>
        <v>Adeleke</v>
      </c>
      <c r="G655" t="s">
        <v>1841</v>
      </c>
      <c r="H655">
        <v>9012661097</v>
      </c>
      <c r="I655" t="s">
        <v>24</v>
      </c>
      <c r="J655" t="s">
        <v>69</v>
      </c>
      <c r="K655" t="s">
        <v>119</v>
      </c>
      <c r="L655" t="s">
        <v>96</v>
      </c>
      <c r="M655" t="s">
        <v>385</v>
      </c>
      <c r="N655" t="s">
        <v>743</v>
      </c>
      <c r="O655">
        <v>10</v>
      </c>
      <c r="P655">
        <v>96812.04</v>
      </c>
      <c r="Q655">
        <v>5</v>
      </c>
      <c r="R655" s="39">
        <v>48406.02</v>
      </c>
      <c r="S655" s="39">
        <v>919714.38</v>
      </c>
      <c r="T655" s="39">
        <v>390376.22</v>
      </c>
      <c r="U655" t="str">
        <f t="shared" si="23"/>
        <v>Technology</v>
      </c>
      <c r="V655">
        <f t="shared" si="24"/>
        <v>390376.22</v>
      </c>
      <c r="W655" t="str">
        <f>IF(Sales[[#This Row],[Quantity]]&gt;=15, "Large","Small")</f>
        <v>Small</v>
      </c>
      <c r="X655" t="str">
        <f>IF(Sales[[#This Row],[Quantity]]&gt;=15,"Large",IF(Sales[[#This Row],[Quantity]]=14,"Medium","Small"))</f>
        <v>Small</v>
      </c>
      <c r="Y655" t="str">
        <f>IF(AND(Sales[[#This Row],[Unit Price (₦)]]&gt;68000,Sales[[#This Row],[Quantity]]&gt;15),"Offer Discount", "No Discount")</f>
        <v>No Discount</v>
      </c>
    </row>
    <row r="656" spans="1:25" ht="15" customHeight="1" x14ac:dyDescent="0.25">
      <c r="A656" t="s">
        <v>1561</v>
      </c>
      <c r="B656" s="8">
        <v>45208</v>
      </c>
      <c r="C656" s="8">
        <v>45208</v>
      </c>
      <c r="D656" t="s">
        <v>32</v>
      </c>
      <c r="E656" t="s">
        <v>3091</v>
      </c>
      <c r="F656" t="s">
        <v>3040</v>
      </c>
      <c r="G656" t="s">
        <v>1563</v>
      </c>
      <c r="H656">
        <v>8142961940</v>
      </c>
      <c r="I656" t="s">
        <v>35</v>
      </c>
      <c r="J656" t="s">
        <v>25</v>
      </c>
      <c r="K656" t="s">
        <v>36</v>
      </c>
      <c r="L656" t="s">
        <v>108</v>
      </c>
      <c r="M656" t="s">
        <v>189</v>
      </c>
      <c r="N656" t="s">
        <v>325</v>
      </c>
      <c r="O656">
        <v>14</v>
      </c>
      <c r="P656">
        <v>21277.99</v>
      </c>
      <c r="Q656">
        <v>0</v>
      </c>
      <c r="R656" s="39">
        <v>0</v>
      </c>
      <c r="S656" s="39">
        <v>297891.86</v>
      </c>
      <c r="T656" s="39">
        <v>-15847.83</v>
      </c>
      <c r="U656" t="str">
        <f t="shared" si="23"/>
        <v>Clothing</v>
      </c>
      <c r="V656">
        <f t="shared" si="24"/>
        <v>15847.83</v>
      </c>
      <c r="W656" t="str">
        <f>IF(Sales[[#This Row],[Quantity]]&gt;=15, "Large","Small")</f>
        <v>Small</v>
      </c>
      <c r="X656" t="str">
        <f>IF(Sales[[#This Row],[Quantity]]&gt;=15,"Large",IF(Sales[[#This Row],[Quantity]]=14,"Medium","Small"))</f>
        <v>Medium</v>
      </c>
      <c r="Y656" t="str">
        <f>IF(AND(Sales[[#This Row],[Unit Price (₦)]]&gt;68000,Sales[[#This Row],[Quantity]]&gt;15),"Offer Discount", "No Discount")</f>
        <v>No Discount</v>
      </c>
    </row>
    <row r="657" spans="1:25" ht="15" customHeight="1" x14ac:dyDescent="0.25">
      <c r="A657" t="s">
        <v>2173</v>
      </c>
      <c r="B657" s="8">
        <v>45211</v>
      </c>
      <c r="C657" s="8">
        <v>45212</v>
      </c>
      <c r="D657" t="s">
        <v>32</v>
      </c>
      <c r="E657" t="s">
        <v>3050</v>
      </c>
      <c r="F657" t="s">
        <v>3042</v>
      </c>
      <c r="G657" t="s">
        <v>2174</v>
      </c>
      <c r="H657">
        <v>8136514410</v>
      </c>
      <c r="I657" t="s">
        <v>24</v>
      </c>
      <c r="J657" t="s">
        <v>69</v>
      </c>
      <c r="K657" t="s">
        <v>155</v>
      </c>
      <c r="L657" t="s">
        <v>85</v>
      </c>
      <c r="M657" t="s">
        <v>243</v>
      </c>
      <c r="N657" t="s">
        <v>613</v>
      </c>
      <c r="O657">
        <v>4</v>
      </c>
      <c r="P657">
        <v>86401.24</v>
      </c>
      <c r="Q657">
        <v>5</v>
      </c>
      <c r="R657" s="39">
        <v>17280.25</v>
      </c>
      <c r="S657" s="39">
        <v>328324.71000000002</v>
      </c>
      <c r="T657" s="39">
        <v>38415.47</v>
      </c>
      <c r="U657" t="str">
        <f t="shared" si="23"/>
        <v>Furniture</v>
      </c>
      <c r="V657">
        <f t="shared" si="24"/>
        <v>38415.47</v>
      </c>
      <c r="W657" t="str">
        <f>IF(Sales[[#This Row],[Quantity]]&gt;=15, "Large","Small")</f>
        <v>Small</v>
      </c>
      <c r="X657" t="str">
        <f>IF(Sales[[#This Row],[Quantity]]&gt;=15,"Large",IF(Sales[[#This Row],[Quantity]]=14,"Medium","Small"))</f>
        <v>Small</v>
      </c>
      <c r="Y657" t="str">
        <f>IF(AND(Sales[[#This Row],[Unit Price (₦)]]&gt;68000,Sales[[#This Row],[Quantity]]&gt;15),"Offer Discount", "No Discount")</f>
        <v>No Discount</v>
      </c>
    </row>
    <row r="658" spans="1:25" ht="15" customHeight="1" x14ac:dyDescent="0.25">
      <c r="A658" t="s">
        <v>866</v>
      </c>
      <c r="B658" s="8">
        <v>45216</v>
      </c>
      <c r="C658" s="8">
        <v>45216</v>
      </c>
      <c r="D658" t="s">
        <v>32</v>
      </c>
      <c r="E658" t="s">
        <v>3047</v>
      </c>
      <c r="F658" t="s">
        <v>3040</v>
      </c>
      <c r="G658" t="s">
        <v>868</v>
      </c>
      <c r="H658">
        <v>8165352450</v>
      </c>
      <c r="I658" t="s">
        <v>24</v>
      </c>
      <c r="J658" t="s">
        <v>61</v>
      </c>
      <c r="K658" t="s">
        <v>95</v>
      </c>
      <c r="L658" t="s">
        <v>108</v>
      </c>
      <c r="M658" t="s">
        <v>183</v>
      </c>
      <c r="N658" t="s">
        <v>869</v>
      </c>
      <c r="O658">
        <v>19</v>
      </c>
      <c r="P658">
        <v>33679.480000000003</v>
      </c>
      <c r="Q658">
        <v>5</v>
      </c>
      <c r="R658" s="39">
        <v>31995.51</v>
      </c>
      <c r="S658" s="39">
        <v>607914.61</v>
      </c>
      <c r="T658" s="39">
        <v>33982.57</v>
      </c>
      <c r="U658" t="str">
        <f t="shared" si="23"/>
        <v>Clothing</v>
      </c>
      <c r="V658">
        <f t="shared" si="24"/>
        <v>33982.57</v>
      </c>
      <c r="W658" t="str">
        <f>IF(Sales[[#This Row],[Quantity]]&gt;=15, "Large","Small")</f>
        <v>Large</v>
      </c>
      <c r="X658" t="str">
        <f>IF(Sales[[#This Row],[Quantity]]&gt;=15,"Large",IF(Sales[[#This Row],[Quantity]]=14,"Medium","Small"))</f>
        <v>Large</v>
      </c>
      <c r="Y658" t="str">
        <f>IF(AND(Sales[[#This Row],[Unit Price (₦)]]&gt;68000,Sales[[#This Row],[Quantity]]&gt;15),"Offer Discount", "No Discount")</f>
        <v>No Discount</v>
      </c>
    </row>
    <row r="659" spans="1:25" ht="15" customHeight="1" x14ac:dyDescent="0.25">
      <c r="A659" t="s">
        <v>1644</v>
      </c>
      <c r="B659" s="8">
        <v>45234</v>
      </c>
      <c r="C659" s="8">
        <v>45234</v>
      </c>
      <c r="D659" t="s">
        <v>32</v>
      </c>
      <c r="E659" t="s">
        <v>3033</v>
      </c>
      <c r="F659" t="s">
        <v>3040</v>
      </c>
      <c r="G659" t="s">
        <v>1646</v>
      </c>
      <c r="H659">
        <v>9058994829</v>
      </c>
      <c r="I659" t="s">
        <v>35</v>
      </c>
      <c r="J659" t="s">
        <v>51</v>
      </c>
      <c r="K659" t="s">
        <v>223</v>
      </c>
      <c r="L659" t="s">
        <v>96</v>
      </c>
      <c r="M659" t="s">
        <v>120</v>
      </c>
      <c r="N659" t="s">
        <v>359</v>
      </c>
      <c r="O659">
        <v>16</v>
      </c>
      <c r="P659">
        <v>194725.92</v>
      </c>
      <c r="Q659">
        <v>15</v>
      </c>
      <c r="R659" s="39">
        <v>467342.21</v>
      </c>
      <c r="S659" s="39">
        <v>2648272.5099999998</v>
      </c>
      <c r="T659" s="39">
        <v>457830.36</v>
      </c>
      <c r="U659" t="str">
        <f t="shared" si="23"/>
        <v>Technology</v>
      </c>
      <c r="V659">
        <f t="shared" si="24"/>
        <v>457830.36</v>
      </c>
      <c r="W659" t="str">
        <f>IF(Sales[[#This Row],[Quantity]]&gt;=15, "Large","Small")</f>
        <v>Large</v>
      </c>
      <c r="X659" t="str">
        <f>IF(Sales[[#This Row],[Quantity]]&gt;=15,"Large",IF(Sales[[#This Row],[Quantity]]=14,"Medium","Small"))</f>
        <v>Large</v>
      </c>
      <c r="Y659" t="str">
        <f>IF(AND(Sales[[#This Row],[Unit Price (₦)]]&gt;68000,Sales[[#This Row],[Quantity]]&gt;15),"Offer Discount", "No Discount")</f>
        <v>Offer Discount</v>
      </c>
    </row>
    <row r="660" spans="1:25" ht="15" customHeight="1" x14ac:dyDescent="0.25">
      <c r="A660" t="s">
        <v>2851</v>
      </c>
      <c r="B660" s="8">
        <v>45239</v>
      </c>
      <c r="C660" s="8">
        <v>45239</v>
      </c>
      <c r="D660" t="s">
        <v>32</v>
      </c>
      <c r="E660" t="s">
        <v>3081</v>
      </c>
      <c r="F660" t="s">
        <v>3075</v>
      </c>
      <c r="G660" t="s">
        <v>2853</v>
      </c>
      <c r="H660">
        <v>9055658528</v>
      </c>
      <c r="I660" t="s">
        <v>35</v>
      </c>
      <c r="J660" t="s">
        <v>25</v>
      </c>
      <c r="K660" t="s">
        <v>168</v>
      </c>
      <c r="L660" t="s">
        <v>96</v>
      </c>
      <c r="M660" t="s">
        <v>189</v>
      </c>
      <c r="N660" t="s">
        <v>325</v>
      </c>
      <c r="O660">
        <v>15</v>
      </c>
      <c r="P660">
        <v>421574.85</v>
      </c>
      <c r="Q660">
        <v>25</v>
      </c>
      <c r="R660" s="39">
        <v>1580905.69</v>
      </c>
      <c r="S660" s="39">
        <v>4742717.0599999996</v>
      </c>
      <c r="T660" s="39">
        <v>1268977.52</v>
      </c>
      <c r="U660" t="str">
        <f t="shared" si="23"/>
        <v>Technology</v>
      </c>
      <c r="V660">
        <f t="shared" si="24"/>
        <v>1268977.52</v>
      </c>
      <c r="W660" t="str">
        <f>IF(Sales[[#This Row],[Quantity]]&gt;=15, "Large","Small")</f>
        <v>Large</v>
      </c>
      <c r="X660" t="str">
        <f>IF(Sales[[#This Row],[Quantity]]&gt;=15,"Large",IF(Sales[[#This Row],[Quantity]]=14,"Medium","Small"))</f>
        <v>Large</v>
      </c>
      <c r="Y660" t="str">
        <f>IF(AND(Sales[[#This Row],[Unit Price (₦)]]&gt;68000,Sales[[#This Row],[Quantity]]&gt;15),"Offer Discount", "No Discount")</f>
        <v>No Discount</v>
      </c>
    </row>
    <row r="661" spans="1:25" ht="15" customHeight="1" x14ac:dyDescent="0.25">
      <c r="A661" t="s">
        <v>1231</v>
      </c>
      <c r="B661" s="8">
        <v>45248</v>
      </c>
      <c r="C661" s="8">
        <v>45249</v>
      </c>
      <c r="D661" t="s">
        <v>32</v>
      </c>
      <c r="E661" t="s">
        <v>3051</v>
      </c>
      <c r="F661" t="s">
        <v>3034</v>
      </c>
      <c r="G661" t="s">
        <v>1233</v>
      </c>
      <c r="H661">
        <v>8039742158</v>
      </c>
      <c r="I661" t="s">
        <v>35</v>
      </c>
      <c r="J661" t="s">
        <v>61</v>
      </c>
      <c r="K661" t="s">
        <v>204</v>
      </c>
      <c r="L661" t="s">
        <v>63</v>
      </c>
      <c r="M661" t="s">
        <v>312</v>
      </c>
      <c r="N661" t="s">
        <v>761</v>
      </c>
      <c r="O661">
        <v>1</v>
      </c>
      <c r="P661">
        <v>14101.84</v>
      </c>
      <c r="Q661">
        <v>5</v>
      </c>
      <c r="R661" s="39">
        <v>705.09</v>
      </c>
      <c r="S661" s="39">
        <v>13396.75</v>
      </c>
      <c r="T661" s="39">
        <v>2631.64</v>
      </c>
      <c r="U661" t="str">
        <f t="shared" si="23"/>
        <v>Office Supplies</v>
      </c>
      <c r="V661">
        <f t="shared" si="24"/>
        <v>2631.64</v>
      </c>
      <c r="W661" t="str">
        <f>IF(Sales[[#This Row],[Quantity]]&gt;=15, "Large","Small")</f>
        <v>Small</v>
      </c>
      <c r="X661" t="str">
        <f>IF(Sales[[#This Row],[Quantity]]&gt;=15,"Large",IF(Sales[[#This Row],[Quantity]]=14,"Medium","Small"))</f>
        <v>Small</v>
      </c>
      <c r="Y661" t="str">
        <f>IF(AND(Sales[[#This Row],[Unit Price (₦)]]&gt;68000,Sales[[#This Row],[Quantity]]&gt;15),"Offer Discount", "No Discount")</f>
        <v>No Discount</v>
      </c>
    </row>
    <row r="662" spans="1:25" ht="15" customHeight="1" x14ac:dyDescent="0.25">
      <c r="A662" t="s">
        <v>206</v>
      </c>
      <c r="B662" s="8">
        <v>45250</v>
      </c>
      <c r="C662" s="8">
        <v>45251</v>
      </c>
      <c r="D662" t="s">
        <v>32</v>
      </c>
      <c r="E662" t="s">
        <v>3048</v>
      </c>
      <c r="F662" t="s">
        <v>3042</v>
      </c>
      <c r="G662" t="s">
        <v>208</v>
      </c>
      <c r="H662">
        <v>8109961107</v>
      </c>
      <c r="I662" t="s">
        <v>35</v>
      </c>
      <c r="J662" t="s">
        <v>69</v>
      </c>
      <c r="K662" t="s">
        <v>70</v>
      </c>
      <c r="L662" t="s">
        <v>96</v>
      </c>
      <c r="M662" t="s">
        <v>189</v>
      </c>
      <c r="N662" t="s">
        <v>205</v>
      </c>
      <c r="O662">
        <v>1</v>
      </c>
      <c r="P662">
        <v>260510.51</v>
      </c>
      <c r="Q662">
        <v>0</v>
      </c>
      <c r="R662" s="39">
        <v>0</v>
      </c>
      <c r="S662" s="39">
        <v>260510.51</v>
      </c>
      <c r="T662" s="39">
        <v>61389.25</v>
      </c>
      <c r="U662" t="str">
        <f t="shared" si="23"/>
        <v>Technology</v>
      </c>
      <c r="V662">
        <f t="shared" si="24"/>
        <v>61389.25</v>
      </c>
      <c r="W662" t="str">
        <f>IF(Sales[[#This Row],[Quantity]]&gt;=15, "Large","Small")</f>
        <v>Small</v>
      </c>
      <c r="X662" t="str">
        <f>IF(Sales[[#This Row],[Quantity]]&gt;=15,"Large",IF(Sales[[#This Row],[Quantity]]=14,"Medium","Small"))</f>
        <v>Small</v>
      </c>
      <c r="Y662" t="str">
        <f>IF(AND(Sales[[#This Row],[Unit Price (₦)]]&gt;68000,Sales[[#This Row],[Quantity]]&gt;15),"Offer Discount", "No Discount")</f>
        <v>No Discount</v>
      </c>
    </row>
    <row r="663" spans="1:25" ht="15" customHeight="1" x14ac:dyDescent="0.25">
      <c r="A663" t="s">
        <v>2797</v>
      </c>
      <c r="B663" s="8">
        <v>45253</v>
      </c>
      <c r="C663" s="8">
        <v>45253</v>
      </c>
      <c r="D663" t="s">
        <v>32</v>
      </c>
      <c r="E663" t="s">
        <v>3092</v>
      </c>
      <c r="F663" t="s">
        <v>3096</v>
      </c>
      <c r="G663" t="s">
        <v>2799</v>
      </c>
      <c r="H663">
        <v>8153048456</v>
      </c>
      <c r="I663" t="s">
        <v>35</v>
      </c>
      <c r="J663" t="s">
        <v>51</v>
      </c>
      <c r="K663" t="s">
        <v>131</v>
      </c>
      <c r="L663" t="s">
        <v>108</v>
      </c>
      <c r="M663" t="s">
        <v>189</v>
      </c>
      <c r="N663" t="s">
        <v>325</v>
      </c>
      <c r="O663">
        <v>12</v>
      </c>
      <c r="P663">
        <v>35776.370000000003</v>
      </c>
      <c r="Q663">
        <v>0</v>
      </c>
      <c r="R663" s="39">
        <v>0</v>
      </c>
      <c r="S663" s="39">
        <v>429316.44</v>
      </c>
      <c r="T663" s="39">
        <v>26593.62</v>
      </c>
      <c r="U663" t="str">
        <f t="shared" si="23"/>
        <v>Clothing</v>
      </c>
      <c r="V663">
        <f t="shared" si="24"/>
        <v>26593.62</v>
      </c>
      <c r="W663" t="str">
        <f>IF(Sales[[#This Row],[Quantity]]&gt;=15, "Large","Small")</f>
        <v>Small</v>
      </c>
      <c r="X663" t="str">
        <f>IF(Sales[[#This Row],[Quantity]]&gt;=15,"Large",IF(Sales[[#This Row],[Quantity]]=14,"Medium","Small"))</f>
        <v>Small</v>
      </c>
      <c r="Y663" t="str">
        <f>IF(AND(Sales[[#This Row],[Unit Price (₦)]]&gt;68000,Sales[[#This Row],[Quantity]]&gt;15),"Offer Discount", "No Discount")</f>
        <v>No Discount</v>
      </c>
    </row>
    <row r="664" spans="1:25" ht="15" customHeight="1" x14ac:dyDescent="0.25">
      <c r="A664" t="s">
        <v>2612</v>
      </c>
      <c r="B664" s="8">
        <v>45265</v>
      </c>
      <c r="C664" s="8">
        <v>45265</v>
      </c>
      <c r="D664" t="s">
        <v>32</v>
      </c>
      <c r="E664" t="s">
        <v>3089</v>
      </c>
      <c r="F664" t="s">
        <v>3045</v>
      </c>
      <c r="G664" t="s">
        <v>592</v>
      </c>
      <c r="H664">
        <v>8157985242</v>
      </c>
      <c r="I664" t="s">
        <v>35</v>
      </c>
      <c r="J664" t="s">
        <v>51</v>
      </c>
      <c r="K664" t="s">
        <v>223</v>
      </c>
      <c r="L664" t="s">
        <v>108</v>
      </c>
      <c r="M664" t="s">
        <v>109</v>
      </c>
      <c r="N664" t="s">
        <v>426</v>
      </c>
      <c r="O664">
        <v>7</v>
      </c>
      <c r="P664">
        <v>37382.379999999997</v>
      </c>
      <c r="Q664">
        <v>20</v>
      </c>
      <c r="R664" s="39">
        <v>52335.33</v>
      </c>
      <c r="S664" s="39">
        <v>209341.33</v>
      </c>
      <c r="T664" s="39">
        <v>-11422.44</v>
      </c>
      <c r="U664" t="str">
        <f t="shared" si="23"/>
        <v>Clothing</v>
      </c>
      <c r="V664">
        <f t="shared" si="24"/>
        <v>11422.44</v>
      </c>
      <c r="W664" t="str">
        <f>IF(Sales[[#This Row],[Quantity]]&gt;=15, "Large","Small")</f>
        <v>Small</v>
      </c>
      <c r="X664" t="str">
        <f>IF(Sales[[#This Row],[Quantity]]&gt;=15,"Large",IF(Sales[[#This Row],[Quantity]]=14,"Medium","Small"))</f>
        <v>Small</v>
      </c>
      <c r="Y664" t="str">
        <f>IF(AND(Sales[[#This Row],[Unit Price (₦)]]&gt;68000,Sales[[#This Row],[Quantity]]&gt;15),"Offer Discount", "No Discount")</f>
        <v>No Discount</v>
      </c>
    </row>
    <row r="665" spans="1:25" ht="15" customHeight="1" x14ac:dyDescent="0.25">
      <c r="A665" t="s">
        <v>585</v>
      </c>
      <c r="B665" s="8">
        <v>45270</v>
      </c>
      <c r="C665" s="8">
        <v>45270</v>
      </c>
      <c r="D665" t="s">
        <v>32</v>
      </c>
      <c r="E665" t="s">
        <v>3091</v>
      </c>
      <c r="F665" t="s">
        <v>3052</v>
      </c>
      <c r="G665" t="s">
        <v>587</v>
      </c>
      <c r="H665">
        <v>8038033690</v>
      </c>
      <c r="I665" t="s">
        <v>35</v>
      </c>
      <c r="J665" t="s">
        <v>69</v>
      </c>
      <c r="K665" t="s">
        <v>119</v>
      </c>
      <c r="L665" t="s">
        <v>27</v>
      </c>
      <c r="M665" t="s">
        <v>79</v>
      </c>
      <c r="N665" t="s">
        <v>490</v>
      </c>
      <c r="O665">
        <v>4</v>
      </c>
      <c r="P665">
        <v>1886.83</v>
      </c>
      <c r="Q665">
        <v>0</v>
      </c>
      <c r="R665" s="39">
        <v>0</v>
      </c>
      <c r="S665" s="39">
        <v>7547.32</v>
      </c>
      <c r="T665" s="39">
        <v>889.56</v>
      </c>
      <c r="U665" t="str">
        <f t="shared" si="23"/>
        <v>Food &amp; Beverages</v>
      </c>
      <c r="V665">
        <f t="shared" si="24"/>
        <v>889.56</v>
      </c>
      <c r="W665" t="str">
        <f>IF(Sales[[#This Row],[Quantity]]&gt;=15, "Large","Small")</f>
        <v>Small</v>
      </c>
      <c r="X665" t="str">
        <f>IF(Sales[[#This Row],[Quantity]]&gt;=15,"Large",IF(Sales[[#This Row],[Quantity]]=14,"Medium","Small"))</f>
        <v>Small</v>
      </c>
      <c r="Y665" t="str">
        <f>IF(AND(Sales[[#This Row],[Unit Price (₦)]]&gt;68000,Sales[[#This Row],[Quantity]]&gt;15),"Offer Discount", "No Discount")</f>
        <v>No Discount</v>
      </c>
    </row>
    <row r="666" spans="1:25" ht="15" customHeight="1" x14ac:dyDescent="0.25">
      <c r="A666" t="s">
        <v>2880</v>
      </c>
      <c r="B666" s="8">
        <v>45269</v>
      </c>
      <c r="C666" s="8">
        <v>45270</v>
      </c>
      <c r="D666" t="s">
        <v>32</v>
      </c>
      <c r="E666" t="s">
        <v>3081</v>
      </c>
      <c r="F666" t="s">
        <v>3039</v>
      </c>
      <c r="G666" t="s">
        <v>1326</v>
      </c>
      <c r="H666">
        <v>8153515887</v>
      </c>
      <c r="I666" t="s">
        <v>35</v>
      </c>
      <c r="J666" t="s">
        <v>25</v>
      </c>
      <c r="K666" t="s">
        <v>44</v>
      </c>
      <c r="L666" t="s">
        <v>108</v>
      </c>
      <c r="M666" t="s">
        <v>183</v>
      </c>
      <c r="N666" t="s">
        <v>184</v>
      </c>
      <c r="O666">
        <v>14</v>
      </c>
      <c r="P666">
        <v>7286.52</v>
      </c>
      <c r="Q666">
        <v>0</v>
      </c>
      <c r="R666" s="39">
        <v>0</v>
      </c>
      <c r="S666" s="39">
        <v>102011.28</v>
      </c>
      <c r="T666" s="39">
        <v>33522.949999999997</v>
      </c>
      <c r="U666" t="str">
        <f t="shared" si="23"/>
        <v>Clothing</v>
      </c>
      <c r="V666">
        <f t="shared" si="24"/>
        <v>33522.949999999997</v>
      </c>
      <c r="W666" t="str">
        <f>IF(Sales[[#This Row],[Quantity]]&gt;=15, "Large","Small")</f>
        <v>Small</v>
      </c>
      <c r="X666" t="str">
        <f>IF(Sales[[#This Row],[Quantity]]&gt;=15,"Large",IF(Sales[[#This Row],[Quantity]]=14,"Medium","Small"))</f>
        <v>Medium</v>
      </c>
      <c r="Y666" t="str">
        <f>IF(AND(Sales[[#This Row],[Unit Price (₦)]]&gt;68000,Sales[[#This Row],[Quantity]]&gt;15),"Offer Discount", "No Discount")</f>
        <v>No Discount</v>
      </c>
    </row>
    <row r="667" spans="1:25" ht="15" customHeight="1" x14ac:dyDescent="0.25">
      <c r="A667" t="s">
        <v>670</v>
      </c>
      <c r="B667" s="8">
        <v>45275</v>
      </c>
      <c r="C667" s="8">
        <v>45276</v>
      </c>
      <c r="D667" t="s">
        <v>32</v>
      </c>
      <c r="E667" t="s">
        <v>3072</v>
      </c>
      <c r="F667" t="s">
        <v>3071</v>
      </c>
      <c r="G667" t="s">
        <v>672</v>
      </c>
      <c r="H667">
        <v>7032126998</v>
      </c>
      <c r="I667" t="s">
        <v>24</v>
      </c>
      <c r="J667" t="s">
        <v>69</v>
      </c>
      <c r="K667" t="s">
        <v>119</v>
      </c>
      <c r="L667" t="s">
        <v>63</v>
      </c>
      <c r="M667" t="s">
        <v>249</v>
      </c>
      <c r="N667" t="s">
        <v>465</v>
      </c>
      <c r="O667">
        <v>11</v>
      </c>
      <c r="P667">
        <v>1053.3399999999999</v>
      </c>
      <c r="Q667">
        <v>0</v>
      </c>
      <c r="R667" s="39">
        <v>0</v>
      </c>
      <c r="S667" s="39">
        <v>11586.74</v>
      </c>
      <c r="T667" s="39">
        <f>T666</f>
        <v>33522.949999999997</v>
      </c>
      <c r="U667" t="str">
        <f t="shared" si="23"/>
        <v>Office Supplies</v>
      </c>
      <c r="V667">
        <f t="shared" si="24"/>
        <v>33522.949999999997</v>
      </c>
      <c r="W667" t="str">
        <f>IF(Sales[[#This Row],[Quantity]]&gt;=15, "Large","Small")</f>
        <v>Small</v>
      </c>
      <c r="X667" t="str">
        <f>IF(Sales[[#This Row],[Quantity]]&gt;=15,"Large",IF(Sales[[#This Row],[Quantity]]=14,"Medium","Small"))</f>
        <v>Small</v>
      </c>
      <c r="Y667" t="str">
        <f>IF(AND(Sales[[#This Row],[Unit Price (₦)]]&gt;68000,Sales[[#This Row],[Quantity]]&gt;15),"Offer Discount", "No Discount")</f>
        <v>No Discount</v>
      </c>
    </row>
    <row r="668" spans="1:25" ht="15" customHeight="1" x14ac:dyDescent="0.25">
      <c r="A668" t="s">
        <v>158</v>
      </c>
      <c r="B668" s="8">
        <v>45278</v>
      </c>
      <c r="C668" s="8">
        <v>45279</v>
      </c>
      <c r="D668" t="s">
        <v>32</v>
      </c>
      <c r="E668" t="s">
        <v>3067</v>
      </c>
      <c r="F668" t="s">
        <v>3043</v>
      </c>
      <c r="G668" t="s">
        <v>160</v>
      </c>
      <c r="H668">
        <v>9074240180</v>
      </c>
      <c r="I668" t="s">
        <v>35</v>
      </c>
      <c r="J668" t="s">
        <v>69</v>
      </c>
      <c r="K668" t="s">
        <v>119</v>
      </c>
      <c r="L668" t="s">
        <v>108</v>
      </c>
      <c r="M668" t="s">
        <v>38</v>
      </c>
      <c r="N668" t="s">
        <v>39</v>
      </c>
      <c r="O668">
        <v>9</v>
      </c>
      <c r="P668">
        <v>39167.18</v>
      </c>
      <c r="Q668">
        <v>10</v>
      </c>
      <c r="R668" s="39">
        <v>35250.46</v>
      </c>
      <c r="S668" s="39">
        <v>317254.15999999997</v>
      </c>
      <c r="T668" s="39">
        <v>74519.53</v>
      </c>
      <c r="U668" t="str">
        <f t="shared" si="23"/>
        <v>Clothing</v>
      </c>
      <c r="V668">
        <f t="shared" si="24"/>
        <v>74519.53</v>
      </c>
      <c r="W668" t="str">
        <f>IF(Sales[[#This Row],[Quantity]]&gt;=15, "Large","Small")</f>
        <v>Small</v>
      </c>
      <c r="X668" t="str">
        <f>IF(Sales[[#This Row],[Quantity]]&gt;=15,"Large",IF(Sales[[#This Row],[Quantity]]=14,"Medium","Small"))</f>
        <v>Small</v>
      </c>
      <c r="Y668" t="str">
        <f>IF(AND(Sales[[#This Row],[Unit Price (₦)]]&gt;68000,Sales[[#This Row],[Quantity]]&gt;15),"Offer Discount", "No Discount")</f>
        <v>No Discount</v>
      </c>
    </row>
    <row r="669" spans="1:25" ht="15" customHeight="1" x14ac:dyDescent="0.25">
      <c r="A669" t="s">
        <v>2461</v>
      </c>
      <c r="B669" s="8">
        <v>45280</v>
      </c>
      <c r="C669" s="8">
        <v>45281</v>
      </c>
      <c r="D669" t="s">
        <v>32</v>
      </c>
      <c r="E669" t="s">
        <v>3053</v>
      </c>
      <c r="F669" t="s">
        <v>3039</v>
      </c>
      <c r="G669" t="s">
        <v>2462</v>
      </c>
      <c r="H669">
        <v>8106415010</v>
      </c>
      <c r="I669" t="s">
        <v>24</v>
      </c>
      <c r="J669" t="s">
        <v>61</v>
      </c>
      <c r="K669" t="s">
        <v>182</v>
      </c>
      <c r="L669" t="s">
        <v>96</v>
      </c>
      <c r="M669" t="s">
        <v>120</v>
      </c>
      <c r="N669" t="s">
        <v>359</v>
      </c>
      <c r="O669">
        <v>17</v>
      </c>
      <c r="P669">
        <v>268103.37</v>
      </c>
      <c r="Q669">
        <v>25</v>
      </c>
      <c r="R669" s="39">
        <v>1139439.32</v>
      </c>
      <c r="S669" s="39">
        <v>3418317.97</v>
      </c>
      <c r="T669" s="39">
        <v>94763.35</v>
      </c>
      <c r="U669" t="str">
        <f t="shared" si="23"/>
        <v>Technology</v>
      </c>
      <c r="V669">
        <f t="shared" si="24"/>
        <v>94763.35</v>
      </c>
      <c r="W669" t="str">
        <f>IF(Sales[[#This Row],[Quantity]]&gt;=15, "Large","Small")</f>
        <v>Large</v>
      </c>
      <c r="X669" t="str">
        <f>IF(Sales[[#This Row],[Quantity]]&gt;=15,"Large",IF(Sales[[#This Row],[Quantity]]=14,"Medium","Small"))</f>
        <v>Large</v>
      </c>
      <c r="Y669" t="str">
        <f>IF(AND(Sales[[#This Row],[Unit Price (₦)]]&gt;68000,Sales[[#This Row],[Quantity]]&gt;15),"Offer Discount", "No Discount")</f>
        <v>Offer Discount</v>
      </c>
    </row>
    <row r="670" spans="1:25" ht="15" customHeight="1" x14ac:dyDescent="0.25">
      <c r="A670" t="s">
        <v>2657</v>
      </c>
      <c r="B670" s="8">
        <v>45280</v>
      </c>
      <c r="C670" s="8">
        <v>45281</v>
      </c>
      <c r="D670" t="s">
        <v>32</v>
      </c>
      <c r="E670" t="s">
        <v>3047</v>
      </c>
      <c r="F670" t="s">
        <v>3045</v>
      </c>
      <c r="G670" t="s">
        <v>3126</v>
      </c>
      <c r="H670">
        <v>8142456742</v>
      </c>
      <c r="I670" t="s">
        <v>35</v>
      </c>
      <c r="J670" t="s">
        <v>69</v>
      </c>
      <c r="K670" t="s">
        <v>155</v>
      </c>
      <c r="L670" t="s">
        <v>108</v>
      </c>
      <c r="M670" t="s">
        <v>38</v>
      </c>
      <c r="N670" t="s">
        <v>296</v>
      </c>
      <c r="O670">
        <v>8</v>
      </c>
      <c r="P670">
        <v>5958.1</v>
      </c>
      <c r="Q670">
        <v>0</v>
      </c>
      <c r="R670" s="39">
        <v>0</v>
      </c>
      <c r="S670" s="39">
        <v>47664.800000000003</v>
      </c>
      <c r="T670" s="39">
        <v>5853.8</v>
      </c>
      <c r="U670" t="str">
        <f t="shared" si="23"/>
        <v>Clothing</v>
      </c>
      <c r="V670">
        <f t="shared" si="24"/>
        <v>5853.8</v>
      </c>
      <c r="W670" t="str">
        <f>IF(Sales[[#This Row],[Quantity]]&gt;=15, "Large","Small")</f>
        <v>Small</v>
      </c>
      <c r="X670" t="str">
        <f>IF(Sales[[#This Row],[Quantity]]&gt;=15,"Large",IF(Sales[[#This Row],[Quantity]]=14,"Medium","Small"))</f>
        <v>Small</v>
      </c>
      <c r="Y670" t="str">
        <f>IF(AND(Sales[[#This Row],[Unit Price (₦)]]&gt;68000,Sales[[#This Row],[Quantity]]&gt;15),"Offer Discount", "No Discount")</f>
        <v>No Discount</v>
      </c>
    </row>
    <row r="671" spans="1:25" ht="15" customHeight="1" x14ac:dyDescent="0.25">
      <c r="A671" t="s">
        <v>466</v>
      </c>
      <c r="B671" s="8">
        <v>45281</v>
      </c>
      <c r="C671" s="8">
        <v>45282</v>
      </c>
      <c r="D671" t="s">
        <v>32</v>
      </c>
      <c r="E671" t="s">
        <v>3063</v>
      </c>
      <c r="F671" t="s">
        <v>3034</v>
      </c>
      <c r="G671" t="s">
        <v>468</v>
      </c>
      <c r="H671">
        <v>9058297090</v>
      </c>
      <c r="I671" t="s">
        <v>24</v>
      </c>
      <c r="J671" t="s">
        <v>69</v>
      </c>
      <c r="K671" t="s">
        <v>119</v>
      </c>
      <c r="L671" t="s">
        <v>63</v>
      </c>
      <c r="M671" t="s">
        <v>469</v>
      </c>
      <c r="N671" t="s">
        <v>470</v>
      </c>
      <c r="O671">
        <v>13</v>
      </c>
      <c r="P671">
        <v>2338.5100000000002</v>
      </c>
      <c r="Q671">
        <v>10</v>
      </c>
      <c r="R671" s="39">
        <v>3040.06</v>
      </c>
      <c r="S671" s="39">
        <v>27360.57</v>
      </c>
      <c r="T671" s="39">
        <v>4318.91</v>
      </c>
      <c r="U671" t="str">
        <f t="shared" si="23"/>
        <v>Office Supplies</v>
      </c>
      <c r="V671">
        <f t="shared" si="24"/>
        <v>4318.91</v>
      </c>
      <c r="W671" t="str">
        <f>IF(Sales[[#This Row],[Quantity]]&gt;=15, "Large","Small")</f>
        <v>Small</v>
      </c>
      <c r="X671" t="str">
        <f>IF(Sales[[#This Row],[Quantity]]&gt;=15,"Large",IF(Sales[[#This Row],[Quantity]]=14,"Medium","Small"))</f>
        <v>Small</v>
      </c>
      <c r="Y671" t="str">
        <f>IF(AND(Sales[[#This Row],[Unit Price (₦)]]&gt;68000,Sales[[#This Row],[Quantity]]&gt;15),"Offer Discount", "No Discount")</f>
        <v>No Discount</v>
      </c>
    </row>
    <row r="672" spans="1:25" ht="15" customHeight="1" x14ac:dyDescent="0.25">
      <c r="A672" t="s">
        <v>2830</v>
      </c>
      <c r="B672" s="8">
        <v>45285</v>
      </c>
      <c r="C672" s="8">
        <v>45285</v>
      </c>
      <c r="D672" t="s">
        <v>32</v>
      </c>
      <c r="E672" t="s">
        <v>3059</v>
      </c>
      <c r="F672" t="s">
        <v>3083</v>
      </c>
      <c r="G672" t="s">
        <v>2831</v>
      </c>
      <c r="H672">
        <v>8168339206</v>
      </c>
      <c r="I672" t="s">
        <v>35</v>
      </c>
      <c r="J672" t="s">
        <v>61</v>
      </c>
      <c r="K672" t="s">
        <v>62</v>
      </c>
      <c r="L672" t="s">
        <v>96</v>
      </c>
      <c r="M672" t="s">
        <v>97</v>
      </c>
      <c r="N672" t="s">
        <v>98</v>
      </c>
      <c r="O672">
        <v>6</v>
      </c>
      <c r="P672">
        <v>203482.62</v>
      </c>
      <c r="Q672">
        <v>0</v>
      </c>
      <c r="R672" s="39">
        <v>0</v>
      </c>
      <c r="S672" s="39">
        <v>1220895.72</v>
      </c>
      <c r="T672" s="39">
        <v>389265.33</v>
      </c>
      <c r="U672" t="str">
        <f t="shared" si="23"/>
        <v>Technology</v>
      </c>
      <c r="V672">
        <f t="shared" si="24"/>
        <v>389265.33</v>
      </c>
      <c r="W672" t="str">
        <f>IF(Sales[[#This Row],[Quantity]]&gt;=15, "Large","Small")</f>
        <v>Small</v>
      </c>
      <c r="X672" t="str">
        <f>IF(Sales[[#This Row],[Quantity]]&gt;=15,"Large",IF(Sales[[#This Row],[Quantity]]=14,"Medium","Small"))</f>
        <v>Small</v>
      </c>
      <c r="Y672" t="str">
        <f>IF(AND(Sales[[#This Row],[Unit Price (₦)]]&gt;68000,Sales[[#This Row],[Quantity]]&gt;15),"Offer Discount", "No Discount")</f>
        <v>No Discount</v>
      </c>
    </row>
    <row r="673" spans="1:25" ht="15" customHeight="1" x14ac:dyDescent="0.25">
      <c r="A673" t="s">
        <v>1142</v>
      </c>
      <c r="B673" s="8">
        <v>45290</v>
      </c>
      <c r="C673" s="8">
        <v>45290</v>
      </c>
      <c r="D673" t="s">
        <v>32</v>
      </c>
      <c r="E673" t="s">
        <v>3033</v>
      </c>
      <c r="F673" t="s">
        <v>3036</v>
      </c>
      <c r="G673" t="s">
        <v>648</v>
      </c>
      <c r="H673">
        <v>9055191903</v>
      </c>
      <c r="I673" t="s">
        <v>35</v>
      </c>
      <c r="J673" t="s">
        <v>61</v>
      </c>
      <c r="K673" t="s">
        <v>95</v>
      </c>
      <c r="L673" t="s">
        <v>85</v>
      </c>
      <c r="M673" t="s">
        <v>243</v>
      </c>
      <c r="N673" t="s">
        <v>1143</v>
      </c>
      <c r="O673">
        <v>13</v>
      </c>
      <c r="P673">
        <v>23807.68</v>
      </c>
      <c r="Q673">
        <v>5</v>
      </c>
      <c r="R673" s="39">
        <v>15474.99</v>
      </c>
      <c r="S673" s="39">
        <v>294024.84999999998</v>
      </c>
      <c r="T673" s="39">
        <v>85431.73</v>
      </c>
      <c r="U673" t="str">
        <f t="shared" si="23"/>
        <v>Furniture</v>
      </c>
      <c r="V673">
        <f t="shared" si="24"/>
        <v>85431.73</v>
      </c>
      <c r="W673" t="str">
        <f>IF(Sales[[#This Row],[Quantity]]&gt;=15, "Large","Small")</f>
        <v>Small</v>
      </c>
      <c r="X673" t="str">
        <f>IF(Sales[[#This Row],[Quantity]]&gt;=15,"Large",IF(Sales[[#This Row],[Quantity]]=14,"Medium","Small"))</f>
        <v>Small</v>
      </c>
      <c r="Y673" t="str">
        <f>IF(AND(Sales[[#This Row],[Unit Price (₦)]]&gt;68000,Sales[[#This Row],[Quantity]]&gt;15),"Offer Discount", "No Discount")</f>
        <v>No Discount</v>
      </c>
    </row>
    <row r="674" spans="1:25" ht="15" customHeight="1" x14ac:dyDescent="0.25">
      <c r="A674" t="s">
        <v>870</v>
      </c>
      <c r="B674" s="8">
        <v>45296</v>
      </c>
      <c r="C674" s="8">
        <v>45297</v>
      </c>
      <c r="D674" t="s">
        <v>32</v>
      </c>
      <c r="E674" t="s">
        <v>3048</v>
      </c>
      <c r="F674" t="s">
        <v>3042</v>
      </c>
      <c r="G674" t="s">
        <v>871</v>
      </c>
      <c r="H674">
        <v>8162637507</v>
      </c>
      <c r="I674" t="s">
        <v>24</v>
      </c>
      <c r="J674" t="s">
        <v>61</v>
      </c>
      <c r="K674" t="s">
        <v>84</v>
      </c>
      <c r="L674" t="s">
        <v>108</v>
      </c>
      <c r="M674" t="s">
        <v>109</v>
      </c>
      <c r="N674" t="s">
        <v>157</v>
      </c>
      <c r="O674">
        <v>18</v>
      </c>
      <c r="P674">
        <v>33183.03</v>
      </c>
      <c r="Q674">
        <v>0</v>
      </c>
      <c r="R674" s="39">
        <v>0</v>
      </c>
      <c r="S674" s="39">
        <v>597294.54</v>
      </c>
      <c r="T674" s="39">
        <v>249761.12</v>
      </c>
      <c r="U674" t="str">
        <f t="shared" si="23"/>
        <v>Clothing</v>
      </c>
      <c r="V674">
        <f t="shared" si="24"/>
        <v>249761.12</v>
      </c>
      <c r="W674" t="str">
        <f>IF(Sales[[#This Row],[Quantity]]&gt;=15, "Large","Small")</f>
        <v>Large</v>
      </c>
      <c r="X674" t="str">
        <f>IF(Sales[[#This Row],[Quantity]]&gt;=15,"Large",IF(Sales[[#This Row],[Quantity]]=14,"Medium","Small"))</f>
        <v>Large</v>
      </c>
      <c r="Y674" t="str">
        <f>IF(AND(Sales[[#This Row],[Unit Price (₦)]]&gt;68000,Sales[[#This Row],[Quantity]]&gt;15),"Offer Discount", "No Discount")</f>
        <v>No Discount</v>
      </c>
    </row>
    <row r="675" spans="1:25" ht="15" customHeight="1" x14ac:dyDescent="0.25">
      <c r="A675" t="s">
        <v>990</v>
      </c>
      <c r="B675" s="8">
        <v>45296</v>
      </c>
      <c r="C675" s="8">
        <v>45297</v>
      </c>
      <c r="D675" t="s">
        <v>32</v>
      </c>
      <c r="E675" t="s">
        <v>3089</v>
      </c>
      <c r="F675" t="s">
        <v>3077</v>
      </c>
      <c r="G675" t="s">
        <v>3126</v>
      </c>
      <c r="H675">
        <v>8102375290</v>
      </c>
      <c r="I675" t="s">
        <v>43</v>
      </c>
      <c r="J675" t="s">
        <v>51</v>
      </c>
      <c r="K675" t="s">
        <v>316</v>
      </c>
      <c r="L675" t="s">
        <v>63</v>
      </c>
      <c r="M675" t="s">
        <v>194</v>
      </c>
      <c r="N675" t="s">
        <v>336</v>
      </c>
      <c r="O675">
        <v>7</v>
      </c>
      <c r="P675">
        <v>22336.78</v>
      </c>
      <c r="Q675">
        <v>10</v>
      </c>
      <c r="R675" s="39">
        <v>15635.75</v>
      </c>
      <c r="S675" s="39">
        <v>140721.71</v>
      </c>
      <c r="T675" s="39">
        <v>40827.14</v>
      </c>
      <c r="U675" t="str">
        <f t="shared" si="23"/>
        <v>Office Supplies</v>
      </c>
      <c r="V675">
        <f t="shared" si="24"/>
        <v>40827.14</v>
      </c>
      <c r="W675" t="str">
        <f>IF(Sales[[#This Row],[Quantity]]&gt;=15, "Large","Small")</f>
        <v>Small</v>
      </c>
      <c r="X675" t="str">
        <f>IF(Sales[[#This Row],[Quantity]]&gt;=15,"Large",IF(Sales[[#This Row],[Quantity]]=14,"Medium","Small"))</f>
        <v>Small</v>
      </c>
      <c r="Y675" t="str">
        <f>IF(AND(Sales[[#This Row],[Unit Price (₦)]]&gt;68000,Sales[[#This Row],[Quantity]]&gt;15),"Offer Discount", "No Discount")</f>
        <v>No Discount</v>
      </c>
    </row>
    <row r="676" spans="1:25" ht="15" customHeight="1" x14ac:dyDescent="0.25">
      <c r="A676" t="s">
        <v>1432</v>
      </c>
      <c r="B676" s="8">
        <v>45312</v>
      </c>
      <c r="C676" s="8">
        <v>45312</v>
      </c>
      <c r="D676" t="s">
        <v>32</v>
      </c>
      <c r="E676" t="s">
        <v>3053</v>
      </c>
      <c r="F676" t="s">
        <v>3069</v>
      </c>
      <c r="G676" t="s">
        <v>1433</v>
      </c>
      <c r="H676">
        <v>8106952931</v>
      </c>
      <c r="I676" t="s">
        <v>35</v>
      </c>
      <c r="J676" t="s">
        <v>25</v>
      </c>
      <c r="K676" t="s">
        <v>26</v>
      </c>
      <c r="L676" t="s">
        <v>108</v>
      </c>
      <c r="M676" t="s">
        <v>183</v>
      </c>
      <c r="N676" t="s">
        <v>372</v>
      </c>
      <c r="O676">
        <v>14</v>
      </c>
      <c r="P676">
        <v>24112.79</v>
      </c>
      <c r="Q676">
        <v>0</v>
      </c>
      <c r="R676" s="39">
        <v>0</v>
      </c>
      <c r="S676" s="39">
        <v>337579.06</v>
      </c>
      <c r="T676" s="39">
        <v>103584.67</v>
      </c>
      <c r="U676" t="str">
        <f t="shared" si="23"/>
        <v>Clothing</v>
      </c>
      <c r="V676">
        <f t="shared" si="24"/>
        <v>103584.67</v>
      </c>
      <c r="W676" t="str">
        <f>IF(Sales[[#This Row],[Quantity]]&gt;=15, "Large","Small")</f>
        <v>Small</v>
      </c>
      <c r="X676" t="str">
        <f>IF(Sales[[#This Row],[Quantity]]&gt;=15,"Large",IF(Sales[[#This Row],[Quantity]]=14,"Medium","Small"))</f>
        <v>Medium</v>
      </c>
      <c r="Y676" t="str">
        <f>IF(AND(Sales[[#This Row],[Unit Price (₦)]]&gt;68000,Sales[[#This Row],[Quantity]]&gt;15),"Offer Discount", "No Discount")</f>
        <v>No Discount</v>
      </c>
    </row>
    <row r="677" spans="1:25" ht="15" customHeight="1" x14ac:dyDescent="0.25">
      <c r="A677" t="s">
        <v>1767</v>
      </c>
      <c r="B677" s="8">
        <v>45316</v>
      </c>
      <c r="C677" s="8">
        <v>45316</v>
      </c>
      <c r="D677" t="s">
        <v>32</v>
      </c>
      <c r="E677" t="s">
        <v>3098</v>
      </c>
      <c r="F677" t="s">
        <v>3066</v>
      </c>
      <c r="G677" t="s">
        <v>1769</v>
      </c>
      <c r="H677">
        <v>8139014904</v>
      </c>
      <c r="I677" t="s">
        <v>24</v>
      </c>
      <c r="J677" t="s">
        <v>51</v>
      </c>
      <c r="K677" t="s">
        <v>227</v>
      </c>
      <c r="L677" t="s">
        <v>96</v>
      </c>
      <c r="M677" t="s">
        <v>97</v>
      </c>
      <c r="N677" t="s">
        <v>98</v>
      </c>
      <c r="O677">
        <v>5</v>
      </c>
      <c r="P677">
        <v>318400.07</v>
      </c>
      <c r="Q677">
        <v>10</v>
      </c>
      <c r="R677" s="39">
        <v>159200.04</v>
      </c>
      <c r="S677" s="39">
        <v>1432800.31</v>
      </c>
      <c r="T677" s="39">
        <v>305560.96999999997</v>
      </c>
      <c r="U677" t="str">
        <f t="shared" si="23"/>
        <v>Technology</v>
      </c>
      <c r="V677">
        <f t="shared" si="24"/>
        <v>305560.96999999997</v>
      </c>
      <c r="W677" t="str">
        <f>IF(Sales[[#This Row],[Quantity]]&gt;=15, "Large","Small")</f>
        <v>Small</v>
      </c>
      <c r="X677" t="str">
        <f>IF(Sales[[#This Row],[Quantity]]&gt;=15,"Large",IF(Sales[[#This Row],[Quantity]]=14,"Medium","Small"))</f>
        <v>Small</v>
      </c>
      <c r="Y677" t="str">
        <f>IF(AND(Sales[[#This Row],[Unit Price (₦)]]&gt;68000,Sales[[#This Row],[Quantity]]&gt;15),"Offer Discount", "No Discount")</f>
        <v>No Discount</v>
      </c>
    </row>
    <row r="678" spans="1:25" ht="15" customHeight="1" x14ac:dyDescent="0.25">
      <c r="A678" t="s">
        <v>2727</v>
      </c>
      <c r="B678" s="8">
        <v>45317</v>
      </c>
      <c r="C678" s="8">
        <v>45317</v>
      </c>
      <c r="D678" t="s">
        <v>32</v>
      </c>
      <c r="E678" t="s">
        <v>3084</v>
      </c>
      <c r="F678" t="s">
        <v>3077</v>
      </c>
      <c r="G678" t="s">
        <v>2728</v>
      </c>
      <c r="H678">
        <v>8131146741</v>
      </c>
      <c r="I678" t="s">
        <v>35</v>
      </c>
      <c r="J678" t="s">
        <v>61</v>
      </c>
      <c r="K678" t="s">
        <v>84</v>
      </c>
      <c r="L678" t="s">
        <v>63</v>
      </c>
      <c r="M678" t="s">
        <v>194</v>
      </c>
      <c r="N678" t="s">
        <v>336</v>
      </c>
      <c r="O678">
        <v>17</v>
      </c>
      <c r="P678">
        <v>19275.57</v>
      </c>
      <c r="Q678">
        <v>0</v>
      </c>
      <c r="R678" s="39">
        <v>0</v>
      </c>
      <c r="S678" s="39">
        <v>327684.69</v>
      </c>
      <c r="T678" s="39">
        <v>49332.23</v>
      </c>
      <c r="U678" t="str">
        <f t="shared" si="23"/>
        <v>Office Supplies</v>
      </c>
      <c r="V678">
        <f t="shared" si="24"/>
        <v>49332.23</v>
      </c>
      <c r="W678" t="str">
        <f>IF(Sales[[#This Row],[Quantity]]&gt;=15, "Large","Small")</f>
        <v>Large</v>
      </c>
      <c r="X678" t="str">
        <f>IF(Sales[[#This Row],[Quantity]]&gt;=15,"Large",IF(Sales[[#This Row],[Quantity]]=14,"Medium","Small"))</f>
        <v>Large</v>
      </c>
      <c r="Y678" t="str">
        <f>IF(AND(Sales[[#This Row],[Unit Price (₦)]]&gt;68000,Sales[[#This Row],[Quantity]]&gt;15),"Offer Discount", "No Discount")</f>
        <v>No Discount</v>
      </c>
    </row>
    <row r="679" spans="1:25" ht="15" customHeight="1" x14ac:dyDescent="0.25">
      <c r="A679" t="s">
        <v>1401</v>
      </c>
      <c r="B679" s="8">
        <v>45319</v>
      </c>
      <c r="C679" s="8">
        <v>45320</v>
      </c>
      <c r="D679" t="s">
        <v>32</v>
      </c>
      <c r="E679" t="s">
        <v>3073</v>
      </c>
      <c r="F679" t="s">
        <v>3046</v>
      </c>
      <c r="G679" t="s">
        <v>1402</v>
      </c>
      <c r="H679">
        <v>7036894759</v>
      </c>
      <c r="I679" t="s">
        <v>35</v>
      </c>
      <c r="J679" t="s">
        <v>51</v>
      </c>
      <c r="K679" t="s">
        <v>316</v>
      </c>
      <c r="L679" t="s">
        <v>63</v>
      </c>
      <c r="M679" t="s">
        <v>64</v>
      </c>
      <c r="N679" t="s">
        <v>777</v>
      </c>
      <c r="O679">
        <v>15</v>
      </c>
      <c r="P679">
        <v>2646.17</v>
      </c>
      <c r="Q679">
        <v>15</v>
      </c>
      <c r="R679" s="39">
        <v>5953.88</v>
      </c>
      <c r="S679" s="39">
        <v>33738.67</v>
      </c>
      <c r="T679" s="39">
        <v>11208.37</v>
      </c>
      <c r="U679" t="str">
        <f t="shared" si="23"/>
        <v>Office Supplies</v>
      </c>
      <c r="V679">
        <f t="shared" si="24"/>
        <v>11208.37</v>
      </c>
      <c r="W679" t="str">
        <f>IF(Sales[[#This Row],[Quantity]]&gt;=15, "Large","Small")</f>
        <v>Large</v>
      </c>
      <c r="X679" t="str">
        <f>IF(Sales[[#This Row],[Quantity]]&gt;=15,"Large",IF(Sales[[#This Row],[Quantity]]=14,"Medium","Small"))</f>
        <v>Large</v>
      </c>
      <c r="Y679" t="str">
        <f>IF(AND(Sales[[#This Row],[Unit Price (₦)]]&gt;68000,Sales[[#This Row],[Quantity]]&gt;15),"Offer Discount", "No Discount")</f>
        <v>No Discount</v>
      </c>
    </row>
    <row r="680" spans="1:25" ht="15" customHeight="1" x14ac:dyDescent="0.25">
      <c r="A680" t="s">
        <v>437</v>
      </c>
      <c r="B680" s="8">
        <v>45322</v>
      </c>
      <c r="C680" s="8">
        <v>45322</v>
      </c>
      <c r="D680" t="s">
        <v>32</v>
      </c>
      <c r="E680" t="str">
        <f>E681</f>
        <v>Ikenna</v>
      </c>
      <c r="F680" t="str">
        <f>F679</f>
        <v>Okonkwo</v>
      </c>
      <c r="G680" t="s">
        <v>438</v>
      </c>
      <c r="H680">
        <v>8162407191</v>
      </c>
      <c r="I680" t="s">
        <v>35</v>
      </c>
      <c r="J680" t="s">
        <v>61</v>
      </c>
      <c r="K680" t="s">
        <v>182</v>
      </c>
      <c r="L680" t="s">
        <v>85</v>
      </c>
      <c r="M680" t="s">
        <v>243</v>
      </c>
      <c r="N680" t="s">
        <v>439</v>
      </c>
      <c r="O680">
        <v>5</v>
      </c>
      <c r="P680">
        <v>163712.67000000001</v>
      </c>
      <c r="Q680">
        <v>15</v>
      </c>
      <c r="R680" s="39">
        <v>122784.5</v>
      </c>
      <c r="S680" s="39">
        <v>695778.85</v>
      </c>
      <c r="T680" s="39">
        <v>-66079.41</v>
      </c>
      <c r="U680" t="str">
        <f t="shared" si="23"/>
        <v>Furniture</v>
      </c>
      <c r="V680">
        <f t="shared" si="24"/>
        <v>66079.41</v>
      </c>
      <c r="W680" t="str">
        <f>IF(Sales[[#This Row],[Quantity]]&gt;=15, "Large","Small")</f>
        <v>Small</v>
      </c>
      <c r="X680" t="str">
        <f>IF(Sales[[#This Row],[Quantity]]&gt;=15,"Large",IF(Sales[[#This Row],[Quantity]]=14,"Medium","Small"))</f>
        <v>Small</v>
      </c>
      <c r="Y680" t="str">
        <f>IF(AND(Sales[[#This Row],[Unit Price (₦)]]&gt;68000,Sales[[#This Row],[Quantity]]&gt;15),"Offer Discount", "No Discount")</f>
        <v>No Discount</v>
      </c>
    </row>
    <row r="681" spans="1:25" ht="15" customHeight="1" x14ac:dyDescent="0.25">
      <c r="A681" t="s">
        <v>1070</v>
      </c>
      <c r="B681" s="8">
        <v>45324</v>
      </c>
      <c r="C681" s="8">
        <v>45325</v>
      </c>
      <c r="D681" t="s">
        <v>32</v>
      </c>
      <c r="E681" t="s">
        <v>3058</v>
      </c>
      <c r="F681" t="s">
        <v>3036</v>
      </c>
      <c r="G681" t="s">
        <v>1072</v>
      </c>
      <c r="H681">
        <v>8103200150</v>
      </c>
      <c r="I681" t="s">
        <v>35</v>
      </c>
      <c r="J681" t="s">
        <v>69</v>
      </c>
      <c r="K681" t="s">
        <v>70</v>
      </c>
      <c r="L681" t="s">
        <v>27</v>
      </c>
      <c r="M681" t="s">
        <v>354</v>
      </c>
      <c r="N681" t="s">
        <v>355</v>
      </c>
      <c r="O681">
        <v>8</v>
      </c>
      <c r="P681">
        <v>5850.28</v>
      </c>
      <c r="Q681">
        <v>25</v>
      </c>
      <c r="R681" s="39">
        <v>11700.56</v>
      </c>
      <c r="S681" s="39">
        <v>35101.68</v>
      </c>
      <c r="T681" s="39">
        <v>3837.71</v>
      </c>
      <c r="U681" t="str">
        <f t="shared" si="23"/>
        <v>Food &amp; Beverages</v>
      </c>
      <c r="V681">
        <f t="shared" si="24"/>
        <v>3837.71</v>
      </c>
      <c r="W681" t="str">
        <f>IF(Sales[[#This Row],[Quantity]]&gt;=15, "Large","Small")</f>
        <v>Small</v>
      </c>
      <c r="X681" t="str">
        <f>IF(Sales[[#This Row],[Quantity]]&gt;=15,"Large",IF(Sales[[#This Row],[Quantity]]=14,"Medium","Small"))</f>
        <v>Small</v>
      </c>
      <c r="Y681" t="str">
        <f>IF(AND(Sales[[#This Row],[Unit Price (₦)]]&gt;68000,Sales[[#This Row],[Quantity]]&gt;15),"Offer Discount", "No Discount")</f>
        <v>No Discount</v>
      </c>
    </row>
    <row r="682" spans="1:25" ht="15" customHeight="1" x14ac:dyDescent="0.25">
      <c r="A682" t="s">
        <v>453</v>
      </c>
      <c r="B682" s="8">
        <v>45326</v>
      </c>
      <c r="C682" s="8">
        <v>45327</v>
      </c>
      <c r="D682" t="s">
        <v>32</v>
      </c>
      <c r="E682" t="s">
        <v>3047</v>
      </c>
      <c r="F682" t="s">
        <v>3039</v>
      </c>
      <c r="G682" t="s">
        <v>454</v>
      </c>
      <c r="H682">
        <v>7035045421</v>
      </c>
      <c r="I682" t="s">
        <v>24</v>
      </c>
      <c r="J682" t="s">
        <v>69</v>
      </c>
      <c r="K682" t="s">
        <v>307</v>
      </c>
      <c r="L682" t="s">
        <v>96</v>
      </c>
      <c r="M682" t="s">
        <v>254</v>
      </c>
      <c r="N682" t="s">
        <v>455</v>
      </c>
      <c r="O682">
        <v>12</v>
      </c>
      <c r="P682">
        <v>73033.17</v>
      </c>
      <c r="Q682">
        <v>25</v>
      </c>
      <c r="R682" s="39">
        <v>219099.51</v>
      </c>
      <c r="S682" s="39">
        <v>657298.53</v>
      </c>
      <c r="T682" s="39">
        <v>34921.19</v>
      </c>
      <c r="U682" t="str">
        <f t="shared" si="23"/>
        <v>Technology</v>
      </c>
      <c r="V682">
        <f t="shared" si="24"/>
        <v>34921.19</v>
      </c>
      <c r="W682" t="str">
        <f>IF(Sales[[#This Row],[Quantity]]&gt;=15, "Large","Small")</f>
        <v>Small</v>
      </c>
      <c r="X682" t="str">
        <f>IF(Sales[[#This Row],[Quantity]]&gt;=15,"Large",IF(Sales[[#This Row],[Quantity]]=14,"Medium","Small"))</f>
        <v>Small</v>
      </c>
      <c r="Y682" t="str">
        <f>IF(AND(Sales[[#This Row],[Unit Price (₦)]]&gt;68000,Sales[[#This Row],[Quantity]]&gt;15),"Offer Discount", "No Discount")</f>
        <v>No Discount</v>
      </c>
    </row>
    <row r="683" spans="1:25" ht="15" customHeight="1" x14ac:dyDescent="0.25">
      <c r="A683" t="s">
        <v>1688</v>
      </c>
      <c r="B683" s="8">
        <v>45328</v>
      </c>
      <c r="C683" s="8">
        <v>45329</v>
      </c>
      <c r="D683" t="s">
        <v>32</v>
      </c>
      <c r="E683" t="s">
        <v>3080</v>
      </c>
      <c r="F683" t="s">
        <v>3066</v>
      </c>
      <c r="G683" t="s">
        <v>1690</v>
      </c>
      <c r="H683">
        <v>8034172607</v>
      </c>
      <c r="I683" t="s">
        <v>35</v>
      </c>
      <c r="J683" t="s">
        <v>61</v>
      </c>
      <c r="K683" t="s">
        <v>62</v>
      </c>
      <c r="L683" t="s">
        <v>27</v>
      </c>
      <c r="M683" t="s">
        <v>45</v>
      </c>
      <c r="N683" t="s">
        <v>523</v>
      </c>
      <c r="O683">
        <v>2</v>
      </c>
      <c r="P683">
        <v>2823.14</v>
      </c>
      <c r="Q683">
        <v>10</v>
      </c>
      <c r="R683" s="39">
        <v>564.63</v>
      </c>
      <c r="S683" s="39">
        <v>5081.6499999999996</v>
      </c>
      <c r="T683" s="39">
        <v>1899.07</v>
      </c>
      <c r="U683" t="str">
        <f t="shared" si="23"/>
        <v>Food &amp; Beverages</v>
      </c>
      <c r="V683">
        <f t="shared" si="24"/>
        <v>1899.07</v>
      </c>
      <c r="W683" t="str">
        <f>IF(Sales[[#This Row],[Quantity]]&gt;=15, "Large","Small")</f>
        <v>Small</v>
      </c>
      <c r="X683" t="str">
        <f>IF(Sales[[#This Row],[Quantity]]&gt;=15,"Large",IF(Sales[[#This Row],[Quantity]]=14,"Medium","Small"))</f>
        <v>Small</v>
      </c>
      <c r="Y683" t="str">
        <f>IF(AND(Sales[[#This Row],[Unit Price (₦)]]&gt;68000,Sales[[#This Row],[Quantity]]&gt;15),"Offer Discount", "No Discount")</f>
        <v>No Discount</v>
      </c>
    </row>
    <row r="684" spans="1:25" ht="15" customHeight="1" x14ac:dyDescent="0.25">
      <c r="A684" t="s">
        <v>2693</v>
      </c>
      <c r="B684" s="8">
        <v>45329</v>
      </c>
      <c r="C684" s="8">
        <v>45329</v>
      </c>
      <c r="D684" t="s">
        <v>32</v>
      </c>
      <c r="E684" t="s">
        <v>3058</v>
      </c>
      <c r="F684" t="s">
        <v>3083</v>
      </c>
      <c r="G684" t="s">
        <v>2694</v>
      </c>
      <c r="H684">
        <v>9058702071</v>
      </c>
      <c r="I684" t="s">
        <v>24</v>
      </c>
      <c r="J684" t="s">
        <v>51</v>
      </c>
      <c r="K684" t="s">
        <v>131</v>
      </c>
      <c r="L684" t="s">
        <v>27</v>
      </c>
      <c r="M684" t="s">
        <v>45</v>
      </c>
      <c r="N684" t="s">
        <v>523</v>
      </c>
      <c r="O684">
        <v>3</v>
      </c>
      <c r="P684">
        <v>2261.39</v>
      </c>
      <c r="Q684">
        <v>10</v>
      </c>
      <c r="R684" s="39">
        <v>678.42</v>
      </c>
      <c r="S684" s="39">
        <v>6105.75</v>
      </c>
      <c r="T684" s="39">
        <v>-460.02</v>
      </c>
      <c r="U684" t="str">
        <f t="shared" si="23"/>
        <v>Food &amp; Beverages</v>
      </c>
      <c r="V684">
        <f t="shared" si="24"/>
        <v>460.02</v>
      </c>
      <c r="W684" t="str">
        <f>IF(Sales[[#This Row],[Quantity]]&gt;=15, "Large","Small")</f>
        <v>Small</v>
      </c>
      <c r="X684" t="str">
        <f>IF(Sales[[#This Row],[Quantity]]&gt;=15,"Large",IF(Sales[[#This Row],[Quantity]]=14,"Medium","Small"))</f>
        <v>Small</v>
      </c>
      <c r="Y684" t="str">
        <f>IF(AND(Sales[[#This Row],[Unit Price (₦)]]&gt;68000,Sales[[#This Row],[Quantity]]&gt;15),"Offer Discount", "No Discount")</f>
        <v>No Discount</v>
      </c>
    </row>
    <row r="685" spans="1:25" ht="15" customHeight="1" x14ac:dyDescent="0.25">
      <c r="A685" t="s">
        <v>2549</v>
      </c>
      <c r="B685" s="8">
        <v>45329</v>
      </c>
      <c r="C685" s="8">
        <v>45330</v>
      </c>
      <c r="D685" t="s">
        <v>32</v>
      </c>
      <c r="E685" t="s">
        <v>3082</v>
      </c>
      <c r="F685" t="s">
        <v>3045</v>
      </c>
      <c r="G685" t="s">
        <v>2551</v>
      </c>
      <c r="H685">
        <v>8142822847</v>
      </c>
      <c r="I685" t="s">
        <v>24</v>
      </c>
      <c r="J685" t="s">
        <v>51</v>
      </c>
      <c r="K685" t="s">
        <v>316</v>
      </c>
      <c r="L685" t="s">
        <v>27</v>
      </c>
      <c r="M685" t="s">
        <v>28</v>
      </c>
      <c r="N685" t="s">
        <v>71</v>
      </c>
      <c r="O685">
        <v>20</v>
      </c>
      <c r="P685">
        <v>7266.01</v>
      </c>
      <c r="Q685">
        <v>15</v>
      </c>
      <c r="R685" s="39">
        <v>21798.03</v>
      </c>
      <c r="S685" s="39">
        <v>123522.17</v>
      </c>
      <c r="T685" s="39">
        <v>-14757.02</v>
      </c>
      <c r="U685" t="str">
        <f t="shared" si="23"/>
        <v>Food &amp; Beverages</v>
      </c>
      <c r="V685">
        <f t="shared" si="24"/>
        <v>14757.02</v>
      </c>
      <c r="W685" t="str">
        <f>IF(Sales[[#This Row],[Quantity]]&gt;=15, "Large","Small")</f>
        <v>Large</v>
      </c>
      <c r="X685" t="str">
        <f>IF(Sales[[#This Row],[Quantity]]&gt;=15,"Large",IF(Sales[[#This Row],[Quantity]]=14,"Medium","Small"))</f>
        <v>Large</v>
      </c>
      <c r="Y685" t="str">
        <f>IF(AND(Sales[[#This Row],[Unit Price (₦)]]&gt;68000,Sales[[#This Row],[Quantity]]&gt;15),"Offer Discount", "No Discount")</f>
        <v>No Discount</v>
      </c>
    </row>
    <row r="686" spans="1:25" ht="15" customHeight="1" x14ac:dyDescent="0.25">
      <c r="A686" t="s">
        <v>2228</v>
      </c>
      <c r="B686" s="8">
        <v>45333</v>
      </c>
      <c r="C686" s="8">
        <v>45334</v>
      </c>
      <c r="D686" t="s">
        <v>32</v>
      </c>
      <c r="E686" t="s">
        <v>3068</v>
      </c>
      <c r="F686" t="s">
        <v>3050</v>
      </c>
      <c r="G686" t="s">
        <v>2229</v>
      </c>
      <c r="H686">
        <v>7065673426</v>
      </c>
      <c r="I686" t="s">
        <v>24</v>
      </c>
      <c r="J686" t="s">
        <v>25</v>
      </c>
      <c r="K686" t="s">
        <v>44</v>
      </c>
      <c r="L686" t="s">
        <v>108</v>
      </c>
      <c r="M686" t="s">
        <v>38</v>
      </c>
      <c r="N686" t="s">
        <v>296</v>
      </c>
      <c r="O686">
        <v>13</v>
      </c>
      <c r="P686">
        <v>23783.52</v>
      </c>
      <c r="Q686">
        <v>0</v>
      </c>
      <c r="R686" s="39">
        <v>0</v>
      </c>
      <c r="S686" s="39">
        <v>309185.76</v>
      </c>
      <c r="T686" s="39">
        <v>137863.57</v>
      </c>
      <c r="U686" t="str">
        <f t="shared" si="23"/>
        <v>Clothing</v>
      </c>
      <c r="V686">
        <f t="shared" si="24"/>
        <v>137863.57</v>
      </c>
      <c r="W686" t="str">
        <f>IF(Sales[[#This Row],[Quantity]]&gt;=15, "Large","Small")</f>
        <v>Small</v>
      </c>
      <c r="X686" t="str">
        <f>IF(Sales[[#This Row],[Quantity]]&gt;=15,"Large",IF(Sales[[#This Row],[Quantity]]=14,"Medium","Small"))</f>
        <v>Small</v>
      </c>
      <c r="Y686" t="str">
        <f>IF(AND(Sales[[#This Row],[Unit Price (₦)]]&gt;68000,Sales[[#This Row],[Quantity]]&gt;15),"Offer Discount", "No Discount")</f>
        <v>No Discount</v>
      </c>
    </row>
    <row r="687" spans="1:25" ht="15" customHeight="1" x14ac:dyDescent="0.25">
      <c r="A687" t="s">
        <v>1709</v>
      </c>
      <c r="B687" s="8">
        <v>45342</v>
      </c>
      <c r="C687" s="8">
        <v>45342</v>
      </c>
      <c r="D687" t="s">
        <v>32</v>
      </c>
      <c r="E687" t="s">
        <v>3058</v>
      </c>
      <c r="F687" t="s">
        <v>3050</v>
      </c>
      <c r="G687" t="s">
        <v>1107</v>
      </c>
      <c r="H687">
        <v>8138965447</v>
      </c>
      <c r="I687" t="s">
        <v>24</v>
      </c>
      <c r="J687" t="s">
        <v>61</v>
      </c>
      <c r="K687" t="s">
        <v>182</v>
      </c>
      <c r="L687" t="s">
        <v>96</v>
      </c>
      <c r="M687" t="s">
        <v>97</v>
      </c>
      <c r="N687" t="s">
        <v>169</v>
      </c>
      <c r="O687">
        <v>10</v>
      </c>
      <c r="P687">
        <v>433443.09</v>
      </c>
      <c r="Q687">
        <v>0</v>
      </c>
      <c r="R687" s="39">
        <v>0</v>
      </c>
      <c r="S687" s="39">
        <v>4334430.9000000004</v>
      </c>
      <c r="T687" s="39">
        <v>-204350.23</v>
      </c>
      <c r="U687" t="str">
        <f t="shared" si="23"/>
        <v>Technology</v>
      </c>
      <c r="V687">
        <f t="shared" si="24"/>
        <v>204350.23</v>
      </c>
      <c r="W687" t="str">
        <f>IF(Sales[[#This Row],[Quantity]]&gt;=15, "Large","Small")</f>
        <v>Small</v>
      </c>
      <c r="X687" t="str">
        <f>IF(Sales[[#This Row],[Quantity]]&gt;=15,"Large",IF(Sales[[#This Row],[Quantity]]=14,"Medium","Small"))</f>
        <v>Small</v>
      </c>
      <c r="Y687" t="str">
        <f>IF(AND(Sales[[#This Row],[Unit Price (₦)]]&gt;68000,Sales[[#This Row],[Quantity]]&gt;15),"Offer Discount", "No Discount")</f>
        <v>No Discount</v>
      </c>
    </row>
    <row r="688" spans="1:25" ht="15" customHeight="1" x14ac:dyDescent="0.25">
      <c r="A688" t="s">
        <v>304</v>
      </c>
      <c r="B688" s="8">
        <v>45342</v>
      </c>
      <c r="C688" s="8">
        <v>45343</v>
      </c>
      <c r="D688" t="s">
        <v>32</v>
      </c>
      <c r="E688" t="s">
        <v>3084</v>
      </c>
      <c r="F688" t="s">
        <v>3083</v>
      </c>
      <c r="G688" t="s">
        <v>306</v>
      </c>
      <c r="H688">
        <v>8109427047</v>
      </c>
      <c r="I688" t="s">
        <v>43</v>
      </c>
      <c r="J688" t="s">
        <v>69</v>
      </c>
      <c r="K688" t="s">
        <v>307</v>
      </c>
      <c r="L688" t="s">
        <v>96</v>
      </c>
      <c r="M688" t="s">
        <v>45</v>
      </c>
      <c r="N688" t="s">
        <v>308</v>
      </c>
      <c r="O688">
        <v>15</v>
      </c>
      <c r="P688">
        <v>7031.27</v>
      </c>
      <c r="Q688">
        <v>0</v>
      </c>
      <c r="R688" s="39">
        <v>0</v>
      </c>
      <c r="S688" s="39">
        <v>105469.05</v>
      </c>
      <c r="T688" s="39">
        <v>17462.580000000002</v>
      </c>
      <c r="U688" t="str">
        <f t="shared" si="23"/>
        <v>Technology</v>
      </c>
      <c r="V688">
        <f t="shared" si="24"/>
        <v>17462.580000000002</v>
      </c>
      <c r="W688" t="str">
        <f>IF(Sales[[#This Row],[Quantity]]&gt;=15, "Large","Small")</f>
        <v>Large</v>
      </c>
      <c r="X688" t="str">
        <f>IF(Sales[[#This Row],[Quantity]]&gt;=15,"Large",IF(Sales[[#This Row],[Quantity]]=14,"Medium","Small"))</f>
        <v>Large</v>
      </c>
      <c r="Y688" t="str">
        <f>IF(AND(Sales[[#This Row],[Unit Price (₦)]]&gt;68000,Sales[[#This Row],[Quantity]]&gt;15),"Offer Discount", "No Discount")</f>
        <v>No Discount</v>
      </c>
    </row>
    <row r="689" spans="1:25" ht="15" customHeight="1" x14ac:dyDescent="0.25">
      <c r="A689" t="s">
        <v>883</v>
      </c>
      <c r="B689" s="8">
        <v>45347</v>
      </c>
      <c r="C689" s="8">
        <v>45347</v>
      </c>
      <c r="D689" t="s">
        <v>32</v>
      </c>
      <c r="E689" t="s">
        <v>3063</v>
      </c>
      <c r="F689" t="s">
        <v>3077</v>
      </c>
      <c r="G689" t="s">
        <v>885</v>
      </c>
      <c r="H689">
        <v>9017259602</v>
      </c>
      <c r="I689" t="s">
        <v>43</v>
      </c>
      <c r="J689" t="s">
        <v>69</v>
      </c>
      <c r="K689" t="s">
        <v>70</v>
      </c>
      <c r="L689" t="s">
        <v>96</v>
      </c>
      <c r="M689" t="s">
        <v>97</v>
      </c>
      <c r="N689" t="s">
        <v>169</v>
      </c>
      <c r="O689">
        <v>1</v>
      </c>
      <c r="P689">
        <v>97900.87</v>
      </c>
      <c r="Q689">
        <v>5</v>
      </c>
      <c r="R689" s="39">
        <v>4895.04</v>
      </c>
      <c r="S689" s="39">
        <v>93005.83</v>
      </c>
      <c r="T689" s="39">
        <v>-1324.46</v>
      </c>
      <c r="U689" t="str">
        <f t="shared" si="23"/>
        <v>Technology</v>
      </c>
      <c r="V689">
        <f t="shared" si="24"/>
        <v>1324.46</v>
      </c>
      <c r="W689" t="str">
        <f>IF(Sales[[#This Row],[Quantity]]&gt;=15, "Large","Small")</f>
        <v>Small</v>
      </c>
      <c r="X689" t="str">
        <f>IF(Sales[[#This Row],[Quantity]]&gt;=15,"Large",IF(Sales[[#This Row],[Quantity]]=14,"Medium","Small"))</f>
        <v>Small</v>
      </c>
      <c r="Y689" t="str">
        <f>IF(AND(Sales[[#This Row],[Unit Price (₦)]]&gt;68000,Sales[[#This Row],[Quantity]]&gt;15),"Offer Discount", "No Discount")</f>
        <v>No Discount</v>
      </c>
    </row>
    <row r="690" spans="1:25" ht="15" customHeight="1" x14ac:dyDescent="0.25">
      <c r="A690" t="s">
        <v>2686</v>
      </c>
      <c r="B690" s="8">
        <v>45352</v>
      </c>
      <c r="C690" s="8">
        <v>45352</v>
      </c>
      <c r="D690" t="s">
        <v>32</v>
      </c>
      <c r="E690" t="s">
        <v>3055</v>
      </c>
      <c r="F690" t="s">
        <v>3074</v>
      </c>
      <c r="G690" t="s">
        <v>2687</v>
      </c>
      <c r="H690">
        <v>9019215392</v>
      </c>
      <c r="I690" t="s">
        <v>43</v>
      </c>
      <c r="J690" t="s">
        <v>51</v>
      </c>
      <c r="K690" t="s">
        <v>223</v>
      </c>
      <c r="L690" t="s">
        <v>63</v>
      </c>
      <c r="M690" t="s">
        <v>312</v>
      </c>
      <c r="N690" t="s">
        <v>686</v>
      </c>
      <c r="O690">
        <v>3</v>
      </c>
      <c r="P690">
        <v>15600.98</v>
      </c>
      <c r="Q690">
        <v>10</v>
      </c>
      <c r="R690" s="39">
        <v>4680.29</v>
      </c>
      <c r="S690" s="39">
        <v>42122.65</v>
      </c>
      <c r="T690" s="39">
        <v>9581.76</v>
      </c>
      <c r="U690" t="str">
        <f t="shared" si="23"/>
        <v>Office Supplies</v>
      </c>
      <c r="V690">
        <f t="shared" si="24"/>
        <v>9581.76</v>
      </c>
      <c r="W690" t="str">
        <f>IF(Sales[[#This Row],[Quantity]]&gt;=15, "Large","Small")</f>
        <v>Small</v>
      </c>
      <c r="X690" t="str">
        <f>IF(Sales[[#This Row],[Quantity]]&gt;=15,"Large",IF(Sales[[#This Row],[Quantity]]=14,"Medium","Small"))</f>
        <v>Small</v>
      </c>
      <c r="Y690" t="str">
        <f>IF(AND(Sales[[#This Row],[Unit Price (₦)]]&gt;68000,Sales[[#This Row],[Quantity]]&gt;15),"Offer Discount", "No Discount")</f>
        <v>No Discount</v>
      </c>
    </row>
    <row r="691" spans="1:25" ht="15" customHeight="1" x14ac:dyDescent="0.25">
      <c r="A691" t="s">
        <v>1316</v>
      </c>
      <c r="B691" s="8">
        <v>45357</v>
      </c>
      <c r="C691" s="8">
        <v>45358</v>
      </c>
      <c r="D691" t="s">
        <v>32</v>
      </c>
      <c r="E691" t="s">
        <v>3087</v>
      </c>
      <c r="F691" t="s">
        <v>3036</v>
      </c>
      <c r="G691" t="s">
        <v>1318</v>
      </c>
      <c r="H691">
        <v>8108391619</v>
      </c>
      <c r="I691" t="s">
        <v>35</v>
      </c>
      <c r="J691" t="s">
        <v>25</v>
      </c>
      <c r="K691" t="s">
        <v>44</v>
      </c>
      <c r="L691" t="s">
        <v>96</v>
      </c>
      <c r="M691" t="s">
        <v>189</v>
      </c>
      <c r="N691" t="s">
        <v>190</v>
      </c>
      <c r="O691">
        <v>6</v>
      </c>
      <c r="P691">
        <v>280481.32</v>
      </c>
      <c r="Q691">
        <v>20</v>
      </c>
      <c r="R691" s="39">
        <v>336577.58</v>
      </c>
      <c r="S691" s="39">
        <v>1346310.34</v>
      </c>
      <c r="T691" s="39">
        <v>-114357.91</v>
      </c>
      <c r="U691" t="str">
        <f t="shared" si="23"/>
        <v>Technology</v>
      </c>
      <c r="V691">
        <f t="shared" si="24"/>
        <v>114357.91</v>
      </c>
      <c r="W691" t="str">
        <f>IF(Sales[[#This Row],[Quantity]]&gt;=15, "Large","Small")</f>
        <v>Small</v>
      </c>
      <c r="X691" t="str">
        <f>IF(Sales[[#This Row],[Quantity]]&gt;=15,"Large",IF(Sales[[#This Row],[Quantity]]=14,"Medium","Small"))</f>
        <v>Small</v>
      </c>
      <c r="Y691" t="str">
        <f>IF(AND(Sales[[#This Row],[Unit Price (₦)]]&gt;68000,Sales[[#This Row],[Quantity]]&gt;15),"Offer Discount", "No Discount")</f>
        <v>No Discount</v>
      </c>
    </row>
    <row r="692" spans="1:25" ht="15" customHeight="1" x14ac:dyDescent="0.25">
      <c r="A692" t="s">
        <v>2103</v>
      </c>
      <c r="B692" s="8">
        <v>45362</v>
      </c>
      <c r="C692" s="8">
        <v>45362</v>
      </c>
      <c r="D692" t="s">
        <v>32</v>
      </c>
      <c r="E692" t="s">
        <v>3056</v>
      </c>
      <c r="F692" t="s">
        <v>3064</v>
      </c>
      <c r="G692" t="s">
        <v>2104</v>
      </c>
      <c r="H692">
        <v>8144087744</v>
      </c>
      <c r="I692" t="s">
        <v>35</v>
      </c>
      <c r="J692" t="s">
        <v>25</v>
      </c>
      <c r="K692" t="s">
        <v>168</v>
      </c>
      <c r="L692" t="s">
        <v>85</v>
      </c>
      <c r="M692" t="s">
        <v>266</v>
      </c>
      <c r="N692" t="s">
        <v>593</v>
      </c>
      <c r="O692">
        <v>15</v>
      </c>
      <c r="P692">
        <v>149330.07</v>
      </c>
      <c r="Q692">
        <v>0</v>
      </c>
      <c r="R692" s="39">
        <v>0</v>
      </c>
      <c r="S692" s="39">
        <v>2239951.0499999998</v>
      </c>
      <c r="T692" s="39">
        <v>245078.02</v>
      </c>
      <c r="U692" t="str">
        <f t="shared" si="23"/>
        <v>Furniture</v>
      </c>
      <c r="V692">
        <f t="shared" si="24"/>
        <v>245078.02</v>
      </c>
      <c r="W692" t="str">
        <f>IF(Sales[[#This Row],[Quantity]]&gt;=15, "Large","Small")</f>
        <v>Large</v>
      </c>
      <c r="X692" t="str">
        <f>IF(Sales[[#This Row],[Quantity]]&gt;=15,"Large",IF(Sales[[#This Row],[Quantity]]=14,"Medium","Small"))</f>
        <v>Large</v>
      </c>
      <c r="Y692" t="str">
        <f>IF(AND(Sales[[#This Row],[Unit Price (₦)]]&gt;68000,Sales[[#This Row],[Quantity]]&gt;15),"Offer Discount", "No Discount")</f>
        <v>No Discount</v>
      </c>
    </row>
    <row r="693" spans="1:25" ht="15" customHeight="1" x14ac:dyDescent="0.25">
      <c r="A693" t="s">
        <v>2913</v>
      </c>
      <c r="B693" s="8">
        <v>45371</v>
      </c>
      <c r="C693" s="8">
        <v>45372</v>
      </c>
      <c r="D693" t="s">
        <v>32</v>
      </c>
      <c r="E693" t="s">
        <v>3068</v>
      </c>
      <c r="F693" t="s">
        <v>3079</v>
      </c>
      <c r="G693" t="s">
        <v>945</v>
      </c>
      <c r="H693">
        <v>8152610366</v>
      </c>
      <c r="I693" t="s">
        <v>35</v>
      </c>
      <c r="J693" t="s">
        <v>25</v>
      </c>
      <c r="K693" t="s">
        <v>44</v>
      </c>
      <c r="L693" t="s">
        <v>96</v>
      </c>
      <c r="M693" t="s">
        <v>385</v>
      </c>
      <c r="N693" t="s">
        <v>942</v>
      </c>
      <c r="O693">
        <v>1</v>
      </c>
      <c r="P693">
        <v>354433.44</v>
      </c>
      <c r="Q693">
        <v>0</v>
      </c>
      <c r="R693" s="39">
        <v>0</v>
      </c>
      <c r="S693" s="39">
        <v>354433.44</v>
      </c>
      <c r="T693" s="39">
        <v>147553.75</v>
      </c>
      <c r="U693" t="str">
        <f t="shared" si="23"/>
        <v>Technology</v>
      </c>
      <c r="V693">
        <f t="shared" si="24"/>
        <v>147553.75</v>
      </c>
      <c r="W693" t="str">
        <f>IF(Sales[[#This Row],[Quantity]]&gt;=15, "Large","Small")</f>
        <v>Small</v>
      </c>
      <c r="X693" t="str">
        <f>IF(Sales[[#This Row],[Quantity]]&gt;=15,"Large",IF(Sales[[#This Row],[Quantity]]=14,"Medium","Small"))</f>
        <v>Small</v>
      </c>
      <c r="Y693" t="str">
        <f>IF(AND(Sales[[#This Row],[Unit Price (₦)]]&gt;68000,Sales[[#This Row],[Quantity]]&gt;15),"Offer Discount", "No Discount")</f>
        <v>No Discount</v>
      </c>
    </row>
    <row r="694" spans="1:25" ht="15" customHeight="1" x14ac:dyDescent="0.25">
      <c r="A694" t="s">
        <v>1299</v>
      </c>
      <c r="B694" s="8">
        <v>45378</v>
      </c>
      <c r="C694" s="8">
        <v>45379</v>
      </c>
      <c r="D694" t="s">
        <v>32</v>
      </c>
      <c r="E694" t="s">
        <v>3093</v>
      </c>
      <c r="F694" t="s">
        <v>3083</v>
      </c>
      <c r="G694" t="s">
        <v>1301</v>
      </c>
      <c r="H694">
        <v>7067544296</v>
      </c>
      <c r="I694" t="s">
        <v>35</v>
      </c>
      <c r="J694" t="s">
        <v>25</v>
      </c>
      <c r="K694" t="s">
        <v>26</v>
      </c>
      <c r="L694" t="s">
        <v>108</v>
      </c>
      <c r="M694" t="s">
        <v>38</v>
      </c>
      <c r="N694" t="s">
        <v>303</v>
      </c>
      <c r="O694">
        <v>14</v>
      </c>
      <c r="P694">
        <v>24809.01</v>
      </c>
      <c r="Q694">
        <v>0</v>
      </c>
      <c r="R694" s="39">
        <v>0</v>
      </c>
      <c r="S694" s="39">
        <v>347326.14</v>
      </c>
      <c r="T694" s="39">
        <v>8084.13</v>
      </c>
      <c r="U694" t="str">
        <f t="shared" si="23"/>
        <v>Clothing</v>
      </c>
      <c r="V694">
        <f t="shared" si="24"/>
        <v>8084.13</v>
      </c>
      <c r="W694" t="str">
        <f>IF(Sales[[#This Row],[Quantity]]&gt;=15, "Large","Small")</f>
        <v>Small</v>
      </c>
      <c r="X694" t="str">
        <f>IF(Sales[[#This Row],[Quantity]]&gt;=15,"Large",IF(Sales[[#This Row],[Quantity]]=14,"Medium","Small"))</f>
        <v>Medium</v>
      </c>
      <c r="Y694" t="str">
        <f>IF(AND(Sales[[#This Row],[Unit Price (₦)]]&gt;68000,Sales[[#This Row],[Quantity]]&gt;15),"Offer Discount", "No Discount")</f>
        <v>No Discount</v>
      </c>
    </row>
    <row r="695" spans="1:25" ht="15" customHeight="1" x14ac:dyDescent="0.25">
      <c r="A695" t="s">
        <v>906</v>
      </c>
      <c r="B695" s="8">
        <v>45381</v>
      </c>
      <c r="C695" s="8">
        <v>45382</v>
      </c>
      <c r="D695" t="s">
        <v>32</v>
      </c>
      <c r="E695" t="s">
        <v>3091</v>
      </c>
      <c r="F695" t="s">
        <v>3042</v>
      </c>
      <c r="G695" t="s">
        <v>908</v>
      </c>
      <c r="H695">
        <v>9019023619</v>
      </c>
      <c r="I695" t="s">
        <v>35</v>
      </c>
      <c r="J695" t="s">
        <v>51</v>
      </c>
      <c r="K695" t="s">
        <v>131</v>
      </c>
      <c r="L695" t="s">
        <v>108</v>
      </c>
      <c r="M695" t="s">
        <v>109</v>
      </c>
      <c r="N695" t="s">
        <v>110</v>
      </c>
      <c r="O695">
        <v>2</v>
      </c>
      <c r="P695">
        <v>7698</v>
      </c>
      <c r="Q695">
        <v>0</v>
      </c>
      <c r="R695" s="39">
        <v>0</v>
      </c>
      <c r="S695" s="39">
        <v>15396</v>
      </c>
      <c r="T695" s="39">
        <v>-1351.34</v>
      </c>
      <c r="U695" t="str">
        <f t="shared" si="23"/>
        <v>Clothing</v>
      </c>
      <c r="V695">
        <f t="shared" si="24"/>
        <v>1351.34</v>
      </c>
      <c r="W695" t="str">
        <f>IF(Sales[[#This Row],[Quantity]]&gt;=15, "Large","Small")</f>
        <v>Small</v>
      </c>
      <c r="X695" t="str">
        <f>IF(Sales[[#This Row],[Quantity]]&gt;=15,"Large",IF(Sales[[#This Row],[Quantity]]=14,"Medium","Small"))</f>
        <v>Small</v>
      </c>
      <c r="Y695" t="str">
        <f>IF(AND(Sales[[#This Row],[Unit Price (₦)]]&gt;68000,Sales[[#This Row],[Quantity]]&gt;15),"Offer Discount", "No Discount")</f>
        <v>No Discount</v>
      </c>
    </row>
    <row r="696" spans="1:25" ht="15" customHeight="1" x14ac:dyDescent="0.25">
      <c r="A696" t="s">
        <v>1442</v>
      </c>
      <c r="B696" s="8">
        <v>45382</v>
      </c>
      <c r="C696" s="8">
        <v>45382</v>
      </c>
      <c r="D696" t="s">
        <v>32</v>
      </c>
      <c r="E696" t="s">
        <v>3048</v>
      </c>
      <c r="F696" t="s">
        <v>3050</v>
      </c>
      <c r="G696" t="s">
        <v>1443</v>
      </c>
      <c r="H696">
        <v>8136681296</v>
      </c>
      <c r="I696" t="s">
        <v>35</v>
      </c>
      <c r="J696" t="s">
        <v>25</v>
      </c>
      <c r="K696" t="s">
        <v>26</v>
      </c>
      <c r="L696" t="s">
        <v>85</v>
      </c>
      <c r="M696" t="s">
        <v>266</v>
      </c>
      <c r="N696" t="s">
        <v>1444</v>
      </c>
      <c r="O696">
        <v>14</v>
      </c>
      <c r="P696">
        <v>29115.09</v>
      </c>
      <c r="Q696">
        <v>20</v>
      </c>
      <c r="R696" s="39">
        <v>81522.25</v>
      </c>
      <c r="S696" s="39">
        <v>326089.01</v>
      </c>
      <c r="T696" s="39">
        <v>5579.71</v>
      </c>
      <c r="U696" t="str">
        <f t="shared" si="23"/>
        <v>Furniture</v>
      </c>
      <c r="V696">
        <f t="shared" si="24"/>
        <v>5579.71</v>
      </c>
      <c r="W696" t="str">
        <f>IF(Sales[[#This Row],[Quantity]]&gt;=15, "Large","Small")</f>
        <v>Small</v>
      </c>
      <c r="X696" t="str">
        <f>IF(Sales[[#This Row],[Quantity]]&gt;=15,"Large",IF(Sales[[#This Row],[Quantity]]=14,"Medium","Small"))</f>
        <v>Medium</v>
      </c>
      <c r="Y696" t="str">
        <f>IF(AND(Sales[[#This Row],[Unit Price (₦)]]&gt;68000,Sales[[#This Row],[Quantity]]&gt;15),"Offer Discount", "No Discount")</f>
        <v>No Discount</v>
      </c>
    </row>
    <row r="697" spans="1:25" ht="15" customHeight="1" x14ac:dyDescent="0.25">
      <c r="A697" t="s">
        <v>1445</v>
      </c>
      <c r="B697" s="8">
        <v>45390</v>
      </c>
      <c r="C697" s="8">
        <v>45391</v>
      </c>
      <c r="D697" t="s">
        <v>32</v>
      </c>
      <c r="E697" t="s">
        <v>3092</v>
      </c>
      <c r="F697" t="s">
        <v>3036</v>
      </c>
      <c r="G697" t="s">
        <v>1447</v>
      </c>
      <c r="H697">
        <v>9028627505</v>
      </c>
      <c r="I697" t="s">
        <v>43</v>
      </c>
      <c r="J697" t="s">
        <v>51</v>
      </c>
      <c r="K697" t="s">
        <v>316</v>
      </c>
      <c r="L697" t="s">
        <v>96</v>
      </c>
      <c r="M697" t="s">
        <v>120</v>
      </c>
      <c r="N697" t="s">
        <v>367</v>
      </c>
      <c r="O697">
        <v>8</v>
      </c>
      <c r="P697">
        <v>227863.5</v>
      </c>
      <c r="Q697">
        <v>0</v>
      </c>
      <c r="R697" s="39">
        <v>0</v>
      </c>
      <c r="S697" s="39">
        <v>1822908</v>
      </c>
      <c r="T697" s="39">
        <v>-240926.26</v>
      </c>
      <c r="U697" t="str">
        <f t="shared" si="23"/>
        <v>Technology</v>
      </c>
      <c r="V697">
        <f t="shared" si="24"/>
        <v>240926.26</v>
      </c>
      <c r="W697" t="str">
        <f>IF(Sales[[#This Row],[Quantity]]&gt;=15, "Large","Small")</f>
        <v>Small</v>
      </c>
      <c r="X697" t="str">
        <f>IF(Sales[[#This Row],[Quantity]]&gt;=15,"Large",IF(Sales[[#This Row],[Quantity]]=14,"Medium","Small"))</f>
        <v>Small</v>
      </c>
      <c r="Y697" t="str">
        <f>IF(AND(Sales[[#This Row],[Unit Price (₦)]]&gt;68000,Sales[[#This Row],[Quantity]]&gt;15),"Offer Discount", "No Discount")</f>
        <v>No Discount</v>
      </c>
    </row>
    <row r="698" spans="1:25" ht="15" customHeight="1" x14ac:dyDescent="0.25">
      <c r="A698" t="s">
        <v>2758</v>
      </c>
      <c r="B698" s="8">
        <v>45393</v>
      </c>
      <c r="C698" s="8">
        <v>45394</v>
      </c>
      <c r="D698" t="s">
        <v>32</v>
      </c>
      <c r="E698" t="s">
        <v>3084</v>
      </c>
      <c r="F698" t="s">
        <v>3066</v>
      </c>
      <c r="G698" t="s">
        <v>2760</v>
      </c>
      <c r="H698">
        <v>8036599997</v>
      </c>
      <c r="I698" t="s">
        <v>35</v>
      </c>
      <c r="J698" t="s">
        <v>25</v>
      </c>
      <c r="K698" t="s">
        <v>44</v>
      </c>
      <c r="L698" t="s">
        <v>63</v>
      </c>
      <c r="M698" t="s">
        <v>249</v>
      </c>
      <c r="N698" t="s">
        <v>1141</v>
      </c>
      <c r="O698">
        <v>16</v>
      </c>
      <c r="P698">
        <v>6274.22</v>
      </c>
      <c r="Q698">
        <v>15</v>
      </c>
      <c r="R698" s="39">
        <v>15058.13</v>
      </c>
      <c r="S698" s="39">
        <v>85329.39</v>
      </c>
      <c r="T698" s="39">
        <v>17326.47</v>
      </c>
      <c r="U698" t="str">
        <f t="shared" si="23"/>
        <v>Office Supplies</v>
      </c>
      <c r="V698">
        <f t="shared" si="24"/>
        <v>17326.47</v>
      </c>
      <c r="W698" t="str">
        <f>IF(Sales[[#This Row],[Quantity]]&gt;=15, "Large","Small")</f>
        <v>Large</v>
      </c>
      <c r="X698" t="str">
        <f>IF(Sales[[#This Row],[Quantity]]&gt;=15,"Large",IF(Sales[[#This Row],[Quantity]]=14,"Medium","Small"))</f>
        <v>Large</v>
      </c>
      <c r="Y698" t="str">
        <f>IF(AND(Sales[[#This Row],[Unit Price (₦)]]&gt;68000,Sales[[#This Row],[Quantity]]&gt;15),"Offer Discount", "No Discount")</f>
        <v>No Discount</v>
      </c>
    </row>
    <row r="699" spans="1:25" ht="15" customHeight="1" x14ac:dyDescent="0.25">
      <c r="A699" t="s">
        <v>2953</v>
      </c>
      <c r="B699" s="8">
        <v>45405</v>
      </c>
      <c r="C699" s="8">
        <v>45405</v>
      </c>
      <c r="D699" t="s">
        <v>32</v>
      </c>
      <c r="E699" t="s">
        <v>3080</v>
      </c>
      <c r="F699" t="s">
        <v>3054</v>
      </c>
      <c r="G699" t="s">
        <v>2955</v>
      </c>
      <c r="H699">
        <v>8032544670</v>
      </c>
      <c r="I699" t="s">
        <v>24</v>
      </c>
      <c r="J699" t="s">
        <v>69</v>
      </c>
      <c r="K699" t="s">
        <v>119</v>
      </c>
      <c r="L699" t="s">
        <v>108</v>
      </c>
      <c r="M699" t="s">
        <v>183</v>
      </c>
      <c r="N699" t="s">
        <v>869</v>
      </c>
      <c r="O699">
        <v>6</v>
      </c>
      <c r="P699">
        <v>41692.870000000003</v>
      </c>
      <c r="Q699">
        <v>0</v>
      </c>
      <c r="R699" s="39">
        <v>0</v>
      </c>
      <c r="S699" s="39">
        <v>250157.22</v>
      </c>
      <c r="T699" s="39">
        <v>77915.94</v>
      </c>
      <c r="U699" t="str">
        <f t="shared" si="23"/>
        <v>Clothing</v>
      </c>
      <c r="V699">
        <f t="shared" si="24"/>
        <v>77915.94</v>
      </c>
      <c r="W699" t="str">
        <f>IF(Sales[[#This Row],[Quantity]]&gt;=15, "Large","Small")</f>
        <v>Small</v>
      </c>
      <c r="X699" t="str">
        <f>IF(Sales[[#This Row],[Quantity]]&gt;=15,"Large",IF(Sales[[#This Row],[Quantity]]=14,"Medium","Small"))</f>
        <v>Small</v>
      </c>
      <c r="Y699" t="str">
        <f>IF(AND(Sales[[#This Row],[Unit Price (₦)]]&gt;68000,Sales[[#This Row],[Quantity]]&gt;15),"Offer Discount", "No Discount")</f>
        <v>No Discount</v>
      </c>
    </row>
    <row r="700" spans="1:25" ht="15" customHeight="1" x14ac:dyDescent="0.25">
      <c r="A700" t="s">
        <v>1083</v>
      </c>
      <c r="B700" s="8">
        <v>45409</v>
      </c>
      <c r="C700" s="8">
        <v>45409</v>
      </c>
      <c r="D700" t="s">
        <v>32</v>
      </c>
      <c r="E700" t="s">
        <v>3065</v>
      </c>
      <c r="F700" t="s">
        <v>3086</v>
      </c>
      <c r="G700" t="s">
        <v>1084</v>
      </c>
      <c r="H700">
        <v>8104936391</v>
      </c>
      <c r="I700" t="s">
        <v>24</v>
      </c>
      <c r="J700" t="s">
        <v>51</v>
      </c>
      <c r="K700" t="s">
        <v>227</v>
      </c>
      <c r="L700" t="s">
        <v>63</v>
      </c>
      <c r="M700" t="s">
        <v>469</v>
      </c>
      <c r="N700" t="s">
        <v>470</v>
      </c>
      <c r="O700">
        <v>13</v>
      </c>
      <c r="P700">
        <v>5659</v>
      </c>
      <c r="Q700">
        <v>0</v>
      </c>
      <c r="R700" s="39">
        <v>0</v>
      </c>
      <c r="S700" s="39">
        <v>73567</v>
      </c>
      <c r="T700" s="39">
        <v>-6817.29</v>
      </c>
      <c r="U700" t="str">
        <f t="shared" si="23"/>
        <v>Office Supplies</v>
      </c>
      <c r="V700">
        <f t="shared" si="24"/>
        <v>6817.29</v>
      </c>
      <c r="W700" t="str">
        <f>IF(Sales[[#This Row],[Quantity]]&gt;=15, "Large","Small")</f>
        <v>Small</v>
      </c>
      <c r="X700" t="str">
        <f>IF(Sales[[#This Row],[Quantity]]&gt;=15,"Large",IF(Sales[[#This Row],[Quantity]]=14,"Medium","Small"))</f>
        <v>Small</v>
      </c>
      <c r="Y700" t="str">
        <f>IF(AND(Sales[[#This Row],[Unit Price (₦)]]&gt;68000,Sales[[#This Row],[Quantity]]&gt;15),"Offer Discount", "No Discount")</f>
        <v>No Discount</v>
      </c>
    </row>
    <row r="701" spans="1:25" ht="15" customHeight="1" x14ac:dyDescent="0.25">
      <c r="A701" t="s">
        <v>1403</v>
      </c>
      <c r="B701" s="8">
        <v>45410</v>
      </c>
      <c r="C701" s="8">
        <v>45410</v>
      </c>
      <c r="D701" t="s">
        <v>32</v>
      </c>
      <c r="E701" t="s">
        <v>3035</v>
      </c>
      <c r="F701" t="s">
        <v>3088</v>
      </c>
      <c r="G701" t="s">
        <v>1405</v>
      </c>
      <c r="H701">
        <v>8104486033</v>
      </c>
      <c r="I701" t="s">
        <v>24</v>
      </c>
      <c r="J701" t="s">
        <v>51</v>
      </c>
      <c r="K701" t="s">
        <v>131</v>
      </c>
      <c r="L701" t="s">
        <v>63</v>
      </c>
      <c r="M701" t="s">
        <v>64</v>
      </c>
      <c r="N701" t="s">
        <v>777</v>
      </c>
      <c r="O701">
        <v>3</v>
      </c>
      <c r="P701">
        <v>24672.639999999999</v>
      </c>
      <c r="Q701">
        <v>15</v>
      </c>
      <c r="R701" s="39">
        <v>11102.69</v>
      </c>
      <c r="S701" s="39">
        <v>62915.23</v>
      </c>
      <c r="T701" s="39">
        <v>-6098.44</v>
      </c>
      <c r="U701" t="str">
        <f t="shared" si="23"/>
        <v>Office Supplies</v>
      </c>
      <c r="V701">
        <f t="shared" si="24"/>
        <v>6098.44</v>
      </c>
      <c r="W701" t="str">
        <f>IF(Sales[[#This Row],[Quantity]]&gt;=15, "Large","Small")</f>
        <v>Small</v>
      </c>
      <c r="X701" t="str">
        <f>IF(Sales[[#This Row],[Quantity]]&gt;=15,"Large",IF(Sales[[#This Row],[Quantity]]=14,"Medium","Small"))</f>
        <v>Small</v>
      </c>
      <c r="Y701" t="str">
        <f>IF(AND(Sales[[#This Row],[Unit Price (₦)]]&gt;68000,Sales[[#This Row],[Quantity]]&gt;15),"Offer Discount", "No Discount")</f>
        <v>No Discount</v>
      </c>
    </row>
    <row r="702" spans="1:25" ht="15" customHeight="1" x14ac:dyDescent="0.25">
      <c r="A702" t="s">
        <v>949</v>
      </c>
      <c r="B702" s="8">
        <v>45415</v>
      </c>
      <c r="C702" s="8">
        <v>45416</v>
      </c>
      <c r="D702" t="s">
        <v>32</v>
      </c>
      <c r="E702" t="s">
        <v>3060</v>
      </c>
      <c r="F702" t="s">
        <v>3090</v>
      </c>
      <c r="G702" t="s">
        <v>951</v>
      </c>
      <c r="H702">
        <v>9015216804</v>
      </c>
      <c r="I702" t="s">
        <v>43</v>
      </c>
      <c r="J702" t="s">
        <v>51</v>
      </c>
      <c r="K702" t="s">
        <v>52</v>
      </c>
      <c r="L702" t="s">
        <v>85</v>
      </c>
      <c r="M702" t="s">
        <v>266</v>
      </c>
      <c r="N702" t="s">
        <v>952</v>
      </c>
      <c r="O702">
        <v>12</v>
      </c>
      <c r="P702">
        <v>150757.16</v>
      </c>
      <c r="Q702">
        <v>25</v>
      </c>
      <c r="R702" s="39">
        <v>452271.48</v>
      </c>
      <c r="S702" s="39">
        <v>1356814.44</v>
      </c>
      <c r="T702" s="39">
        <v>397641.63</v>
      </c>
      <c r="U702" t="str">
        <f t="shared" si="23"/>
        <v>Furniture</v>
      </c>
      <c r="V702">
        <f t="shared" si="24"/>
        <v>397641.63</v>
      </c>
      <c r="W702" t="str">
        <f>IF(Sales[[#This Row],[Quantity]]&gt;=15, "Large","Small")</f>
        <v>Small</v>
      </c>
      <c r="X702" t="str">
        <f>IF(Sales[[#This Row],[Quantity]]&gt;=15,"Large",IF(Sales[[#This Row],[Quantity]]=14,"Medium","Small"))</f>
        <v>Small</v>
      </c>
      <c r="Y702" t="str">
        <f>IF(AND(Sales[[#This Row],[Unit Price (₦)]]&gt;68000,Sales[[#This Row],[Quantity]]&gt;15),"Offer Discount", "No Discount")</f>
        <v>No Discount</v>
      </c>
    </row>
    <row r="703" spans="1:25" ht="15" customHeight="1" x14ac:dyDescent="0.25">
      <c r="A703" t="s">
        <v>2116</v>
      </c>
      <c r="B703" s="8">
        <v>45422</v>
      </c>
      <c r="C703" s="8">
        <v>45422</v>
      </c>
      <c r="D703" t="s">
        <v>32</v>
      </c>
      <c r="E703" t="s">
        <v>3087</v>
      </c>
      <c r="F703" t="s">
        <v>3088</v>
      </c>
      <c r="G703" t="s">
        <v>2118</v>
      </c>
      <c r="H703">
        <v>8061627774</v>
      </c>
      <c r="I703" t="s">
        <v>35</v>
      </c>
      <c r="J703" t="s">
        <v>61</v>
      </c>
      <c r="K703" t="s">
        <v>95</v>
      </c>
      <c r="L703" t="s">
        <v>96</v>
      </c>
      <c r="M703" t="s">
        <v>189</v>
      </c>
      <c r="N703" t="s">
        <v>325</v>
      </c>
      <c r="O703">
        <v>1</v>
      </c>
      <c r="P703">
        <v>278841.99</v>
      </c>
      <c r="Q703">
        <v>0</v>
      </c>
      <c r="R703" s="39">
        <v>0</v>
      </c>
      <c r="S703" s="39">
        <v>278841.99</v>
      </c>
      <c r="T703" s="39">
        <v>11905.31</v>
      </c>
      <c r="U703" t="str">
        <f t="shared" si="23"/>
        <v>Technology</v>
      </c>
      <c r="V703">
        <f t="shared" si="24"/>
        <v>11905.31</v>
      </c>
      <c r="W703" t="str">
        <f>IF(Sales[[#This Row],[Quantity]]&gt;=15, "Large","Small")</f>
        <v>Small</v>
      </c>
      <c r="X703" t="str">
        <f>IF(Sales[[#This Row],[Quantity]]&gt;=15,"Large",IF(Sales[[#This Row],[Quantity]]=14,"Medium","Small"))</f>
        <v>Small</v>
      </c>
      <c r="Y703" t="str">
        <f>IF(AND(Sales[[#This Row],[Unit Price (₦)]]&gt;68000,Sales[[#This Row],[Quantity]]&gt;15),"Offer Discount", "No Discount")</f>
        <v>No Discount</v>
      </c>
    </row>
    <row r="704" spans="1:25" ht="15" customHeight="1" x14ac:dyDescent="0.25">
      <c r="A704" t="s">
        <v>1604</v>
      </c>
      <c r="B704" s="8">
        <v>45429</v>
      </c>
      <c r="C704" s="8">
        <v>45430</v>
      </c>
      <c r="D704" t="s">
        <v>32</v>
      </c>
      <c r="E704" t="s">
        <v>3089</v>
      </c>
      <c r="F704" t="s">
        <v>3034</v>
      </c>
      <c r="G704" t="s">
        <v>1606</v>
      </c>
      <c r="H704" t="s">
        <v>422</v>
      </c>
      <c r="I704" t="s">
        <v>24</v>
      </c>
      <c r="J704" t="s">
        <v>69</v>
      </c>
      <c r="K704" t="s">
        <v>144</v>
      </c>
      <c r="L704" t="s">
        <v>85</v>
      </c>
      <c r="M704" t="s">
        <v>266</v>
      </c>
      <c r="N704" t="s">
        <v>803</v>
      </c>
      <c r="O704">
        <v>15</v>
      </c>
      <c r="P704">
        <v>91379.48</v>
      </c>
      <c r="Q704">
        <v>0</v>
      </c>
      <c r="R704" s="39">
        <v>0</v>
      </c>
      <c r="S704" s="39">
        <v>1370692.2</v>
      </c>
      <c r="T704" s="39">
        <f>T703</f>
        <v>11905.31</v>
      </c>
      <c r="U704" t="str">
        <f t="shared" si="23"/>
        <v>Furniture</v>
      </c>
      <c r="V704">
        <f t="shared" si="24"/>
        <v>11905.31</v>
      </c>
      <c r="W704" t="str">
        <f>IF(Sales[[#This Row],[Quantity]]&gt;=15, "Large","Small")</f>
        <v>Large</v>
      </c>
      <c r="X704" t="str">
        <f>IF(Sales[[#This Row],[Quantity]]&gt;=15,"Large",IF(Sales[[#This Row],[Quantity]]=14,"Medium","Small"))</f>
        <v>Large</v>
      </c>
      <c r="Y704" t="str">
        <f>IF(AND(Sales[[#This Row],[Unit Price (₦)]]&gt;68000,Sales[[#This Row],[Quantity]]&gt;15),"Offer Discount", "No Discount")</f>
        <v>No Discount</v>
      </c>
    </row>
    <row r="705" spans="1:25" ht="15" customHeight="1" x14ac:dyDescent="0.25">
      <c r="A705" t="s">
        <v>2019</v>
      </c>
      <c r="B705" s="8">
        <v>45429</v>
      </c>
      <c r="C705" s="8">
        <v>45430</v>
      </c>
      <c r="D705" t="s">
        <v>32</v>
      </c>
      <c r="E705" t="str">
        <f>E706</f>
        <v>Chisom</v>
      </c>
      <c r="F705" t="str">
        <f>F704</f>
        <v>Atiku</v>
      </c>
      <c r="G705" t="s">
        <v>2020</v>
      </c>
      <c r="H705">
        <v>9057426442</v>
      </c>
      <c r="I705" t="s">
        <v>43</v>
      </c>
      <c r="J705" t="s">
        <v>61</v>
      </c>
      <c r="K705" t="s">
        <v>204</v>
      </c>
      <c r="L705" t="s">
        <v>108</v>
      </c>
      <c r="M705" t="s">
        <v>109</v>
      </c>
      <c r="N705" t="s">
        <v>426</v>
      </c>
      <c r="O705">
        <v>3</v>
      </c>
      <c r="P705">
        <v>17175.37</v>
      </c>
      <c r="Q705">
        <v>20</v>
      </c>
      <c r="R705" s="39">
        <v>10305.219999999999</v>
      </c>
      <c r="S705" s="39">
        <v>41220.89</v>
      </c>
      <c r="T705" s="39">
        <v>-2046.64</v>
      </c>
      <c r="U705" t="str">
        <f t="shared" si="23"/>
        <v>Clothing</v>
      </c>
      <c r="V705">
        <f t="shared" si="24"/>
        <v>2046.64</v>
      </c>
      <c r="W705" t="str">
        <f>IF(Sales[[#This Row],[Quantity]]&gt;=15, "Large","Small")</f>
        <v>Small</v>
      </c>
      <c r="X705" t="str">
        <f>IF(Sales[[#This Row],[Quantity]]&gt;=15,"Large",IF(Sales[[#This Row],[Quantity]]=14,"Medium","Small"))</f>
        <v>Small</v>
      </c>
      <c r="Y705" t="str">
        <f>IF(AND(Sales[[#This Row],[Unit Price (₦)]]&gt;68000,Sales[[#This Row],[Quantity]]&gt;15),"Offer Discount", "No Discount")</f>
        <v>No Discount</v>
      </c>
    </row>
    <row r="706" spans="1:25" ht="15" customHeight="1" x14ac:dyDescent="0.25">
      <c r="A706" t="s">
        <v>2255</v>
      </c>
      <c r="B706" s="8">
        <v>45433</v>
      </c>
      <c r="C706" s="8">
        <v>45434</v>
      </c>
      <c r="D706" t="s">
        <v>32</v>
      </c>
      <c r="E706" t="s">
        <v>3041</v>
      </c>
      <c r="F706" t="s">
        <v>3064</v>
      </c>
      <c r="G706" t="s">
        <v>2257</v>
      </c>
      <c r="H706">
        <v>8137597584</v>
      </c>
      <c r="I706" t="s">
        <v>24</v>
      </c>
      <c r="J706" t="s">
        <v>25</v>
      </c>
      <c r="K706" t="s">
        <v>126</v>
      </c>
      <c r="L706" t="s">
        <v>108</v>
      </c>
      <c r="M706" t="s">
        <v>183</v>
      </c>
      <c r="N706" t="s">
        <v>869</v>
      </c>
      <c r="O706">
        <v>17</v>
      </c>
      <c r="P706">
        <v>17264.64</v>
      </c>
      <c r="Q706">
        <v>10</v>
      </c>
      <c r="R706" s="39">
        <v>29349.89</v>
      </c>
      <c r="S706" s="39">
        <v>264148.99</v>
      </c>
      <c r="T706" s="39">
        <v>44485.68</v>
      </c>
      <c r="U706" t="str">
        <f t="shared" ref="U706:U769" si="25">PROPER(L706)</f>
        <v>Clothing</v>
      </c>
      <c r="V706">
        <f t="shared" si="24"/>
        <v>44485.68</v>
      </c>
      <c r="W706" t="str">
        <f>IF(Sales[[#This Row],[Quantity]]&gt;=15, "Large","Small")</f>
        <v>Large</v>
      </c>
      <c r="X706" t="str">
        <f>IF(Sales[[#This Row],[Quantity]]&gt;=15,"Large",IF(Sales[[#This Row],[Quantity]]=14,"Medium","Small"))</f>
        <v>Large</v>
      </c>
      <c r="Y706" t="str">
        <f>IF(AND(Sales[[#This Row],[Unit Price (₦)]]&gt;68000,Sales[[#This Row],[Quantity]]&gt;15),"Offer Discount", "No Discount")</f>
        <v>No Discount</v>
      </c>
    </row>
    <row r="707" spans="1:25" ht="15" customHeight="1" x14ac:dyDescent="0.25">
      <c r="A707" t="s">
        <v>2940</v>
      </c>
      <c r="B707" s="8">
        <v>45434</v>
      </c>
      <c r="C707" s="8">
        <v>45434</v>
      </c>
      <c r="D707" t="s">
        <v>32</v>
      </c>
      <c r="E707" t="s">
        <v>3084</v>
      </c>
      <c r="F707" t="s">
        <v>3096</v>
      </c>
      <c r="G707" t="s">
        <v>2749</v>
      </c>
      <c r="H707">
        <v>9029866836</v>
      </c>
      <c r="I707" t="s">
        <v>24</v>
      </c>
      <c r="J707" t="s">
        <v>61</v>
      </c>
      <c r="K707" t="s">
        <v>95</v>
      </c>
      <c r="L707" t="s">
        <v>63</v>
      </c>
      <c r="M707" t="s">
        <v>312</v>
      </c>
      <c r="N707" t="s">
        <v>761</v>
      </c>
      <c r="O707">
        <v>4</v>
      </c>
      <c r="P707">
        <v>24521.62</v>
      </c>
      <c r="Q707">
        <v>10</v>
      </c>
      <c r="R707" s="39">
        <v>9808.65</v>
      </c>
      <c r="S707" s="39">
        <v>88277.83</v>
      </c>
      <c r="T707" s="39">
        <v>31425.56</v>
      </c>
      <c r="U707" t="str">
        <f t="shared" si="25"/>
        <v>Office Supplies</v>
      </c>
      <c r="V707">
        <f t="shared" ref="V707:V770" si="26">ABS(T707)</f>
        <v>31425.56</v>
      </c>
      <c r="W707" t="str">
        <f>IF(Sales[[#This Row],[Quantity]]&gt;=15, "Large","Small")</f>
        <v>Small</v>
      </c>
      <c r="X707" t="str">
        <f>IF(Sales[[#This Row],[Quantity]]&gt;=15,"Large",IF(Sales[[#This Row],[Quantity]]=14,"Medium","Small"))</f>
        <v>Small</v>
      </c>
      <c r="Y707" t="str">
        <f>IF(AND(Sales[[#This Row],[Unit Price (₦)]]&gt;68000,Sales[[#This Row],[Quantity]]&gt;15),"Offer Discount", "No Discount")</f>
        <v>No Discount</v>
      </c>
    </row>
    <row r="708" spans="1:25" ht="15" customHeight="1" x14ac:dyDescent="0.25">
      <c r="A708" t="s">
        <v>2351</v>
      </c>
      <c r="B708" s="8">
        <v>45439</v>
      </c>
      <c r="C708" s="8">
        <v>45439</v>
      </c>
      <c r="D708" t="s">
        <v>32</v>
      </c>
      <c r="E708" t="s">
        <v>3072</v>
      </c>
      <c r="F708" t="s">
        <v>3054</v>
      </c>
      <c r="G708" t="s">
        <v>2352</v>
      </c>
      <c r="H708">
        <v>9022875419</v>
      </c>
      <c r="I708" t="s">
        <v>43</v>
      </c>
      <c r="J708" t="s">
        <v>25</v>
      </c>
      <c r="K708" t="s">
        <v>44</v>
      </c>
      <c r="L708" t="s">
        <v>85</v>
      </c>
      <c r="M708" t="s">
        <v>243</v>
      </c>
      <c r="N708" t="s">
        <v>439</v>
      </c>
      <c r="O708">
        <v>5</v>
      </c>
      <c r="P708">
        <v>120924.36</v>
      </c>
      <c r="Q708">
        <v>5</v>
      </c>
      <c r="R708" s="39">
        <v>30231.09</v>
      </c>
      <c r="S708" s="39">
        <v>574390.71</v>
      </c>
      <c r="T708" s="39">
        <v>188016.38</v>
      </c>
      <c r="U708" t="str">
        <f t="shared" si="25"/>
        <v>Furniture</v>
      </c>
      <c r="V708">
        <f t="shared" si="26"/>
        <v>188016.38</v>
      </c>
      <c r="W708" t="str">
        <f>IF(Sales[[#This Row],[Quantity]]&gt;=15, "Large","Small")</f>
        <v>Small</v>
      </c>
      <c r="X708" t="str">
        <f>IF(Sales[[#This Row],[Quantity]]&gt;=15,"Large",IF(Sales[[#This Row],[Quantity]]=14,"Medium","Small"))</f>
        <v>Small</v>
      </c>
      <c r="Y708" t="str">
        <f>IF(AND(Sales[[#This Row],[Unit Price (₦)]]&gt;68000,Sales[[#This Row],[Quantity]]&gt;15),"Offer Discount", "No Discount")</f>
        <v>No Discount</v>
      </c>
    </row>
    <row r="709" spans="1:25" ht="15" customHeight="1" x14ac:dyDescent="0.25">
      <c r="A709" t="s">
        <v>2637</v>
      </c>
      <c r="B709" s="8">
        <v>45447</v>
      </c>
      <c r="C709" s="8">
        <v>45448</v>
      </c>
      <c r="D709" t="s">
        <v>32</v>
      </c>
      <c r="E709" t="s">
        <v>3051</v>
      </c>
      <c r="F709" t="s">
        <v>3062</v>
      </c>
      <c r="G709" t="s">
        <v>2638</v>
      </c>
      <c r="H709">
        <v>9051738763</v>
      </c>
      <c r="I709" t="s">
        <v>35</v>
      </c>
      <c r="J709" t="s">
        <v>69</v>
      </c>
      <c r="K709" t="s">
        <v>307</v>
      </c>
      <c r="L709" t="s">
        <v>96</v>
      </c>
      <c r="M709" t="s">
        <v>97</v>
      </c>
      <c r="N709" t="s">
        <v>1416</v>
      </c>
      <c r="O709">
        <v>7</v>
      </c>
      <c r="P709">
        <v>327708.81</v>
      </c>
      <c r="Q709">
        <v>10</v>
      </c>
      <c r="R709" s="39">
        <v>229396.17</v>
      </c>
      <c r="S709" s="39">
        <v>2064565.5</v>
      </c>
      <c r="T709" s="39">
        <v>-279443.64</v>
      </c>
      <c r="U709" t="str">
        <f t="shared" si="25"/>
        <v>Technology</v>
      </c>
      <c r="V709">
        <f t="shared" si="26"/>
        <v>279443.64</v>
      </c>
      <c r="W709" t="str">
        <f>IF(Sales[[#This Row],[Quantity]]&gt;=15, "Large","Small")</f>
        <v>Small</v>
      </c>
      <c r="X709" t="str">
        <f>IF(Sales[[#This Row],[Quantity]]&gt;=15,"Large",IF(Sales[[#This Row],[Quantity]]=14,"Medium","Small"))</f>
        <v>Small</v>
      </c>
      <c r="Y709" t="str">
        <f>IF(AND(Sales[[#This Row],[Unit Price (₦)]]&gt;68000,Sales[[#This Row],[Quantity]]&gt;15),"Offer Discount", "No Discount")</f>
        <v>No Discount</v>
      </c>
    </row>
    <row r="710" spans="1:25" ht="15" customHeight="1" x14ac:dyDescent="0.25">
      <c r="A710" t="s">
        <v>2027</v>
      </c>
      <c r="B710" s="8">
        <v>45453</v>
      </c>
      <c r="C710" s="8">
        <v>45454</v>
      </c>
      <c r="D710" t="s">
        <v>32</v>
      </c>
      <c r="E710" t="s">
        <v>3041</v>
      </c>
      <c r="F710" t="s">
        <v>3052</v>
      </c>
      <c r="G710" t="s">
        <v>2028</v>
      </c>
      <c r="H710">
        <v>8039286841</v>
      </c>
      <c r="I710" t="s">
        <v>24</v>
      </c>
      <c r="J710" t="s">
        <v>25</v>
      </c>
      <c r="K710" t="s">
        <v>36</v>
      </c>
      <c r="L710" t="s">
        <v>108</v>
      </c>
      <c r="M710" t="s">
        <v>114</v>
      </c>
      <c r="N710" t="s">
        <v>482</v>
      </c>
      <c r="O710">
        <v>4</v>
      </c>
      <c r="P710">
        <v>20113.2</v>
      </c>
      <c r="Q710">
        <v>20</v>
      </c>
      <c r="R710" s="39">
        <v>16090.56</v>
      </c>
      <c r="S710" s="39">
        <v>64362.239999999998</v>
      </c>
      <c r="T710" s="39">
        <v>-3045.37</v>
      </c>
      <c r="U710" t="str">
        <f t="shared" si="25"/>
        <v>Clothing</v>
      </c>
      <c r="V710">
        <f t="shared" si="26"/>
        <v>3045.37</v>
      </c>
      <c r="W710" t="str">
        <f>IF(Sales[[#This Row],[Quantity]]&gt;=15, "Large","Small")</f>
        <v>Small</v>
      </c>
      <c r="X710" t="str">
        <f>IF(Sales[[#This Row],[Quantity]]&gt;=15,"Large",IF(Sales[[#This Row],[Quantity]]=14,"Medium","Small"))</f>
        <v>Small</v>
      </c>
      <c r="Y710" t="str">
        <f>IF(AND(Sales[[#This Row],[Unit Price (₦)]]&gt;68000,Sales[[#This Row],[Quantity]]&gt;15),"Offer Discount", "No Discount")</f>
        <v>No Discount</v>
      </c>
    </row>
    <row r="711" spans="1:25" ht="15" customHeight="1" x14ac:dyDescent="0.25">
      <c r="A711" t="s">
        <v>1277</v>
      </c>
      <c r="B711" s="8">
        <v>45456</v>
      </c>
      <c r="C711" s="8">
        <v>45456</v>
      </c>
      <c r="D711" t="s">
        <v>32</v>
      </c>
      <c r="E711" t="s">
        <v>3081</v>
      </c>
      <c r="F711" t="s">
        <v>3054</v>
      </c>
      <c r="G711" t="s">
        <v>1278</v>
      </c>
      <c r="H711">
        <v>8038650891</v>
      </c>
      <c r="I711" t="s">
        <v>24</v>
      </c>
      <c r="J711" t="s">
        <v>25</v>
      </c>
      <c r="K711" t="s">
        <v>126</v>
      </c>
      <c r="L711" t="s">
        <v>27</v>
      </c>
      <c r="M711" t="s">
        <v>28</v>
      </c>
      <c r="N711" t="s">
        <v>347</v>
      </c>
      <c r="O711">
        <v>17</v>
      </c>
      <c r="P711">
        <v>1684.44</v>
      </c>
      <c r="Q711">
        <v>15</v>
      </c>
      <c r="R711" s="39">
        <v>4295.32</v>
      </c>
      <c r="S711" s="39">
        <v>24340.16</v>
      </c>
      <c r="T711" s="39">
        <v>4411.17</v>
      </c>
      <c r="U711" t="str">
        <f t="shared" si="25"/>
        <v>Food &amp; Beverages</v>
      </c>
      <c r="V711">
        <f t="shared" si="26"/>
        <v>4411.17</v>
      </c>
      <c r="W711" t="str">
        <f>IF(Sales[[#This Row],[Quantity]]&gt;=15, "Large","Small")</f>
        <v>Large</v>
      </c>
      <c r="X711" t="str">
        <f>IF(Sales[[#This Row],[Quantity]]&gt;=15,"Large",IF(Sales[[#This Row],[Quantity]]=14,"Medium","Small"))</f>
        <v>Large</v>
      </c>
      <c r="Y711" t="str">
        <f>IF(AND(Sales[[#This Row],[Unit Price (₦)]]&gt;68000,Sales[[#This Row],[Quantity]]&gt;15),"Offer Discount", "No Discount")</f>
        <v>No Discount</v>
      </c>
    </row>
    <row r="712" spans="1:25" ht="15" customHeight="1" x14ac:dyDescent="0.25">
      <c r="A712" t="s">
        <v>2015</v>
      </c>
      <c r="B712" s="8">
        <v>45455</v>
      </c>
      <c r="C712" s="8">
        <v>45456</v>
      </c>
      <c r="D712" t="s">
        <v>32</v>
      </c>
      <c r="E712" t="s">
        <v>3050</v>
      </c>
      <c r="F712" t="s">
        <v>3036</v>
      </c>
      <c r="G712" t="s">
        <v>2017</v>
      </c>
      <c r="H712">
        <v>8135715786</v>
      </c>
      <c r="I712" t="s">
        <v>24</v>
      </c>
      <c r="J712" t="s">
        <v>51</v>
      </c>
      <c r="K712" t="s">
        <v>316</v>
      </c>
      <c r="L712" t="s">
        <v>108</v>
      </c>
      <c r="M712" t="s">
        <v>114</v>
      </c>
      <c r="N712" t="s">
        <v>891</v>
      </c>
      <c r="O712">
        <v>19</v>
      </c>
      <c r="P712">
        <v>36105.589999999997</v>
      </c>
      <c r="Q712">
        <v>10</v>
      </c>
      <c r="R712" s="39">
        <v>68600.62</v>
      </c>
      <c r="S712" s="39">
        <v>617405.59</v>
      </c>
      <c r="T712" s="39">
        <v>-31245.74</v>
      </c>
      <c r="U712" t="str">
        <f t="shared" si="25"/>
        <v>Clothing</v>
      </c>
      <c r="V712">
        <f t="shared" si="26"/>
        <v>31245.74</v>
      </c>
      <c r="W712" t="str">
        <f>IF(Sales[[#This Row],[Quantity]]&gt;=15, "Large","Small")</f>
        <v>Large</v>
      </c>
      <c r="X712" t="str">
        <f>IF(Sales[[#This Row],[Quantity]]&gt;=15,"Large",IF(Sales[[#This Row],[Quantity]]=14,"Medium","Small"))</f>
        <v>Large</v>
      </c>
      <c r="Y712" t="str">
        <f>IF(AND(Sales[[#This Row],[Unit Price (₦)]]&gt;68000,Sales[[#This Row],[Quantity]]&gt;15),"Offer Discount", "No Discount")</f>
        <v>No Discount</v>
      </c>
    </row>
    <row r="713" spans="1:25" ht="15" customHeight="1" x14ac:dyDescent="0.25">
      <c r="A713" t="s">
        <v>1277</v>
      </c>
      <c r="B713" s="8">
        <v>45456</v>
      </c>
      <c r="C713" s="8">
        <v>45456</v>
      </c>
      <c r="D713" t="s">
        <v>32</v>
      </c>
      <c r="E713" t="s">
        <v>3081</v>
      </c>
      <c r="F713" t="s">
        <v>3054</v>
      </c>
      <c r="G713" t="s">
        <v>1278</v>
      </c>
      <c r="H713">
        <v>8038650891</v>
      </c>
      <c r="I713" t="s">
        <v>24</v>
      </c>
      <c r="J713" t="s">
        <v>25</v>
      </c>
      <c r="K713" t="s">
        <v>126</v>
      </c>
      <c r="L713" t="s">
        <v>27</v>
      </c>
      <c r="M713" t="s">
        <v>28</v>
      </c>
      <c r="N713" t="s">
        <v>347</v>
      </c>
      <c r="O713">
        <v>17</v>
      </c>
      <c r="P713">
        <v>1684.44</v>
      </c>
      <c r="Q713">
        <v>15</v>
      </c>
      <c r="R713" s="39">
        <v>4295.32</v>
      </c>
      <c r="S713" s="39">
        <v>24340.16</v>
      </c>
      <c r="T713" s="39">
        <v>4411.17</v>
      </c>
      <c r="U713" t="str">
        <f t="shared" si="25"/>
        <v>Food &amp; Beverages</v>
      </c>
      <c r="V713">
        <f t="shared" si="26"/>
        <v>4411.17</v>
      </c>
      <c r="W713" t="str">
        <f>IF(Sales[[#This Row],[Quantity]]&gt;=15, "Large","Small")</f>
        <v>Large</v>
      </c>
      <c r="X713" t="str">
        <f>IF(Sales[[#This Row],[Quantity]]&gt;=15,"Large",IF(Sales[[#This Row],[Quantity]]=14,"Medium","Small"))</f>
        <v>Large</v>
      </c>
      <c r="Y713" t="str">
        <f>IF(AND(Sales[[#This Row],[Unit Price (₦)]]&gt;68000,Sales[[#This Row],[Quantity]]&gt;15),"Offer Discount", "No Discount")</f>
        <v>No Discount</v>
      </c>
    </row>
    <row r="714" spans="1:25" ht="15" customHeight="1" x14ac:dyDescent="0.25">
      <c r="A714" t="s">
        <v>2699</v>
      </c>
      <c r="B714" s="8">
        <v>45457</v>
      </c>
      <c r="C714" s="8">
        <v>45458</v>
      </c>
      <c r="D714" t="s">
        <v>32</v>
      </c>
      <c r="E714" t="s">
        <v>3041</v>
      </c>
      <c r="F714" t="s">
        <v>3038</v>
      </c>
      <c r="G714" t="s">
        <v>2700</v>
      </c>
      <c r="H714">
        <v>8103062198</v>
      </c>
      <c r="I714" t="s">
        <v>35</v>
      </c>
      <c r="J714" t="s">
        <v>69</v>
      </c>
      <c r="K714" t="s">
        <v>155</v>
      </c>
      <c r="L714" t="s">
        <v>63</v>
      </c>
      <c r="M714" t="s">
        <v>194</v>
      </c>
      <c r="N714" t="s">
        <v>700</v>
      </c>
      <c r="O714">
        <v>3</v>
      </c>
      <c r="P714">
        <v>1505.35</v>
      </c>
      <c r="Q714">
        <v>10</v>
      </c>
      <c r="R714" s="39">
        <v>451.6</v>
      </c>
      <c r="S714" s="39">
        <v>4064.45</v>
      </c>
      <c r="T714" s="39">
        <v>-347.6</v>
      </c>
      <c r="U714" t="str">
        <f t="shared" si="25"/>
        <v>Office Supplies</v>
      </c>
      <c r="V714">
        <f t="shared" si="26"/>
        <v>347.6</v>
      </c>
      <c r="W714" t="str">
        <f>IF(Sales[[#This Row],[Quantity]]&gt;=15, "Large","Small")</f>
        <v>Small</v>
      </c>
      <c r="X714" t="str">
        <f>IF(Sales[[#This Row],[Quantity]]&gt;=15,"Large",IF(Sales[[#This Row],[Quantity]]=14,"Medium","Small"))</f>
        <v>Small</v>
      </c>
      <c r="Y714" t="str">
        <f>IF(AND(Sales[[#This Row],[Unit Price (₦)]]&gt;68000,Sales[[#This Row],[Quantity]]&gt;15),"Offer Discount", "No Discount")</f>
        <v>No Discount</v>
      </c>
    </row>
    <row r="715" spans="1:25" ht="15" customHeight="1" x14ac:dyDescent="0.25">
      <c r="A715" t="s">
        <v>816</v>
      </c>
      <c r="B715" s="8">
        <v>45459</v>
      </c>
      <c r="C715" s="8">
        <v>45460</v>
      </c>
      <c r="D715" t="s">
        <v>32</v>
      </c>
      <c r="E715" t="s">
        <v>3048</v>
      </c>
      <c r="F715" t="s">
        <v>3066</v>
      </c>
      <c r="G715" t="s">
        <v>818</v>
      </c>
      <c r="H715">
        <v>7066892681</v>
      </c>
      <c r="I715" t="s">
        <v>35</v>
      </c>
      <c r="J715" t="s">
        <v>25</v>
      </c>
      <c r="K715" t="s">
        <v>26</v>
      </c>
      <c r="L715" t="s">
        <v>27</v>
      </c>
      <c r="M715" t="s">
        <v>28</v>
      </c>
      <c r="N715" t="s">
        <v>29</v>
      </c>
      <c r="O715">
        <v>19</v>
      </c>
      <c r="P715">
        <v>6681.81</v>
      </c>
      <c r="Q715">
        <v>5</v>
      </c>
      <c r="R715" s="39">
        <v>6347.72</v>
      </c>
      <c r="S715" s="39">
        <v>4064.45</v>
      </c>
      <c r="T715" s="39">
        <v>-6320.52</v>
      </c>
      <c r="U715" t="str">
        <f t="shared" si="25"/>
        <v>Food &amp; Beverages</v>
      </c>
      <c r="V715">
        <f t="shared" si="26"/>
        <v>6320.52</v>
      </c>
      <c r="W715" t="str">
        <f>IF(Sales[[#This Row],[Quantity]]&gt;=15, "Large","Small")</f>
        <v>Large</v>
      </c>
      <c r="X715" t="str">
        <f>IF(Sales[[#This Row],[Quantity]]&gt;=15,"Large",IF(Sales[[#This Row],[Quantity]]=14,"Medium","Small"))</f>
        <v>Large</v>
      </c>
      <c r="Y715" t="str">
        <f>IF(AND(Sales[[#This Row],[Unit Price (₦)]]&gt;68000,Sales[[#This Row],[Quantity]]&gt;15),"Offer Discount", "No Discount")</f>
        <v>No Discount</v>
      </c>
    </row>
    <row r="716" spans="1:25" ht="15" customHeight="1" x14ac:dyDescent="0.25">
      <c r="A716" t="s">
        <v>288</v>
      </c>
      <c r="B716" s="8">
        <v>45467</v>
      </c>
      <c r="C716" s="8">
        <v>45467</v>
      </c>
      <c r="D716" t="s">
        <v>32</v>
      </c>
      <c r="E716" t="s">
        <v>3082</v>
      </c>
      <c r="F716" t="s">
        <v>3036</v>
      </c>
      <c r="G716" t="s">
        <v>290</v>
      </c>
      <c r="H716">
        <v>8168350368</v>
      </c>
      <c r="I716" t="s">
        <v>43</v>
      </c>
      <c r="J716" t="s">
        <v>61</v>
      </c>
      <c r="K716" t="s">
        <v>84</v>
      </c>
      <c r="L716" t="s">
        <v>108</v>
      </c>
      <c r="M716" t="s">
        <v>114</v>
      </c>
      <c r="N716" t="s">
        <v>291</v>
      </c>
      <c r="O716">
        <v>20</v>
      </c>
      <c r="P716">
        <v>43845.31</v>
      </c>
      <c r="Q716">
        <v>5</v>
      </c>
      <c r="R716" s="39">
        <v>43845.31</v>
      </c>
      <c r="S716" s="39">
        <v>833060.89</v>
      </c>
      <c r="T716" s="39">
        <v>229816.25</v>
      </c>
      <c r="U716" t="str">
        <f t="shared" si="25"/>
        <v>Clothing</v>
      </c>
      <c r="V716">
        <f t="shared" si="26"/>
        <v>229816.25</v>
      </c>
      <c r="W716" t="str">
        <f>IF(Sales[[#This Row],[Quantity]]&gt;=15, "Large","Small")</f>
        <v>Large</v>
      </c>
      <c r="X716" t="str">
        <f>IF(Sales[[#This Row],[Quantity]]&gt;=15,"Large",IF(Sales[[#This Row],[Quantity]]=14,"Medium","Small"))</f>
        <v>Large</v>
      </c>
      <c r="Y716" t="str">
        <f>IF(AND(Sales[[#This Row],[Unit Price (₦)]]&gt;68000,Sales[[#This Row],[Quantity]]&gt;15),"Offer Discount", "No Discount")</f>
        <v>No Discount</v>
      </c>
    </row>
    <row r="717" spans="1:25" ht="15" customHeight="1" x14ac:dyDescent="0.25">
      <c r="A717" t="s">
        <v>191</v>
      </c>
      <c r="B717" s="8">
        <v>45475</v>
      </c>
      <c r="C717" s="8">
        <v>45475</v>
      </c>
      <c r="D717" t="s">
        <v>32</v>
      </c>
      <c r="E717" t="s">
        <v>3055</v>
      </c>
      <c r="F717" t="s">
        <v>3071</v>
      </c>
      <c r="G717" t="s">
        <v>193</v>
      </c>
      <c r="H717">
        <v>9025147994</v>
      </c>
      <c r="I717" t="s">
        <v>24</v>
      </c>
      <c r="J717" t="s">
        <v>69</v>
      </c>
      <c r="K717" t="s">
        <v>155</v>
      </c>
      <c r="L717" t="s">
        <v>63</v>
      </c>
      <c r="M717" t="s">
        <v>194</v>
      </c>
      <c r="N717" t="s">
        <v>195</v>
      </c>
      <c r="O717">
        <v>8</v>
      </c>
      <c r="P717">
        <v>12372.63</v>
      </c>
      <c r="Q717">
        <v>10</v>
      </c>
      <c r="R717" s="39">
        <v>9898.1</v>
      </c>
      <c r="S717" s="39">
        <v>89082.94</v>
      </c>
      <c r="T717" s="39">
        <v>10148.65</v>
      </c>
      <c r="U717" t="str">
        <f t="shared" si="25"/>
        <v>Office Supplies</v>
      </c>
      <c r="V717">
        <f t="shared" si="26"/>
        <v>10148.65</v>
      </c>
      <c r="W717" t="str">
        <f>IF(Sales[[#This Row],[Quantity]]&gt;=15, "Large","Small")</f>
        <v>Small</v>
      </c>
      <c r="X717" t="str">
        <f>IF(Sales[[#This Row],[Quantity]]&gt;=15,"Large",IF(Sales[[#This Row],[Quantity]]=14,"Medium","Small"))</f>
        <v>Small</v>
      </c>
      <c r="Y717" t="str">
        <f>IF(AND(Sales[[#This Row],[Unit Price (₦)]]&gt;68000,Sales[[#This Row],[Quantity]]&gt;15),"Offer Discount", "No Discount")</f>
        <v>No Discount</v>
      </c>
    </row>
    <row r="718" spans="1:25" ht="15" customHeight="1" x14ac:dyDescent="0.25">
      <c r="A718" t="s">
        <v>1633</v>
      </c>
      <c r="B718" s="8">
        <v>45475</v>
      </c>
      <c r="C718" s="8">
        <v>45475</v>
      </c>
      <c r="D718" t="s">
        <v>32</v>
      </c>
      <c r="E718" t="s">
        <v>3092</v>
      </c>
      <c r="F718" t="s">
        <v>3052</v>
      </c>
      <c r="G718" t="s">
        <v>1635</v>
      </c>
      <c r="H718">
        <v>7033821731</v>
      </c>
      <c r="I718" t="s">
        <v>24</v>
      </c>
      <c r="J718" t="s">
        <v>61</v>
      </c>
      <c r="K718" t="s">
        <v>182</v>
      </c>
      <c r="L718" t="s">
        <v>85</v>
      </c>
      <c r="M718" t="s">
        <v>266</v>
      </c>
      <c r="N718" t="s">
        <v>952</v>
      </c>
      <c r="O718">
        <v>18</v>
      </c>
      <c r="P718">
        <v>173352.56</v>
      </c>
      <c r="Q718">
        <v>20</v>
      </c>
      <c r="R718" s="39">
        <v>624069.22</v>
      </c>
      <c r="S718" s="39">
        <v>2496276.86</v>
      </c>
      <c r="T718" s="39">
        <v>-311846.77</v>
      </c>
      <c r="U718" t="str">
        <f t="shared" si="25"/>
        <v>Furniture</v>
      </c>
      <c r="V718">
        <f t="shared" si="26"/>
        <v>311846.77</v>
      </c>
      <c r="W718" t="str">
        <f>IF(Sales[[#This Row],[Quantity]]&gt;=15, "Large","Small")</f>
        <v>Large</v>
      </c>
      <c r="X718" t="str">
        <f>IF(Sales[[#This Row],[Quantity]]&gt;=15,"Large",IF(Sales[[#This Row],[Quantity]]=14,"Medium","Small"))</f>
        <v>Large</v>
      </c>
      <c r="Y718" t="str">
        <f>IF(AND(Sales[[#This Row],[Unit Price (₦)]]&gt;68000,Sales[[#This Row],[Quantity]]&gt;15),"Offer Discount", "No Discount")</f>
        <v>Offer Discount</v>
      </c>
    </row>
    <row r="719" spans="1:25" ht="15" customHeight="1" x14ac:dyDescent="0.25">
      <c r="A719" t="s">
        <v>2499</v>
      </c>
      <c r="B719" s="8">
        <v>45479</v>
      </c>
      <c r="C719" s="8">
        <v>45479</v>
      </c>
      <c r="D719" t="s">
        <v>32</v>
      </c>
      <c r="E719" t="s">
        <v>3060</v>
      </c>
      <c r="F719" t="s">
        <v>3050</v>
      </c>
      <c r="G719" t="s">
        <v>2501</v>
      </c>
      <c r="H719">
        <v>8137135319</v>
      </c>
      <c r="I719" t="s">
        <v>24</v>
      </c>
      <c r="J719" t="s">
        <v>51</v>
      </c>
      <c r="K719" t="s">
        <v>2502</v>
      </c>
      <c r="L719" t="s">
        <v>85</v>
      </c>
      <c r="M719" t="s">
        <v>218</v>
      </c>
      <c r="N719" t="s">
        <v>219</v>
      </c>
      <c r="O719">
        <v>13</v>
      </c>
      <c r="P719">
        <v>40394.51</v>
      </c>
      <c r="Q719">
        <v>0</v>
      </c>
      <c r="R719" s="39">
        <v>0</v>
      </c>
      <c r="S719" s="39">
        <v>525128.63</v>
      </c>
      <c r="T719" s="39">
        <v>34129.599999999999</v>
      </c>
      <c r="U719" t="str">
        <f t="shared" si="25"/>
        <v>Furniture</v>
      </c>
      <c r="V719">
        <f t="shared" si="26"/>
        <v>34129.599999999999</v>
      </c>
      <c r="W719" t="str">
        <f>IF(Sales[[#This Row],[Quantity]]&gt;=15, "Large","Small")</f>
        <v>Small</v>
      </c>
      <c r="X719" t="str">
        <f>IF(Sales[[#This Row],[Quantity]]&gt;=15,"Large",IF(Sales[[#This Row],[Quantity]]=14,"Medium","Small"))</f>
        <v>Small</v>
      </c>
      <c r="Y719" t="str">
        <f>IF(AND(Sales[[#This Row],[Unit Price (₦)]]&gt;68000,Sales[[#This Row],[Quantity]]&gt;15),"Offer Discount", "No Discount")</f>
        <v>No Discount</v>
      </c>
    </row>
    <row r="720" spans="1:25" ht="15" customHeight="1" x14ac:dyDescent="0.25">
      <c r="A720" t="s">
        <v>974</v>
      </c>
      <c r="B720" s="8">
        <v>45485</v>
      </c>
      <c r="C720" s="8">
        <v>45486</v>
      </c>
      <c r="D720" t="s">
        <v>32</v>
      </c>
      <c r="E720" t="s">
        <v>3068</v>
      </c>
      <c r="F720" t="s">
        <v>3074</v>
      </c>
      <c r="G720" t="s">
        <v>976</v>
      </c>
      <c r="H720">
        <v>7062984841</v>
      </c>
      <c r="I720" t="s">
        <v>43</v>
      </c>
      <c r="J720" t="s">
        <v>61</v>
      </c>
      <c r="K720" t="s">
        <v>182</v>
      </c>
      <c r="L720" t="s">
        <v>27</v>
      </c>
      <c r="M720" t="s">
        <v>79</v>
      </c>
      <c r="N720" t="s">
        <v>234</v>
      </c>
      <c r="O720">
        <v>19</v>
      </c>
      <c r="P720">
        <v>786.93</v>
      </c>
      <c r="Q720">
        <v>0</v>
      </c>
      <c r="R720" s="39">
        <v>0</v>
      </c>
      <c r="S720" s="39">
        <v>14951.67</v>
      </c>
      <c r="T720" s="39">
        <v>4044.86</v>
      </c>
      <c r="U720" t="str">
        <f t="shared" si="25"/>
        <v>Food &amp; Beverages</v>
      </c>
      <c r="V720">
        <f t="shared" si="26"/>
        <v>4044.86</v>
      </c>
      <c r="W720" t="str">
        <f>IF(Sales[[#This Row],[Quantity]]&gt;=15, "Large","Small")</f>
        <v>Large</v>
      </c>
      <c r="X720" t="str">
        <f>IF(Sales[[#This Row],[Quantity]]&gt;=15,"Large",IF(Sales[[#This Row],[Quantity]]=14,"Medium","Small"))</f>
        <v>Large</v>
      </c>
      <c r="Y720" t="str">
        <f>IF(AND(Sales[[#This Row],[Unit Price (₦)]]&gt;68000,Sales[[#This Row],[Quantity]]&gt;15),"Offer Discount", "No Discount")</f>
        <v>No Discount</v>
      </c>
    </row>
    <row r="721" spans="1:25" ht="15" customHeight="1" x14ac:dyDescent="0.25">
      <c r="A721" t="s">
        <v>2433</v>
      </c>
      <c r="B721" s="8">
        <v>45487</v>
      </c>
      <c r="C721" s="8">
        <v>45487</v>
      </c>
      <c r="D721" t="s">
        <v>32</v>
      </c>
      <c r="E721" t="s">
        <v>3039</v>
      </c>
      <c r="F721" t="s">
        <v>3088</v>
      </c>
      <c r="G721" t="s">
        <v>2434</v>
      </c>
      <c r="H721">
        <v>8158379676</v>
      </c>
      <c r="I721" t="s">
        <v>24</v>
      </c>
      <c r="J721" t="s">
        <v>51</v>
      </c>
      <c r="K721" t="s">
        <v>131</v>
      </c>
      <c r="L721" t="s">
        <v>96</v>
      </c>
      <c r="M721" t="s">
        <v>97</v>
      </c>
      <c r="N721" t="s">
        <v>169</v>
      </c>
      <c r="O721">
        <v>11</v>
      </c>
      <c r="P721">
        <v>416890.25</v>
      </c>
      <c r="Q721">
        <v>0</v>
      </c>
      <c r="R721" s="39">
        <v>0</v>
      </c>
      <c r="S721" s="39">
        <v>4585792.75</v>
      </c>
      <c r="T721" s="39">
        <v>14539.96</v>
      </c>
      <c r="U721" t="str">
        <f t="shared" si="25"/>
        <v>Technology</v>
      </c>
      <c r="V721">
        <f t="shared" si="26"/>
        <v>14539.96</v>
      </c>
      <c r="W721" t="str">
        <f>IF(Sales[[#This Row],[Quantity]]&gt;=15, "Large","Small")</f>
        <v>Small</v>
      </c>
      <c r="X721" t="str">
        <f>IF(Sales[[#This Row],[Quantity]]&gt;=15,"Large",IF(Sales[[#This Row],[Quantity]]=14,"Medium","Small"))</f>
        <v>Small</v>
      </c>
      <c r="Y721" t="str">
        <f>IF(AND(Sales[[#This Row],[Unit Price (₦)]]&gt;68000,Sales[[#This Row],[Quantity]]&gt;15),"Offer Discount", "No Discount")</f>
        <v>No Discount</v>
      </c>
    </row>
    <row r="722" spans="1:25" ht="15" customHeight="1" x14ac:dyDescent="0.25">
      <c r="A722" t="s">
        <v>1207</v>
      </c>
      <c r="B722" s="8">
        <v>45491</v>
      </c>
      <c r="C722" s="8">
        <v>45492</v>
      </c>
      <c r="D722" t="s">
        <v>32</v>
      </c>
      <c r="E722" t="s">
        <v>3053</v>
      </c>
      <c r="F722" t="s">
        <v>3050</v>
      </c>
      <c r="G722" t="s">
        <v>711</v>
      </c>
      <c r="H722">
        <v>8135665960</v>
      </c>
      <c r="I722" t="s">
        <v>35</v>
      </c>
      <c r="J722" t="s">
        <v>69</v>
      </c>
      <c r="K722" t="s">
        <v>119</v>
      </c>
      <c r="L722" t="s">
        <v>27</v>
      </c>
      <c r="M722" t="s">
        <v>173</v>
      </c>
      <c r="N722" t="s">
        <v>1208</v>
      </c>
      <c r="O722">
        <v>5</v>
      </c>
      <c r="P722">
        <v>676.67</v>
      </c>
      <c r="Q722">
        <v>0</v>
      </c>
      <c r="R722" s="39">
        <v>0</v>
      </c>
      <c r="S722" s="39">
        <v>3383.35</v>
      </c>
      <c r="T722" s="39">
        <v>818.66</v>
      </c>
      <c r="U722" t="str">
        <f t="shared" si="25"/>
        <v>Food &amp; Beverages</v>
      </c>
      <c r="V722">
        <f t="shared" si="26"/>
        <v>818.66</v>
      </c>
      <c r="W722" t="str">
        <f>IF(Sales[[#This Row],[Quantity]]&gt;=15, "Large","Small")</f>
        <v>Small</v>
      </c>
      <c r="X722" t="str">
        <f>IF(Sales[[#This Row],[Quantity]]&gt;=15,"Large",IF(Sales[[#This Row],[Quantity]]=14,"Medium","Small"))</f>
        <v>Small</v>
      </c>
      <c r="Y722" t="str">
        <f>IF(AND(Sales[[#This Row],[Unit Price (₦)]]&gt;68000,Sales[[#This Row],[Quantity]]&gt;15),"Offer Discount", "No Discount")</f>
        <v>No Discount</v>
      </c>
    </row>
    <row r="723" spans="1:25" ht="15" customHeight="1" x14ac:dyDescent="0.25">
      <c r="A723" t="s">
        <v>1510</v>
      </c>
      <c r="B723" s="8">
        <v>45491</v>
      </c>
      <c r="C723" s="8">
        <v>45492</v>
      </c>
      <c r="D723" t="s">
        <v>32</v>
      </c>
      <c r="E723" t="s">
        <v>3056</v>
      </c>
      <c r="F723" t="s">
        <v>3043</v>
      </c>
      <c r="G723" t="s">
        <v>1512</v>
      </c>
      <c r="H723">
        <v>8135466142</v>
      </c>
      <c r="I723" t="s">
        <v>24</v>
      </c>
      <c r="J723" t="s">
        <v>25</v>
      </c>
      <c r="K723" t="s">
        <v>26</v>
      </c>
      <c r="L723" t="s">
        <v>63</v>
      </c>
      <c r="M723" t="s">
        <v>469</v>
      </c>
      <c r="N723" t="s">
        <v>546</v>
      </c>
      <c r="O723">
        <v>14</v>
      </c>
      <c r="P723">
        <v>9860.7999999999993</v>
      </c>
      <c r="Q723">
        <v>5</v>
      </c>
      <c r="R723" s="39">
        <v>6902.56</v>
      </c>
      <c r="S723" s="39">
        <v>131148.64000000001</v>
      </c>
      <c r="T723" s="39">
        <v>27547.73</v>
      </c>
      <c r="U723" t="str">
        <f t="shared" si="25"/>
        <v>Office Supplies</v>
      </c>
      <c r="V723">
        <f t="shared" si="26"/>
        <v>27547.73</v>
      </c>
      <c r="W723" t="str">
        <f>IF(Sales[[#This Row],[Quantity]]&gt;=15, "Large","Small")</f>
        <v>Small</v>
      </c>
      <c r="X723" t="str">
        <f>IF(Sales[[#This Row],[Quantity]]&gt;=15,"Large",IF(Sales[[#This Row],[Quantity]]=14,"Medium","Small"))</f>
        <v>Medium</v>
      </c>
      <c r="Y723" t="str">
        <f>IF(AND(Sales[[#This Row],[Unit Price (₦)]]&gt;68000,Sales[[#This Row],[Quantity]]&gt;15),"Offer Discount", "No Discount")</f>
        <v>No Discount</v>
      </c>
    </row>
    <row r="724" spans="1:25" ht="15" customHeight="1" x14ac:dyDescent="0.25">
      <c r="A724" t="s">
        <v>2081</v>
      </c>
      <c r="B724" s="8">
        <v>45493</v>
      </c>
      <c r="C724" s="8">
        <v>45494</v>
      </c>
      <c r="D724" t="s">
        <v>32</v>
      </c>
      <c r="E724" t="s">
        <v>3076</v>
      </c>
      <c r="F724" t="s">
        <v>3038</v>
      </c>
      <c r="G724" t="s">
        <v>2082</v>
      </c>
      <c r="H724">
        <v>8143468450</v>
      </c>
      <c r="I724" t="s">
        <v>35</v>
      </c>
      <c r="J724" t="s">
        <v>51</v>
      </c>
      <c r="K724" t="s">
        <v>227</v>
      </c>
      <c r="L724" t="s">
        <v>108</v>
      </c>
      <c r="M724" t="s">
        <v>109</v>
      </c>
      <c r="N724" t="s">
        <v>426</v>
      </c>
      <c r="O724">
        <v>20</v>
      </c>
      <c r="P724">
        <v>43566.87</v>
      </c>
      <c r="Q724">
        <v>25</v>
      </c>
      <c r="R724" s="39">
        <v>217834.35</v>
      </c>
      <c r="S724" s="39">
        <v>653503.05000000005</v>
      </c>
      <c r="T724" s="39">
        <v>162455.76</v>
      </c>
      <c r="U724" t="str">
        <f t="shared" si="25"/>
        <v>Clothing</v>
      </c>
      <c r="V724">
        <f t="shared" si="26"/>
        <v>162455.76</v>
      </c>
      <c r="W724" t="str">
        <f>IF(Sales[[#This Row],[Quantity]]&gt;=15, "Large","Small")</f>
        <v>Large</v>
      </c>
      <c r="X724" t="str">
        <f>IF(Sales[[#This Row],[Quantity]]&gt;=15,"Large",IF(Sales[[#This Row],[Quantity]]=14,"Medium","Small"))</f>
        <v>Large</v>
      </c>
      <c r="Y724" t="str">
        <f>IF(AND(Sales[[#This Row],[Unit Price (₦)]]&gt;68000,Sales[[#This Row],[Quantity]]&gt;15),"Offer Discount", "No Discount")</f>
        <v>No Discount</v>
      </c>
    </row>
    <row r="725" spans="1:25" ht="15" customHeight="1" x14ac:dyDescent="0.25">
      <c r="A725" t="s">
        <v>614</v>
      </c>
      <c r="B725" s="8">
        <v>45505</v>
      </c>
      <c r="C725" s="8">
        <v>45501</v>
      </c>
      <c r="D725" t="s">
        <v>32</v>
      </c>
      <c r="E725" t="str">
        <f>E726</f>
        <v>Sade</v>
      </c>
      <c r="F725" t="str">
        <f>F724</f>
        <v>Bello</v>
      </c>
      <c r="G725" t="s">
        <v>615</v>
      </c>
      <c r="H725">
        <v>9019192588</v>
      </c>
      <c r="I725" t="s">
        <v>43</v>
      </c>
      <c r="J725" t="s">
        <v>51</v>
      </c>
      <c r="K725" t="s">
        <v>223</v>
      </c>
      <c r="L725" t="s">
        <v>85</v>
      </c>
      <c r="M725" t="s">
        <v>266</v>
      </c>
      <c r="N725" t="s">
        <v>267</v>
      </c>
      <c r="O725">
        <v>3</v>
      </c>
      <c r="P725">
        <v>98118.44</v>
      </c>
      <c r="Q725">
        <v>0</v>
      </c>
      <c r="R725" s="39">
        <v>0</v>
      </c>
      <c r="S725" s="39">
        <v>294355.32</v>
      </c>
      <c r="T725" s="39">
        <v>90839.02</v>
      </c>
      <c r="U725" t="str">
        <f t="shared" si="25"/>
        <v>Furniture</v>
      </c>
      <c r="V725">
        <f t="shared" si="26"/>
        <v>90839.02</v>
      </c>
      <c r="W725" t="str">
        <f>IF(Sales[[#This Row],[Quantity]]&gt;=15, "Large","Small")</f>
        <v>Small</v>
      </c>
      <c r="X725" t="str">
        <f>IF(Sales[[#This Row],[Quantity]]&gt;=15,"Large",IF(Sales[[#This Row],[Quantity]]=14,"Medium","Small"))</f>
        <v>Small</v>
      </c>
      <c r="Y725" t="str">
        <f>IF(AND(Sales[[#This Row],[Unit Price (₦)]]&gt;68000,Sales[[#This Row],[Quantity]]&gt;15),"Offer Discount", "No Discount")</f>
        <v>No Discount</v>
      </c>
    </row>
    <row r="726" spans="1:25" ht="15" customHeight="1" x14ac:dyDescent="0.25">
      <c r="A726" t="s">
        <v>1704</v>
      </c>
      <c r="B726" s="8">
        <v>45506</v>
      </c>
      <c r="C726" s="8">
        <v>45507</v>
      </c>
      <c r="D726" t="s">
        <v>32</v>
      </c>
      <c r="E726" t="s">
        <v>3081</v>
      </c>
      <c r="F726" t="s">
        <v>3074</v>
      </c>
      <c r="G726" t="s">
        <v>1705</v>
      </c>
      <c r="H726">
        <v>7068007639</v>
      </c>
      <c r="I726" t="s">
        <v>959</v>
      </c>
      <c r="J726" t="s">
        <v>61</v>
      </c>
      <c r="K726" t="s">
        <v>204</v>
      </c>
      <c r="L726" t="s">
        <v>85</v>
      </c>
      <c r="M726" t="s">
        <v>486</v>
      </c>
      <c r="N726" t="s">
        <v>1018</v>
      </c>
      <c r="O726">
        <v>1</v>
      </c>
      <c r="P726">
        <v>154706.39000000001</v>
      </c>
      <c r="Q726">
        <v>10</v>
      </c>
      <c r="R726" s="39">
        <v>15470.64</v>
      </c>
      <c r="S726" s="39">
        <v>139235.75</v>
      </c>
      <c r="T726" s="39">
        <v>-9277.26</v>
      </c>
      <c r="U726" t="str">
        <f t="shared" si="25"/>
        <v>Furniture</v>
      </c>
      <c r="V726">
        <f t="shared" si="26"/>
        <v>9277.26</v>
      </c>
      <c r="W726" t="str">
        <f>IF(Sales[[#This Row],[Quantity]]&gt;=15, "Large","Small")</f>
        <v>Small</v>
      </c>
      <c r="X726" t="str">
        <f>IF(Sales[[#This Row],[Quantity]]&gt;=15,"Large",IF(Sales[[#This Row],[Quantity]]=14,"Medium","Small"))</f>
        <v>Small</v>
      </c>
      <c r="Y726" t="str">
        <f>IF(AND(Sales[[#This Row],[Unit Price (₦)]]&gt;68000,Sales[[#This Row],[Quantity]]&gt;15),"Offer Discount", "No Discount")</f>
        <v>No Discount</v>
      </c>
    </row>
    <row r="727" spans="1:25" ht="15" customHeight="1" x14ac:dyDescent="0.25">
      <c r="A727" t="s">
        <v>667</v>
      </c>
      <c r="B727" s="8">
        <v>45510</v>
      </c>
      <c r="C727" s="8">
        <v>45510</v>
      </c>
      <c r="D727" t="s">
        <v>32</v>
      </c>
      <c r="E727" t="s">
        <v>3097</v>
      </c>
      <c r="F727" t="s">
        <v>3046</v>
      </c>
      <c r="G727" t="s">
        <v>3126</v>
      </c>
      <c r="H727">
        <v>8065956530</v>
      </c>
      <c r="I727" t="s">
        <v>43</v>
      </c>
      <c r="J727" t="s">
        <v>61</v>
      </c>
      <c r="K727" t="s">
        <v>204</v>
      </c>
      <c r="L727" t="s">
        <v>108</v>
      </c>
      <c r="M727" t="s">
        <v>114</v>
      </c>
      <c r="N727" t="s">
        <v>291</v>
      </c>
      <c r="O727">
        <v>5</v>
      </c>
      <c r="P727">
        <v>37746.660000000003</v>
      </c>
      <c r="Q727">
        <v>10</v>
      </c>
      <c r="R727" s="39">
        <v>18873.330000000002</v>
      </c>
      <c r="S727" s="39">
        <v>169859.97</v>
      </c>
      <c r="T727" s="39">
        <v>6307.62</v>
      </c>
      <c r="U727" t="str">
        <f t="shared" si="25"/>
        <v>Clothing</v>
      </c>
      <c r="V727">
        <f t="shared" si="26"/>
        <v>6307.62</v>
      </c>
      <c r="W727" t="str">
        <f>IF(Sales[[#This Row],[Quantity]]&gt;=15, "Large","Small")</f>
        <v>Small</v>
      </c>
      <c r="X727" t="str">
        <f>IF(Sales[[#This Row],[Quantity]]&gt;=15,"Large",IF(Sales[[#This Row],[Quantity]]=14,"Medium","Small"))</f>
        <v>Small</v>
      </c>
      <c r="Y727" t="str">
        <f>IF(AND(Sales[[#This Row],[Unit Price (₦)]]&gt;68000,Sales[[#This Row],[Quantity]]&gt;15),"Offer Discount", "No Discount")</f>
        <v>No Discount</v>
      </c>
    </row>
    <row r="728" spans="1:25" ht="15" customHeight="1" x14ac:dyDescent="0.25">
      <c r="A728" t="s">
        <v>2547</v>
      </c>
      <c r="B728" s="8">
        <v>45511</v>
      </c>
      <c r="C728" s="8">
        <v>45512</v>
      </c>
      <c r="D728" t="s">
        <v>32</v>
      </c>
      <c r="E728" t="s">
        <v>3095</v>
      </c>
      <c r="F728" t="s">
        <v>3074</v>
      </c>
      <c r="G728" t="s">
        <v>2548</v>
      </c>
      <c r="H728">
        <v>8109890863</v>
      </c>
      <c r="I728" t="s">
        <v>43</v>
      </c>
      <c r="J728" t="s">
        <v>69</v>
      </c>
      <c r="K728" t="s">
        <v>70</v>
      </c>
      <c r="L728" t="s">
        <v>85</v>
      </c>
      <c r="M728" t="s">
        <v>218</v>
      </c>
      <c r="N728" t="s">
        <v>708</v>
      </c>
      <c r="O728">
        <v>19</v>
      </c>
      <c r="P728">
        <v>130565.46</v>
      </c>
      <c r="Q728">
        <v>5</v>
      </c>
      <c r="R728" s="39">
        <v>124037.19</v>
      </c>
      <c r="S728" s="39">
        <v>2356706.5499999998</v>
      </c>
      <c r="T728" s="39">
        <v>986995.78</v>
      </c>
      <c r="U728" t="str">
        <f t="shared" si="25"/>
        <v>Furniture</v>
      </c>
      <c r="V728">
        <f t="shared" si="26"/>
        <v>986995.78</v>
      </c>
      <c r="W728" t="str">
        <f>IF(Sales[[#This Row],[Quantity]]&gt;=15, "Large","Small")</f>
        <v>Large</v>
      </c>
      <c r="X728" t="str">
        <f>IF(Sales[[#This Row],[Quantity]]&gt;=15,"Large",IF(Sales[[#This Row],[Quantity]]=14,"Medium","Small"))</f>
        <v>Large</v>
      </c>
      <c r="Y728" t="str">
        <f>IF(AND(Sales[[#This Row],[Unit Price (₦)]]&gt;68000,Sales[[#This Row],[Quantity]]&gt;15),"Offer Discount", "No Discount")</f>
        <v>Offer Discount</v>
      </c>
    </row>
    <row r="729" spans="1:25" ht="15" customHeight="1" x14ac:dyDescent="0.25">
      <c r="A729" t="s">
        <v>228</v>
      </c>
      <c r="B729" s="8">
        <v>45514</v>
      </c>
      <c r="C729" s="8">
        <v>45515</v>
      </c>
      <c r="D729" t="s">
        <v>32</v>
      </c>
      <c r="E729" t="s">
        <v>3035</v>
      </c>
      <c r="F729" t="s">
        <v>3036</v>
      </c>
      <c r="G729" t="s">
        <v>229</v>
      </c>
      <c r="H729">
        <v>8035118725</v>
      </c>
      <c r="I729" t="s">
        <v>24</v>
      </c>
      <c r="J729" t="s">
        <v>51</v>
      </c>
      <c r="K729" t="s">
        <v>227</v>
      </c>
      <c r="L729" t="s">
        <v>96</v>
      </c>
      <c r="M729" t="s">
        <v>97</v>
      </c>
      <c r="N729" t="s">
        <v>230</v>
      </c>
      <c r="O729">
        <v>15</v>
      </c>
      <c r="P729">
        <v>121080.6</v>
      </c>
      <c r="Q729">
        <v>15</v>
      </c>
      <c r="R729" s="39">
        <v>272431.34999999998</v>
      </c>
      <c r="S729" s="39">
        <v>1543777.65</v>
      </c>
      <c r="T729" s="39">
        <v>80026.3</v>
      </c>
      <c r="U729" t="str">
        <f t="shared" si="25"/>
        <v>Technology</v>
      </c>
      <c r="V729">
        <f t="shared" si="26"/>
        <v>80026.3</v>
      </c>
      <c r="W729" t="str">
        <f>IF(Sales[[#This Row],[Quantity]]&gt;=15, "Large","Small")</f>
        <v>Large</v>
      </c>
      <c r="X729" t="str">
        <f>IF(Sales[[#This Row],[Quantity]]&gt;=15,"Large",IF(Sales[[#This Row],[Quantity]]=14,"Medium","Small"))</f>
        <v>Large</v>
      </c>
      <c r="Y729" t="str">
        <f>IF(AND(Sales[[#This Row],[Unit Price (₦)]]&gt;68000,Sales[[#This Row],[Quantity]]&gt;15),"Offer Discount", "No Discount")</f>
        <v>No Discount</v>
      </c>
    </row>
    <row r="730" spans="1:25" ht="15" customHeight="1" x14ac:dyDescent="0.25">
      <c r="A730" t="s">
        <v>2094</v>
      </c>
      <c r="B730" s="8">
        <v>45517</v>
      </c>
      <c r="C730" s="8">
        <v>45518</v>
      </c>
      <c r="D730" t="s">
        <v>32</v>
      </c>
      <c r="E730" t="s">
        <v>3051</v>
      </c>
      <c r="F730" t="s">
        <v>3071</v>
      </c>
      <c r="G730" t="s">
        <v>2096</v>
      </c>
      <c r="H730">
        <v>8151443289</v>
      </c>
      <c r="I730" t="s">
        <v>43</v>
      </c>
      <c r="J730" t="s">
        <v>51</v>
      </c>
      <c r="K730" t="s">
        <v>316</v>
      </c>
      <c r="L730" t="s">
        <v>108</v>
      </c>
      <c r="M730" t="s">
        <v>114</v>
      </c>
      <c r="N730" t="s">
        <v>848</v>
      </c>
      <c r="O730">
        <v>10</v>
      </c>
      <c r="P730">
        <v>28453.97</v>
      </c>
      <c r="Q730">
        <v>5</v>
      </c>
      <c r="R730" s="39">
        <v>14226.99</v>
      </c>
      <c r="S730" s="39">
        <v>270312.71000000002</v>
      </c>
      <c r="T730" s="39">
        <v>53574.21</v>
      </c>
      <c r="U730" t="str">
        <f t="shared" si="25"/>
        <v>Clothing</v>
      </c>
      <c r="V730">
        <f t="shared" si="26"/>
        <v>53574.21</v>
      </c>
      <c r="W730" t="str">
        <f>IF(Sales[[#This Row],[Quantity]]&gt;=15, "Large","Small")</f>
        <v>Small</v>
      </c>
      <c r="X730" t="str">
        <f>IF(Sales[[#This Row],[Quantity]]&gt;=15,"Large",IF(Sales[[#This Row],[Quantity]]=14,"Medium","Small"))</f>
        <v>Small</v>
      </c>
      <c r="Y730" t="str">
        <f>IF(AND(Sales[[#This Row],[Unit Price (₦)]]&gt;68000,Sales[[#This Row],[Quantity]]&gt;15),"Offer Discount", "No Discount")</f>
        <v>No Discount</v>
      </c>
    </row>
    <row r="731" spans="1:25" ht="15" customHeight="1" x14ac:dyDescent="0.25">
      <c r="A731" t="s">
        <v>551</v>
      </c>
      <c r="B731" s="8">
        <v>45539</v>
      </c>
      <c r="C731" s="8">
        <v>45539</v>
      </c>
      <c r="D731" t="s">
        <v>32</v>
      </c>
      <c r="E731" t="s">
        <v>3076</v>
      </c>
      <c r="F731" t="s">
        <v>3074</v>
      </c>
      <c r="G731" t="s">
        <v>553</v>
      </c>
      <c r="H731">
        <v>9071992583</v>
      </c>
      <c r="I731" t="s">
        <v>24</v>
      </c>
      <c r="J731" t="s">
        <v>61</v>
      </c>
      <c r="K731" t="s">
        <v>204</v>
      </c>
      <c r="L731" t="s">
        <v>96</v>
      </c>
      <c r="M731" t="s">
        <v>254</v>
      </c>
      <c r="N731" t="s">
        <v>255</v>
      </c>
      <c r="O731">
        <v>2</v>
      </c>
      <c r="P731">
        <v>247791.24</v>
      </c>
      <c r="Q731">
        <v>0</v>
      </c>
      <c r="R731" s="39">
        <v>0</v>
      </c>
      <c r="S731" s="39">
        <v>495582.48</v>
      </c>
      <c r="T731" s="39">
        <v>49920.51</v>
      </c>
      <c r="U731" t="str">
        <f t="shared" si="25"/>
        <v>Technology</v>
      </c>
      <c r="V731">
        <f t="shared" si="26"/>
        <v>49920.51</v>
      </c>
      <c r="W731" t="str">
        <f>IF(Sales[[#This Row],[Quantity]]&gt;=15, "Large","Small")</f>
        <v>Small</v>
      </c>
      <c r="X731" t="str">
        <f>IF(Sales[[#This Row],[Quantity]]&gt;=15,"Large",IF(Sales[[#This Row],[Quantity]]=14,"Medium","Small"))</f>
        <v>Small</v>
      </c>
      <c r="Y731" t="str">
        <f>IF(AND(Sales[[#This Row],[Unit Price (₦)]]&gt;68000,Sales[[#This Row],[Quantity]]&gt;15),"Offer Discount", "No Discount")</f>
        <v>No Discount</v>
      </c>
    </row>
    <row r="732" spans="1:25" ht="15" customHeight="1" x14ac:dyDescent="0.25">
      <c r="A732" t="s">
        <v>1007</v>
      </c>
      <c r="B732" s="8">
        <v>45543</v>
      </c>
      <c r="C732" s="8">
        <v>45543</v>
      </c>
      <c r="D732" t="s">
        <v>32</v>
      </c>
      <c r="E732" t="str">
        <f>E733</f>
        <v>Adaeze</v>
      </c>
      <c r="F732" t="str">
        <f>F731</f>
        <v>Osei</v>
      </c>
      <c r="G732" t="s">
        <v>1008</v>
      </c>
      <c r="H732">
        <v>8035088109</v>
      </c>
      <c r="I732" t="s">
        <v>43</v>
      </c>
      <c r="J732" t="s">
        <v>51</v>
      </c>
      <c r="K732" t="s">
        <v>52</v>
      </c>
      <c r="L732" t="s">
        <v>96</v>
      </c>
      <c r="M732" t="s">
        <v>385</v>
      </c>
      <c r="N732" t="s">
        <v>1010</v>
      </c>
      <c r="O732">
        <v>5</v>
      </c>
      <c r="P732">
        <v>272671.23</v>
      </c>
      <c r="Q732">
        <v>25</v>
      </c>
      <c r="R732" s="39">
        <v>340839.04</v>
      </c>
      <c r="S732" s="39">
        <v>1022517.11</v>
      </c>
      <c r="T732" s="39">
        <v>-129333.57</v>
      </c>
      <c r="U732" t="str">
        <f t="shared" si="25"/>
        <v>Technology</v>
      </c>
      <c r="V732">
        <f t="shared" si="26"/>
        <v>129333.57</v>
      </c>
      <c r="W732" t="str">
        <f>IF(Sales[[#This Row],[Quantity]]&gt;=15, "Large","Small")</f>
        <v>Small</v>
      </c>
      <c r="X732" t="str">
        <f>IF(Sales[[#This Row],[Quantity]]&gt;=15,"Large",IF(Sales[[#This Row],[Quantity]]=14,"Medium","Small"))</f>
        <v>Small</v>
      </c>
      <c r="Y732" t="str">
        <f>IF(AND(Sales[[#This Row],[Unit Price (₦)]]&gt;68000,Sales[[#This Row],[Quantity]]&gt;15),"Offer Discount", "No Discount")</f>
        <v>No Discount</v>
      </c>
    </row>
    <row r="733" spans="1:25" ht="15" customHeight="1" x14ac:dyDescent="0.25">
      <c r="A733" t="s">
        <v>1761</v>
      </c>
      <c r="B733" s="8">
        <v>45546</v>
      </c>
      <c r="C733" s="8">
        <v>45546</v>
      </c>
      <c r="D733" t="s">
        <v>32</v>
      </c>
      <c r="E733" t="s">
        <v>3095</v>
      </c>
      <c r="F733" t="s">
        <v>3054</v>
      </c>
      <c r="G733" t="s">
        <v>1763</v>
      </c>
      <c r="H733">
        <v>8133595845</v>
      </c>
      <c r="I733" t="s">
        <v>43</v>
      </c>
      <c r="J733" t="s">
        <v>51</v>
      </c>
      <c r="K733" t="s">
        <v>316</v>
      </c>
      <c r="L733" t="s">
        <v>85</v>
      </c>
      <c r="M733" t="s">
        <v>86</v>
      </c>
      <c r="N733" t="s">
        <v>584</v>
      </c>
      <c r="O733">
        <v>12</v>
      </c>
      <c r="P733">
        <v>156204.68</v>
      </c>
      <c r="Q733">
        <v>20</v>
      </c>
      <c r="R733" s="39">
        <v>374891.23</v>
      </c>
      <c r="S733" s="39">
        <v>1499564.93</v>
      </c>
      <c r="T733" s="39">
        <v>139059.39000000001</v>
      </c>
      <c r="U733" t="str">
        <f t="shared" si="25"/>
        <v>Furniture</v>
      </c>
      <c r="V733">
        <f t="shared" si="26"/>
        <v>139059.39000000001</v>
      </c>
      <c r="W733" t="str">
        <f>IF(Sales[[#This Row],[Quantity]]&gt;=15, "Large","Small")</f>
        <v>Small</v>
      </c>
      <c r="X733" t="str">
        <f>IF(Sales[[#This Row],[Quantity]]&gt;=15,"Large",IF(Sales[[#This Row],[Quantity]]=14,"Medium","Small"))</f>
        <v>Small</v>
      </c>
      <c r="Y733" t="str">
        <f>IF(AND(Sales[[#This Row],[Unit Price (₦)]]&gt;68000,Sales[[#This Row],[Quantity]]&gt;15),"Offer Discount", "No Discount")</f>
        <v>No Discount</v>
      </c>
    </row>
    <row r="734" spans="1:25" ht="15" customHeight="1" x14ac:dyDescent="0.25">
      <c r="A734" t="s">
        <v>1613</v>
      </c>
      <c r="B734" s="8">
        <v>45547</v>
      </c>
      <c r="C734" s="8">
        <v>45548</v>
      </c>
      <c r="D734" t="s">
        <v>32</v>
      </c>
      <c r="E734" t="s">
        <v>3094</v>
      </c>
      <c r="F734" t="s">
        <v>3071</v>
      </c>
      <c r="G734" t="s">
        <v>1615</v>
      </c>
      <c r="H734">
        <v>9027330138</v>
      </c>
      <c r="I734" t="s">
        <v>35</v>
      </c>
      <c r="J734" t="s">
        <v>51</v>
      </c>
      <c r="K734" t="s">
        <v>52</v>
      </c>
      <c r="L734" t="s">
        <v>108</v>
      </c>
      <c r="M734" t="s">
        <v>189</v>
      </c>
      <c r="N734" t="s">
        <v>190</v>
      </c>
      <c r="O734">
        <v>17</v>
      </c>
      <c r="P734">
        <v>34763.9</v>
      </c>
      <c r="Q734">
        <v>20</v>
      </c>
      <c r="R734" s="39">
        <v>118197.26</v>
      </c>
      <c r="S734" s="39">
        <v>472789.04</v>
      </c>
      <c r="T734" s="39">
        <v>145149.67000000001</v>
      </c>
      <c r="U734" t="str">
        <f t="shared" si="25"/>
        <v>Clothing</v>
      </c>
      <c r="V734">
        <f t="shared" si="26"/>
        <v>145149.67000000001</v>
      </c>
      <c r="W734" t="str">
        <f>IF(Sales[[#This Row],[Quantity]]&gt;=15, "Large","Small")</f>
        <v>Large</v>
      </c>
      <c r="X734" t="str">
        <f>IF(Sales[[#This Row],[Quantity]]&gt;=15,"Large",IF(Sales[[#This Row],[Quantity]]=14,"Medium","Small"))</f>
        <v>Large</v>
      </c>
      <c r="Y734" t="str">
        <f>IF(AND(Sales[[#This Row],[Unit Price (₦)]]&gt;68000,Sales[[#This Row],[Quantity]]&gt;15),"Offer Discount", "No Discount")</f>
        <v>No Discount</v>
      </c>
    </row>
    <row r="735" spans="1:25" ht="15" customHeight="1" x14ac:dyDescent="0.25">
      <c r="A735" t="s">
        <v>326</v>
      </c>
      <c r="B735" s="8">
        <v>45551</v>
      </c>
      <c r="C735" s="8">
        <v>45551</v>
      </c>
      <c r="D735" t="s">
        <v>32</v>
      </c>
      <c r="E735" t="s">
        <v>3059</v>
      </c>
      <c r="F735" t="s">
        <v>3045</v>
      </c>
      <c r="G735" t="s">
        <v>328</v>
      </c>
      <c r="H735">
        <v>9055963914</v>
      </c>
      <c r="I735" t="s">
        <v>35</v>
      </c>
      <c r="J735" t="s">
        <v>69</v>
      </c>
      <c r="K735" t="s">
        <v>144</v>
      </c>
      <c r="L735" t="s">
        <v>63</v>
      </c>
      <c r="M735" t="s">
        <v>249</v>
      </c>
      <c r="N735" t="s">
        <v>329</v>
      </c>
      <c r="O735">
        <v>19</v>
      </c>
      <c r="P735">
        <v>7224.77</v>
      </c>
      <c r="Q735">
        <v>0</v>
      </c>
      <c r="R735" s="39">
        <v>0</v>
      </c>
      <c r="S735" s="39">
        <v>137270.63</v>
      </c>
      <c r="T735" s="39">
        <v>54409.98</v>
      </c>
      <c r="U735" t="str">
        <f t="shared" si="25"/>
        <v>Office Supplies</v>
      </c>
      <c r="V735">
        <f t="shared" si="26"/>
        <v>54409.98</v>
      </c>
      <c r="W735" t="str">
        <f>IF(Sales[[#This Row],[Quantity]]&gt;=15, "Large","Small")</f>
        <v>Large</v>
      </c>
      <c r="X735" t="str">
        <f>IF(Sales[[#This Row],[Quantity]]&gt;=15,"Large",IF(Sales[[#This Row],[Quantity]]=14,"Medium","Small"))</f>
        <v>Large</v>
      </c>
      <c r="Y735" t="str">
        <f>IF(AND(Sales[[#This Row],[Unit Price (₦)]]&gt;68000,Sales[[#This Row],[Quantity]]&gt;15),"Offer Discount", "No Discount")</f>
        <v>No Discount</v>
      </c>
    </row>
    <row r="736" spans="1:25" ht="15" customHeight="1" x14ac:dyDescent="0.25">
      <c r="A736" t="s">
        <v>502</v>
      </c>
      <c r="B736" s="8">
        <v>45553</v>
      </c>
      <c r="C736" s="8">
        <v>45551</v>
      </c>
      <c r="D736" t="s">
        <v>32</v>
      </c>
      <c r="E736" t="s">
        <v>3082</v>
      </c>
      <c r="F736" t="s">
        <v>3074</v>
      </c>
      <c r="G736" t="s">
        <v>504</v>
      </c>
      <c r="H736">
        <v>7036357240</v>
      </c>
      <c r="I736" t="s">
        <v>43</v>
      </c>
      <c r="J736" t="s">
        <v>25</v>
      </c>
      <c r="K736" t="s">
        <v>126</v>
      </c>
      <c r="L736" t="s">
        <v>63</v>
      </c>
      <c r="M736" t="s">
        <v>64</v>
      </c>
      <c r="N736" t="s">
        <v>501</v>
      </c>
      <c r="O736">
        <v>17</v>
      </c>
      <c r="P736">
        <v>19136.29</v>
      </c>
      <c r="Q736">
        <v>25</v>
      </c>
      <c r="R736" s="39">
        <v>81329.23</v>
      </c>
      <c r="S736" s="39">
        <v>243987.7</v>
      </c>
      <c r="T736" s="39">
        <v>-21053.61</v>
      </c>
      <c r="U736" t="str">
        <f t="shared" si="25"/>
        <v>Office Supplies</v>
      </c>
      <c r="V736">
        <f t="shared" si="26"/>
        <v>21053.61</v>
      </c>
      <c r="W736" t="str">
        <f>IF(Sales[[#This Row],[Quantity]]&gt;=15, "Large","Small")</f>
        <v>Large</v>
      </c>
      <c r="X736" t="str">
        <f>IF(Sales[[#This Row],[Quantity]]&gt;=15,"Large",IF(Sales[[#This Row],[Quantity]]=14,"Medium","Small"))</f>
        <v>Large</v>
      </c>
      <c r="Y736" t="str">
        <f>IF(AND(Sales[[#This Row],[Unit Price (₦)]]&gt;68000,Sales[[#This Row],[Quantity]]&gt;15),"Offer Discount", "No Discount")</f>
        <v>No Discount</v>
      </c>
    </row>
    <row r="737" spans="1:25" ht="15" customHeight="1" x14ac:dyDescent="0.25">
      <c r="A737" t="s">
        <v>1833</v>
      </c>
      <c r="B737" s="8">
        <v>45553</v>
      </c>
      <c r="C737" s="8">
        <v>45554</v>
      </c>
      <c r="D737" t="s">
        <v>32</v>
      </c>
      <c r="E737" t="s">
        <v>3093</v>
      </c>
      <c r="F737" t="s">
        <v>3057</v>
      </c>
      <c r="G737" t="s">
        <v>1834</v>
      </c>
      <c r="H737">
        <v>8066456436</v>
      </c>
      <c r="I737" t="s">
        <v>35</v>
      </c>
      <c r="J737" t="s">
        <v>25</v>
      </c>
      <c r="K737" t="s">
        <v>36</v>
      </c>
      <c r="L737" t="s">
        <v>96</v>
      </c>
      <c r="M737" t="s">
        <v>254</v>
      </c>
      <c r="N737" t="s">
        <v>255</v>
      </c>
      <c r="O737">
        <v>1</v>
      </c>
      <c r="P737">
        <v>191318.77</v>
      </c>
      <c r="Q737">
        <v>15</v>
      </c>
      <c r="R737" s="39">
        <v>28697.82</v>
      </c>
      <c r="S737" s="39">
        <v>162620.95000000001</v>
      </c>
      <c r="T737" s="39">
        <v>29863.08</v>
      </c>
      <c r="U737" t="str">
        <f t="shared" si="25"/>
        <v>Technology</v>
      </c>
      <c r="V737">
        <f t="shared" si="26"/>
        <v>29863.08</v>
      </c>
      <c r="W737" t="str">
        <f>IF(Sales[[#This Row],[Quantity]]&gt;=15, "Large","Small")</f>
        <v>Small</v>
      </c>
      <c r="X737" t="str">
        <f>IF(Sales[[#This Row],[Quantity]]&gt;=15,"Large",IF(Sales[[#This Row],[Quantity]]=14,"Medium","Small"))</f>
        <v>Small</v>
      </c>
      <c r="Y737" t="str">
        <f>IF(AND(Sales[[#This Row],[Unit Price (₦)]]&gt;68000,Sales[[#This Row],[Quantity]]&gt;15),"Offer Discount", "No Discount")</f>
        <v>No Discount</v>
      </c>
    </row>
    <row r="738" spans="1:25" ht="15" customHeight="1" x14ac:dyDescent="0.25">
      <c r="A738" t="s">
        <v>1481</v>
      </c>
      <c r="B738" s="8">
        <v>45556</v>
      </c>
      <c r="C738" s="8">
        <v>45557</v>
      </c>
      <c r="D738" t="s">
        <v>32</v>
      </c>
      <c r="E738" t="s">
        <v>3099</v>
      </c>
      <c r="F738" t="s">
        <v>3040</v>
      </c>
      <c r="G738" t="s">
        <v>1483</v>
      </c>
      <c r="H738">
        <v>8133673591</v>
      </c>
      <c r="I738" t="s">
        <v>43</v>
      </c>
      <c r="J738" t="s">
        <v>25</v>
      </c>
      <c r="K738" t="s">
        <v>126</v>
      </c>
      <c r="L738" t="s">
        <v>63</v>
      </c>
      <c r="M738" t="s">
        <v>54</v>
      </c>
      <c r="N738" t="s">
        <v>1039</v>
      </c>
      <c r="O738">
        <v>9</v>
      </c>
      <c r="P738">
        <v>6830.72</v>
      </c>
      <c r="Q738">
        <v>25</v>
      </c>
      <c r="R738" s="39">
        <v>15369.12</v>
      </c>
      <c r="S738" s="39">
        <v>46107.360000000001</v>
      </c>
      <c r="T738" s="39">
        <v>-2047.58</v>
      </c>
      <c r="U738" t="str">
        <f t="shared" si="25"/>
        <v>Office Supplies</v>
      </c>
      <c r="V738">
        <f t="shared" si="26"/>
        <v>2047.58</v>
      </c>
      <c r="W738" t="str">
        <f>IF(Sales[[#This Row],[Quantity]]&gt;=15, "Large","Small")</f>
        <v>Small</v>
      </c>
      <c r="X738" t="str">
        <f>IF(Sales[[#This Row],[Quantity]]&gt;=15,"Large",IF(Sales[[#This Row],[Quantity]]=14,"Medium","Small"))</f>
        <v>Small</v>
      </c>
      <c r="Y738" t="str">
        <f>IF(AND(Sales[[#This Row],[Unit Price (₦)]]&gt;68000,Sales[[#This Row],[Quantity]]&gt;15),"Offer Discount", "No Discount")</f>
        <v>No Discount</v>
      </c>
    </row>
    <row r="739" spans="1:25" ht="15" customHeight="1" x14ac:dyDescent="0.25">
      <c r="A739" t="s">
        <v>2664</v>
      </c>
      <c r="B739" s="8">
        <v>45557</v>
      </c>
      <c r="C739" s="8">
        <v>45557</v>
      </c>
      <c r="D739" t="s">
        <v>32</v>
      </c>
      <c r="E739" t="s">
        <v>3049</v>
      </c>
      <c r="F739" t="s">
        <v>3045</v>
      </c>
      <c r="G739" t="s">
        <v>2666</v>
      </c>
      <c r="H739">
        <v>9027320306</v>
      </c>
      <c r="I739" t="s">
        <v>35</v>
      </c>
      <c r="J739" t="s">
        <v>61</v>
      </c>
      <c r="K739" t="s">
        <v>95</v>
      </c>
      <c r="L739" t="s">
        <v>96</v>
      </c>
      <c r="M739" t="s">
        <v>97</v>
      </c>
      <c r="N739" t="s">
        <v>443</v>
      </c>
      <c r="O739">
        <v>19</v>
      </c>
      <c r="P739">
        <v>112188.85</v>
      </c>
      <c r="Q739">
        <v>20</v>
      </c>
      <c r="R739" s="39">
        <v>426317.63</v>
      </c>
      <c r="S739" s="39">
        <v>1705270.52</v>
      </c>
      <c r="T739" s="39">
        <v>-21760.080000000002</v>
      </c>
      <c r="U739" t="str">
        <f t="shared" si="25"/>
        <v>Technology</v>
      </c>
      <c r="V739">
        <f t="shared" si="26"/>
        <v>21760.080000000002</v>
      </c>
      <c r="W739" t="str">
        <f>IF(Sales[[#This Row],[Quantity]]&gt;=15, "Large","Small")</f>
        <v>Large</v>
      </c>
      <c r="X739" t="str">
        <f>IF(Sales[[#This Row],[Quantity]]&gt;=15,"Large",IF(Sales[[#This Row],[Quantity]]=14,"Medium","Small"))</f>
        <v>Large</v>
      </c>
      <c r="Y739" t="str">
        <f>IF(AND(Sales[[#This Row],[Unit Price (₦)]]&gt;68000,Sales[[#This Row],[Quantity]]&gt;15),"Offer Discount", "No Discount")</f>
        <v>Offer Discount</v>
      </c>
    </row>
    <row r="740" spans="1:25" ht="15" customHeight="1" x14ac:dyDescent="0.25">
      <c r="A740" t="s">
        <v>1451</v>
      </c>
      <c r="B740" s="8">
        <v>45566</v>
      </c>
      <c r="C740" s="8">
        <v>45567</v>
      </c>
      <c r="D740" t="s">
        <v>32</v>
      </c>
      <c r="E740" t="s">
        <v>3037</v>
      </c>
      <c r="F740" t="s">
        <v>3074</v>
      </c>
      <c r="G740" t="s">
        <v>1453</v>
      </c>
      <c r="H740">
        <v>9021530135</v>
      </c>
      <c r="I740" t="s">
        <v>24</v>
      </c>
      <c r="J740" t="s">
        <v>61</v>
      </c>
      <c r="K740" t="s">
        <v>182</v>
      </c>
      <c r="L740" t="s">
        <v>108</v>
      </c>
      <c r="M740" t="s">
        <v>114</v>
      </c>
      <c r="N740" t="s">
        <v>115</v>
      </c>
      <c r="O740">
        <v>13</v>
      </c>
      <c r="P740">
        <v>21354.97</v>
      </c>
      <c r="Q740">
        <v>20</v>
      </c>
      <c r="R740" s="39">
        <v>55522.92</v>
      </c>
      <c r="S740" s="39">
        <v>222091.69</v>
      </c>
      <c r="T740" s="39">
        <v>27937.75</v>
      </c>
      <c r="U740" t="str">
        <f t="shared" si="25"/>
        <v>Clothing</v>
      </c>
      <c r="V740">
        <f t="shared" si="26"/>
        <v>27937.75</v>
      </c>
      <c r="W740" t="str">
        <f>IF(Sales[[#This Row],[Quantity]]&gt;=15, "Large","Small")</f>
        <v>Small</v>
      </c>
      <c r="X740" t="str">
        <f>IF(Sales[[#This Row],[Quantity]]&gt;=15,"Large",IF(Sales[[#This Row],[Quantity]]=14,"Medium","Small"))</f>
        <v>Small</v>
      </c>
      <c r="Y740" t="str">
        <f>IF(AND(Sales[[#This Row],[Unit Price (₦)]]&gt;68000,Sales[[#This Row],[Quantity]]&gt;15),"Offer Discount", "No Discount")</f>
        <v>No Discount</v>
      </c>
    </row>
    <row r="741" spans="1:25" ht="15" customHeight="1" x14ac:dyDescent="0.25">
      <c r="A741" t="s">
        <v>240</v>
      </c>
      <c r="B741" s="8">
        <v>45567</v>
      </c>
      <c r="C741" s="8">
        <v>45568</v>
      </c>
      <c r="D741" t="s">
        <v>32</v>
      </c>
      <c r="E741" t="s">
        <v>3047</v>
      </c>
      <c r="F741" t="s">
        <v>3050</v>
      </c>
      <c r="G741" t="s">
        <v>242</v>
      </c>
      <c r="H741">
        <v>8137784725</v>
      </c>
      <c r="I741" t="s">
        <v>35</v>
      </c>
      <c r="J741" t="s">
        <v>69</v>
      </c>
      <c r="K741" t="s">
        <v>155</v>
      </c>
      <c r="L741" t="s">
        <v>85</v>
      </c>
      <c r="M741" t="s">
        <v>243</v>
      </c>
      <c r="N741" t="s">
        <v>244</v>
      </c>
      <c r="O741">
        <v>18</v>
      </c>
      <c r="P741">
        <v>71471.520000000004</v>
      </c>
      <c r="Q741">
        <v>25</v>
      </c>
      <c r="R741" s="39">
        <v>321621.84000000003</v>
      </c>
      <c r="S741" s="39">
        <v>964865.52</v>
      </c>
      <c r="T741" s="39">
        <v>54277.97</v>
      </c>
      <c r="U741" t="str">
        <f t="shared" si="25"/>
        <v>Furniture</v>
      </c>
      <c r="V741">
        <f t="shared" si="26"/>
        <v>54277.97</v>
      </c>
      <c r="W741" t="str">
        <f>IF(Sales[[#This Row],[Quantity]]&gt;=15, "Large","Small")</f>
        <v>Large</v>
      </c>
      <c r="X741" t="str">
        <f>IF(Sales[[#This Row],[Quantity]]&gt;=15,"Large",IF(Sales[[#This Row],[Quantity]]=14,"Medium","Small"))</f>
        <v>Large</v>
      </c>
      <c r="Y741" t="str">
        <f>IF(AND(Sales[[#This Row],[Unit Price (₦)]]&gt;68000,Sales[[#This Row],[Quantity]]&gt;15),"Offer Discount", "No Discount")</f>
        <v>Offer Discount</v>
      </c>
    </row>
    <row r="742" spans="1:25" ht="15" customHeight="1" x14ac:dyDescent="0.25">
      <c r="A742" t="s">
        <v>1218</v>
      </c>
      <c r="B742" s="8">
        <v>45570</v>
      </c>
      <c r="C742" s="8">
        <v>45570</v>
      </c>
      <c r="D742" t="s">
        <v>32</v>
      </c>
      <c r="E742" t="s">
        <v>3085</v>
      </c>
      <c r="F742" t="s">
        <v>3043</v>
      </c>
      <c r="G742" t="s">
        <v>1221</v>
      </c>
      <c r="H742">
        <v>8131026523</v>
      </c>
      <c r="I742" t="s">
        <v>24</v>
      </c>
      <c r="J742" t="s">
        <v>69</v>
      </c>
      <c r="K742" t="s">
        <v>155</v>
      </c>
      <c r="L742" t="s">
        <v>96</v>
      </c>
      <c r="M742" t="s">
        <v>120</v>
      </c>
      <c r="N742" t="s">
        <v>133</v>
      </c>
      <c r="O742">
        <v>4</v>
      </c>
      <c r="P742">
        <v>287075.42</v>
      </c>
      <c r="Q742">
        <v>5</v>
      </c>
      <c r="R742" s="39">
        <v>57415.08</v>
      </c>
      <c r="S742" s="39">
        <v>1090886.6000000001</v>
      </c>
      <c r="T742" s="39">
        <v>359707.43</v>
      </c>
      <c r="U742" t="str">
        <f t="shared" si="25"/>
        <v>Technology</v>
      </c>
      <c r="V742">
        <f t="shared" si="26"/>
        <v>359707.43</v>
      </c>
      <c r="W742" t="str">
        <f>IF(Sales[[#This Row],[Quantity]]&gt;=15, "Large","Small")</f>
        <v>Small</v>
      </c>
      <c r="X742" t="str">
        <f>IF(Sales[[#This Row],[Quantity]]&gt;=15,"Large",IF(Sales[[#This Row],[Quantity]]=14,"Medium","Small"))</f>
        <v>Small</v>
      </c>
      <c r="Y742" t="str">
        <f>IF(AND(Sales[[#This Row],[Unit Price (₦)]]&gt;68000,Sales[[#This Row],[Quantity]]&gt;15),"Offer Discount", "No Discount")</f>
        <v>No Discount</v>
      </c>
    </row>
    <row r="743" spans="1:25" ht="15" customHeight="1" x14ac:dyDescent="0.25">
      <c r="A743" t="s">
        <v>2474</v>
      </c>
      <c r="B743" s="8">
        <v>45580</v>
      </c>
      <c r="C743" s="8">
        <v>45581</v>
      </c>
      <c r="D743" t="s">
        <v>32</v>
      </c>
      <c r="E743" t="s">
        <v>3044</v>
      </c>
      <c r="F743" t="s">
        <v>3062</v>
      </c>
      <c r="G743" t="s">
        <v>2476</v>
      </c>
      <c r="H743" t="s">
        <v>649</v>
      </c>
      <c r="I743" t="s">
        <v>24</v>
      </c>
      <c r="J743" t="s">
        <v>25</v>
      </c>
      <c r="K743" t="s">
        <v>168</v>
      </c>
      <c r="L743" t="s">
        <v>27</v>
      </c>
      <c r="M743" t="s">
        <v>79</v>
      </c>
      <c r="N743" t="s">
        <v>80</v>
      </c>
      <c r="O743">
        <v>5</v>
      </c>
      <c r="P743">
        <v>3970.02</v>
      </c>
      <c r="Q743">
        <v>0</v>
      </c>
      <c r="R743" s="39">
        <v>0</v>
      </c>
      <c r="S743" s="39">
        <v>19850.099999999999</v>
      </c>
      <c r="T743" s="39">
        <v>5145.2299999999996</v>
      </c>
      <c r="U743" t="str">
        <f t="shared" si="25"/>
        <v>Food &amp; Beverages</v>
      </c>
      <c r="V743">
        <f t="shared" si="26"/>
        <v>5145.2299999999996</v>
      </c>
      <c r="W743" t="str">
        <f>IF(Sales[[#This Row],[Quantity]]&gt;=15, "Large","Small")</f>
        <v>Small</v>
      </c>
      <c r="X743" t="str">
        <f>IF(Sales[[#This Row],[Quantity]]&gt;=15,"Large",IF(Sales[[#This Row],[Quantity]]=14,"Medium","Small"))</f>
        <v>Small</v>
      </c>
      <c r="Y743" t="str">
        <f>IF(AND(Sales[[#This Row],[Unit Price (₦)]]&gt;68000,Sales[[#This Row],[Quantity]]&gt;15),"Offer Discount", "No Discount")</f>
        <v>No Discount</v>
      </c>
    </row>
    <row r="744" spans="1:25" ht="15" customHeight="1" x14ac:dyDescent="0.25">
      <c r="A744" t="s">
        <v>2591</v>
      </c>
      <c r="B744" s="8">
        <v>45584</v>
      </c>
      <c r="C744" s="8">
        <v>45585</v>
      </c>
      <c r="D744" t="s">
        <v>32</v>
      </c>
      <c r="E744" t="s">
        <v>3068</v>
      </c>
      <c r="F744" t="s">
        <v>3086</v>
      </c>
      <c r="G744" t="s">
        <v>2592</v>
      </c>
      <c r="H744">
        <v>8142002613</v>
      </c>
      <c r="I744" t="s">
        <v>35</v>
      </c>
      <c r="J744" t="s">
        <v>51</v>
      </c>
      <c r="K744" t="s">
        <v>131</v>
      </c>
      <c r="L744" t="s">
        <v>63</v>
      </c>
      <c r="M744" t="s">
        <v>249</v>
      </c>
      <c r="N744" t="s">
        <v>465</v>
      </c>
      <c r="O744">
        <v>16</v>
      </c>
      <c r="P744">
        <v>23847.279999999999</v>
      </c>
      <c r="Q744">
        <v>10</v>
      </c>
      <c r="R744" s="39">
        <v>38155.65</v>
      </c>
      <c r="S744" s="39">
        <v>343400.83</v>
      </c>
      <c r="T744" s="39">
        <v>-22359.97</v>
      </c>
      <c r="U744" t="str">
        <f t="shared" si="25"/>
        <v>Office Supplies</v>
      </c>
      <c r="V744">
        <f t="shared" si="26"/>
        <v>22359.97</v>
      </c>
      <c r="W744" t="str">
        <f>IF(Sales[[#This Row],[Quantity]]&gt;=15, "Large","Small")</f>
        <v>Large</v>
      </c>
      <c r="X744" t="str">
        <f>IF(Sales[[#This Row],[Quantity]]&gt;=15,"Large",IF(Sales[[#This Row],[Quantity]]=14,"Medium","Small"))</f>
        <v>Large</v>
      </c>
      <c r="Y744" t="str">
        <f>IF(AND(Sales[[#This Row],[Unit Price (₦)]]&gt;68000,Sales[[#This Row],[Quantity]]&gt;15),"Offer Discount", "No Discount")</f>
        <v>No Discount</v>
      </c>
    </row>
    <row r="745" spans="1:25" ht="15" customHeight="1" x14ac:dyDescent="0.25">
      <c r="A745" t="s">
        <v>1241</v>
      </c>
      <c r="B745" s="8">
        <v>45586</v>
      </c>
      <c r="C745" s="8">
        <v>45586</v>
      </c>
      <c r="D745" t="s">
        <v>32</v>
      </c>
      <c r="E745" t="s">
        <v>3050</v>
      </c>
      <c r="F745" t="s">
        <v>3074</v>
      </c>
      <c r="G745" t="s">
        <v>1243</v>
      </c>
      <c r="H745">
        <v>9019785019</v>
      </c>
      <c r="I745" t="s">
        <v>35</v>
      </c>
      <c r="J745" t="s">
        <v>69</v>
      </c>
      <c r="K745" t="s">
        <v>155</v>
      </c>
      <c r="L745" t="s">
        <v>63</v>
      </c>
      <c r="M745" t="s">
        <v>194</v>
      </c>
      <c r="N745" t="s">
        <v>716</v>
      </c>
      <c r="O745">
        <v>4</v>
      </c>
      <c r="P745">
        <v>4010.73</v>
      </c>
      <c r="Q745">
        <v>25</v>
      </c>
      <c r="R745" s="39">
        <v>4010.73</v>
      </c>
      <c r="S745" s="39">
        <v>12032.19</v>
      </c>
      <c r="T745" s="39">
        <v>3080.61</v>
      </c>
      <c r="U745" t="str">
        <f t="shared" si="25"/>
        <v>Office Supplies</v>
      </c>
      <c r="V745">
        <f t="shared" si="26"/>
        <v>3080.61</v>
      </c>
      <c r="W745" t="str">
        <f>IF(Sales[[#This Row],[Quantity]]&gt;=15, "Large","Small")</f>
        <v>Small</v>
      </c>
      <c r="X745" t="str">
        <f>IF(Sales[[#This Row],[Quantity]]&gt;=15,"Large",IF(Sales[[#This Row],[Quantity]]=14,"Medium","Small"))</f>
        <v>Small</v>
      </c>
      <c r="Y745" t="str">
        <f>IF(AND(Sales[[#This Row],[Unit Price (₦)]]&gt;68000,Sales[[#This Row],[Quantity]]&gt;15),"Offer Discount", "No Discount")</f>
        <v>No Discount</v>
      </c>
    </row>
    <row r="746" spans="1:25" ht="15" customHeight="1" x14ac:dyDescent="0.25">
      <c r="A746" t="s">
        <v>939</v>
      </c>
      <c r="B746" s="8">
        <v>45588</v>
      </c>
      <c r="C746" s="8">
        <v>45588</v>
      </c>
      <c r="D746" t="s">
        <v>32</v>
      </c>
      <c r="E746" t="s">
        <v>3055</v>
      </c>
      <c r="F746" t="s">
        <v>3078</v>
      </c>
      <c r="G746" t="s">
        <v>941</v>
      </c>
      <c r="H746">
        <v>8147176462</v>
      </c>
      <c r="I746" t="s">
        <v>43</v>
      </c>
      <c r="J746" t="s">
        <v>51</v>
      </c>
      <c r="K746" t="s">
        <v>223</v>
      </c>
      <c r="L746" t="s">
        <v>96</v>
      </c>
      <c r="M746" t="s">
        <v>385</v>
      </c>
      <c r="N746" t="s">
        <v>942</v>
      </c>
      <c r="O746">
        <v>13</v>
      </c>
      <c r="P746">
        <v>52979.31</v>
      </c>
      <c r="Q746">
        <v>0</v>
      </c>
      <c r="R746" s="39">
        <v>0</v>
      </c>
      <c r="S746" s="39">
        <v>688731.03</v>
      </c>
      <c r="T746" s="39">
        <v>15857.08</v>
      </c>
      <c r="U746" t="str">
        <f t="shared" si="25"/>
        <v>Technology</v>
      </c>
      <c r="V746">
        <f t="shared" si="26"/>
        <v>15857.08</v>
      </c>
      <c r="W746" t="str">
        <f>IF(Sales[[#This Row],[Quantity]]&gt;=15, "Large","Small")</f>
        <v>Small</v>
      </c>
      <c r="X746" t="str">
        <f>IF(Sales[[#This Row],[Quantity]]&gt;=15,"Large",IF(Sales[[#This Row],[Quantity]]=14,"Medium","Small"))</f>
        <v>Small</v>
      </c>
      <c r="Y746" t="str">
        <f>IF(AND(Sales[[#This Row],[Unit Price (₦)]]&gt;68000,Sales[[#This Row],[Quantity]]&gt;15),"Offer Discount", "No Discount")</f>
        <v>No Discount</v>
      </c>
    </row>
    <row r="747" spans="1:25" ht="15" customHeight="1" x14ac:dyDescent="0.25">
      <c r="A747" t="s">
        <v>1197</v>
      </c>
      <c r="B747" s="8">
        <v>45609</v>
      </c>
      <c r="C747" s="8">
        <v>45609</v>
      </c>
      <c r="D747" t="s">
        <v>32</v>
      </c>
      <c r="E747" t="s">
        <v>3098</v>
      </c>
      <c r="F747" t="s">
        <v>3077</v>
      </c>
      <c r="G747" t="s">
        <v>1199</v>
      </c>
      <c r="H747">
        <v>8033866974</v>
      </c>
      <c r="I747" t="s">
        <v>35</v>
      </c>
      <c r="J747" t="s">
        <v>69</v>
      </c>
      <c r="K747" t="s">
        <v>144</v>
      </c>
      <c r="L747" t="s">
        <v>63</v>
      </c>
      <c r="M747" t="s">
        <v>312</v>
      </c>
      <c r="N747" t="s">
        <v>736</v>
      </c>
      <c r="O747">
        <v>5</v>
      </c>
      <c r="P747">
        <v>4472.04</v>
      </c>
      <c r="Q747">
        <v>0</v>
      </c>
      <c r="R747" s="39">
        <v>0</v>
      </c>
      <c r="S747" s="39">
        <v>22360.2</v>
      </c>
      <c r="T747" s="39">
        <v>6965.07</v>
      </c>
      <c r="U747" t="str">
        <f t="shared" si="25"/>
        <v>Office Supplies</v>
      </c>
      <c r="V747">
        <f t="shared" si="26"/>
        <v>6965.07</v>
      </c>
      <c r="W747" t="str">
        <f>IF(Sales[[#This Row],[Quantity]]&gt;=15, "Large","Small")</f>
        <v>Small</v>
      </c>
      <c r="X747" t="str">
        <f>IF(Sales[[#This Row],[Quantity]]&gt;=15,"Large",IF(Sales[[#This Row],[Quantity]]=14,"Medium","Small"))</f>
        <v>Small</v>
      </c>
      <c r="Y747" t="str">
        <f>IF(AND(Sales[[#This Row],[Unit Price (₦)]]&gt;68000,Sales[[#This Row],[Quantity]]&gt;15),"Offer Discount", "No Discount")</f>
        <v>No Discount</v>
      </c>
    </row>
    <row r="748" spans="1:25" ht="15" customHeight="1" x14ac:dyDescent="0.25">
      <c r="A748" t="s">
        <v>2343</v>
      </c>
      <c r="B748" s="8">
        <v>45609</v>
      </c>
      <c r="C748" s="8">
        <v>45609</v>
      </c>
      <c r="D748" t="s">
        <v>32</v>
      </c>
      <c r="E748" t="str">
        <f>E749</f>
        <v>Yemi</v>
      </c>
      <c r="F748" t="str">
        <f>F747</f>
        <v>Otedola</v>
      </c>
      <c r="G748" t="s">
        <v>2344</v>
      </c>
      <c r="H748">
        <v>9015015044</v>
      </c>
      <c r="I748" t="s">
        <v>24</v>
      </c>
      <c r="J748" t="s">
        <v>25</v>
      </c>
      <c r="K748" t="s">
        <v>36</v>
      </c>
      <c r="L748" t="s">
        <v>85</v>
      </c>
      <c r="M748" t="s">
        <v>486</v>
      </c>
      <c r="N748" t="s">
        <v>1193</v>
      </c>
      <c r="O748">
        <v>10</v>
      </c>
      <c r="P748">
        <v>63508.56</v>
      </c>
      <c r="Q748">
        <v>0</v>
      </c>
      <c r="R748" s="39">
        <v>0</v>
      </c>
      <c r="S748" s="39">
        <v>635085.6</v>
      </c>
      <c r="T748" s="39">
        <v>245566.89</v>
      </c>
      <c r="U748" t="str">
        <f t="shared" si="25"/>
        <v>Furniture</v>
      </c>
      <c r="V748">
        <f t="shared" si="26"/>
        <v>245566.89</v>
      </c>
      <c r="W748" t="str">
        <f>IF(Sales[[#This Row],[Quantity]]&gt;=15, "Large","Small")</f>
        <v>Small</v>
      </c>
      <c r="X748" t="str">
        <f>IF(Sales[[#This Row],[Quantity]]&gt;=15,"Large",IF(Sales[[#This Row],[Quantity]]=14,"Medium","Small"))</f>
        <v>Small</v>
      </c>
      <c r="Y748" t="str">
        <f>IF(AND(Sales[[#This Row],[Unit Price (₦)]]&gt;68000,Sales[[#This Row],[Quantity]]&gt;15),"Offer Discount", "No Discount")</f>
        <v>No Discount</v>
      </c>
    </row>
    <row r="749" spans="1:25" ht="15" customHeight="1" x14ac:dyDescent="0.25">
      <c r="A749" t="s">
        <v>2240</v>
      </c>
      <c r="B749" s="8">
        <v>45615</v>
      </c>
      <c r="C749" s="8">
        <v>45615</v>
      </c>
      <c r="D749" t="s">
        <v>32</v>
      </c>
      <c r="E749" t="s">
        <v>3072</v>
      </c>
      <c r="F749" t="s">
        <v>3066</v>
      </c>
      <c r="G749" t="s">
        <v>2241</v>
      </c>
      <c r="H749">
        <v>7063135445</v>
      </c>
      <c r="I749" t="s">
        <v>43</v>
      </c>
      <c r="J749" t="s">
        <v>61</v>
      </c>
      <c r="K749" t="s">
        <v>182</v>
      </c>
      <c r="L749" t="s">
        <v>96</v>
      </c>
      <c r="M749" t="s">
        <v>385</v>
      </c>
      <c r="N749" t="s">
        <v>1010</v>
      </c>
      <c r="O749">
        <v>6</v>
      </c>
      <c r="P749">
        <v>340444.71</v>
      </c>
      <c r="Q749">
        <v>5</v>
      </c>
      <c r="R749" s="39">
        <v>102133.41</v>
      </c>
      <c r="S749" s="39">
        <v>1940534.85</v>
      </c>
      <c r="T749" s="39">
        <v>218428.07</v>
      </c>
      <c r="U749" t="str">
        <f t="shared" si="25"/>
        <v>Technology</v>
      </c>
      <c r="V749">
        <f t="shared" si="26"/>
        <v>218428.07</v>
      </c>
      <c r="W749" t="str">
        <f>IF(Sales[[#This Row],[Quantity]]&gt;=15, "Large","Small")</f>
        <v>Small</v>
      </c>
      <c r="X749" t="str">
        <f>IF(Sales[[#This Row],[Quantity]]&gt;=15,"Large",IF(Sales[[#This Row],[Quantity]]=14,"Medium","Small"))</f>
        <v>Small</v>
      </c>
      <c r="Y749" t="str">
        <f>IF(AND(Sales[[#This Row],[Unit Price (₦)]]&gt;68000,Sales[[#This Row],[Quantity]]&gt;15),"Offer Discount", "No Discount")</f>
        <v>No Discount</v>
      </c>
    </row>
    <row r="750" spans="1:25" ht="15" customHeight="1" x14ac:dyDescent="0.25">
      <c r="A750" t="s">
        <v>509</v>
      </c>
      <c r="B750" s="8">
        <v>45616</v>
      </c>
      <c r="C750" s="8">
        <v>45617</v>
      </c>
      <c r="D750" t="s">
        <v>32</v>
      </c>
      <c r="E750" t="s">
        <v>3089</v>
      </c>
      <c r="F750" t="s">
        <v>3064</v>
      </c>
      <c r="G750" t="s">
        <v>511</v>
      </c>
      <c r="H750" t="s">
        <v>512</v>
      </c>
      <c r="I750" t="s">
        <v>35</v>
      </c>
      <c r="J750" t="s">
        <v>51</v>
      </c>
      <c r="K750" t="s">
        <v>131</v>
      </c>
      <c r="L750" t="s">
        <v>108</v>
      </c>
      <c r="M750" t="s">
        <v>189</v>
      </c>
      <c r="N750" t="s">
        <v>478</v>
      </c>
      <c r="O750">
        <v>7</v>
      </c>
      <c r="P750">
        <v>43567.53</v>
      </c>
      <c r="Q750">
        <v>10</v>
      </c>
      <c r="R750" s="39">
        <v>30497.27</v>
      </c>
      <c r="S750" s="39">
        <v>274475.44</v>
      </c>
      <c r="T750" s="39">
        <v>-33158.04</v>
      </c>
      <c r="U750" t="str">
        <f t="shared" si="25"/>
        <v>Clothing</v>
      </c>
      <c r="V750">
        <f t="shared" si="26"/>
        <v>33158.04</v>
      </c>
      <c r="W750" t="str">
        <f>IF(Sales[[#This Row],[Quantity]]&gt;=15, "Large","Small")</f>
        <v>Small</v>
      </c>
      <c r="X750" t="str">
        <f>IF(Sales[[#This Row],[Quantity]]&gt;=15,"Large",IF(Sales[[#This Row],[Quantity]]=14,"Medium","Small"))</f>
        <v>Small</v>
      </c>
      <c r="Y750" t="str">
        <f>IF(AND(Sales[[#This Row],[Unit Price (₦)]]&gt;68000,Sales[[#This Row],[Quantity]]&gt;15),"Offer Discount", "No Discount")</f>
        <v>No Discount</v>
      </c>
    </row>
    <row r="751" spans="1:25" ht="15" customHeight="1" x14ac:dyDescent="0.25">
      <c r="A751" t="s">
        <v>2453</v>
      </c>
      <c r="B751" s="8">
        <v>45624</v>
      </c>
      <c r="C751" s="8">
        <v>45625</v>
      </c>
      <c r="D751" t="s">
        <v>32</v>
      </c>
      <c r="E751" t="s">
        <v>3063</v>
      </c>
      <c r="F751" t="s">
        <v>3088</v>
      </c>
      <c r="G751" t="s">
        <v>2454</v>
      </c>
      <c r="H751">
        <v>9052653843</v>
      </c>
      <c r="I751" t="s">
        <v>24</v>
      </c>
      <c r="J751" t="s">
        <v>69</v>
      </c>
      <c r="K751" t="s">
        <v>155</v>
      </c>
      <c r="L751" t="s">
        <v>108</v>
      </c>
      <c r="M751" t="s">
        <v>79</v>
      </c>
      <c r="N751" t="s">
        <v>145</v>
      </c>
      <c r="O751">
        <v>8</v>
      </c>
      <c r="P751">
        <v>7743.82</v>
      </c>
      <c r="Q751">
        <v>10</v>
      </c>
      <c r="R751" s="39">
        <v>6195.06</v>
      </c>
      <c r="S751" s="39">
        <v>55755.5</v>
      </c>
      <c r="T751" s="39">
        <v>11043.67</v>
      </c>
      <c r="U751" t="str">
        <f t="shared" si="25"/>
        <v>Clothing</v>
      </c>
      <c r="V751">
        <f t="shared" si="26"/>
        <v>11043.67</v>
      </c>
      <c r="W751" t="str">
        <f>IF(Sales[[#This Row],[Quantity]]&gt;=15, "Large","Small")</f>
        <v>Small</v>
      </c>
      <c r="X751" t="str">
        <f>IF(Sales[[#This Row],[Quantity]]&gt;=15,"Large",IF(Sales[[#This Row],[Quantity]]=14,"Medium","Small"))</f>
        <v>Small</v>
      </c>
      <c r="Y751" t="str">
        <f>IF(AND(Sales[[#This Row],[Unit Price (₦)]]&gt;68000,Sales[[#This Row],[Quantity]]&gt;15),"Offer Discount", "No Discount")</f>
        <v>No Discount</v>
      </c>
    </row>
    <row r="752" spans="1:25" ht="15" customHeight="1" x14ac:dyDescent="0.25">
      <c r="A752" t="s">
        <v>360</v>
      </c>
      <c r="B752" s="8">
        <v>45639</v>
      </c>
      <c r="C752" s="8">
        <v>45639</v>
      </c>
      <c r="D752" t="s">
        <v>32</v>
      </c>
      <c r="E752" t="s">
        <v>3044</v>
      </c>
      <c r="F752" t="s">
        <v>3083</v>
      </c>
      <c r="G752" t="s">
        <v>362</v>
      </c>
      <c r="H752">
        <v>9027074006</v>
      </c>
      <c r="I752" t="s">
        <v>35</v>
      </c>
      <c r="J752" t="s">
        <v>51</v>
      </c>
      <c r="K752" t="s">
        <v>52</v>
      </c>
      <c r="L752" t="s">
        <v>27</v>
      </c>
      <c r="M752" t="s">
        <v>173</v>
      </c>
      <c r="N752" t="s">
        <v>279</v>
      </c>
      <c r="O752">
        <v>8</v>
      </c>
      <c r="P752">
        <v>3780.44</v>
      </c>
      <c r="Q752">
        <v>0</v>
      </c>
      <c r="R752" s="39">
        <v>0</v>
      </c>
      <c r="S752" s="39">
        <v>30243.52</v>
      </c>
      <c r="T752" s="39">
        <v>8660.1</v>
      </c>
      <c r="U752" t="str">
        <f t="shared" si="25"/>
        <v>Food &amp; Beverages</v>
      </c>
      <c r="V752">
        <f t="shared" si="26"/>
        <v>8660.1</v>
      </c>
      <c r="W752" t="str">
        <f>IF(Sales[[#This Row],[Quantity]]&gt;=15, "Large","Small")</f>
        <v>Small</v>
      </c>
      <c r="X752" t="str">
        <f>IF(Sales[[#This Row],[Quantity]]&gt;=15,"Large",IF(Sales[[#This Row],[Quantity]]=14,"Medium","Small"))</f>
        <v>Small</v>
      </c>
      <c r="Y752" t="str">
        <f>IF(AND(Sales[[#This Row],[Unit Price (₦)]]&gt;68000,Sales[[#This Row],[Quantity]]&gt;15),"Offer Discount", "No Discount")</f>
        <v>No Discount</v>
      </c>
    </row>
    <row r="753" spans="1:25" ht="15" customHeight="1" x14ac:dyDescent="0.25">
      <c r="A753" t="s">
        <v>607</v>
      </c>
      <c r="B753" s="8">
        <v>45654</v>
      </c>
      <c r="C753" s="8">
        <v>45655</v>
      </c>
      <c r="D753" t="s">
        <v>32</v>
      </c>
      <c r="E753" t="s">
        <v>3093</v>
      </c>
      <c r="F753" t="s">
        <v>3036</v>
      </c>
      <c r="G753" t="s">
        <v>609</v>
      </c>
      <c r="H753">
        <v>8159342928</v>
      </c>
      <c r="I753" t="s">
        <v>43</v>
      </c>
      <c r="J753" t="s">
        <v>51</v>
      </c>
      <c r="K753" t="s">
        <v>223</v>
      </c>
      <c r="L753" t="s">
        <v>108</v>
      </c>
      <c r="M753" t="s">
        <v>114</v>
      </c>
      <c r="N753" t="s">
        <v>115</v>
      </c>
      <c r="O753">
        <v>11</v>
      </c>
      <c r="P753">
        <v>34750.050000000003</v>
      </c>
      <c r="Q753">
        <v>5</v>
      </c>
      <c r="R753" s="39">
        <v>19112.53</v>
      </c>
      <c r="S753" s="39">
        <v>363138.02</v>
      </c>
      <c r="T753" s="39">
        <v>26299.53</v>
      </c>
      <c r="U753" t="str">
        <f t="shared" si="25"/>
        <v>Clothing</v>
      </c>
      <c r="V753">
        <f t="shared" si="26"/>
        <v>26299.53</v>
      </c>
      <c r="W753" t="str">
        <f>IF(Sales[[#This Row],[Quantity]]&gt;=15, "Large","Small")</f>
        <v>Small</v>
      </c>
      <c r="X753" t="str">
        <f>IF(Sales[[#This Row],[Quantity]]&gt;=15,"Large",IF(Sales[[#This Row],[Quantity]]=14,"Medium","Small"))</f>
        <v>Small</v>
      </c>
      <c r="Y753" t="str">
        <f>IF(AND(Sales[[#This Row],[Unit Price (₦)]]&gt;68000,Sales[[#This Row],[Quantity]]&gt;15),"Offer Discount", "No Discount")</f>
        <v>No Discount</v>
      </c>
    </row>
    <row r="754" spans="1:25" ht="15" customHeight="1" x14ac:dyDescent="0.25">
      <c r="A754" t="s">
        <v>1490</v>
      </c>
      <c r="B754" s="8">
        <v>45654</v>
      </c>
      <c r="C754" s="8">
        <v>45655</v>
      </c>
      <c r="D754" t="s">
        <v>32</v>
      </c>
      <c r="E754" t="s">
        <v>3056</v>
      </c>
      <c r="F754" t="s">
        <v>3074</v>
      </c>
      <c r="G754" t="s">
        <v>1492</v>
      </c>
      <c r="H754">
        <v>8145133011</v>
      </c>
      <c r="I754" t="s">
        <v>35</v>
      </c>
      <c r="J754" t="s">
        <v>51</v>
      </c>
      <c r="K754" t="s">
        <v>227</v>
      </c>
      <c r="L754" t="s">
        <v>63</v>
      </c>
      <c r="M754" t="s">
        <v>194</v>
      </c>
      <c r="N754" t="s">
        <v>336</v>
      </c>
      <c r="O754">
        <v>12</v>
      </c>
      <c r="P754">
        <v>9393.4500000000007</v>
      </c>
      <c r="Q754">
        <v>10</v>
      </c>
      <c r="R754" s="39">
        <v>11272.14</v>
      </c>
      <c r="S754" s="39">
        <v>101449.26</v>
      </c>
      <c r="T754" s="39">
        <v>-13934.61</v>
      </c>
      <c r="U754" t="str">
        <f t="shared" si="25"/>
        <v>Office Supplies</v>
      </c>
      <c r="V754">
        <f t="shared" si="26"/>
        <v>13934.61</v>
      </c>
      <c r="W754" t="str">
        <f>IF(Sales[[#This Row],[Quantity]]&gt;=15, "Large","Small")</f>
        <v>Small</v>
      </c>
      <c r="X754" t="str">
        <f>IF(Sales[[#This Row],[Quantity]]&gt;=15,"Large",IF(Sales[[#This Row],[Quantity]]=14,"Medium","Small"))</f>
        <v>Small</v>
      </c>
      <c r="Y754" t="str">
        <f>IF(AND(Sales[[#This Row],[Unit Price (₦)]]&gt;68000,Sales[[#This Row],[Quantity]]&gt;15),"Offer Discount", "No Discount")</f>
        <v>No Discount</v>
      </c>
    </row>
    <row r="755" spans="1:25" ht="15" customHeight="1" x14ac:dyDescent="0.25">
      <c r="A755" t="s">
        <v>943</v>
      </c>
      <c r="B755" s="8">
        <v>45655</v>
      </c>
      <c r="C755" s="8">
        <v>45656</v>
      </c>
      <c r="D755" t="s">
        <v>32</v>
      </c>
      <c r="E755" t="s">
        <v>3068</v>
      </c>
      <c r="F755" t="s">
        <v>3079</v>
      </c>
      <c r="G755" t="s">
        <v>945</v>
      </c>
      <c r="H755">
        <v>8152786278</v>
      </c>
      <c r="I755" t="s">
        <v>24</v>
      </c>
      <c r="J755" t="s">
        <v>69</v>
      </c>
      <c r="K755" t="s">
        <v>155</v>
      </c>
      <c r="L755" t="s">
        <v>96</v>
      </c>
      <c r="M755" t="s">
        <v>189</v>
      </c>
      <c r="N755" t="s">
        <v>190</v>
      </c>
      <c r="O755">
        <v>2</v>
      </c>
      <c r="P755">
        <v>38083.269999999997</v>
      </c>
      <c r="Q755">
        <v>5</v>
      </c>
      <c r="R755" s="39">
        <v>3808.33</v>
      </c>
      <c r="S755" s="39">
        <v>72358.210000000006</v>
      </c>
      <c r="T755" s="39">
        <v>737.11</v>
      </c>
      <c r="U755" t="str">
        <f t="shared" si="25"/>
        <v>Technology</v>
      </c>
      <c r="V755">
        <f t="shared" si="26"/>
        <v>737.11</v>
      </c>
      <c r="W755" t="str">
        <f>IF(Sales[[#This Row],[Quantity]]&gt;=15, "Large","Small")</f>
        <v>Small</v>
      </c>
      <c r="X755" t="str">
        <f>IF(Sales[[#This Row],[Quantity]]&gt;=15,"Large",IF(Sales[[#This Row],[Quantity]]=14,"Medium","Small"))</f>
        <v>Small</v>
      </c>
      <c r="Y755" t="str">
        <f>IF(AND(Sales[[#This Row],[Unit Price (₦)]]&gt;68000,Sales[[#This Row],[Quantity]]&gt;15),"Offer Discount", "No Discount")</f>
        <v>No Discount</v>
      </c>
    </row>
    <row r="756" spans="1:25" ht="15" customHeight="1" x14ac:dyDescent="0.25">
      <c r="A756" t="s">
        <v>1933</v>
      </c>
      <c r="B756" s="8">
        <v>45655</v>
      </c>
      <c r="C756" s="8">
        <v>45656</v>
      </c>
      <c r="D756" t="s">
        <v>32</v>
      </c>
      <c r="E756" t="s">
        <v>3037</v>
      </c>
      <c r="F756" t="s">
        <v>3077</v>
      </c>
      <c r="G756" t="s">
        <v>1935</v>
      </c>
      <c r="H756">
        <v>7062402872</v>
      </c>
      <c r="I756" t="s">
        <v>43</v>
      </c>
      <c r="J756" t="s">
        <v>61</v>
      </c>
      <c r="K756" t="s">
        <v>204</v>
      </c>
      <c r="L756" t="s">
        <v>27</v>
      </c>
      <c r="M756" t="s">
        <v>28</v>
      </c>
      <c r="N756" t="s">
        <v>347</v>
      </c>
      <c r="O756">
        <v>8</v>
      </c>
      <c r="P756">
        <v>4749.6499999999996</v>
      </c>
      <c r="Q756">
        <v>0</v>
      </c>
      <c r="R756" s="39">
        <v>0</v>
      </c>
      <c r="S756" s="39">
        <v>37997.199999999997</v>
      </c>
      <c r="T756" s="39">
        <v>-337.57</v>
      </c>
      <c r="U756" t="str">
        <f t="shared" si="25"/>
        <v>Food &amp; Beverages</v>
      </c>
      <c r="V756">
        <f t="shared" si="26"/>
        <v>337.57</v>
      </c>
      <c r="W756" t="str">
        <f>IF(Sales[[#This Row],[Quantity]]&gt;=15, "Large","Small")</f>
        <v>Small</v>
      </c>
      <c r="X756" t="str">
        <f>IF(Sales[[#This Row],[Quantity]]&gt;=15,"Large",IF(Sales[[#This Row],[Quantity]]=14,"Medium","Small"))</f>
        <v>Small</v>
      </c>
      <c r="Y756" t="str">
        <f>IF(AND(Sales[[#This Row],[Unit Price (₦)]]&gt;68000,Sales[[#This Row],[Quantity]]&gt;15),"Offer Discount", "No Discount")</f>
        <v>No Discount</v>
      </c>
    </row>
    <row r="757" spans="1:25" ht="15" customHeight="1" x14ac:dyDescent="0.25">
      <c r="A757" t="s">
        <v>2964</v>
      </c>
      <c r="B757" s="8">
        <v>45656</v>
      </c>
      <c r="C757" s="8">
        <v>45656</v>
      </c>
      <c r="D757" t="s">
        <v>32</v>
      </c>
      <c r="E757" t="s">
        <v>3084</v>
      </c>
      <c r="F757" t="s">
        <v>3071</v>
      </c>
      <c r="G757" t="s">
        <v>3126</v>
      </c>
      <c r="H757">
        <v>9079613268</v>
      </c>
      <c r="I757" t="s">
        <v>43</v>
      </c>
      <c r="J757" t="s">
        <v>51</v>
      </c>
      <c r="K757" t="s">
        <v>52</v>
      </c>
      <c r="L757" t="s">
        <v>85</v>
      </c>
      <c r="M757" t="s">
        <v>218</v>
      </c>
      <c r="N757" t="s">
        <v>321</v>
      </c>
      <c r="O757">
        <v>6</v>
      </c>
      <c r="P757">
        <v>10410.33</v>
      </c>
      <c r="Q757">
        <v>150</v>
      </c>
      <c r="R757" s="39">
        <v>0</v>
      </c>
      <c r="S757" s="39">
        <v>62461.98</v>
      </c>
      <c r="T757" s="39">
        <v>23542.48</v>
      </c>
      <c r="U757" t="str">
        <f t="shared" si="25"/>
        <v>Furniture</v>
      </c>
      <c r="V757">
        <f t="shared" si="26"/>
        <v>23542.48</v>
      </c>
      <c r="W757" t="str">
        <f>IF(Sales[[#This Row],[Quantity]]&gt;=15, "Large","Small")</f>
        <v>Small</v>
      </c>
      <c r="X757" t="str">
        <f>IF(Sales[[#This Row],[Quantity]]&gt;=15,"Large",IF(Sales[[#This Row],[Quantity]]=14,"Medium","Small"))</f>
        <v>Small</v>
      </c>
      <c r="Y757" t="str">
        <f>IF(AND(Sales[[#This Row],[Unit Price (₦)]]&gt;68000,Sales[[#This Row],[Quantity]]&gt;15),"Offer Discount", "No Discount")</f>
        <v>No Discount</v>
      </c>
    </row>
    <row r="758" spans="1:25" ht="15" customHeight="1" x14ac:dyDescent="0.25">
      <c r="A758" t="s">
        <v>2847</v>
      </c>
      <c r="B758" s="8">
        <v>45657</v>
      </c>
      <c r="C758" s="8">
        <v>45657</v>
      </c>
      <c r="D758" t="s">
        <v>32</v>
      </c>
      <c r="E758" t="s">
        <v>3072</v>
      </c>
      <c r="F758" t="s">
        <v>3069</v>
      </c>
      <c r="G758" t="s">
        <v>2848</v>
      </c>
      <c r="H758">
        <v>9013277024</v>
      </c>
      <c r="I758" t="s">
        <v>43</v>
      </c>
      <c r="J758" t="s">
        <v>25</v>
      </c>
      <c r="K758" t="s">
        <v>126</v>
      </c>
      <c r="L758" t="s">
        <v>85</v>
      </c>
      <c r="M758" t="s">
        <v>218</v>
      </c>
      <c r="N758" t="s">
        <v>708</v>
      </c>
      <c r="O758">
        <v>2</v>
      </c>
      <c r="P758">
        <v>71790.84</v>
      </c>
      <c r="Q758">
        <v>10</v>
      </c>
      <c r="R758" s="39">
        <v>14358.17</v>
      </c>
      <c r="S758" s="39">
        <v>129223.51</v>
      </c>
      <c r="T758" s="39">
        <v>-18476.55</v>
      </c>
      <c r="U758" t="str">
        <f t="shared" si="25"/>
        <v>Furniture</v>
      </c>
      <c r="V758">
        <f t="shared" si="26"/>
        <v>18476.55</v>
      </c>
      <c r="W758" t="str">
        <f>IF(Sales[[#This Row],[Quantity]]&gt;=15, "Large","Small")</f>
        <v>Small</v>
      </c>
      <c r="X758" t="str">
        <f>IF(Sales[[#This Row],[Quantity]]&gt;=15,"Large",IF(Sales[[#This Row],[Quantity]]=14,"Medium","Small"))</f>
        <v>Small</v>
      </c>
      <c r="Y758" t="str">
        <f>IF(AND(Sales[[#This Row],[Unit Price (₦)]]&gt;68000,Sales[[#This Row],[Quantity]]&gt;15),"Offer Discount", "No Discount")</f>
        <v>No Discount</v>
      </c>
    </row>
    <row r="759" spans="1:25" ht="15" customHeight="1" x14ac:dyDescent="0.25">
      <c r="A759" t="s">
        <v>1550</v>
      </c>
      <c r="B759" s="8">
        <v>45171</v>
      </c>
      <c r="C759" s="8">
        <f t="shared" ref="C759:C760" si="27">C758</f>
        <v>45657</v>
      </c>
      <c r="D759" t="s">
        <v>32</v>
      </c>
      <c r="E759" t="s">
        <v>3035</v>
      </c>
      <c r="F759" t="s">
        <v>3034</v>
      </c>
      <c r="G759" t="s">
        <v>1551</v>
      </c>
      <c r="H759">
        <v>9028548873</v>
      </c>
      <c r="I759" t="s">
        <v>35</v>
      </c>
      <c r="J759" t="s">
        <v>69</v>
      </c>
      <c r="K759" t="s">
        <v>307</v>
      </c>
      <c r="L759" t="s">
        <v>27</v>
      </c>
      <c r="M759" t="s">
        <v>45</v>
      </c>
      <c r="N759" t="s">
        <v>838</v>
      </c>
      <c r="O759">
        <v>6</v>
      </c>
      <c r="P759">
        <v>7743.74</v>
      </c>
      <c r="Q759">
        <v>5</v>
      </c>
      <c r="R759" s="39">
        <v>2323.12</v>
      </c>
      <c r="S759" s="39">
        <v>44139.32</v>
      </c>
      <c r="T759" s="39">
        <v>-1719.12</v>
      </c>
      <c r="U759" t="str">
        <f t="shared" si="25"/>
        <v>Food &amp; Beverages</v>
      </c>
      <c r="V759">
        <f t="shared" si="26"/>
        <v>1719.12</v>
      </c>
      <c r="W759" t="str">
        <f>IF(Sales[[#This Row],[Quantity]]&gt;=15, "Large","Small")</f>
        <v>Small</v>
      </c>
      <c r="X759" t="str">
        <f>IF(Sales[[#This Row],[Quantity]]&gt;=15,"Large",IF(Sales[[#This Row],[Quantity]]=14,"Medium","Small"))</f>
        <v>Small</v>
      </c>
      <c r="Y759" t="str">
        <f>IF(AND(Sales[[#This Row],[Unit Price (₦)]]&gt;68000,Sales[[#This Row],[Quantity]]&gt;15),"Offer Discount", "No Discount")</f>
        <v>No Discount</v>
      </c>
    </row>
    <row r="760" spans="1:25" ht="15" customHeight="1" x14ac:dyDescent="0.25">
      <c r="A760" t="s">
        <v>2009</v>
      </c>
      <c r="B760" s="8">
        <v>44606</v>
      </c>
      <c r="C760" s="8">
        <f t="shared" si="27"/>
        <v>45657</v>
      </c>
      <c r="D760" t="s">
        <v>32</v>
      </c>
      <c r="E760" t="s">
        <v>3044</v>
      </c>
      <c r="F760" t="s">
        <v>3083</v>
      </c>
      <c r="G760" t="s">
        <v>222</v>
      </c>
      <c r="H760">
        <v>8138044872</v>
      </c>
      <c r="I760" t="s">
        <v>35</v>
      </c>
      <c r="J760" t="s">
        <v>61</v>
      </c>
      <c r="K760" t="s">
        <v>204</v>
      </c>
      <c r="L760" t="s">
        <v>108</v>
      </c>
      <c r="M760" t="s">
        <v>38</v>
      </c>
      <c r="N760" t="s">
        <v>213</v>
      </c>
      <c r="O760">
        <v>6</v>
      </c>
      <c r="P760">
        <v>36767.61</v>
      </c>
      <c r="Q760">
        <v>10</v>
      </c>
      <c r="R760" s="39">
        <v>22060.57</v>
      </c>
      <c r="S760" s="39">
        <v>198545.09</v>
      </c>
      <c r="T760" s="39">
        <v>-28573.78</v>
      </c>
      <c r="U760" t="str">
        <f t="shared" si="25"/>
        <v>Clothing</v>
      </c>
      <c r="V760">
        <f t="shared" si="26"/>
        <v>28573.78</v>
      </c>
      <c r="W760" t="str">
        <f>IF(Sales[[#This Row],[Quantity]]&gt;=15, "Large","Small")</f>
        <v>Small</v>
      </c>
      <c r="X760" t="str">
        <f>IF(Sales[[#This Row],[Quantity]]&gt;=15,"Large",IF(Sales[[#This Row],[Quantity]]=14,"Medium","Small"))</f>
        <v>Small</v>
      </c>
      <c r="Y760" t="str">
        <f>IF(AND(Sales[[#This Row],[Unit Price (₦)]]&gt;68000,Sales[[#This Row],[Quantity]]&gt;15),"Offer Discount", "No Discount")</f>
        <v>No Discount</v>
      </c>
    </row>
    <row r="761" spans="1:25" ht="15" customHeight="1" x14ac:dyDescent="0.25">
      <c r="A761" t="s">
        <v>2481</v>
      </c>
      <c r="B761" s="8">
        <v>44575</v>
      </c>
      <c r="C761" s="8">
        <v>44577</v>
      </c>
      <c r="D761" t="s">
        <v>20</v>
      </c>
      <c r="E761" t="s">
        <v>3097</v>
      </c>
      <c r="F761" t="s">
        <v>3057</v>
      </c>
      <c r="G761" t="s">
        <v>2483</v>
      </c>
      <c r="H761">
        <v>9022191407</v>
      </c>
      <c r="I761" t="s">
        <v>24</v>
      </c>
      <c r="J761" t="s">
        <v>69</v>
      </c>
      <c r="K761" t="s">
        <v>119</v>
      </c>
      <c r="L761" t="s">
        <v>27</v>
      </c>
      <c r="M761" t="s">
        <v>79</v>
      </c>
      <c r="N761" t="s">
        <v>234</v>
      </c>
      <c r="O761">
        <v>6</v>
      </c>
      <c r="P761">
        <v>3485.58</v>
      </c>
      <c r="Q761">
        <v>5</v>
      </c>
      <c r="R761" s="39">
        <v>1045.67</v>
      </c>
      <c r="S761" s="39">
        <v>19867.810000000001</v>
      </c>
      <c r="T761" s="39">
        <v>-14.31</v>
      </c>
      <c r="U761" t="str">
        <f t="shared" si="25"/>
        <v>Food &amp; Beverages</v>
      </c>
      <c r="V761">
        <f t="shared" si="26"/>
        <v>14.31</v>
      </c>
      <c r="W761" t="str">
        <f>IF(Sales[[#This Row],[Quantity]]&gt;=15, "Large","Small")</f>
        <v>Small</v>
      </c>
      <c r="X761" t="str">
        <f>IF(Sales[[#This Row],[Quantity]]&gt;=15,"Large",IF(Sales[[#This Row],[Quantity]]=14,"Medium","Small"))</f>
        <v>Small</v>
      </c>
      <c r="Y761" t="str">
        <f>IF(AND(Sales[[#This Row],[Unit Price (₦)]]&gt;68000,Sales[[#This Row],[Quantity]]&gt;15),"Offer Discount", "No Discount")</f>
        <v>No Discount</v>
      </c>
    </row>
    <row r="762" spans="1:25" ht="15" customHeight="1" x14ac:dyDescent="0.25">
      <c r="A762" t="s">
        <v>2100</v>
      </c>
      <c r="B762" s="8">
        <v>44575</v>
      </c>
      <c r="C762" s="8">
        <v>44578</v>
      </c>
      <c r="D762" t="s">
        <v>20</v>
      </c>
      <c r="E762" t="s">
        <v>3085</v>
      </c>
      <c r="F762" t="s">
        <v>3078</v>
      </c>
      <c r="G762" t="s">
        <v>2102</v>
      </c>
      <c r="H762">
        <v>8062126456</v>
      </c>
      <c r="I762" t="s">
        <v>24</v>
      </c>
      <c r="J762" t="s">
        <v>61</v>
      </c>
      <c r="K762" t="s">
        <v>182</v>
      </c>
      <c r="L762" t="s">
        <v>96</v>
      </c>
      <c r="M762" t="s">
        <v>385</v>
      </c>
      <c r="N762" t="s">
        <v>1010</v>
      </c>
      <c r="O762">
        <v>17</v>
      </c>
      <c r="P762">
        <v>397756.09</v>
      </c>
      <c r="Q762">
        <v>0</v>
      </c>
      <c r="R762" s="39">
        <v>0</v>
      </c>
      <c r="S762" s="39">
        <v>6761853.5300000003</v>
      </c>
      <c r="T762" s="39">
        <v>-11335.22</v>
      </c>
      <c r="U762" t="str">
        <f t="shared" si="25"/>
        <v>Technology</v>
      </c>
      <c r="V762">
        <f t="shared" si="26"/>
        <v>11335.22</v>
      </c>
      <c r="W762" t="str">
        <f>IF(Sales[[#This Row],[Quantity]]&gt;=15, "Large","Small")</f>
        <v>Large</v>
      </c>
      <c r="X762" t="str">
        <f>IF(Sales[[#This Row],[Quantity]]&gt;=15,"Large",IF(Sales[[#This Row],[Quantity]]=14,"Medium","Small"))</f>
        <v>Large</v>
      </c>
      <c r="Y762" t="str">
        <f>IF(AND(Sales[[#This Row],[Unit Price (₦)]]&gt;68000,Sales[[#This Row],[Quantity]]&gt;15),"Offer Discount", "No Discount")</f>
        <v>Offer Discount</v>
      </c>
    </row>
    <row r="763" spans="1:25" ht="15" customHeight="1" x14ac:dyDescent="0.25">
      <c r="A763" t="s">
        <v>1094</v>
      </c>
      <c r="B763" s="8">
        <v>44580</v>
      </c>
      <c r="C763" s="8">
        <v>44583</v>
      </c>
      <c r="D763" t="s">
        <v>20</v>
      </c>
      <c r="E763" t="s">
        <v>3076</v>
      </c>
      <c r="F763" t="s">
        <v>3088</v>
      </c>
      <c r="G763" t="s">
        <v>1095</v>
      </c>
      <c r="H763">
        <v>9021121097</v>
      </c>
      <c r="I763" t="s">
        <v>43</v>
      </c>
      <c r="J763" t="s">
        <v>25</v>
      </c>
      <c r="K763" t="s">
        <v>168</v>
      </c>
      <c r="L763" t="s">
        <v>27</v>
      </c>
      <c r="M763" t="s">
        <v>45</v>
      </c>
      <c r="N763" t="s">
        <v>523</v>
      </c>
      <c r="O763">
        <v>18</v>
      </c>
      <c r="P763">
        <v>3470.37</v>
      </c>
      <c r="Q763">
        <v>15</v>
      </c>
      <c r="R763" s="39">
        <v>9370</v>
      </c>
      <c r="S763" s="39">
        <v>53096.66</v>
      </c>
      <c r="T763" s="39">
        <v>4611.51</v>
      </c>
      <c r="U763" t="str">
        <f t="shared" si="25"/>
        <v>Food &amp; Beverages</v>
      </c>
      <c r="V763">
        <f t="shared" si="26"/>
        <v>4611.51</v>
      </c>
      <c r="W763" t="str">
        <f>IF(Sales[[#This Row],[Quantity]]&gt;=15, "Large","Small")</f>
        <v>Large</v>
      </c>
      <c r="X763" t="str">
        <f>IF(Sales[[#This Row],[Quantity]]&gt;=15,"Large",IF(Sales[[#This Row],[Quantity]]=14,"Medium","Small"))</f>
        <v>Large</v>
      </c>
      <c r="Y763" t="str">
        <f>IF(AND(Sales[[#This Row],[Unit Price (₦)]]&gt;68000,Sales[[#This Row],[Quantity]]&gt;15),"Offer Discount", "No Discount")</f>
        <v>No Discount</v>
      </c>
    </row>
    <row r="764" spans="1:25" ht="15" customHeight="1" x14ac:dyDescent="0.25">
      <c r="A764" t="s">
        <v>2025</v>
      </c>
      <c r="B764" s="8">
        <v>44584</v>
      </c>
      <c r="C764" s="8">
        <v>44587</v>
      </c>
      <c r="D764" t="s">
        <v>20</v>
      </c>
      <c r="E764" t="s">
        <v>3082</v>
      </c>
      <c r="F764" t="s">
        <v>3071</v>
      </c>
      <c r="G764" t="s">
        <v>2026</v>
      </c>
      <c r="H764">
        <v>8132111241</v>
      </c>
      <c r="I764" t="s">
        <v>35</v>
      </c>
      <c r="J764" t="s">
        <v>51</v>
      </c>
      <c r="K764" t="s">
        <v>52</v>
      </c>
      <c r="L764" t="s">
        <v>108</v>
      </c>
      <c r="M764" t="s">
        <v>38</v>
      </c>
      <c r="N764" t="s">
        <v>296</v>
      </c>
      <c r="O764">
        <v>7</v>
      </c>
      <c r="P764">
        <v>11123.53</v>
      </c>
      <c r="Q764">
        <v>0</v>
      </c>
      <c r="R764" s="39">
        <v>0</v>
      </c>
      <c r="S764" s="39">
        <v>77864.710000000006</v>
      </c>
      <c r="T764" s="39">
        <v>14527.63</v>
      </c>
      <c r="U764" t="str">
        <f t="shared" si="25"/>
        <v>Clothing</v>
      </c>
      <c r="V764">
        <f t="shared" si="26"/>
        <v>14527.63</v>
      </c>
      <c r="W764" t="str">
        <f>IF(Sales[[#This Row],[Quantity]]&gt;=15, "Large","Small")</f>
        <v>Small</v>
      </c>
      <c r="X764" t="str">
        <f>IF(Sales[[#This Row],[Quantity]]&gt;=15,"Large",IF(Sales[[#This Row],[Quantity]]=14,"Medium","Small"))</f>
        <v>Small</v>
      </c>
      <c r="Y764" t="str">
        <f>IF(AND(Sales[[#This Row],[Unit Price (₦)]]&gt;68000,Sales[[#This Row],[Quantity]]&gt;15),"Offer Discount", "No Discount")</f>
        <v>No Discount</v>
      </c>
    </row>
    <row r="765" spans="1:25" ht="15" customHeight="1" x14ac:dyDescent="0.25">
      <c r="A765" t="s">
        <v>2785</v>
      </c>
      <c r="B765" s="8">
        <v>44598</v>
      </c>
      <c r="C765" s="8">
        <v>44601</v>
      </c>
      <c r="D765" t="s">
        <v>20</v>
      </c>
      <c r="E765" t="s">
        <v>3035</v>
      </c>
      <c r="F765" t="s">
        <v>3040</v>
      </c>
      <c r="G765" t="s">
        <v>2787</v>
      </c>
      <c r="H765">
        <v>8148000211</v>
      </c>
      <c r="I765" t="s">
        <v>43</v>
      </c>
      <c r="J765" t="s">
        <v>69</v>
      </c>
      <c r="K765" t="s">
        <v>307</v>
      </c>
      <c r="L765" t="s">
        <v>108</v>
      </c>
      <c r="M765" t="s">
        <v>189</v>
      </c>
      <c r="N765" t="s">
        <v>205</v>
      </c>
      <c r="O765">
        <v>11</v>
      </c>
      <c r="P765">
        <v>11930.65</v>
      </c>
      <c r="Q765">
        <v>5</v>
      </c>
      <c r="R765" s="39">
        <v>6561.86</v>
      </c>
      <c r="S765" s="39">
        <v>124675.29</v>
      </c>
      <c r="T765" s="39">
        <v>14906.53</v>
      </c>
      <c r="U765" t="str">
        <f t="shared" si="25"/>
        <v>Clothing</v>
      </c>
      <c r="V765">
        <f t="shared" si="26"/>
        <v>14906.53</v>
      </c>
      <c r="W765" t="str">
        <f>IF(Sales[[#This Row],[Quantity]]&gt;=15, "Large","Small")</f>
        <v>Small</v>
      </c>
      <c r="X765" t="str">
        <f>IF(Sales[[#This Row],[Quantity]]&gt;=15,"Large",IF(Sales[[#This Row],[Quantity]]=14,"Medium","Small"))</f>
        <v>Small</v>
      </c>
      <c r="Y765" t="str">
        <f>IF(AND(Sales[[#This Row],[Unit Price (₦)]]&gt;68000,Sales[[#This Row],[Quantity]]&gt;15),"Offer Discount", "No Discount")</f>
        <v>No Discount</v>
      </c>
    </row>
    <row r="766" spans="1:25" ht="15" customHeight="1" x14ac:dyDescent="0.25">
      <c r="A766" t="s">
        <v>2800</v>
      </c>
      <c r="B766" s="8">
        <v>44599</v>
      </c>
      <c r="C766" s="8">
        <v>44601</v>
      </c>
      <c r="D766" t="s">
        <v>20</v>
      </c>
      <c r="E766" t="s">
        <v>3044</v>
      </c>
      <c r="F766" t="s">
        <v>3062</v>
      </c>
      <c r="G766" t="s">
        <v>2801</v>
      </c>
      <c r="H766">
        <v>7033690055</v>
      </c>
      <c r="I766" t="s">
        <v>24</v>
      </c>
      <c r="J766" t="s">
        <v>69</v>
      </c>
      <c r="K766" t="s">
        <v>119</v>
      </c>
      <c r="L766" t="s">
        <v>27</v>
      </c>
      <c r="M766" t="s">
        <v>173</v>
      </c>
      <c r="N766" t="s">
        <v>380</v>
      </c>
      <c r="O766">
        <v>12</v>
      </c>
      <c r="P766">
        <v>3985.92</v>
      </c>
      <c r="Q766">
        <v>0</v>
      </c>
      <c r="R766" s="39">
        <v>0</v>
      </c>
      <c r="S766" s="39">
        <v>47831.040000000001</v>
      </c>
      <c r="T766" s="39">
        <v>2588.06</v>
      </c>
      <c r="U766" t="str">
        <f t="shared" si="25"/>
        <v>Food &amp; Beverages</v>
      </c>
      <c r="V766">
        <f t="shared" si="26"/>
        <v>2588.06</v>
      </c>
      <c r="W766" t="str">
        <f>IF(Sales[[#This Row],[Quantity]]&gt;=15, "Large","Small")</f>
        <v>Small</v>
      </c>
      <c r="X766" t="str">
        <f>IF(Sales[[#This Row],[Quantity]]&gt;=15,"Large",IF(Sales[[#This Row],[Quantity]]=14,"Medium","Small"))</f>
        <v>Small</v>
      </c>
      <c r="Y766" t="str">
        <f>IF(AND(Sales[[#This Row],[Unit Price (₦)]]&gt;68000,Sales[[#This Row],[Quantity]]&gt;15),"Offer Discount", "No Discount")</f>
        <v>No Discount</v>
      </c>
    </row>
    <row r="767" spans="1:25" ht="15" customHeight="1" x14ac:dyDescent="0.25">
      <c r="A767" t="s">
        <v>2127</v>
      </c>
      <c r="B767" s="8">
        <v>44608</v>
      </c>
      <c r="C767" s="8">
        <v>44610</v>
      </c>
      <c r="D767" t="s">
        <v>20</v>
      </c>
      <c r="E767" t="s">
        <v>3076</v>
      </c>
      <c r="F767" t="s">
        <v>3042</v>
      </c>
      <c r="G767" t="s">
        <v>2129</v>
      </c>
      <c r="H767">
        <v>7067004652</v>
      </c>
      <c r="I767" t="s">
        <v>24</v>
      </c>
      <c r="J767" t="s">
        <v>61</v>
      </c>
      <c r="K767" t="s">
        <v>95</v>
      </c>
      <c r="L767" t="s">
        <v>96</v>
      </c>
      <c r="M767" t="s">
        <v>385</v>
      </c>
      <c r="N767" t="s">
        <v>386</v>
      </c>
      <c r="O767">
        <v>19</v>
      </c>
      <c r="P767">
        <v>47528.05</v>
      </c>
      <c r="Q767">
        <v>5</v>
      </c>
      <c r="R767" s="39">
        <v>45151.65</v>
      </c>
      <c r="S767" s="39">
        <v>857881.3</v>
      </c>
      <c r="T767" s="39">
        <v>310481.94</v>
      </c>
      <c r="U767" t="str">
        <f t="shared" si="25"/>
        <v>Technology</v>
      </c>
      <c r="V767">
        <f t="shared" si="26"/>
        <v>310481.94</v>
      </c>
      <c r="W767" t="str">
        <f>IF(Sales[[#This Row],[Quantity]]&gt;=15, "Large","Small")</f>
        <v>Large</v>
      </c>
      <c r="X767" t="str">
        <f>IF(Sales[[#This Row],[Quantity]]&gt;=15,"Large",IF(Sales[[#This Row],[Quantity]]=14,"Medium","Small"))</f>
        <v>Large</v>
      </c>
      <c r="Y767" t="str">
        <f>IF(AND(Sales[[#This Row],[Unit Price (₦)]]&gt;68000,Sales[[#This Row],[Quantity]]&gt;15),"Offer Discount", "No Discount")</f>
        <v>No Discount</v>
      </c>
    </row>
    <row r="768" spans="1:25" ht="15" customHeight="1" x14ac:dyDescent="0.25">
      <c r="A768" t="s">
        <v>2355</v>
      </c>
      <c r="B768" s="8">
        <v>44615</v>
      </c>
      <c r="C768" s="8">
        <v>44617</v>
      </c>
      <c r="D768" t="s">
        <v>20</v>
      </c>
      <c r="E768" t="s">
        <v>3073</v>
      </c>
      <c r="F768" t="s">
        <v>3057</v>
      </c>
      <c r="G768" t="s">
        <v>2356</v>
      </c>
      <c r="H768">
        <v>9015885832</v>
      </c>
      <c r="I768" t="s">
        <v>35</v>
      </c>
      <c r="J768" t="s">
        <v>25</v>
      </c>
      <c r="K768" t="s">
        <v>126</v>
      </c>
      <c r="L768" t="s">
        <v>63</v>
      </c>
      <c r="M768" t="s">
        <v>469</v>
      </c>
      <c r="N768" t="s">
        <v>1595</v>
      </c>
      <c r="O768">
        <v>10</v>
      </c>
      <c r="P768">
        <v>14407.18</v>
      </c>
      <c r="Q768">
        <v>20</v>
      </c>
      <c r="R768" s="39">
        <v>28814.36</v>
      </c>
      <c r="S768" s="39">
        <v>115257.44</v>
      </c>
      <c r="T768" s="39">
        <v>32023.97</v>
      </c>
      <c r="U768" t="str">
        <f t="shared" si="25"/>
        <v>Office Supplies</v>
      </c>
      <c r="V768">
        <f t="shared" si="26"/>
        <v>32023.97</v>
      </c>
      <c r="W768" t="str">
        <f>IF(Sales[[#This Row],[Quantity]]&gt;=15, "Large","Small")</f>
        <v>Small</v>
      </c>
      <c r="X768" t="str">
        <f>IF(Sales[[#This Row],[Quantity]]&gt;=15,"Large",IF(Sales[[#This Row],[Quantity]]=14,"Medium","Small"))</f>
        <v>Small</v>
      </c>
      <c r="Y768" t="str">
        <f>IF(AND(Sales[[#This Row],[Unit Price (₦)]]&gt;68000,Sales[[#This Row],[Quantity]]&gt;15),"Offer Discount", "No Discount")</f>
        <v>No Discount</v>
      </c>
    </row>
    <row r="769" spans="1:25" ht="15" customHeight="1" x14ac:dyDescent="0.25">
      <c r="A769" t="s">
        <v>731</v>
      </c>
      <c r="B769" s="8">
        <v>44616</v>
      </c>
      <c r="C769" s="8">
        <v>44619</v>
      </c>
      <c r="D769" t="s">
        <v>20</v>
      </c>
      <c r="E769" t="s">
        <v>3082</v>
      </c>
      <c r="F769" t="s">
        <v>3075</v>
      </c>
      <c r="G769" t="s">
        <v>3126</v>
      </c>
      <c r="H769">
        <v>9017572491</v>
      </c>
      <c r="I769" t="s">
        <v>24</v>
      </c>
      <c r="J769" t="s">
        <v>61</v>
      </c>
      <c r="K769" t="s">
        <v>84</v>
      </c>
      <c r="L769" t="s">
        <v>63</v>
      </c>
      <c r="M769" t="s">
        <v>469</v>
      </c>
      <c r="N769" t="s">
        <v>470</v>
      </c>
      <c r="O769">
        <v>8</v>
      </c>
      <c r="P769">
        <v>19703.14</v>
      </c>
      <c r="Q769">
        <v>20</v>
      </c>
      <c r="R769" s="39">
        <v>31525.02</v>
      </c>
      <c r="S769" s="39">
        <v>126100.1</v>
      </c>
      <c r="T769" s="39">
        <v>10281.11</v>
      </c>
      <c r="U769" t="str">
        <f t="shared" si="25"/>
        <v>Office Supplies</v>
      </c>
      <c r="V769">
        <f t="shared" si="26"/>
        <v>10281.11</v>
      </c>
      <c r="W769" t="str">
        <f>IF(Sales[[#This Row],[Quantity]]&gt;=15, "Large","Small")</f>
        <v>Small</v>
      </c>
      <c r="X769" t="str">
        <f>IF(Sales[[#This Row],[Quantity]]&gt;=15,"Large",IF(Sales[[#This Row],[Quantity]]=14,"Medium","Small"))</f>
        <v>Small</v>
      </c>
      <c r="Y769" t="str">
        <f>IF(AND(Sales[[#This Row],[Unit Price (₦)]]&gt;68000,Sales[[#This Row],[Quantity]]&gt;15),"Offer Discount", "No Discount")</f>
        <v>No Discount</v>
      </c>
    </row>
    <row r="770" spans="1:25" ht="15" customHeight="1" x14ac:dyDescent="0.25">
      <c r="A770" t="s">
        <v>2478</v>
      </c>
      <c r="B770" s="8">
        <v>44618</v>
      </c>
      <c r="C770" s="8">
        <v>44621</v>
      </c>
      <c r="D770" t="s">
        <v>20</v>
      </c>
      <c r="E770" t="s">
        <v>3068</v>
      </c>
      <c r="F770" t="s">
        <v>3078</v>
      </c>
      <c r="G770" t="s">
        <v>2480</v>
      </c>
      <c r="H770">
        <v>7064610526</v>
      </c>
      <c r="I770" t="s">
        <v>24</v>
      </c>
      <c r="J770" t="s">
        <v>25</v>
      </c>
      <c r="K770" t="s">
        <v>44</v>
      </c>
      <c r="L770" t="s">
        <v>108</v>
      </c>
      <c r="M770" t="s">
        <v>38</v>
      </c>
      <c r="N770" t="s">
        <v>296</v>
      </c>
      <c r="O770">
        <v>10</v>
      </c>
      <c r="P770">
        <v>31979.86</v>
      </c>
      <c r="Q770">
        <v>10</v>
      </c>
      <c r="R770" s="39">
        <v>31979.86</v>
      </c>
      <c r="S770" s="39">
        <v>287818.74</v>
      </c>
      <c r="T770" s="39">
        <v>-3010.98</v>
      </c>
      <c r="U770" t="str">
        <f t="shared" ref="U770:U833" si="28">PROPER(L770)</f>
        <v>Clothing</v>
      </c>
      <c r="V770">
        <f t="shared" si="26"/>
        <v>3010.98</v>
      </c>
      <c r="W770" t="str">
        <f>IF(Sales[[#This Row],[Quantity]]&gt;=15, "Large","Small")</f>
        <v>Small</v>
      </c>
      <c r="X770" t="str">
        <f>IF(Sales[[#This Row],[Quantity]]&gt;=15,"Large",IF(Sales[[#This Row],[Quantity]]=14,"Medium","Small"))</f>
        <v>Small</v>
      </c>
      <c r="Y770" t="str">
        <f>IF(AND(Sales[[#This Row],[Unit Price (₦)]]&gt;68000,Sales[[#This Row],[Quantity]]&gt;15),"Offer Discount", "No Discount")</f>
        <v>No Discount</v>
      </c>
    </row>
    <row r="771" spans="1:25" ht="15" customHeight="1" x14ac:dyDescent="0.25">
      <c r="A771" t="s">
        <v>2419</v>
      </c>
      <c r="B771" s="8">
        <v>44620</v>
      </c>
      <c r="C771" s="8">
        <v>44622</v>
      </c>
      <c r="D771" t="s">
        <v>20</v>
      </c>
      <c r="E771" t="s">
        <v>3095</v>
      </c>
      <c r="F771" t="s">
        <v>3046</v>
      </c>
      <c r="G771" t="s">
        <v>2422</v>
      </c>
      <c r="H771">
        <v>8033421636</v>
      </c>
      <c r="I771" t="s">
        <v>24</v>
      </c>
      <c r="J771" t="s">
        <v>51</v>
      </c>
      <c r="K771" t="s">
        <v>223</v>
      </c>
      <c r="L771" t="s">
        <v>156</v>
      </c>
      <c r="M771" t="s">
        <v>114</v>
      </c>
      <c r="N771" t="s">
        <v>891</v>
      </c>
      <c r="O771">
        <v>20</v>
      </c>
      <c r="P771">
        <v>18212.580000000002</v>
      </c>
      <c r="Q771">
        <v>25</v>
      </c>
      <c r="R771" s="39">
        <v>91062.9</v>
      </c>
      <c r="S771" s="39">
        <v>273188.7</v>
      </c>
      <c r="T771" s="39">
        <v>-13155.64</v>
      </c>
      <c r="U771" t="str">
        <f t="shared" si="28"/>
        <v>Clothing</v>
      </c>
      <c r="V771">
        <f t="shared" ref="V771:V834" si="29">ABS(T771)</f>
        <v>13155.64</v>
      </c>
      <c r="W771" t="str">
        <f>IF(Sales[[#This Row],[Quantity]]&gt;=15, "Large","Small")</f>
        <v>Large</v>
      </c>
      <c r="X771" t="str">
        <f>IF(Sales[[#This Row],[Quantity]]&gt;=15,"Large",IF(Sales[[#This Row],[Quantity]]=14,"Medium","Small"))</f>
        <v>Large</v>
      </c>
      <c r="Y771" t="str">
        <f>IF(AND(Sales[[#This Row],[Unit Price (₦)]]&gt;68000,Sales[[#This Row],[Quantity]]&gt;15),"Offer Discount", "No Discount")</f>
        <v>No Discount</v>
      </c>
    </row>
    <row r="772" spans="1:25" ht="15" customHeight="1" x14ac:dyDescent="0.25">
      <c r="A772" t="s">
        <v>2151</v>
      </c>
      <c r="B772" s="8">
        <v>44626</v>
      </c>
      <c r="C772" s="8">
        <v>44629</v>
      </c>
      <c r="D772" t="s">
        <v>20</v>
      </c>
      <c r="E772" t="s">
        <v>3047</v>
      </c>
      <c r="F772" t="s">
        <v>3088</v>
      </c>
      <c r="G772" t="s">
        <v>2154</v>
      </c>
      <c r="H772">
        <v>8035404568</v>
      </c>
      <c r="I772" t="s">
        <v>35</v>
      </c>
      <c r="J772" t="s">
        <v>69</v>
      </c>
      <c r="K772" t="s">
        <v>155</v>
      </c>
      <c r="L772" t="s">
        <v>27</v>
      </c>
      <c r="M772" t="s">
        <v>354</v>
      </c>
      <c r="N772" t="s">
        <v>355</v>
      </c>
      <c r="O772">
        <v>20</v>
      </c>
      <c r="P772">
        <v>2925.27</v>
      </c>
      <c r="Q772">
        <v>15</v>
      </c>
      <c r="R772" s="39">
        <v>8775.81</v>
      </c>
      <c r="S772" s="39">
        <v>49729.59</v>
      </c>
      <c r="T772" s="39">
        <v>18372.37</v>
      </c>
      <c r="U772" t="str">
        <f t="shared" si="28"/>
        <v>Food &amp; Beverages</v>
      </c>
      <c r="V772">
        <f t="shared" si="29"/>
        <v>18372.37</v>
      </c>
      <c r="W772" t="str">
        <f>IF(Sales[[#This Row],[Quantity]]&gt;=15, "Large","Small")</f>
        <v>Large</v>
      </c>
      <c r="X772" t="str">
        <f>IF(Sales[[#This Row],[Quantity]]&gt;=15,"Large",IF(Sales[[#This Row],[Quantity]]=14,"Medium","Small"))</f>
        <v>Large</v>
      </c>
      <c r="Y772" t="str">
        <f>IF(AND(Sales[[#This Row],[Unit Price (₦)]]&gt;68000,Sales[[#This Row],[Quantity]]&gt;15),"Offer Discount", "No Discount")</f>
        <v>No Discount</v>
      </c>
    </row>
    <row r="773" spans="1:25" ht="15" customHeight="1" x14ac:dyDescent="0.25">
      <c r="A773" t="s">
        <v>348</v>
      </c>
      <c r="B773" s="8">
        <v>44629</v>
      </c>
      <c r="C773" s="8">
        <v>44632</v>
      </c>
      <c r="D773" t="s">
        <v>20</v>
      </c>
      <c r="E773" t="s">
        <v>3082</v>
      </c>
      <c r="F773" t="s">
        <v>3071</v>
      </c>
      <c r="G773" t="s">
        <v>350</v>
      </c>
      <c r="H773">
        <v>8137084862</v>
      </c>
      <c r="I773" t="s">
        <v>43</v>
      </c>
      <c r="J773" t="s">
        <v>69</v>
      </c>
      <c r="K773" t="s">
        <v>155</v>
      </c>
      <c r="L773" t="s">
        <v>96</v>
      </c>
      <c r="M773" t="s">
        <v>97</v>
      </c>
      <c r="N773" t="s">
        <v>169</v>
      </c>
      <c r="O773">
        <v>12</v>
      </c>
      <c r="P773">
        <v>407237.85</v>
      </c>
      <c r="Q773">
        <v>0</v>
      </c>
      <c r="R773" s="39">
        <v>0</v>
      </c>
      <c r="S773" s="39">
        <v>4886854.2</v>
      </c>
      <c r="T773" s="39">
        <v>434362.1</v>
      </c>
      <c r="U773" t="str">
        <f t="shared" si="28"/>
        <v>Technology</v>
      </c>
      <c r="V773">
        <f t="shared" si="29"/>
        <v>434362.1</v>
      </c>
      <c r="W773" t="str">
        <f>IF(Sales[[#This Row],[Quantity]]&gt;=15, "Large","Small")</f>
        <v>Small</v>
      </c>
      <c r="X773" t="str">
        <f>IF(Sales[[#This Row],[Quantity]]&gt;=15,"Large",IF(Sales[[#This Row],[Quantity]]=14,"Medium","Small"))</f>
        <v>Small</v>
      </c>
      <c r="Y773" t="str">
        <f>IF(AND(Sales[[#This Row],[Unit Price (₦)]]&gt;68000,Sales[[#This Row],[Quantity]]&gt;15),"Offer Discount", "No Discount")</f>
        <v>No Discount</v>
      </c>
    </row>
    <row r="774" spans="1:25" ht="15" customHeight="1" x14ac:dyDescent="0.25">
      <c r="A774" t="s">
        <v>775</v>
      </c>
      <c r="B774" s="8">
        <v>44644</v>
      </c>
      <c r="C774" s="8">
        <v>44646</v>
      </c>
      <c r="D774" t="s">
        <v>20</v>
      </c>
      <c r="E774" t="str">
        <f>E775</f>
        <v>Bukola</v>
      </c>
      <c r="F774" t="str">
        <f>F773</f>
        <v>Fashola</v>
      </c>
      <c r="G774" t="s">
        <v>776</v>
      </c>
      <c r="H774">
        <v>9015164420</v>
      </c>
      <c r="I774" t="s">
        <v>24</v>
      </c>
      <c r="J774" t="s">
        <v>25</v>
      </c>
      <c r="K774" t="s">
        <v>126</v>
      </c>
      <c r="L774" t="s">
        <v>63</v>
      </c>
      <c r="M774" t="s">
        <v>64</v>
      </c>
      <c r="N774" t="s">
        <v>777</v>
      </c>
      <c r="O774">
        <v>10</v>
      </c>
      <c r="P774">
        <v>1699.29</v>
      </c>
      <c r="Q774">
        <v>10</v>
      </c>
      <c r="R774" s="39">
        <v>1699.29</v>
      </c>
      <c r="S774" s="39">
        <v>15293.61</v>
      </c>
      <c r="T774" s="39">
        <v>5231.24</v>
      </c>
      <c r="U774" t="str">
        <f t="shared" si="28"/>
        <v>Office Supplies</v>
      </c>
      <c r="V774">
        <f t="shared" si="29"/>
        <v>5231.24</v>
      </c>
      <c r="W774" t="str">
        <f>IF(Sales[[#This Row],[Quantity]]&gt;=15, "Large","Small")</f>
        <v>Small</v>
      </c>
      <c r="X774" t="str">
        <f>IF(Sales[[#This Row],[Quantity]]&gt;=15,"Large",IF(Sales[[#This Row],[Quantity]]=14,"Medium","Small"))</f>
        <v>Small</v>
      </c>
      <c r="Y774" t="str">
        <f>IF(AND(Sales[[#This Row],[Unit Price (₦)]]&gt;68000,Sales[[#This Row],[Quantity]]&gt;15),"Offer Discount", "No Discount")</f>
        <v>No Discount</v>
      </c>
    </row>
    <row r="775" spans="1:25" ht="15" customHeight="1" x14ac:dyDescent="0.25">
      <c r="A775" t="s">
        <v>696</v>
      </c>
      <c r="B775" s="8">
        <v>44647</v>
      </c>
      <c r="C775" s="8">
        <v>44650</v>
      </c>
      <c r="D775" t="s">
        <v>20</v>
      </c>
      <c r="E775" t="s">
        <v>3037</v>
      </c>
      <c r="F775" t="s">
        <v>3052</v>
      </c>
      <c r="G775" t="s">
        <v>698</v>
      </c>
      <c r="H775">
        <v>8065152891</v>
      </c>
      <c r="I775" t="s">
        <v>24</v>
      </c>
      <c r="J775" t="s">
        <v>25</v>
      </c>
      <c r="K775" t="s">
        <v>44</v>
      </c>
      <c r="L775" t="s">
        <v>63</v>
      </c>
      <c r="M775" t="s">
        <v>194</v>
      </c>
      <c r="N775" t="s">
        <v>700</v>
      </c>
      <c r="O775">
        <v>12</v>
      </c>
      <c r="P775">
        <v>11518.44</v>
      </c>
      <c r="Q775">
        <v>0</v>
      </c>
      <c r="R775" s="39">
        <v>0</v>
      </c>
      <c r="S775" s="39">
        <v>138221.28</v>
      </c>
      <c r="T775" s="39">
        <v>15680.09</v>
      </c>
      <c r="U775" t="str">
        <f t="shared" si="28"/>
        <v>Office Supplies</v>
      </c>
      <c r="V775">
        <f t="shared" si="29"/>
        <v>15680.09</v>
      </c>
      <c r="W775" t="str">
        <f>IF(Sales[[#This Row],[Quantity]]&gt;=15, "Large","Small")</f>
        <v>Small</v>
      </c>
      <c r="X775" t="str">
        <f>IF(Sales[[#This Row],[Quantity]]&gt;=15,"Large",IF(Sales[[#This Row],[Quantity]]=14,"Medium","Small"))</f>
        <v>Small</v>
      </c>
      <c r="Y775" t="str">
        <f>IF(AND(Sales[[#This Row],[Unit Price (₦)]]&gt;68000,Sales[[#This Row],[Quantity]]&gt;15),"Offer Discount", "No Discount")</f>
        <v>No Discount</v>
      </c>
    </row>
    <row r="776" spans="1:25" ht="15" customHeight="1" x14ac:dyDescent="0.25">
      <c r="A776" t="s">
        <v>40</v>
      </c>
      <c r="B776" s="8">
        <v>44650</v>
      </c>
      <c r="C776" s="8">
        <v>44653</v>
      </c>
      <c r="D776" t="s">
        <v>20</v>
      </c>
      <c r="E776" t="s">
        <v>3037</v>
      </c>
      <c r="F776" t="s">
        <v>3038</v>
      </c>
      <c r="G776" t="s">
        <v>42</v>
      </c>
      <c r="H776">
        <v>8065918715</v>
      </c>
      <c r="I776" t="s">
        <v>43</v>
      </c>
      <c r="J776" t="s">
        <v>25</v>
      </c>
      <c r="K776" t="s">
        <v>44</v>
      </c>
      <c r="L776" t="s">
        <v>27</v>
      </c>
      <c r="M776" t="s">
        <v>45</v>
      </c>
      <c r="N776" t="s">
        <v>46</v>
      </c>
      <c r="O776">
        <v>3</v>
      </c>
      <c r="P776">
        <v>1780.62</v>
      </c>
      <c r="Q776">
        <v>0</v>
      </c>
      <c r="R776" s="39">
        <v>0</v>
      </c>
      <c r="S776" s="39">
        <v>5341.86</v>
      </c>
      <c r="T776" s="39">
        <v>1318.15</v>
      </c>
      <c r="U776" t="str">
        <f t="shared" si="28"/>
        <v>Food &amp; Beverages</v>
      </c>
      <c r="V776">
        <f t="shared" si="29"/>
        <v>1318.15</v>
      </c>
      <c r="W776" t="str">
        <f>IF(Sales[[#This Row],[Quantity]]&gt;=15, "Large","Small")</f>
        <v>Small</v>
      </c>
      <c r="X776" t="str">
        <f>IF(Sales[[#This Row],[Quantity]]&gt;=15,"Large",IF(Sales[[#This Row],[Quantity]]=14,"Medium","Small"))</f>
        <v>Small</v>
      </c>
      <c r="Y776" t="str">
        <f>IF(AND(Sales[[#This Row],[Unit Price (₦)]]&gt;68000,Sales[[#This Row],[Quantity]]&gt;15),"Offer Discount", "No Discount")</f>
        <v>No Discount</v>
      </c>
    </row>
    <row r="777" spans="1:25" ht="15" customHeight="1" x14ac:dyDescent="0.25">
      <c r="A777" t="s">
        <v>1021</v>
      </c>
      <c r="B777" s="8">
        <v>44650</v>
      </c>
      <c r="C777" s="8">
        <v>44653</v>
      </c>
      <c r="D777" t="s">
        <v>20</v>
      </c>
      <c r="E777" t="s">
        <v>3067</v>
      </c>
      <c r="F777" t="s">
        <v>3079</v>
      </c>
      <c r="G777" t="s">
        <v>1023</v>
      </c>
      <c r="H777">
        <v>9027396087</v>
      </c>
      <c r="I777" t="s">
        <v>43</v>
      </c>
      <c r="J777" t="s">
        <v>69</v>
      </c>
      <c r="K777" t="s">
        <v>155</v>
      </c>
      <c r="L777" t="s">
        <v>63</v>
      </c>
      <c r="M777" t="s">
        <v>312</v>
      </c>
      <c r="N777" t="s">
        <v>686</v>
      </c>
      <c r="O777">
        <v>5</v>
      </c>
      <c r="P777">
        <v>2894.06</v>
      </c>
      <c r="Q777">
        <v>10</v>
      </c>
      <c r="R777" s="39">
        <v>1447.03</v>
      </c>
      <c r="S777" s="39">
        <v>13023.27</v>
      </c>
      <c r="T777" s="39">
        <v>1774.87</v>
      </c>
      <c r="U777" t="str">
        <f t="shared" si="28"/>
        <v>Office Supplies</v>
      </c>
      <c r="V777">
        <f t="shared" si="29"/>
        <v>1774.87</v>
      </c>
      <c r="W777" t="str">
        <f>IF(Sales[[#This Row],[Quantity]]&gt;=15, "Large","Small")</f>
        <v>Small</v>
      </c>
      <c r="X777" t="str">
        <f>IF(Sales[[#This Row],[Quantity]]&gt;=15,"Large",IF(Sales[[#This Row],[Quantity]]=14,"Medium","Small"))</f>
        <v>Small</v>
      </c>
      <c r="Y777" t="str">
        <f>IF(AND(Sales[[#This Row],[Unit Price (₦)]]&gt;68000,Sales[[#This Row],[Quantity]]&gt;15),"Offer Discount", "No Discount")</f>
        <v>No Discount</v>
      </c>
    </row>
    <row r="778" spans="1:25" ht="15" customHeight="1" x14ac:dyDescent="0.25">
      <c r="A778" t="s">
        <v>2530</v>
      </c>
      <c r="B778" s="8">
        <v>44651</v>
      </c>
      <c r="C778" s="8">
        <v>44653</v>
      </c>
      <c r="D778" t="s">
        <v>20</v>
      </c>
      <c r="E778" t="s">
        <v>3084</v>
      </c>
      <c r="F778" t="s">
        <v>3074</v>
      </c>
      <c r="G778" t="s">
        <v>2532</v>
      </c>
      <c r="H778">
        <v>8106873992</v>
      </c>
      <c r="I778" t="s">
        <v>24</v>
      </c>
      <c r="J778" t="s">
        <v>61</v>
      </c>
      <c r="K778" t="s">
        <v>62</v>
      </c>
      <c r="L778" t="s">
        <v>108</v>
      </c>
      <c r="M778" t="s">
        <v>109</v>
      </c>
      <c r="N778" t="s">
        <v>110</v>
      </c>
      <c r="O778">
        <v>5</v>
      </c>
      <c r="P778">
        <v>18826.41</v>
      </c>
      <c r="Q778">
        <v>10</v>
      </c>
      <c r="R778" s="39">
        <v>9413.2000000000007</v>
      </c>
      <c r="S778" s="39">
        <v>84718.85</v>
      </c>
      <c r="T778" s="39">
        <v>12992.21</v>
      </c>
      <c r="U778" t="str">
        <f t="shared" si="28"/>
        <v>Clothing</v>
      </c>
      <c r="V778">
        <f t="shared" si="29"/>
        <v>12992.21</v>
      </c>
      <c r="W778" t="str">
        <f>IF(Sales[[#This Row],[Quantity]]&gt;=15, "Large","Small")</f>
        <v>Small</v>
      </c>
      <c r="X778" t="str">
        <f>IF(Sales[[#This Row],[Quantity]]&gt;=15,"Large",IF(Sales[[#This Row],[Quantity]]=14,"Medium","Small"))</f>
        <v>Small</v>
      </c>
      <c r="Y778" t="str">
        <f>IF(AND(Sales[[#This Row],[Unit Price (₦)]]&gt;68000,Sales[[#This Row],[Quantity]]&gt;15),"Offer Discount", "No Discount")</f>
        <v>No Discount</v>
      </c>
    </row>
    <row r="779" spans="1:25" ht="15" customHeight="1" x14ac:dyDescent="0.25">
      <c r="A779" t="s">
        <v>392</v>
      </c>
      <c r="B779" s="8">
        <v>44655</v>
      </c>
      <c r="C779" s="8">
        <v>44657</v>
      </c>
      <c r="D779" t="s">
        <v>20</v>
      </c>
      <c r="E779" t="s">
        <v>3058</v>
      </c>
      <c r="F779" t="s">
        <v>3088</v>
      </c>
      <c r="G779" t="s">
        <v>394</v>
      </c>
      <c r="H779">
        <v>8034429650</v>
      </c>
      <c r="I779" t="s">
        <v>43</v>
      </c>
      <c r="J779" t="s">
        <v>51</v>
      </c>
      <c r="K779" t="s">
        <v>227</v>
      </c>
      <c r="L779" t="s">
        <v>63</v>
      </c>
      <c r="M779" t="s">
        <v>54</v>
      </c>
      <c r="N779" t="s">
        <v>150</v>
      </c>
      <c r="O779">
        <v>10</v>
      </c>
      <c r="P779">
        <v>19221.939999999999</v>
      </c>
      <c r="Q779">
        <v>10</v>
      </c>
      <c r="R779" s="39">
        <v>19221.939999999999</v>
      </c>
      <c r="S779" s="39">
        <v>172997.46</v>
      </c>
      <c r="T779" s="39">
        <v>-13495.43</v>
      </c>
      <c r="U779" t="str">
        <f t="shared" si="28"/>
        <v>Office Supplies</v>
      </c>
      <c r="V779">
        <f t="shared" si="29"/>
        <v>13495.43</v>
      </c>
      <c r="W779" t="str">
        <f>IF(Sales[[#This Row],[Quantity]]&gt;=15, "Large","Small")</f>
        <v>Small</v>
      </c>
      <c r="X779" t="str">
        <f>IF(Sales[[#This Row],[Quantity]]&gt;=15,"Large",IF(Sales[[#This Row],[Quantity]]=14,"Medium","Small"))</f>
        <v>Small</v>
      </c>
      <c r="Y779" t="str">
        <f>IF(AND(Sales[[#This Row],[Unit Price (₦)]]&gt;68000,Sales[[#This Row],[Quantity]]&gt;15),"Offer Discount", "No Discount")</f>
        <v>No Discount</v>
      </c>
    </row>
    <row r="780" spans="1:25" ht="15" customHeight="1" x14ac:dyDescent="0.25">
      <c r="A780" t="s">
        <v>2962</v>
      </c>
      <c r="B780" s="8">
        <v>44659</v>
      </c>
      <c r="C780" s="8">
        <v>44661</v>
      </c>
      <c r="D780" t="s">
        <v>20</v>
      </c>
      <c r="E780" t="s">
        <v>3058</v>
      </c>
      <c r="F780" t="s">
        <v>3064</v>
      </c>
      <c r="G780" t="s">
        <v>2284</v>
      </c>
      <c r="H780">
        <v>8032585719</v>
      </c>
      <c r="I780" t="s">
        <v>24</v>
      </c>
      <c r="J780" t="s">
        <v>25</v>
      </c>
      <c r="K780" t="s">
        <v>126</v>
      </c>
      <c r="L780" t="s">
        <v>108</v>
      </c>
      <c r="M780" t="s">
        <v>38</v>
      </c>
      <c r="N780" t="s">
        <v>39</v>
      </c>
      <c r="O780">
        <v>8</v>
      </c>
      <c r="P780">
        <v>44781.94</v>
      </c>
      <c r="Q780">
        <v>20</v>
      </c>
      <c r="R780" s="39">
        <v>71651.100000000006</v>
      </c>
      <c r="S780" s="39">
        <v>286604.42</v>
      </c>
      <c r="T780" s="39">
        <v>-7757.18</v>
      </c>
      <c r="U780" t="str">
        <f t="shared" si="28"/>
        <v>Clothing</v>
      </c>
      <c r="V780">
        <f t="shared" si="29"/>
        <v>7757.18</v>
      </c>
      <c r="W780" t="str">
        <f>IF(Sales[[#This Row],[Quantity]]&gt;=15, "Large","Small")</f>
        <v>Small</v>
      </c>
      <c r="X780" t="str">
        <f>IF(Sales[[#This Row],[Quantity]]&gt;=15,"Large",IF(Sales[[#This Row],[Quantity]]=14,"Medium","Small"))</f>
        <v>Small</v>
      </c>
      <c r="Y780" t="str">
        <f>IF(AND(Sales[[#This Row],[Unit Price (₦)]]&gt;68000,Sales[[#This Row],[Quantity]]&gt;15),"Offer Discount", "No Discount")</f>
        <v>No Discount</v>
      </c>
    </row>
    <row r="781" spans="1:25" ht="15" customHeight="1" x14ac:dyDescent="0.25">
      <c r="A781" t="s">
        <v>2917</v>
      </c>
      <c r="B781" s="8">
        <v>44668</v>
      </c>
      <c r="C781" s="8">
        <v>44671</v>
      </c>
      <c r="D781" t="s">
        <v>20</v>
      </c>
      <c r="E781" t="s">
        <v>3092</v>
      </c>
      <c r="F781" t="s">
        <v>3077</v>
      </c>
      <c r="G781" t="s">
        <v>2919</v>
      </c>
      <c r="H781">
        <v>7062824919</v>
      </c>
      <c r="I781" t="s">
        <v>43</v>
      </c>
      <c r="J781" t="s">
        <v>61</v>
      </c>
      <c r="K781" t="s">
        <v>182</v>
      </c>
      <c r="L781" t="s">
        <v>108</v>
      </c>
      <c r="M781" t="s">
        <v>183</v>
      </c>
      <c r="N781" t="s">
        <v>869</v>
      </c>
      <c r="O781">
        <v>5</v>
      </c>
      <c r="P781">
        <v>34811.24</v>
      </c>
      <c r="Q781">
        <v>5</v>
      </c>
      <c r="R781" s="39">
        <v>8702.81</v>
      </c>
      <c r="S781" s="39">
        <v>165353.39000000001</v>
      </c>
      <c r="T781" s="39">
        <v>72813.679999999993</v>
      </c>
      <c r="U781" t="str">
        <f t="shared" si="28"/>
        <v>Clothing</v>
      </c>
      <c r="V781">
        <f t="shared" si="29"/>
        <v>72813.679999999993</v>
      </c>
      <c r="W781" t="str">
        <f>IF(Sales[[#This Row],[Quantity]]&gt;=15, "Large","Small")</f>
        <v>Small</v>
      </c>
      <c r="X781" t="str">
        <f>IF(Sales[[#This Row],[Quantity]]&gt;=15,"Large",IF(Sales[[#This Row],[Quantity]]=14,"Medium","Small"))</f>
        <v>Small</v>
      </c>
      <c r="Y781" t="str">
        <f>IF(AND(Sales[[#This Row],[Unit Price (₦)]]&gt;68000,Sales[[#This Row],[Quantity]]&gt;15),"Offer Discount", "No Discount")</f>
        <v>No Discount</v>
      </c>
    </row>
    <row r="782" spans="1:25" ht="15" customHeight="1" x14ac:dyDescent="0.25">
      <c r="A782" t="s">
        <v>1272</v>
      </c>
      <c r="B782" s="8">
        <v>44670</v>
      </c>
      <c r="C782" s="8">
        <v>44672</v>
      </c>
      <c r="D782" t="s">
        <v>20</v>
      </c>
      <c r="E782" t="s">
        <v>3060</v>
      </c>
      <c r="F782" t="s">
        <v>3042</v>
      </c>
      <c r="G782" t="s">
        <v>1274</v>
      </c>
      <c r="H782">
        <v>8065734685</v>
      </c>
      <c r="I782" t="s">
        <v>35</v>
      </c>
      <c r="J782" t="s">
        <v>61</v>
      </c>
      <c r="K782" t="s">
        <v>182</v>
      </c>
      <c r="L782" t="s">
        <v>96</v>
      </c>
      <c r="M782" t="s">
        <v>385</v>
      </c>
      <c r="N782" t="s">
        <v>942</v>
      </c>
      <c r="O782">
        <v>13</v>
      </c>
      <c r="P782">
        <v>320466.52</v>
      </c>
      <c r="Q782">
        <v>10</v>
      </c>
      <c r="R782" s="39">
        <v>416606.48</v>
      </c>
      <c r="S782" s="39">
        <v>3749458.28</v>
      </c>
      <c r="T782" s="39">
        <v>1038840.63</v>
      </c>
      <c r="U782" t="str">
        <f t="shared" si="28"/>
        <v>Technology</v>
      </c>
      <c r="V782">
        <f t="shared" si="29"/>
        <v>1038840.63</v>
      </c>
      <c r="W782" t="str">
        <f>IF(Sales[[#This Row],[Quantity]]&gt;=15, "Large","Small")</f>
        <v>Small</v>
      </c>
      <c r="X782" t="str">
        <f>IF(Sales[[#This Row],[Quantity]]&gt;=15,"Large",IF(Sales[[#This Row],[Quantity]]=14,"Medium","Small"))</f>
        <v>Small</v>
      </c>
      <c r="Y782" t="str">
        <f>IF(AND(Sales[[#This Row],[Unit Price (₦)]]&gt;68000,Sales[[#This Row],[Quantity]]&gt;15),"Offer Discount", "No Discount")</f>
        <v>No Discount</v>
      </c>
    </row>
    <row r="783" spans="1:25" ht="15" customHeight="1" x14ac:dyDescent="0.25">
      <c r="A783" t="s">
        <v>1161</v>
      </c>
      <c r="B783" s="8">
        <v>44670</v>
      </c>
      <c r="C783" s="8">
        <v>44673</v>
      </c>
      <c r="D783" t="s">
        <v>20</v>
      </c>
      <c r="E783" t="s">
        <v>3049</v>
      </c>
      <c r="F783" t="s">
        <v>3050</v>
      </c>
      <c r="G783" t="s">
        <v>1162</v>
      </c>
      <c r="H783">
        <v>9075551832</v>
      </c>
      <c r="I783" t="s">
        <v>35</v>
      </c>
      <c r="J783" t="s">
        <v>25</v>
      </c>
      <c r="K783" t="s">
        <v>44</v>
      </c>
      <c r="L783" t="s">
        <v>63</v>
      </c>
      <c r="M783" t="s">
        <v>194</v>
      </c>
      <c r="N783" t="s">
        <v>700</v>
      </c>
      <c r="O783">
        <v>13</v>
      </c>
      <c r="P783">
        <v>967.42</v>
      </c>
      <c r="Q783">
        <v>5</v>
      </c>
      <c r="R783" s="39">
        <v>628.82000000000005</v>
      </c>
      <c r="S783" s="39">
        <v>11947.64</v>
      </c>
      <c r="T783" s="39">
        <v>5231.58</v>
      </c>
      <c r="U783" t="str">
        <f t="shared" si="28"/>
        <v>Office Supplies</v>
      </c>
      <c r="V783">
        <f t="shared" si="29"/>
        <v>5231.58</v>
      </c>
      <c r="W783" t="str">
        <f>IF(Sales[[#This Row],[Quantity]]&gt;=15, "Large","Small")</f>
        <v>Small</v>
      </c>
      <c r="X783" t="str">
        <f>IF(Sales[[#This Row],[Quantity]]&gt;=15,"Large",IF(Sales[[#This Row],[Quantity]]=14,"Medium","Small"))</f>
        <v>Small</v>
      </c>
      <c r="Y783" t="str">
        <f>IF(AND(Sales[[#This Row],[Unit Price (₦)]]&gt;68000,Sales[[#This Row],[Quantity]]&gt;15),"Offer Discount", "No Discount")</f>
        <v>No Discount</v>
      </c>
    </row>
    <row r="784" spans="1:25" ht="15" customHeight="1" x14ac:dyDescent="0.25">
      <c r="A784" t="s">
        <v>2741</v>
      </c>
      <c r="B784" s="8">
        <v>44670</v>
      </c>
      <c r="C784" s="8">
        <v>44673</v>
      </c>
      <c r="D784" t="s">
        <v>20</v>
      </c>
      <c r="E784" t="s">
        <v>3039</v>
      </c>
      <c r="F784" t="s">
        <v>3045</v>
      </c>
      <c r="G784" t="s">
        <v>2743</v>
      </c>
      <c r="H784">
        <v>8065931680</v>
      </c>
      <c r="I784" t="s">
        <v>43</v>
      </c>
      <c r="J784" t="s">
        <v>61</v>
      </c>
      <c r="K784" t="s">
        <v>95</v>
      </c>
      <c r="L784" t="s">
        <v>63</v>
      </c>
      <c r="M784" t="s">
        <v>194</v>
      </c>
      <c r="N784" t="s">
        <v>195</v>
      </c>
      <c r="O784">
        <v>2</v>
      </c>
      <c r="P784">
        <v>14014.36</v>
      </c>
      <c r="Q784">
        <v>20</v>
      </c>
      <c r="R784" s="39">
        <v>5605.74</v>
      </c>
      <c r="S784" s="39">
        <v>22422.98</v>
      </c>
      <c r="T784" s="39">
        <v>-2451.88</v>
      </c>
      <c r="U784" t="str">
        <f t="shared" si="28"/>
        <v>Office Supplies</v>
      </c>
      <c r="V784">
        <f t="shared" si="29"/>
        <v>2451.88</v>
      </c>
      <c r="W784" t="str">
        <f>IF(Sales[[#This Row],[Quantity]]&gt;=15, "Large","Small")</f>
        <v>Small</v>
      </c>
      <c r="X784" t="str">
        <f>IF(Sales[[#This Row],[Quantity]]&gt;=15,"Large",IF(Sales[[#This Row],[Quantity]]=14,"Medium","Small"))</f>
        <v>Small</v>
      </c>
      <c r="Y784" t="str">
        <f>IF(AND(Sales[[#This Row],[Unit Price (₦)]]&gt;68000,Sales[[#This Row],[Quantity]]&gt;15),"Offer Discount", "No Discount")</f>
        <v>No Discount</v>
      </c>
    </row>
    <row r="785" spans="1:25" ht="15" customHeight="1" x14ac:dyDescent="0.25">
      <c r="A785" t="s">
        <v>2097</v>
      </c>
      <c r="B785" s="8">
        <v>44671</v>
      </c>
      <c r="C785" s="8">
        <v>44674</v>
      </c>
      <c r="D785" t="s">
        <v>20</v>
      </c>
      <c r="E785" t="s">
        <v>3033</v>
      </c>
      <c r="F785" t="s">
        <v>3045</v>
      </c>
      <c r="G785" t="s">
        <v>1882</v>
      </c>
      <c r="H785">
        <v>8149690736</v>
      </c>
      <c r="I785" t="s">
        <v>24</v>
      </c>
      <c r="J785" t="s">
        <v>51</v>
      </c>
      <c r="K785" t="s">
        <v>131</v>
      </c>
      <c r="L785" t="s">
        <v>108</v>
      </c>
      <c r="M785" t="s">
        <v>114</v>
      </c>
      <c r="N785" t="s">
        <v>291</v>
      </c>
      <c r="O785">
        <v>4</v>
      </c>
      <c r="P785">
        <v>4351.79</v>
      </c>
      <c r="Q785">
        <v>10</v>
      </c>
      <c r="R785" s="39">
        <v>1740.72</v>
      </c>
      <c r="S785" s="39">
        <v>15666.44</v>
      </c>
      <c r="T785" s="39">
        <v>3236.75</v>
      </c>
      <c r="U785" t="str">
        <f t="shared" si="28"/>
        <v>Clothing</v>
      </c>
      <c r="V785">
        <f t="shared" si="29"/>
        <v>3236.75</v>
      </c>
      <c r="W785" t="str">
        <f>IF(Sales[[#This Row],[Quantity]]&gt;=15, "Large","Small")</f>
        <v>Small</v>
      </c>
      <c r="X785" t="str">
        <f>IF(Sales[[#This Row],[Quantity]]&gt;=15,"Large",IF(Sales[[#This Row],[Quantity]]=14,"Medium","Small"))</f>
        <v>Small</v>
      </c>
      <c r="Y785" t="str">
        <f>IF(AND(Sales[[#This Row],[Unit Price (₦)]]&gt;68000,Sales[[#This Row],[Quantity]]&gt;15),"Offer Discount", "No Discount")</f>
        <v>No Discount</v>
      </c>
    </row>
    <row r="786" spans="1:25" ht="15" customHeight="1" x14ac:dyDescent="0.25">
      <c r="A786" t="s">
        <v>2215</v>
      </c>
      <c r="B786" s="8">
        <v>44673</v>
      </c>
      <c r="C786" s="8">
        <v>44676</v>
      </c>
      <c r="D786" t="s">
        <v>20</v>
      </c>
      <c r="E786" t="s">
        <v>3089</v>
      </c>
      <c r="F786" t="s">
        <v>3034</v>
      </c>
      <c r="G786" t="s">
        <v>2216</v>
      </c>
      <c r="H786">
        <v>7031765519</v>
      </c>
      <c r="I786" t="s">
        <v>43</v>
      </c>
      <c r="J786" t="s">
        <v>69</v>
      </c>
      <c r="K786" t="s">
        <v>70</v>
      </c>
      <c r="L786" t="s">
        <v>63</v>
      </c>
      <c r="M786" t="s">
        <v>64</v>
      </c>
      <c r="N786" t="s">
        <v>104</v>
      </c>
      <c r="O786">
        <v>6</v>
      </c>
      <c r="P786">
        <v>5922.1</v>
      </c>
      <c r="Q786">
        <v>25</v>
      </c>
      <c r="R786" s="39">
        <v>8883.15</v>
      </c>
      <c r="S786" s="39">
        <v>26649.45</v>
      </c>
      <c r="T786" s="39">
        <v>-700.33</v>
      </c>
      <c r="U786" t="str">
        <f t="shared" si="28"/>
        <v>Office Supplies</v>
      </c>
      <c r="V786">
        <f t="shared" si="29"/>
        <v>700.33</v>
      </c>
      <c r="W786" t="str">
        <f>IF(Sales[[#This Row],[Quantity]]&gt;=15, "Large","Small")</f>
        <v>Small</v>
      </c>
      <c r="X786" t="str">
        <f>IF(Sales[[#This Row],[Quantity]]&gt;=15,"Large",IF(Sales[[#This Row],[Quantity]]=14,"Medium","Small"))</f>
        <v>Small</v>
      </c>
      <c r="Y786" t="str">
        <f>IF(AND(Sales[[#This Row],[Unit Price (₦)]]&gt;68000,Sales[[#This Row],[Quantity]]&gt;15),"Offer Discount", "No Discount")</f>
        <v>No Discount</v>
      </c>
    </row>
    <row r="787" spans="1:25" ht="15" customHeight="1" x14ac:dyDescent="0.25">
      <c r="A787" t="s">
        <v>1375</v>
      </c>
      <c r="B787" s="8">
        <v>44674</v>
      </c>
      <c r="C787" s="8">
        <v>44677</v>
      </c>
      <c r="D787" t="s">
        <v>20</v>
      </c>
      <c r="E787" t="s">
        <v>3087</v>
      </c>
      <c r="F787" t="s">
        <v>3038</v>
      </c>
      <c r="G787" t="s">
        <v>1210</v>
      </c>
      <c r="H787">
        <v>7038807325</v>
      </c>
      <c r="I787" t="s">
        <v>24</v>
      </c>
      <c r="J787" t="s">
        <v>61</v>
      </c>
      <c r="K787" t="s">
        <v>95</v>
      </c>
      <c r="L787" t="s">
        <v>27</v>
      </c>
      <c r="M787" t="s">
        <v>79</v>
      </c>
      <c r="N787" t="s">
        <v>80</v>
      </c>
      <c r="O787">
        <v>18</v>
      </c>
      <c r="P787">
        <v>3121.53</v>
      </c>
      <c r="Q787">
        <v>0</v>
      </c>
      <c r="R787" s="39">
        <v>0</v>
      </c>
      <c r="S787" s="39">
        <v>56187.54</v>
      </c>
      <c r="T787" s="39">
        <v>10476.44</v>
      </c>
      <c r="U787" t="str">
        <f t="shared" si="28"/>
        <v>Food &amp; Beverages</v>
      </c>
      <c r="V787">
        <f t="shared" si="29"/>
        <v>10476.44</v>
      </c>
      <c r="W787" t="str">
        <f>IF(Sales[[#This Row],[Quantity]]&gt;=15, "Large","Small")</f>
        <v>Large</v>
      </c>
      <c r="X787" t="str">
        <f>IF(Sales[[#This Row],[Quantity]]&gt;=15,"Large",IF(Sales[[#This Row],[Quantity]]=14,"Medium","Small"))</f>
        <v>Large</v>
      </c>
      <c r="Y787" t="str">
        <f>IF(AND(Sales[[#This Row],[Unit Price (₦)]]&gt;68000,Sales[[#This Row],[Quantity]]&gt;15),"Offer Discount", "No Discount")</f>
        <v>No Discount</v>
      </c>
    </row>
    <row r="788" spans="1:25" ht="15" customHeight="1" x14ac:dyDescent="0.25">
      <c r="A788" t="s">
        <v>1036</v>
      </c>
      <c r="B788" s="8">
        <v>44679</v>
      </c>
      <c r="C788" s="8">
        <v>44681</v>
      </c>
      <c r="D788" t="s">
        <v>20</v>
      </c>
      <c r="E788" t="s">
        <v>3089</v>
      </c>
      <c r="F788" t="s">
        <v>3071</v>
      </c>
      <c r="G788" t="s">
        <v>1038</v>
      </c>
      <c r="H788">
        <v>8139693169</v>
      </c>
      <c r="I788" t="s">
        <v>24</v>
      </c>
      <c r="J788" t="s">
        <v>69</v>
      </c>
      <c r="K788" t="s">
        <v>155</v>
      </c>
      <c r="L788" t="s">
        <v>63</v>
      </c>
      <c r="M788" t="s">
        <v>54</v>
      </c>
      <c r="N788" t="s">
        <v>1039</v>
      </c>
      <c r="O788">
        <v>17</v>
      </c>
      <c r="P788">
        <v>19707.009999999998</v>
      </c>
      <c r="Q788">
        <v>25</v>
      </c>
      <c r="R788" s="39">
        <v>83754.789999999994</v>
      </c>
      <c r="S788" s="39">
        <v>251264.38</v>
      </c>
      <c r="T788" s="39">
        <v>67607.67</v>
      </c>
      <c r="U788" t="str">
        <f t="shared" si="28"/>
        <v>Office Supplies</v>
      </c>
      <c r="V788">
        <f t="shared" si="29"/>
        <v>67607.67</v>
      </c>
      <c r="W788" t="str">
        <f>IF(Sales[[#This Row],[Quantity]]&gt;=15, "Large","Small")</f>
        <v>Large</v>
      </c>
      <c r="X788" t="str">
        <f>IF(Sales[[#This Row],[Quantity]]&gt;=15,"Large",IF(Sales[[#This Row],[Quantity]]=14,"Medium","Small"))</f>
        <v>Large</v>
      </c>
      <c r="Y788" t="str">
        <f>IF(AND(Sales[[#This Row],[Unit Price (₦)]]&gt;68000,Sales[[#This Row],[Quantity]]&gt;15),"Offer Discount", "No Discount")</f>
        <v>No Discount</v>
      </c>
    </row>
    <row r="789" spans="1:25" ht="15" customHeight="1" x14ac:dyDescent="0.25">
      <c r="A789" t="s">
        <v>2098</v>
      </c>
      <c r="B789" s="8">
        <v>44686</v>
      </c>
      <c r="C789" s="8">
        <v>44688</v>
      </c>
      <c r="D789" t="s">
        <v>20</v>
      </c>
      <c r="E789" t="s">
        <v>3035</v>
      </c>
      <c r="F789" t="s">
        <v>3069</v>
      </c>
      <c r="G789" t="s">
        <v>2099</v>
      </c>
      <c r="H789">
        <v>9014440410</v>
      </c>
      <c r="I789" t="s">
        <v>43</v>
      </c>
      <c r="J789" t="s">
        <v>51</v>
      </c>
      <c r="K789" t="s">
        <v>227</v>
      </c>
      <c r="L789" t="s">
        <v>27</v>
      </c>
      <c r="M789" t="s">
        <v>354</v>
      </c>
      <c r="N789" t="s">
        <v>789</v>
      </c>
      <c r="O789">
        <v>16</v>
      </c>
      <c r="P789">
        <v>6001.27</v>
      </c>
      <c r="Q789">
        <v>0</v>
      </c>
      <c r="R789" s="39">
        <v>0</v>
      </c>
      <c r="S789" s="39">
        <v>96020.32</v>
      </c>
      <c r="T789" s="39">
        <v>-1524.21</v>
      </c>
      <c r="U789" t="str">
        <f t="shared" si="28"/>
        <v>Food &amp; Beverages</v>
      </c>
      <c r="V789">
        <f t="shared" si="29"/>
        <v>1524.21</v>
      </c>
      <c r="W789" t="str">
        <f>IF(Sales[[#This Row],[Quantity]]&gt;=15, "Large","Small")</f>
        <v>Large</v>
      </c>
      <c r="X789" t="str">
        <f>IF(Sales[[#This Row],[Quantity]]&gt;=15,"Large",IF(Sales[[#This Row],[Quantity]]=14,"Medium","Small"))</f>
        <v>Large</v>
      </c>
      <c r="Y789" t="str">
        <f>IF(AND(Sales[[#This Row],[Unit Price (₦)]]&gt;68000,Sales[[#This Row],[Quantity]]&gt;15),"Offer Discount", "No Discount")</f>
        <v>No Discount</v>
      </c>
    </row>
    <row r="790" spans="1:25" ht="15" customHeight="1" x14ac:dyDescent="0.25">
      <c r="A790" t="s">
        <v>832</v>
      </c>
      <c r="B790" s="8">
        <v>44688</v>
      </c>
      <c r="C790" s="8">
        <v>44690</v>
      </c>
      <c r="D790" t="s">
        <v>20</v>
      </c>
      <c r="E790" t="s">
        <v>3072</v>
      </c>
      <c r="F790" t="s">
        <v>3050</v>
      </c>
      <c r="G790" t="s">
        <v>821</v>
      </c>
      <c r="H790">
        <v>9027945543</v>
      </c>
      <c r="I790" t="s">
        <v>35</v>
      </c>
      <c r="J790" t="s">
        <v>69</v>
      </c>
      <c r="K790" t="s">
        <v>144</v>
      </c>
      <c r="L790" t="s">
        <v>27</v>
      </c>
      <c r="M790" t="s">
        <v>354</v>
      </c>
      <c r="N790" t="s">
        <v>789</v>
      </c>
      <c r="O790">
        <v>13</v>
      </c>
      <c r="P790">
        <v>769.57</v>
      </c>
      <c r="Q790">
        <v>25</v>
      </c>
      <c r="R790" s="39">
        <v>2501.1</v>
      </c>
      <c r="S790" s="39">
        <v>7503.31</v>
      </c>
      <c r="T790" s="39">
        <v>759.18</v>
      </c>
      <c r="U790" t="str">
        <f t="shared" si="28"/>
        <v>Food &amp; Beverages</v>
      </c>
      <c r="V790">
        <f t="shared" si="29"/>
        <v>759.18</v>
      </c>
      <c r="W790" t="str">
        <f>IF(Sales[[#This Row],[Quantity]]&gt;=15, "Large","Small")</f>
        <v>Small</v>
      </c>
      <c r="X790" t="str">
        <f>IF(Sales[[#This Row],[Quantity]]&gt;=15,"Large",IF(Sales[[#This Row],[Quantity]]=14,"Medium","Small"))</f>
        <v>Small</v>
      </c>
      <c r="Y790" t="str">
        <f>IF(AND(Sales[[#This Row],[Unit Price (₦)]]&gt;68000,Sales[[#This Row],[Quantity]]&gt;15),"Offer Discount", "No Discount")</f>
        <v>No Discount</v>
      </c>
    </row>
    <row r="791" spans="1:25" ht="15" customHeight="1" x14ac:dyDescent="0.25">
      <c r="A791" t="s">
        <v>713</v>
      </c>
      <c r="B791" s="8">
        <v>44691</v>
      </c>
      <c r="C791" s="8">
        <v>44694</v>
      </c>
      <c r="D791" t="s">
        <v>20</v>
      </c>
      <c r="E791" t="s">
        <v>3082</v>
      </c>
      <c r="F791" t="s">
        <v>3066</v>
      </c>
      <c r="G791" t="s">
        <v>715</v>
      </c>
      <c r="H791">
        <v>8145505300</v>
      </c>
      <c r="I791" t="s">
        <v>24</v>
      </c>
      <c r="J791" t="s">
        <v>25</v>
      </c>
      <c r="K791" t="s">
        <v>168</v>
      </c>
      <c r="L791" t="s">
        <v>63</v>
      </c>
      <c r="M791" t="s">
        <v>194</v>
      </c>
      <c r="N791" t="s">
        <v>716</v>
      </c>
      <c r="O791">
        <v>19</v>
      </c>
      <c r="P791">
        <v>8775</v>
      </c>
      <c r="Q791">
        <v>0</v>
      </c>
      <c r="R791" s="39">
        <v>0</v>
      </c>
      <c r="S791" s="39">
        <v>166725</v>
      </c>
      <c r="T791" s="39">
        <v>31625.279999999999</v>
      </c>
      <c r="U791" t="str">
        <f t="shared" si="28"/>
        <v>Office Supplies</v>
      </c>
      <c r="V791">
        <f t="shared" si="29"/>
        <v>31625.279999999999</v>
      </c>
      <c r="W791" t="str">
        <f>IF(Sales[[#This Row],[Quantity]]&gt;=15, "Large","Small")</f>
        <v>Large</v>
      </c>
      <c r="X791" t="str">
        <f>IF(Sales[[#This Row],[Quantity]]&gt;=15,"Large",IF(Sales[[#This Row],[Quantity]]=14,"Medium","Small"))</f>
        <v>Large</v>
      </c>
      <c r="Y791" t="str">
        <f>IF(AND(Sales[[#This Row],[Unit Price (₦)]]&gt;68000,Sales[[#This Row],[Quantity]]&gt;15),"Offer Discount", "No Discount")</f>
        <v>No Discount</v>
      </c>
    </row>
    <row r="792" spans="1:25" ht="15" customHeight="1" x14ac:dyDescent="0.25">
      <c r="A792" t="s">
        <v>1478</v>
      </c>
      <c r="B792" s="8">
        <v>44693</v>
      </c>
      <c r="C792" s="8">
        <v>44695</v>
      </c>
      <c r="D792" t="s">
        <v>20</v>
      </c>
      <c r="E792" t="s">
        <v>3051</v>
      </c>
      <c r="F792" t="s">
        <v>3036</v>
      </c>
      <c r="G792" t="s">
        <v>1480</v>
      </c>
      <c r="H792">
        <v>9073694157</v>
      </c>
      <c r="I792" t="s">
        <v>43</v>
      </c>
      <c r="J792" t="s">
        <v>51</v>
      </c>
      <c r="K792" t="s">
        <v>316</v>
      </c>
      <c r="L792" t="s">
        <v>63</v>
      </c>
      <c r="M792" t="s">
        <v>469</v>
      </c>
      <c r="N792" t="s">
        <v>1099</v>
      </c>
      <c r="O792">
        <v>8</v>
      </c>
      <c r="P792">
        <v>6285.18</v>
      </c>
      <c r="Q792">
        <v>0</v>
      </c>
      <c r="R792" s="39">
        <v>0</v>
      </c>
      <c r="S792" s="39">
        <v>50281.440000000002</v>
      </c>
      <c r="T792" s="39">
        <v>-3018.03</v>
      </c>
      <c r="U792" t="str">
        <f t="shared" si="28"/>
        <v>Office Supplies</v>
      </c>
      <c r="V792">
        <f t="shared" si="29"/>
        <v>3018.03</v>
      </c>
      <c r="W792" t="str">
        <f>IF(Sales[[#This Row],[Quantity]]&gt;=15, "Large","Small")</f>
        <v>Small</v>
      </c>
      <c r="X792" t="str">
        <f>IF(Sales[[#This Row],[Quantity]]&gt;=15,"Large",IF(Sales[[#This Row],[Quantity]]=14,"Medium","Small"))</f>
        <v>Small</v>
      </c>
      <c r="Y792" t="str">
        <f>IF(AND(Sales[[#This Row],[Unit Price (₦)]]&gt;68000,Sales[[#This Row],[Quantity]]&gt;15),"Offer Discount", "No Discount")</f>
        <v>No Discount</v>
      </c>
    </row>
    <row r="793" spans="1:25" ht="15" customHeight="1" x14ac:dyDescent="0.25">
      <c r="A793" t="s">
        <v>2956</v>
      </c>
      <c r="B793" s="8">
        <v>44699</v>
      </c>
      <c r="C793" s="8">
        <v>44701</v>
      </c>
      <c r="D793" t="s">
        <v>20</v>
      </c>
      <c r="E793" t="s">
        <v>3050</v>
      </c>
      <c r="F793" t="s">
        <v>3052</v>
      </c>
      <c r="G793" t="s">
        <v>2957</v>
      </c>
      <c r="H793">
        <v>8132496306</v>
      </c>
      <c r="I793" t="s">
        <v>43</v>
      </c>
      <c r="J793" t="s">
        <v>51</v>
      </c>
      <c r="K793" t="s">
        <v>52</v>
      </c>
      <c r="L793" t="s">
        <v>85</v>
      </c>
      <c r="M793" t="s">
        <v>243</v>
      </c>
      <c r="N793" t="s">
        <v>404</v>
      </c>
      <c r="O793">
        <v>6</v>
      </c>
      <c r="P793">
        <v>130966.05</v>
      </c>
      <c r="Q793">
        <v>5</v>
      </c>
      <c r="R793" s="39">
        <v>39289.82</v>
      </c>
      <c r="S793" s="39">
        <v>746506.48</v>
      </c>
      <c r="T793" s="39">
        <v>42434.92</v>
      </c>
      <c r="U793" t="str">
        <f t="shared" si="28"/>
        <v>Furniture</v>
      </c>
      <c r="V793">
        <f t="shared" si="29"/>
        <v>42434.92</v>
      </c>
      <c r="W793" t="str">
        <f>IF(Sales[[#This Row],[Quantity]]&gt;=15, "Large","Small")</f>
        <v>Small</v>
      </c>
      <c r="X793" t="str">
        <f>IF(Sales[[#This Row],[Quantity]]&gt;=15,"Large",IF(Sales[[#This Row],[Quantity]]=14,"Medium","Small"))</f>
        <v>Small</v>
      </c>
      <c r="Y793" t="str">
        <f>IF(AND(Sales[[#This Row],[Unit Price (₦)]]&gt;68000,Sales[[#This Row],[Quantity]]&gt;15),"Offer Discount", "No Discount")</f>
        <v>No Discount</v>
      </c>
    </row>
    <row r="794" spans="1:25" ht="15" customHeight="1" x14ac:dyDescent="0.25">
      <c r="A794" t="s">
        <v>2353</v>
      </c>
      <c r="B794" s="8">
        <v>44713</v>
      </c>
      <c r="C794" s="8">
        <v>44716</v>
      </c>
      <c r="D794" t="s">
        <v>20</v>
      </c>
      <c r="E794" t="s">
        <v>3089</v>
      </c>
      <c r="F794" t="s">
        <v>3096</v>
      </c>
      <c r="G794" t="s">
        <v>2354</v>
      </c>
      <c r="H794">
        <v>9025362068</v>
      </c>
      <c r="I794" t="s">
        <v>35</v>
      </c>
      <c r="J794" t="s">
        <v>61</v>
      </c>
      <c r="K794" t="s">
        <v>182</v>
      </c>
      <c r="L794" t="s">
        <v>63</v>
      </c>
      <c r="M794" t="s">
        <v>558</v>
      </c>
      <c r="N794" t="s">
        <v>559</v>
      </c>
      <c r="O794">
        <v>15</v>
      </c>
      <c r="P794">
        <v>8601.2000000000007</v>
      </c>
      <c r="Q794">
        <v>10</v>
      </c>
      <c r="R794" s="39">
        <v>12901.8</v>
      </c>
      <c r="S794" s="39">
        <v>116116.2</v>
      </c>
      <c r="T794" s="39">
        <v>22171.08</v>
      </c>
      <c r="U794" t="str">
        <f t="shared" si="28"/>
        <v>Office Supplies</v>
      </c>
      <c r="V794">
        <f t="shared" si="29"/>
        <v>22171.08</v>
      </c>
      <c r="W794" t="str">
        <f>IF(Sales[[#This Row],[Quantity]]&gt;=15, "Large","Small")</f>
        <v>Large</v>
      </c>
      <c r="X794" t="str">
        <f>IF(Sales[[#This Row],[Quantity]]&gt;=15,"Large",IF(Sales[[#This Row],[Quantity]]=14,"Medium","Small"))</f>
        <v>Large</v>
      </c>
      <c r="Y794" t="str">
        <f>IF(AND(Sales[[#This Row],[Unit Price (₦)]]&gt;68000,Sales[[#This Row],[Quantity]]&gt;15),"Offer Discount", "No Discount")</f>
        <v>No Discount</v>
      </c>
    </row>
    <row r="795" spans="1:25" ht="15" customHeight="1" x14ac:dyDescent="0.25">
      <c r="A795" t="s">
        <v>513</v>
      </c>
      <c r="B795" s="8">
        <v>44715</v>
      </c>
      <c r="C795" s="8">
        <v>44717</v>
      </c>
      <c r="D795" t="s">
        <v>20</v>
      </c>
      <c r="E795" t="s">
        <v>3044</v>
      </c>
      <c r="F795" t="s">
        <v>3052</v>
      </c>
      <c r="G795" t="s">
        <v>515</v>
      </c>
      <c r="H795">
        <v>9023160763</v>
      </c>
      <c r="I795" t="s">
        <v>24</v>
      </c>
      <c r="J795" t="s">
        <v>25</v>
      </c>
      <c r="K795" t="s">
        <v>36</v>
      </c>
      <c r="L795" t="s">
        <v>96</v>
      </c>
      <c r="M795" t="s">
        <v>97</v>
      </c>
      <c r="N795" t="s">
        <v>98</v>
      </c>
      <c r="O795">
        <v>15</v>
      </c>
      <c r="P795">
        <v>33572.9</v>
      </c>
      <c r="Q795">
        <v>0</v>
      </c>
      <c r="R795" s="39">
        <v>0</v>
      </c>
      <c r="S795" s="39">
        <v>503593.5</v>
      </c>
      <c r="T795" s="39">
        <v>-24780.06</v>
      </c>
      <c r="U795" t="str">
        <f t="shared" si="28"/>
        <v>Technology</v>
      </c>
      <c r="V795">
        <f t="shared" si="29"/>
        <v>24780.06</v>
      </c>
      <c r="W795" t="str">
        <f>IF(Sales[[#This Row],[Quantity]]&gt;=15, "Large","Small")</f>
        <v>Large</v>
      </c>
      <c r="X795" t="str">
        <f>IF(Sales[[#This Row],[Quantity]]&gt;=15,"Large",IF(Sales[[#This Row],[Quantity]]=14,"Medium","Small"))</f>
        <v>Large</v>
      </c>
      <c r="Y795" t="str">
        <f>IF(AND(Sales[[#This Row],[Unit Price (₦)]]&gt;68000,Sales[[#This Row],[Quantity]]&gt;15),"Offer Discount", "No Discount")</f>
        <v>No Discount</v>
      </c>
    </row>
    <row r="796" spans="1:25" ht="15" customHeight="1" x14ac:dyDescent="0.25">
      <c r="A796" t="s">
        <v>2632</v>
      </c>
      <c r="B796" s="8">
        <v>44717</v>
      </c>
      <c r="C796" s="8">
        <v>44720</v>
      </c>
      <c r="D796" t="s">
        <v>20</v>
      </c>
      <c r="E796" t="s">
        <v>3051</v>
      </c>
      <c r="F796" t="s">
        <v>3040</v>
      </c>
      <c r="G796" t="s">
        <v>3126</v>
      </c>
      <c r="H796">
        <v>8161587080</v>
      </c>
      <c r="I796" t="s">
        <v>43</v>
      </c>
      <c r="J796" t="s">
        <v>61</v>
      </c>
      <c r="K796" t="s">
        <v>62</v>
      </c>
      <c r="L796" t="s">
        <v>96</v>
      </c>
      <c r="M796" t="s">
        <v>97</v>
      </c>
      <c r="N796" t="s">
        <v>443</v>
      </c>
      <c r="O796">
        <v>7</v>
      </c>
      <c r="P796">
        <v>129285.66</v>
      </c>
      <c r="Q796">
        <v>0</v>
      </c>
      <c r="R796" s="39">
        <v>0</v>
      </c>
      <c r="S796" s="39">
        <v>904999.62</v>
      </c>
      <c r="T796" s="39">
        <v>363487.5</v>
      </c>
      <c r="U796" t="str">
        <f t="shared" si="28"/>
        <v>Technology</v>
      </c>
      <c r="V796">
        <f t="shared" si="29"/>
        <v>363487.5</v>
      </c>
      <c r="W796" t="str">
        <f>IF(Sales[[#This Row],[Quantity]]&gt;=15, "Large","Small")</f>
        <v>Small</v>
      </c>
      <c r="X796" t="str">
        <f>IF(Sales[[#This Row],[Quantity]]&gt;=15,"Large",IF(Sales[[#This Row],[Quantity]]=14,"Medium","Small"))</f>
        <v>Small</v>
      </c>
      <c r="Y796" t="str">
        <f>IF(AND(Sales[[#This Row],[Unit Price (₦)]]&gt;68000,Sales[[#This Row],[Quantity]]&gt;15),"Offer Discount", "No Discount")</f>
        <v>No Discount</v>
      </c>
    </row>
    <row r="797" spans="1:25" ht="15" customHeight="1" x14ac:dyDescent="0.25">
      <c r="A797" t="s">
        <v>1474</v>
      </c>
      <c r="B797" s="8">
        <v>44719</v>
      </c>
      <c r="C797" s="8">
        <v>44722</v>
      </c>
      <c r="D797" t="s">
        <v>20</v>
      </c>
      <c r="E797" t="s">
        <v>3092</v>
      </c>
      <c r="F797" t="s">
        <v>3079</v>
      </c>
      <c r="G797" t="s">
        <v>3126</v>
      </c>
      <c r="H797">
        <v>7066257190</v>
      </c>
      <c r="I797" t="s">
        <v>35</v>
      </c>
      <c r="J797" t="s">
        <v>69</v>
      </c>
      <c r="K797" t="s">
        <v>70</v>
      </c>
      <c r="L797" t="s">
        <v>85</v>
      </c>
      <c r="M797" t="s">
        <v>486</v>
      </c>
      <c r="N797" t="s">
        <v>1018</v>
      </c>
      <c r="O797">
        <v>17</v>
      </c>
      <c r="P797">
        <v>51217.54</v>
      </c>
      <c r="Q797">
        <v>20</v>
      </c>
      <c r="R797" s="39">
        <v>174139.64</v>
      </c>
      <c r="S797" s="39">
        <v>696558.54</v>
      </c>
      <c r="T797" s="39">
        <v>176184.83</v>
      </c>
      <c r="U797" t="str">
        <f t="shared" si="28"/>
        <v>Furniture</v>
      </c>
      <c r="V797">
        <f t="shared" si="29"/>
        <v>176184.83</v>
      </c>
      <c r="W797" t="str">
        <f>IF(Sales[[#This Row],[Quantity]]&gt;=15, "Large","Small")</f>
        <v>Large</v>
      </c>
      <c r="X797" t="str">
        <f>IF(Sales[[#This Row],[Quantity]]&gt;=15,"Large",IF(Sales[[#This Row],[Quantity]]=14,"Medium","Small"))</f>
        <v>Large</v>
      </c>
      <c r="Y797" t="str">
        <f>IF(AND(Sales[[#This Row],[Unit Price (₦)]]&gt;68000,Sales[[#This Row],[Quantity]]&gt;15),"Offer Discount", "No Discount")</f>
        <v>No Discount</v>
      </c>
    </row>
    <row r="798" spans="1:25" ht="15" customHeight="1" x14ac:dyDescent="0.25">
      <c r="A798" t="s">
        <v>572</v>
      </c>
      <c r="B798" s="8">
        <v>44721</v>
      </c>
      <c r="C798" s="8">
        <v>44723</v>
      </c>
      <c r="D798" t="s">
        <v>20</v>
      </c>
      <c r="E798" t="s">
        <v>3087</v>
      </c>
      <c r="F798" t="s">
        <v>3042</v>
      </c>
      <c r="G798" t="s">
        <v>574</v>
      </c>
      <c r="H798">
        <v>9053514105</v>
      </c>
      <c r="I798" t="s">
        <v>43</v>
      </c>
      <c r="J798" t="s">
        <v>25</v>
      </c>
      <c r="K798" t="s">
        <v>36</v>
      </c>
      <c r="L798" t="s">
        <v>85</v>
      </c>
      <c r="M798" t="s">
        <v>243</v>
      </c>
      <c r="N798" t="s">
        <v>244</v>
      </c>
      <c r="O798">
        <v>7</v>
      </c>
      <c r="P798">
        <v>83996.58</v>
      </c>
      <c r="Q798">
        <v>20</v>
      </c>
      <c r="R798" s="39">
        <v>117595.21</v>
      </c>
      <c r="S798" s="39">
        <v>470380.85</v>
      </c>
      <c r="T798" s="39">
        <v>-44890.8</v>
      </c>
      <c r="U798" t="str">
        <f t="shared" si="28"/>
        <v>Furniture</v>
      </c>
      <c r="V798">
        <f t="shared" si="29"/>
        <v>44890.8</v>
      </c>
      <c r="W798" t="str">
        <f>IF(Sales[[#This Row],[Quantity]]&gt;=15, "Large","Small")</f>
        <v>Small</v>
      </c>
      <c r="X798" t="str">
        <f>IF(Sales[[#This Row],[Quantity]]&gt;=15,"Large",IF(Sales[[#This Row],[Quantity]]=14,"Medium","Small"))</f>
        <v>Small</v>
      </c>
      <c r="Y798" t="str">
        <f>IF(AND(Sales[[#This Row],[Unit Price (₦)]]&gt;68000,Sales[[#This Row],[Quantity]]&gt;15),"Offer Discount", "No Discount")</f>
        <v>No Discount</v>
      </c>
    </row>
    <row r="799" spans="1:25" ht="15" customHeight="1" x14ac:dyDescent="0.25">
      <c r="A799" t="s">
        <v>812</v>
      </c>
      <c r="B799" s="8">
        <v>44721</v>
      </c>
      <c r="C799" s="8">
        <v>44723</v>
      </c>
      <c r="D799" t="s">
        <v>20</v>
      </c>
      <c r="E799" t="s">
        <v>3097</v>
      </c>
      <c r="F799" t="s">
        <v>3074</v>
      </c>
      <c r="G799" t="s">
        <v>814</v>
      </c>
      <c r="H799">
        <v>9072488575</v>
      </c>
      <c r="I799" t="s">
        <v>35</v>
      </c>
      <c r="J799" t="s">
        <v>25</v>
      </c>
      <c r="K799" t="s">
        <v>168</v>
      </c>
      <c r="L799" t="s">
        <v>63</v>
      </c>
      <c r="M799" t="s">
        <v>64</v>
      </c>
      <c r="N799" t="s">
        <v>815</v>
      </c>
      <c r="O799">
        <v>8</v>
      </c>
      <c r="P799">
        <v>6997.7</v>
      </c>
      <c r="Q799">
        <v>0</v>
      </c>
      <c r="R799" s="39">
        <v>0</v>
      </c>
      <c r="S799" s="39">
        <v>55981.599999999999</v>
      </c>
      <c r="T799" s="39">
        <v>3375.06</v>
      </c>
      <c r="U799" t="str">
        <f t="shared" si="28"/>
        <v>Office Supplies</v>
      </c>
      <c r="V799">
        <f t="shared" si="29"/>
        <v>3375.06</v>
      </c>
      <c r="W799" t="str">
        <f>IF(Sales[[#This Row],[Quantity]]&gt;=15, "Large","Small")</f>
        <v>Small</v>
      </c>
      <c r="X799" t="str">
        <f>IF(Sales[[#This Row],[Quantity]]&gt;=15,"Large",IF(Sales[[#This Row],[Quantity]]=14,"Medium","Small"))</f>
        <v>Small</v>
      </c>
      <c r="Y799" t="str">
        <f>IF(AND(Sales[[#This Row],[Unit Price (₦)]]&gt;68000,Sales[[#This Row],[Quantity]]&gt;15),"Offer Discount", "No Discount")</f>
        <v>No Discount</v>
      </c>
    </row>
    <row r="800" spans="1:25" ht="15" customHeight="1" x14ac:dyDescent="0.25">
      <c r="A800" t="s">
        <v>2598</v>
      </c>
      <c r="B800" s="8">
        <v>44728</v>
      </c>
      <c r="C800" s="8">
        <v>44731</v>
      </c>
      <c r="D800" t="s">
        <v>20</v>
      </c>
      <c r="E800" t="s">
        <v>3039</v>
      </c>
      <c r="F800" t="s">
        <v>3088</v>
      </c>
      <c r="G800" t="s">
        <v>2434</v>
      </c>
      <c r="H800">
        <v>8068541105</v>
      </c>
      <c r="I800" t="s">
        <v>24</v>
      </c>
      <c r="J800" t="s">
        <v>69</v>
      </c>
      <c r="K800" t="s">
        <v>119</v>
      </c>
      <c r="L800" t="s">
        <v>108</v>
      </c>
      <c r="M800" t="s">
        <v>109</v>
      </c>
      <c r="N800" t="s">
        <v>157</v>
      </c>
      <c r="O800">
        <v>12</v>
      </c>
      <c r="P800">
        <v>32612.03</v>
      </c>
      <c r="Q800">
        <v>0</v>
      </c>
      <c r="R800" s="39">
        <v>0</v>
      </c>
      <c r="S800" s="39">
        <v>391344.36</v>
      </c>
      <c r="T800" s="39">
        <v>52537.26</v>
      </c>
      <c r="U800" t="str">
        <f t="shared" si="28"/>
        <v>Clothing</v>
      </c>
      <c r="V800">
        <f t="shared" si="29"/>
        <v>52537.26</v>
      </c>
      <c r="W800" t="str">
        <f>IF(Sales[[#This Row],[Quantity]]&gt;=15, "Large","Small")</f>
        <v>Small</v>
      </c>
      <c r="X800" t="str">
        <f>IF(Sales[[#This Row],[Quantity]]&gt;=15,"Large",IF(Sales[[#This Row],[Quantity]]=14,"Medium","Small"))</f>
        <v>Small</v>
      </c>
      <c r="Y800" t="str">
        <f>IF(AND(Sales[[#This Row],[Unit Price (₦)]]&gt;68000,Sales[[#This Row],[Quantity]]&gt;15),"Offer Discount", "No Discount")</f>
        <v>No Discount</v>
      </c>
    </row>
    <row r="801" spans="1:25" ht="15" customHeight="1" x14ac:dyDescent="0.25">
      <c r="A801" t="s">
        <v>462</v>
      </c>
      <c r="B801" s="8">
        <v>44731</v>
      </c>
      <c r="C801" s="8">
        <v>44734</v>
      </c>
      <c r="D801" t="s">
        <v>20</v>
      </c>
      <c r="E801" t="s">
        <v>3081</v>
      </c>
      <c r="F801" t="s">
        <v>3066</v>
      </c>
      <c r="G801" t="s">
        <v>464</v>
      </c>
      <c r="H801">
        <v>8155928582</v>
      </c>
      <c r="I801" t="s">
        <v>43</v>
      </c>
      <c r="J801" t="s">
        <v>69</v>
      </c>
      <c r="K801" t="s">
        <v>70</v>
      </c>
      <c r="L801" t="s">
        <v>63</v>
      </c>
      <c r="M801" t="s">
        <v>249</v>
      </c>
      <c r="N801" t="s">
        <v>465</v>
      </c>
      <c r="O801">
        <v>10</v>
      </c>
      <c r="P801">
        <v>8534.0400000000009</v>
      </c>
      <c r="Q801">
        <v>10</v>
      </c>
      <c r="R801" s="39">
        <v>8534.0400000000009</v>
      </c>
      <c r="S801" s="39">
        <v>76806.36</v>
      </c>
      <c r="T801" s="39">
        <v>9028.5499999999993</v>
      </c>
      <c r="U801" t="str">
        <f t="shared" si="28"/>
        <v>Office Supplies</v>
      </c>
      <c r="V801">
        <f t="shared" si="29"/>
        <v>9028.5499999999993</v>
      </c>
      <c r="W801" t="str">
        <f>IF(Sales[[#This Row],[Quantity]]&gt;=15, "Large","Small")</f>
        <v>Small</v>
      </c>
      <c r="X801" t="str">
        <f>IF(Sales[[#This Row],[Quantity]]&gt;=15,"Large",IF(Sales[[#This Row],[Quantity]]=14,"Medium","Small"))</f>
        <v>Small</v>
      </c>
      <c r="Y801" t="str">
        <f>IF(AND(Sales[[#This Row],[Unit Price (₦)]]&gt;68000,Sales[[#This Row],[Quantity]]&gt;15),"Offer Discount", "No Discount")</f>
        <v>No Discount</v>
      </c>
    </row>
    <row r="802" spans="1:25" ht="15" customHeight="1" x14ac:dyDescent="0.25">
      <c r="A802" t="s">
        <v>258</v>
      </c>
      <c r="B802" s="8">
        <v>44736</v>
      </c>
      <c r="C802" s="8">
        <v>44738</v>
      </c>
      <c r="D802" t="s">
        <v>20</v>
      </c>
      <c r="E802" t="s">
        <v>3056</v>
      </c>
      <c r="F802" t="s">
        <v>3077</v>
      </c>
      <c r="G802" t="s">
        <v>261</v>
      </c>
      <c r="H802">
        <v>9054786401</v>
      </c>
      <c r="I802" t="s">
        <v>35</v>
      </c>
      <c r="J802" t="s">
        <v>25</v>
      </c>
      <c r="K802" t="s">
        <v>3127</v>
      </c>
      <c r="L802" t="s">
        <v>27</v>
      </c>
      <c r="M802" t="s">
        <v>28</v>
      </c>
      <c r="N802" t="s">
        <v>262</v>
      </c>
      <c r="O802">
        <v>10</v>
      </c>
      <c r="P802">
        <v>7295.48</v>
      </c>
      <c r="Q802">
        <v>15</v>
      </c>
      <c r="R802" s="39">
        <v>10943.22</v>
      </c>
      <c r="S802" s="39">
        <v>62011.58</v>
      </c>
      <c r="T802" s="39">
        <v>2060.5300000000002</v>
      </c>
      <c r="U802" t="str">
        <f t="shared" si="28"/>
        <v>Food &amp; Beverages</v>
      </c>
      <c r="V802">
        <f t="shared" si="29"/>
        <v>2060.5300000000002</v>
      </c>
      <c r="W802" t="str">
        <f>IF(Sales[[#This Row],[Quantity]]&gt;=15, "Large","Small")</f>
        <v>Small</v>
      </c>
      <c r="X802" t="str">
        <f>IF(Sales[[#This Row],[Quantity]]&gt;=15,"Large",IF(Sales[[#This Row],[Quantity]]=14,"Medium","Small"))</f>
        <v>Small</v>
      </c>
      <c r="Y802" t="str">
        <f>IF(AND(Sales[[#This Row],[Unit Price (₦)]]&gt;68000,Sales[[#This Row],[Quantity]]&gt;15),"Offer Discount", "No Discount")</f>
        <v>No Discount</v>
      </c>
    </row>
    <row r="803" spans="1:25" ht="15" customHeight="1" x14ac:dyDescent="0.25">
      <c r="A803" t="s">
        <v>1567</v>
      </c>
      <c r="B803" s="8">
        <v>44738</v>
      </c>
      <c r="C803" s="8">
        <v>44741</v>
      </c>
      <c r="D803" t="s">
        <v>20</v>
      </c>
      <c r="E803" t="s">
        <v>3033</v>
      </c>
      <c r="F803" t="s">
        <v>3062</v>
      </c>
      <c r="G803" t="s">
        <v>1569</v>
      </c>
      <c r="H803">
        <v>8109257506</v>
      </c>
      <c r="I803" t="s">
        <v>35</v>
      </c>
      <c r="J803" t="s">
        <v>61</v>
      </c>
      <c r="K803" t="s">
        <v>84</v>
      </c>
      <c r="L803" t="s">
        <v>96</v>
      </c>
      <c r="M803" t="s">
        <v>189</v>
      </c>
      <c r="N803" t="s">
        <v>478</v>
      </c>
      <c r="O803">
        <v>7</v>
      </c>
      <c r="P803">
        <v>147088.57</v>
      </c>
      <c r="Q803">
        <v>25</v>
      </c>
      <c r="R803" s="39">
        <v>257405</v>
      </c>
      <c r="S803" s="39">
        <v>772214.99</v>
      </c>
      <c r="T803" s="39">
        <v>-94032.93</v>
      </c>
      <c r="U803" t="str">
        <f t="shared" si="28"/>
        <v>Technology</v>
      </c>
      <c r="V803">
        <f t="shared" si="29"/>
        <v>94032.93</v>
      </c>
      <c r="W803" t="str">
        <f>IF(Sales[[#This Row],[Quantity]]&gt;=15, "Large","Small")</f>
        <v>Small</v>
      </c>
      <c r="X803" t="str">
        <f>IF(Sales[[#This Row],[Quantity]]&gt;=15,"Large",IF(Sales[[#This Row],[Quantity]]=14,"Medium","Small"))</f>
        <v>Small</v>
      </c>
      <c r="Y803" t="str">
        <f>IF(AND(Sales[[#This Row],[Unit Price (₦)]]&gt;68000,Sales[[#This Row],[Quantity]]&gt;15),"Offer Discount", "No Discount")</f>
        <v>No Discount</v>
      </c>
    </row>
    <row r="804" spans="1:25" ht="15" customHeight="1" x14ac:dyDescent="0.25">
      <c r="A804" t="s">
        <v>563</v>
      </c>
      <c r="B804" s="8">
        <v>44739</v>
      </c>
      <c r="C804" s="8">
        <v>44742</v>
      </c>
      <c r="D804" t="s">
        <v>20</v>
      </c>
      <c r="E804" t="s">
        <v>3072</v>
      </c>
      <c r="F804" t="s">
        <v>3062</v>
      </c>
      <c r="G804" t="s">
        <v>565</v>
      </c>
      <c r="H804">
        <v>8146429135</v>
      </c>
      <c r="I804" t="s">
        <v>24</v>
      </c>
      <c r="J804" t="s">
        <v>69</v>
      </c>
      <c r="K804" t="s">
        <v>70</v>
      </c>
      <c r="L804" t="s">
        <v>85</v>
      </c>
      <c r="M804" t="s">
        <v>86</v>
      </c>
      <c r="N804" t="s">
        <v>178</v>
      </c>
      <c r="O804">
        <v>15</v>
      </c>
      <c r="P804">
        <v>73974.8</v>
      </c>
      <c r="Q804">
        <v>10</v>
      </c>
      <c r="R804" s="39">
        <v>110962.2</v>
      </c>
      <c r="S804" s="39">
        <v>998659.8</v>
      </c>
      <c r="T804" s="39">
        <v>421854.77</v>
      </c>
      <c r="U804" t="str">
        <f t="shared" si="28"/>
        <v>Furniture</v>
      </c>
      <c r="V804">
        <f t="shared" si="29"/>
        <v>421854.77</v>
      </c>
      <c r="W804" t="str">
        <f>IF(Sales[[#This Row],[Quantity]]&gt;=15, "Large","Small")</f>
        <v>Large</v>
      </c>
      <c r="X804" t="str">
        <f>IF(Sales[[#This Row],[Quantity]]&gt;=15,"Large",IF(Sales[[#This Row],[Quantity]]=14,"Medium","Small"))</f>
        <v>Large</v>
      </c>
      <c r="Y804" t="str">
        <f>IF(AND(Sales[[#This Row],[Unit Price (₦)]]&gt;68000,Sales[[#This Row],[Quantity]]&gt;15),"Offer Discount", "No Discount")</f>
        <v>No Discount</v>
      </c>
    </row>
    <row r="805" spans="1:25" ht="15" customHeight="1" x14ac:dyDescent="0.25">
      <c r="A805" t="s">
        <v>1616</v>
      </c>
      <c r="B805" s="8">
        <v>44744</v>
      </c>
      <c r="C805" s="8">
        <v>44747</v>
      </c>
      <c r="D805" t="s">
        <v>20</v>
      </c>
      <c r="E805" t="s">
        <v>3098</v>
      </c>
      <c r="F805" t="s">
        <v>3043</v>
      </c>
      <c r="G805" t="s">
        <v>1618</v>
      </c>
      <c r="H805">
        <v>7031768727</v>
      </c>
      <c r="I805" t="s">
        <v>24</v>
      </c>
      <c r="J805" t="s">
        <v>69</v>
      </c>
      <c r="K805" t="s">
        <v>119</v>
      </c>
      <c r="L805" t="s">
        <v>108</v>
      </c>
      <c r="M805" t="s">
        <v>38</v>
      </c>
      <c r="N805" t="s">
        <v>519</v>
      </c>
      <c r="O805">
        <v>1</v>
      </c>
      <c r="P805">
        <v>39236</v>
      </c>
      <c r="Q805">
        <v>10</v>
      </c>
      <c r="R805" s="39">
        <v>3923.6</v>
      </c>
      <c r="S805" s="39">
        <v>35312.400000000001</v>
      </c>
      <c r="T805" s="39">
        <v>6590.23</v>
      </c>
      <c r="U805" t="str">
        <f t="shared" si="28"/>
        <v>Clothing</v>
      </c>
      <c r="V805">
        <f t="shared" si="29"/>
        <v>6590.23</v>
      </c>
      <c r="W805" t="str">
        <f>IF(Sales[[#This Row],[Quantity]]&gt;=15, "Large","Small")</f>
        <v>Small</v>
      </c>
      <c r="X805" t="str">
        <f>IF(Sales[[#This Row],[Quantity]]&gt;=15,"Large",IF(Sales[[#This Row],[Quantity]]=14,"Medium","Small"))</f>
        <v>Small</v>
      </c>
      <c r="Y805" t="str">
        <f>IF(AND(Sales[[#This Row],[Unit Price (₦)]]&gt;68000,Sales[[#This Row],[Quantity]]&gt;15),"Offer Discount", "No Discount")</f>
        <v>No Discount</v>
      </c>
    </row>
    <row r="806" spans="1:25" ht="15" customHeight="1" x14ac:dyDescent="0.25">
      <c r="A806" t="s">
        <v>1852</v>
      </c>
      <c r="B806" s="8">
        <v>44746</v>
      </c>
      <c r="C806" s="8">
        <v>44748</v>
      </c>
      <c r="D806" t="s">
        <v>20</v>
      </c>
      <c r="E806" t="s">
        <v>3044</v>
      </c>
      <c r="F806" t="s">
        <v>3034</v>
      </c>
      <c r="G806" t="s">
        <v>1854</v>
      </c>
      <c r="H806">
        <v>8063770138</v>
      </c>
      <c r="I806" t="s">
        <v>43</v>
      </c>
      <c r="J806" t="s">
        <v>25</v>
      </c>
      <c r="K806" t="s">
        <v>44</v>
      </c>
      <c r="L806" t="s">
        <v>27</v>
      </c>
      <c r="M806" t="s">
        <v>79</v>
      </c>
      <c r="N806" t="s">
        <v>145</v>
      </c>
      <c r="O806">
        <v>18</v>
      </c>
      <c r="P806">
        <v>6024.25</v>
      </c>
      <c r="Q806">
        <v>20</v>
      </c>
      <c r="R806" s="39">
        <v>21687.3</v>
      </c>
      <c r="S806" s="39">
        <v>86749.2</v>
      </c>
      <c r="T806" s="39">
        <v>29061.69</v>
      </c>
      <c r="U806" t="str">
        <f t="shared" si="28"/>
        <v>Food &amp; Beverages</v>
      </c>
      <c r="V806">
        <f t="shared" si="29"/>
        <v>29061.69</v>
      </c>
      <c r="W806" t="str">
        <f>IF(Sales[[#This Row],[Quantity]]&gt;=15, "Large","Small")</f>
        <v>Large</v>
      </c>
      <c r="X806" t="str">
        <f>IF(Sales[[#This Row],[Quantity]]&gt;=15,"Large",IF(Sales[[#This Row],[Quantity]]=14,"Medium","Small"))</f>
        <v>Large</v>
      </c>
      <c r="Y806" t="str">
        <f>IF(AND(Sales[[#This Row],[Unit Price (₦)]]&gt;68000,Sales[[#This Row],[Quantity]]&gt;15),"Offer Discount", "No Discount")</f>
        <v>No Discount</v>
      </c>
    </row>
    <row r="807" spans="1:25" ht="15" customHeight="1" x14ac:dyDescent="0.25">
      <c r="A807" t="s">
        <v>1953</v>
      </c>
      <c r="B807" s="8">
        <v>44752</v>
      </c>
      <c r="C807" s="8">
        <v>44755</v>
      </c>
      <c r="D807" t="s">
        <v>20</v>
      </c>
      <c r="E807" t="s">
        <v>3049</v>
      </c>
      <c r="F807" t="s">
        <v>3039</v>
      </c>
      <c r="G807" t="s">
        <v>203</v>
      </c>
      <c r="H807">
        <v>7069392233</v>
      </c>
      <c r="I807" t="s">
        <v>35</v>
      </c>
      <c r="J807" t="s">
        <v>69</v>
      </c>
      <c r="K807" t="s">
        <v>307</v>
      </c>
      <c r="L807" t="s">
        <v>85</v>
      </c>
      <c r="M807" t="s">
        <v>243</v>
      </c>
      <c r="N807" t="s">
        <v>439</v>
      </c>
      <c r="O807">
        <v>5</v>
      </c>
      <c r="P807">
        <v>132818.35999999999</v>
      </c>
      <c r="Q807">
        <v>0</v>
      </c>
      <c r="R807" s="39">
        <v>0</v>
      </c>
      <c r="S807" s="39">
        <v>664091.80000000005</v>
      </c>
      <c r="T807" s="39">
        <v>32401.65</v>
      </c>
      <c r="U807" t="str">
        <f t="shared" si="28"/>
        <v>Furniture</v>
      </c>
      <c r="V807">
        <f t="shared" si="29"/>
        <v>32401.65</v>
      </c>
      <c r="W807" t="str">
        <f>IF(Sales[[#This Row],[Quantity]]&gt;=15, "Large","Small")</f>
        <v>Small</v>
      </c>
      <c r="X807" t="str">
        <f>IF(Sales[[#This Row],[Quantity]]&gt;=15,"Large",IF(Sales[[#This Row],[Quantity]]=14,"Medium","Small"))</f>
        <v>Small</v>
      </c>
      <c r="Y807" t="str">
        <f>IF(AND(Sales[[#This Row],[Unit Price (₦)]]&gt;68000,Sales[[#This Row],[Quantity]]&gt;15),"Offer Discount", "No Discount")</f>
        <v>No Discount</v>
      </c>
    </row>
    <row r="808" spans="1:25" ht="15" customHeight="1" x14ac:dyDescent="0.25">
      <c r="A808" t="s">
        <v>720</v>
      </c>
      <c r="B808" s="8">
        <v>44753</v>
      </c>
      <c r="C808" s="8">
        <v>44756</v>
      </c>
      <c r="D808" t="s">
        <v>20</v>
      </c>
      <c r="E808" t="s">
        <v>3061</v>
      </c>
      <c r="F808" t="s">
        <v>3050</v>
      </c>
      <c r="G808" t="s">
        <v>722</v>
      </c>
      <c r="H808">
        <v>9073777050</v>
      </c>
      <c r="I808" t="s">
        <v>35</v>
      </c>
      <c r="J808" t="s">
        <v>61</v>
      </c>
      <c r="K808" t="s">
        <v>182</v>
      </c>
      <c r="L808" t="s">
        <v>96</v>
      </c>
      <c r="M808" t="s">
        <v>189</v>
      </c>
      <c r="N808" t="s">
        <v>325</v>
      </c>
      <c r="O808">
        <v>8</v>
      </c>
      <c r="P808">
        <v>330804.94</v>
      </c>
      <c r="Q808">
        <v>15</v>
      </c>
      <c r="R808" s="39">
        <v>396965.93</v>
      </c>
      <c r="S808" s="39">
        <v>2249473.59</v>
      </c>
      <c r="T808" s="39">
        <v>547276.99</v>
      </c>
      <c r="U808" t="str">
        <f t="shared" si="28"/>
        <v>Technology</v>
      </c>
      <c r="V808">
        <f t="shared" si="29"/>
        <v>547276.99</v>
      </c>
      <c r="W808" t="str">
        <f>IF(Sales[[#This Row],[Quantity]]&gt;=15, "Large","Small")</f>
        <v>Small</v>
      </c>
      <c r="X808" t="str">
        <f>IF(Sales[[#This Row],[Quantity]]&gt;=15,"Large",IF(Sales[[#This Row],[Quantity]]=14,"Medium","Small"))</f>
        <v>Small</v>
      </c>
      <c r="Y808" t="str">
        <f>IF(AND(Sales[[#This Row],[Unit Price (₦)]]&gt;68000,Sales[[#This Row],[Quantity]]&gt;15),"Offer Discount", "No Discount")</f>
        <v>No Discount</v>
      </c>
    </row>
    <row r="809" spans="1:25" ht="15" customHeight="1" x14ac:dyDescent="0.25">
      <c r="A809" t="s">
        <v>2377</v>
      </c>
      <c r="B809" s="8">
        <v>44755</v>
      </c>
      <c r="C809" s="8">
        <v>44758</v>
      </c>
      <c r="D809" t="s">
        <v>20</v>
      </c>
      <c r="E809" t="s">
        <v>3095</v>
      </c>
      <c r="F809" t="s">
        <v>3040</v>
      </c>
      <c r="G809" t="s">
        <v>2378</v>
      </c>
      <c r="H809">
        <v>8132823879</v>
      </c>
      <c r="I809" t="s">
        <v>43</v>
      </c>
      <c r="J809" t="s">
        <v>61</v>
      </c>
      <c r="K809" t="s">
        <v>95</v>
      </c>
      <c r="L809" t="s">
        <v>85</v>
      </c>
      <c r="M809" t="s">
        <v>218</v>
      </c>
      <c r="N809" t="s">
        <v>1058</v>
      </c>
      <c r="O809">
        <v>11</v>
      </c>
      <c r="P809">
        <v>94306.1</v>
      </c>
      <c r="Q809">
        <v>25</v>
      </c>
      <c r="R809" s="39">
        <v>259341.78</v>
      </c>
      <c r="S809" s="39">
        <v>778025.32</v>
      </c>
      <c r="T809" s="39">
        <v>103574.92</v>
      </c>
      <c r="U809" t="str">
        <f t="shared" si="28"/>
        <v>Furniture</v>
      </c>
      <c r="V809">
        <f t="shared" si="29"/>
        <v>103574.92</v>
      </c>
      <c r="W809" t="str">
        <f>IF(Sales[[#This Row],[Quantity]]&gt;=15, "Large","Small")</f>
        <v>Small</v>
      </c>
      <c r="X809" t="str">
        <f>IF(Sales[[#This Row],[Quantity]]&gt;=15,"Large",IF(Sales[[#This Row],[Quantity]]=14,"Medium","Small"))</f>
        <v>Small</v>
      </c>
      <c r="Y809" t="str">
        <f>IF(AND(Sales[[#This Row],[Unit Price (₦)]]&gt;68000,Sales[[#This Row],[Quantity]]&gt;15),"Offer Discount", "No Discount")</f>
        <v>No Discount</v>
      </c>
    </row>
    <row r="810" spans="1:25" ht="15" customHeight="1" x14ac:dyDescent="0.25">
      <c r="A810" t="s">
        <v>2491</v>
      </c>
      <c r="B810" s="8">
        <v>44757</v>
      </c>
      <c r="C810" s="8">
        <v>44759</v>
      </c>
      <c r="D810" t="s">
        <v>20</v>
      </c>
      <c r="E810" t="s">
        <v>3049</v>
      </c>
      <c r="F810" t="s">
        <v>3075</v>
      </c>
      <c r="G810" t="s">
        <v>2493</v>
      </c>
      <c r="H810">
        <v>8036483795</v>
      </c>
      <c r="I810" t="s">
        <v>35</v>
      </c>
      <c r="J810" t="s">
        <v>25</v>
      </c>
      <c r="K810" t="s">
        <v>36</v>
      </c>
      <c r="L810" t="s">
        <v>108</v>
      </c>
      <c r="M810" t="s">
        <v>38</v>
      </c>
      <c r="N810" t="s">
        <v>519</v>
      </c>
      <c r="O810">
        <v>19</v>
      </c>
      <c r="P810">
        <v>36401.64</v>
      </c>
      <c r="Q810">
        <v>10</v>
      </c>
      <c r="R810" s="39">
        <v>69163.12</v>
      </c>
      <c r="S810" s="39">
        <v>622468.04</v>
      </c>
      <c r="T810" s="39">
        <v>227583.76</v>
      </c>
      <c r="U810" t="str">
        <f t="shared" si="28"/>
        <v>Clothing</v>
      </c>
      <c r="V810">
        <f t="shared" si="29"/>
        <v>227583.76</v>
      </c>
      <c r="W810" t="str">
        <f>IF(Sales[[#This Row],[Quantity]]&gt;=15, "Large","Small")</f>
        <v>Large</v>
      </c>
      <c r="X810" t="str">
        <f>IF(Sales[[#This Row],[Quantity]]&gt;=15,"Large",IF(Sales[[#This Row],[Quantity]]=14,"Medium","Small"))</f>
        <v>Large</v>
      </c>
      <c r="Y810" t="str">
        <f>IF(AND(Sales[[#This Row],[Unit Price (₦)]]&gt;68000,Sales[[#This Row],[Quantity]]&gt;15),"Offer Discount", "No Discount")</f>
        <v>No Discount</v>
      </c>
    </row>
    <row r="811" spans="1:25" ht="15" customHeight="1" x14ac:dyDescent="0.25">
      <c r="A811" t="s">
        <v>2191</v>
      </c>
      <c r="B811" s="8">
        <v>44760</v>
      </c>
      <c r="C811" s="8">
        <v>44762</v>
      </c>
      <c r="D811" t="s">
        <v>20</v>
      </c>
      <c r="E811" t="s">
        <v>3093</v>
      </c>
      <c r="F811" t="s">
        <v>3083</v>
      </c>
      <c r="G811" t="s">
        <v>1861</v>
      </c>
      <c r="H811">
        <v>8039685189</v>
      </c>
      <c r="I811" t="s">
        <v>24</v>
      </c>
      <c r="J811" t="s">
        <v>61</v>
      </c>
      <c r="K811" t="s">
        <v>84</v>
      </c>
      <c r="L811" t="s">
        <v>27</v>
      </c>
      <c r="M811" t="s">
        <v>173</v>
      </c>
      <c r="N811" t="s">
        <v>1795</v>
      </c>
      <c r="O811">
        <v>14</v>
      </c>
      <c r="P811">
        <v>6799.3</v>
      </c>
      <c r="Q811">
        <v>10</v>
      </c>
      <c r="R811" s="39">
        <v>9519.02</v>
      </c>
      <c r="S811" s="39">
        <v>85671.18</v>
      </c>
      <c r="T811" s="39">
        <v>3742.12</v>
      </c>
      <c r="U811" t="str">
        <f t="shared" si="28"/>
        <v>Food &amp; Beverages</v>
      </c>
      <c r="V811">
        <f t="shared" si="29"/>
        <v>3742.12</v>
      </c>
      <c r="W811" t="str">
        <f>IF(Sales[[#This Row],[Quantity]]&gt;=15, "Large","Small")</f>
        <v>Small</v>
      </c>
      <c r="X811" t="str">
        <f>IF(Sales[[#This Row],[Quantity]]&gt;=15,"Large",IF(Sales[[#This Row],[Quantity]]=14,"Medium","Small"))</f>
        <v>Medium</v>
      </c>
      <c r="Y811" t="str">
        <f>IF(AND(Sales[[#This Row],[Unit Price (₦)]]&gt;68000,Sales[[#This Row],[Quantity]]&gt;15),"Offer Discount", "No Discount")</f>
        <v>No Discount</v>
      </c>
    </row>
    <row r="812" spans="1:25" ht="15" customHeight="1" x14ac:dyDescent="0.25">
      <c r="A812" t="s">
        <v>2426</v>
      </c>
      <c r="B812" s="8">
        <v>44759</v>
      </c>
      <c r="C812" s="8">
        <v>44762</v>
      </c>
      <c r="D812" t="s">
        <v>20</v>
      </c>
      <c r="E812" t="s">
        <v>3089</v>
      </c>
      <c r="F812" t="s">
        <v>3034</v>
      </c>
      <c r="G812" t="s">
        <v>2427</v>
      </c>
      <c r="H812">
        <v>8104679430</v>
      </c>
      <c r="I812" t="s">
        <v>43</v>
      </c>
      <c r="J812" t="s">
        <v>51</v>
      </c>
      <c r="K812" t="s">
        <v>131</v>
      </c>
      <c r="L812" t="s">
        <v>27</v>
      </c>
      <c r="M812" t="s">
        <v>354</v>
      </c>
      <c r="N812" t="s">
        <v>625</v>
      </c>
      <c r="O812">
        <v>3</v>
      </c>
      <c r="P812">
        <v>2036.75</v>
      </c>
      <c r="Q812">
        <v>0</v>
      </c>
      <c r="R812" s="39">
        <v>0</v>
      </c>
      <c r="S812" s="39">
        <v>6110.25</v>
      </c>
      <c r="T812" s="39">
        <v>1713.07</v>
      </c>
      <c r="U812" t="str">
        <f t="shared" si="28"/>
        <v>Food &amp; Beverages</v>
      </c>
      <c r="V812">
        <f t="shared" si="29"/>
        <v>1713.07</v>
      </c>
      <c r="W812" t="str">
        <f>IF(Sales[[#This Row],[Quantity]]&gt;=15, "Large","Small")</f>
        <v>Small</v>
      </c>
      <c r="X812" t="str">
        <f>IF(Sales[[#This Row],[Quantity]]&gt;=15,"Large",IF(Sales[[#This Row],[Quantity]]=14,"Medium","Small"))</f>
        <v>Small</v>
      </c>
      <c r="Y812" t="str">
        <f>IF(AND(Sales[[#This Row],[Unit Price (₦)]]&gt;68000,Sales[[#This Row],[Quantity]]&gt;15),"Offer Discount", "No Discount")</f>
        <v>No Discount</v>
      </c>
    </row>
    <row r="813" spans="1:25" ht="15" customHeight="1" x14ac:dyDescent="0.25">
      <c r="A813" t="s">
        <v>2058</v>
      </c>
      <c r="B813" s="8">
        <v>44762</v>
      </c>
      <c r="C813" s="8">
        <v>44764</v>
      </c>
      <c r="D813" t="s">
        <v>20</v>
      </c>
      <c r="E813" t="s">
        <v>3098</v>
      </c>
      <c r="F813" t="s">
        <v>3034</v>
      </c>
      <c r="G813" t="s">
        <v>2060</v>
      </c>
      <c r="H813">
        <v>8135932600</v>
      </c>
      <c r="I813" t="s">
        <v>43</v>
      </c>
      <c r="J813" t="s">
        <v>25</v>
      </c>
      <c r="K813" t="s">
        <v>168</v>
      </c>
      <c r="L813" t="s">
        <v>85</v>
      </c>
      <c r="M813" t="s">
        <v>486</v>
      </c>
      <c r="N813" t="s">
        <v>1193</v>
      </c>
      <c r="O813">
        <v>17</v>
      </c>
      <c r="P813">
        <v>110176.46</v>
      </c>
      <c r="Q813">
        <v>20</v>
      </c>
      <c r="R813" s="39">
        <v>374599.96</v>
      </c>
      <c r="S813" s="39">
        <v>1498399.86</v>
      </c>
      <c r="T813" s="39">
        <v>241498.72</v>
      </c>
      <c r="U813" t="str">
        <f t="shared" si="28"/>
        <v>Furniture</v>
      </c>
      <c r="V813">
        <f t="shared" si="29"/>
        <v>241498.72</v>
      </c>
      <c r="W813" t="str">
        <f>IF(Sales[[#This Row],[Quantity]]&gt;=15, "Large","Small")</f>
        <v>Large</v>
      </c>
      <c r="X813" t="str">
        <f>IF(Sales[[#This Row],[Quantity]]&gt;=15,"Large",IF(Sales[[#This Row],[Quantity]]=14,"Medium","Small"))</f>
        <v>Large</v>
      </c>
      <c r="Y813" t="str">
        <f>IF(AND(Sales[[#This Row],[Unit Price (₦)]]&gt;68000,Sales[[#This Row],[Quantity]]&gt;15),"Offer Discount", "No Discount")</f>
        <v>Offer Discount</v>
      </c>
    </row>
    <row r="814" spans="1:25" ht="15" customHeight="1" x14ac:dyDescent="0.25">
      <c r="A814" t="s">
        <v>1468</v>
      </c>
      <c r="B814" s="8">
        <v>44762</v>
      </c>
      <c r="C814" s="8">
        <v>44765</v>
      </c>
      <c r="D814" t="s">
        <v>20</v>
      </c>
      <c r="E814" t="s">
        <v>3072</v>
      </c>
      <c r="F814" t="s">
        <v>3078</v>
      </c>
      <c r="G814" t="s">
        <v>1470</v>
      </c>
      <c r="H814">
        <v>7039333769</v>
      </c>
      <c r="I814" t="s">
        <v>43</v>
      </c>
      <c r="J814" t="s">
        <v>69</v>
      </c>
      <c r="K814" t="s">
        <v>155</v>
      </c>
      <c r="L814" t="s">
        <v>27</v>
      </c>
      <c r="M814" t="s">
        <v>45</v>
      </c>
      <c r="N814" t="s">
        <v>523</v>
      </c>
      <c r="O814">
        <v>12</v>
      </c>
      <c r="P814">
        <v>5034.17</v>
      </c>
      <c r="Q814">
        <v>15</v>
      </c>
      <c r="R814" s="39">
        <v>9061.51</v>
      </c>
      <c r="S814" s="39">
        <v>51348.53</v>
      </c>
      <c r="T814" s="39">
        <v>-1486.27</v>
      </c>
      <c r="U814" t="str">
        <f t="shared" si="28"/>
        <v>Food &amp; Beverages</v>
      </c>
      <c r="V814">
        <f t="shared" si="29"/>
        <v>1486.27</v>
      </c>
      <c r="W814" t="str">
        <f>IF(Sales[[#This Row],[Quantity]]&gt;=15, "Large","Small")</f>
        <v>Small</v>
      </c>
      <c r="X814" t="str">
        <f>IF(Sales[[#This Row],[Quantity]]&gt;=15,"Large",IF(Sales[[#This Row],[Quantity]]=14,"Medium","Small"))</f>
        <v>Small</v>
      </c>
      <c r="Y814" t="str">
        <f>IF(AND(Sales[[#This Row],[Unit Price (₦)]]&gt;68000,Sales[[#This Row],[Quantity]]&gt;15),"Offer Discount", "No Discount")</f>
        <v>No Discount</v>
      </c>
    </row>
    <row r="815" spans="1:25" ht="15" customHeight="1" x14ac:dyDescent="0.25">
      <c r="A815" t="s">
        <v>251</v>
      </c>
      <c r="B815" s="8">
        <v>44767</v>
      </c>
      <c r="C815" s="8">
        <v>44769</v>
      </c>
      <c r="D815" t="s">
        <v>20</v>
      </c>
      <c r="E815" t="s">
        <v>3076</v>
      </c>
      <c r="F815" t="s">
        <v>3043</v>
      </c>
      <c r="G815" t="s">
        <v>253</v>
      </c>
      <c r="H815">
        <v>8106071208</v>
      </c>
      <c r="I815" t="s">
        <v>24</v>
      </c>
      <c r="J815" t="s">
        <v>69</v>
      </c>
      <c r="K815" t="s">
        <v>144</v>
      </c>
      <c r="L815" t="s">
        <v>96</v>
      </c>
      <c r="M815" t="s">
        <v>254</v>
      </c>
      <c r="N815" t="s">
        <v>255</v>
      </c>
      <c r="O815">
        <v>2</v>
      </c>
      <c r="P815">
        <v>134325.43</v>
      </c>
      <c r="Q815">
        <v>25</v>
      </c>
      <c r="R815" s="39">
        <v>67162.710000000006</v>
      </c>
      <c r="S815" s="39">
        <v>201488.15</v>
      </c>
      <c r="T815" s="39">
        <v>5094.0200000000004</v>
      </c>
      <c r="U815" t="str">
        <f t="shared" si="28"/>
        <v>Technology</v>
      </c>
      <c r="V815">
        <f t="shared" si="29"/>
        <v>5094.0200000000004</v>
      </c>
      <c r="W815" t="str">
        <f>IF(Sales[[#This Row],[Quantity]]&gt;=15, "Large","Small")</f>
        <v>Small</v>
      </c>
      <c r="X815" t="str">
        <f>IF(Sales[[#This Row],[Quantity]]&gt;=15,"Large",IF(Sales[[#This Row],[Quantity]]=14,"Medium","Small"))</f>
        <v>Small</v>
      </c>
      <c r="Y815" t="str">
        <f>IF(AND(Sales[[#This Row],[Unit Price (₦)]]&gt;68000,Sales[[#This Row],[Quantity]]&gt;15),"Offer Discount", "No Discount")</f>
        <v>No Discount</v>
      </c>
    </row>
    <row r="816" spans="1:25" ht="15" customHeight="1" x14ac:dyDescent="0.25">
      <c r="A816" t="s">
        <v>1931</v>
      </c>
      <c r="B816" s="8">
        <v>44774</v>
      </c>
      <c r="C816" s="8">
        <v>44777</v>
      </c>
      <c r="D816" t="s">
        <v>20</v>
      </c>
      <c r="E816" t="s">
        <v>3089</v>
      </c>
      <c r="F816" t="s">
        <v>3069</v>
      </c>
      <c r="G816" t="s">
        <v>831</v>
      </c>
      <c r="H816">
        <v>8162281267</v>
      </c>
      <c r="I816" t="s">
        <v>43</v>
      </c>
      <c r="J816" t="s">
        <v>51</v>
      </c>
      <c r="K816" t="s">
        <v>227</v>
      </c>
      <c r="L816" t="s">
        <v>96</v>
      </c>
      <c r="M816" t="s">
        <v>385</v>
      </c>
      <c r="N816" t="s">
        <v>781</v>
      </c>
      <c r="O816">
        <v>13</v>
      </c>
      <c r="P816">
        <v>154311.35999999999</v>
      </c>
      <c r="Q816">
        <v>20</v>
      </c>
      <c r="R816" s="39">
        <v>401209.54</v>
      </c>
      <c r="S816" s="39">
        <v>1604838.14</v>
      </c>
      <c r="T816" s="39">
        <v>453857.98</v>
      </c>
      <c r="U816" t="str">
        <f t="shared" si="28"/>
        <v>Technology</v>
      </c>
      <c r="V816">
        <f t="shared" si="29"/>
        <v>453857.98</v>
      </c>
      <c r="W816" t="str">
        <f>IF(Sales[[#This Row],[Quantity]]&gt;=15, "Large","Small")</f>
        <v>Small</v>
      </c>
      <c r="X816" t="str">
        <f>IF(Sales[[#This Row],[Quantity]]&gt;=15,"Large",IF(Sales[[#This Row],[Quantity]]=14,"Medium","Small"))</f>
        <v>Small</v>
      </c>
      <c r="Y816" t="str">
        <f>IF(AND(Sales[[#This Row],[Unit Price (₦)]]&gt;68000,Sales[[#This Row],[Quantity]]&gt;15),"Offer Discount", "No Discount")</f>
        <v>No Discount</v>
      </c>
    </row>
    <row r="817" spans="1:25" ht="15" customHeight="1" x14ac:dyDescent="0.25">
      <c r="A817" t="s">
        <v>1866</v>
      </c>
      <c r="B817" s="8">
        <v>44784</v>
      </c>
      <c r="C817" s="8">
        <v>44787</v>
      </c>
      <c r="D817" t="s">
        <v>20</v>
      </c>
      <c r="E817" t="s">
        <v>3053</v>
      </c>
      <c r="F817" t="s">
        <v>3062</v>
      </c>
      <c r="G817" t="s">
        <v>1868</v>
      </c>
      <c r="H817">
        <v>7038280643</v>
      </c>
      <c r="I817" t="s">
        <v>24</v>
      </c>
      <c r="J817" t="s">
        <v>69</v>
      </c>
      <c r="K817" t="s">
        <v>119</v>
      </c>
      <c r="L817" t="s">
        <v>96</v>
      </c>
      <c r="M817" t="s">
        <v>97</v>
      </c>
      <c r="N817" t="s">
        <v>443</v>
      </c>
      <c r="O817">
        <v>10</v>
      </c>
      <c r="P817">
        <v>63139.55</v>
      </c>
      <c r="Q817">
        <v>0</v>
      </c>
      <c r="R817" s="39">
        <v>0</v>
      </c>
      <c r="S817" s="39">
        <v>631395.5</v>
      </c>
      <c r="T817" s="39">
        <v>-44066.23</v>
      </c>
      <c r="U817" t="str">
        <f t="shared" si="28"/>
        <v>Technology</v>
      </c>
      <c r="V817">
        <f t="shared" si="29"/>
        <v>44066.23</v>
      </c>
      <c r="W817" t="str">
        <f>IF(Sales[[#This Row],[Quantity]]&gt;=15, "Large","Small")</f>
        <v>Small</v>
      </c>
      <c r="X817" t="str">
        <f>IF(Sales[[#This Row],[Quantity]]&gt;=15,"Large",IF(Sales[[#This Row],[Quantity]]=14,"Medium","Small"))</f>
        <v>Small</v>
      </c>
      <c r="Y817" t="str">
        <f>IF(AND(Sales[[#This Row],[Unit Price (₦)]]&gt;68000,Sales[[#This Row],[Quantity]]&gt;15),"Offer Discount", "No Discount")</f>
        <v>No Discount</v>
      </c>
    </row>
    <row r="818" spans="1:25" ht="15" customHeight="1" x14ac:dyDescent="0.25">
      <c r="A818" t="s">
        <v>2302</v>
      </c>
      <c r="B818" s="8">
        <v>44790</v>
      </c>
      <c r="C818" s="8">
        <v>44792</v>
      </c>
      <c r="D818" t="s">
        <v>20</v>
      </c>
      <c r="E818" t="s">
        <v>3068</v>
      </c>
      <c r="F818" t="s">
        <v>3077</v>
      </c>
      <c r="G818" t="s">
        <v>2303</v>
      </c>
      <c r="H818">
        <v>8032342330</v>
      </c>
      <c r="I818" t="s">
        <v>24</v>
      </c>
      <c r="J818" t="s">
        <v>69</v>
      </c>
      <c r="K818" t="s">
        <v>144</v>
      </c>
      <c r="L818" t="s">
        <v>85</v>
      </c>
      <c r="M818" t="s">
        <v>86</v>
      </c>
      <c r="N818" t="s">
        <v>178</v>
      </c>
      <c r="O818">
        <v>19</v>
      </c>
      <c r="P818">
        <v>171090.61</v>
      </c>
      <c r="Q818">
        <v>10</v>
      </c>
      <c r="R818" s="39">
        <v>325072.15999999997</v>
      </c>
      <c r="S818" s="39">
        <v>2925649.43</v>
      </c>
      <c r="T818" s="39">
        <v>-91959.51</v>
      </c>
      <c r="U818" t="str">
        <f t="shared" si="28"/>
        <v>Furniture</v>
      </c>
      <c r="V818">
        <f t="shared" si="29"/>
        <v>91959.51</v>
      </c>
      <c r="W818" t="str">
        <f>IF(Sales[[#This Row],[Quantity]]&gt;=15, "Large","Small")</f>
        <v>Large</v>
      </c>
      <c r="X818" t="str">
        <f>IF(Sales[[#This Row],[Quantity]]&gt;=15,"Large",IF(Sales[[#This Row],[Quantity]]=14,"Medium","Small"))</f>
        <v>Large</v>
      </c>
      <c r="Y818" t="str">
        <f>IF(AND(Sales[[#This Row],[Unit Price (₦)]]&gt;68000,Sales[[#This Row],[Quantity]]&gt;15),"Offer Discount", "No Discount")</f>
        <v>Offer Discount</v>
      </c>
    </row>
    <row r="819" spans="1:25" ht="15" customHeight="1" x14ac:dyDescent="0.25">
      <c r="A819" t="s">
        <v>1381</v>
      </c>
      <c r="B819" s="8">
        <v>44791</v>
      </c>
      <c r="C819" s="8">
        <v>44793</v>
      </c>
      <c r="D819" t="s">
        <v>20</v>
      </c>
      <c r="E819" t="s">
        <v>3089</v>
      </c>
      <c r="F819" t="s">
        <v>3054</v>
      </c>
      <c r="G819" t="s">
        <v>1383</v>
      </c>
      <c r="H819">
        <v>8151380679</v>
      </c>
      <c r="I819" t="s">
        <v>35</v>
      </c>
      <c r="J819" t="s">
        <v>25</v>
      </c>
      <c r="K819" t="s">
        <v>26</v>
      </c>
      <c r="L819" t="s">
        <v>63</v>
      </c>
      <c r="M819" t="s">
        <v>64</v>
      </c>
      <c r="N819" t="s">
        <v>777</v>
      </c>
      <c r="O819">
        <v>16</v>
      </c>
      <c r="P819">
        <v>23327.18</v>
      </c>
      <c r="Q819">
        <v>10</v>
      </c>
      <c r="R819" s="39">
        <v>37323.49</v>
      </c>
      <c r="S819" s="39">
        <v>335911.39</v>
      </c>
      <c r="T819" s="39">
        <v>34289.160000000003</v>
      </c>
      <c r="U819" t="str">
        <f t="shared" si="28"/>
        <v>Office Supplies</v>
      </c>
      <c r="V819">
        <f t="shared" si="29"/>
        <v>34289.160000000003</v>
      </c>
      <c r="W819" t="str">
        <f>IF(Sales[[#This Row],[Quantity]]&gt;=15, "Large","Small")</f>
        <v>Large</v>
      </c>
      <c r="X819" t="str">
        <f>IF(Sales[[#This Row],[Quantity]]&gt;=15,"Large",IF(Sales[[#This Row],[Quantity]]=14,"Medium","Small"))</f>
        <v>Large</v>
      </c>
      <c r="Y819" t="str">
        <f>IF(AND(Sales[[#This Row],[Unit Price (₦)]]&gt;68000,Sales[[#This Row],[Quantity]]&gt;15),"Offer Discount", "No Discount")</f>
        <v>No Discount</v>
      </c>
    </row>
    <row r="820" spans="1:25" ht="15" customHeight="1" x14ac:dyDescent="0.25">
      <c r="A820" t="s">
        <v>1284</v>
      </c>
      <c r="B820" s="8">
        <v>44793</v>
      </c>
      <c r="C820" s="8">
        <v>44796</v>
      </c>
      <c r="D820" t="s">
        <v>20</v>
      </c>
      <c r="E820" t="s">
        <v>3081</v>
      </c>
      <c r="F820" t="s">
        <v>3054</v>
      </c>
      <c r="G820" t="s">
        <v>1285</v>
      </c>
      <c r="H820">
        <v>8149672974</v>
      </c>
      <c r="I820" t="s">
        <v>43</v>
      </c>
      <c r="J820" t="s">
        <v>25</v>
      </c>
      <c r="K820" t="s">
        <v>36</v>
      </c>
      <c r="L820" t="s">
        <v>96</v>
      </c>
      <c r="M820" t="s">
        <v>254</v>
      </c>
      <c r="N820" t="s">
        <v>452</v>
      </c>
      <c r="O820">
        <v>16</v>
      </c>
      <c r="P820">
        <v>53474.16</v>
      </c>
      <c r="Q820">
        <v>0</v>
      </c>
      <c r="R820" s="39">
        <v>0</v>
      </c>
      <c r="S820" s="39">
        <v>855586.56</v>
      </c>
      <c r="T820" s="39">
        <v>222832.74</v>
      </c>
      <c r="U820" t="str">
        <f t="shared" si="28"/>
        <v>Technology</v>
      </c>
      <c r="V820">
        <f t="shared" si="29"/>
        <v>222832.74</v>
      </c>
      <c r="W820" t="str">
        <f>IF(Sales[[#This Row],[Quantity]]&gt;=15, "Large","Small")</f>
        <v>Large</v>
      </c>
      <c r="X820" t="str">
        <f>IF(Sales[[#This Row],[Quantity]]&gt;=15,"Large",IF(Sales[[#This Row],[Quantity]]=14,"Medium","Small"))</f>
        <v>Large</v>
      </c>
      <c r="Y820" t="str">
        <f>IF(AND(Sales[[#This Row],[Unit Price (₦)]]&gt;68000,Sales[[#This Row],[Quantity]]&gt;15),"Offer Discount", "No Discount")</f>
        <v>No Discount</v>
      </c>
    </row>
    <row r="821" spans="1:25" ht="15" customHeight="1" x14ac:dyDescent="0.25">
      <c r="A821" t="s">
        <v>137</v>
      </c>
      <c r="B821" s="8">
        <v>44798</v>
      </c>
      <c r="C821" s="8">
        <v>44800</v>
      </c>
      <c r="D821" t="s">
        <v>20</v>
      </c>
      <c r="E821" t="s">
        <v>3060</v>
      </c>
      <c r="F821" t="s">
        <v>3054</v>
      </c>
      <c r="G821" t="s">
        <v>139</v>
      </c>
      <c r="H821">
        <v>8164533779</v>
      </c>
      <c r="I821" t="s">
        <v>35</v>
      </c>
      <c r="J821" t="s">
        <v>51</v>
      </c>
      <c r="K821" t="s">
        <v>52</v>
      </c>
      <c r="L821" t="s">
        <v>63</v>
      </c>
      <c r="M821" t="s">
        <v>54</v>
      </c>
      <c r="N821" t="s">
        <v>55</v>
      </c>
      <c r="O821">
        <v>9</v>
      </c>
      <c r="P821">
        <v>12882.52</v>
      </c>
      <c r="Q821">
        <v>0</v>
      </c>
      <c r="R821" s="39">
        <v>0</v>
      </c>
      <c r="S821" s="39">
        <v>115942.68</v>
      </c>
      <c r="T821" s="39">
        <v>-10970.6</v>
      </c>
      <c r="U821" t="str">
        <f t="shared" si="28"/>
        <v>Office Supplies</v>
      </c>
      <c r="V821">
        <f t="shared" si="29"/>
        <v>10970.6</v>
      </c>
      <c r="W821" t="str">
        <f>IF(Sales[[#This Row],[Quantity]]&gt;=15, "Large","Small")</f>
        <v>Small</v>
      </c>
      <c r="X821" t="str">
        <f>IF(Sales[[#This Row],[Quantity]]&gt;=15,"Large",IF(Sales[[#This Row],[Quantity]]=14,"Medium","Small"))</f>
        <v>Small</v>
      </c>
      <c r="Y821" t="str">
        <f>IF(AND(Sales[[#This Row],[Unit Price (₦)]]&gt;68000,Sales[[#This Row],[Quantity]]&gt;15),"Offer Discount", "No Discount")</f>
        <v>No Discount</v>
      </c>
    </row>
    <row r="822" spans="1:25" ht="15" customHeight="1" x14ac:dyDescent="0.25">
      <c r="A822" t="s">
        <v>1929</v>
      </c>
      <c r="B822" s="8">
        <v>44804</v>
      </c>
      <c r="C822" s="8">
        <v>44807</v>
      </c>
      <c r="D822" t="s">
        <v>20</v>
      </c>
      <c r="E822" t="s">
        <v>3081</v>
      </c>
      <c r="F822" t="s">
        <v>3090</v>
      </c>
      <c r="G822" t="s">
        <v>768</v>
      </c>
      <c r="H822" t="s">
        <v>1930</v>
      </c>
      <c r="I822" t="s">
        <v>125</v>
      </c>
      <c r="J822" t="s">
        <v>51</v>
      </c>
      <c r="K822" t="s">
        <v>223</v>
      </c>
      <c r="L822" t="s">
        <v>27</v>
      </c>
      <c r="M822" t="s">
        <v>45</v>
      </c>
      <c r="N822" t="s">
        <v>46</v>
      </c>
      <c r="O822">
        <v>14</v>
      </c>
      <c r="P822">
        <v>1696.51</v>
      </c>
      <c r="Q822">
        <v>0</v>
      </c>
      <c r="R822" s="39">
        <v>0</v>
      </c>
      <c r="S822" s="39">
        <v>23751.14</v>
      </c>
      <c r="T822" s="39">
        <v>9164.8700000000008</v>
      </c>
      <c r="U822" t="str">
        <f t="shared" si="28"/>
        <v>Food &amp; Beverages</v>
      </c>
      <c r="V822">
        <f t="shared" si="29"/>
        <v>9164.8700000000008</v>
      </c>
      <c r="W822" t="str">
        <f>IF(Sales[[#This Row],[Quantity]]&gt;=15, "Large","Small")</f>
        <v>Small</v>
      </c>
      <c r="X822" t="str">
        <f>IF(Sales[[#This Row],[Quantity]]&gt;=15,"Large",IF(Sales[[#This Row],[Quantity]]=14,"Medium","Small"))</f>
        <v>Medium</v>
      </c>
      <c r="Y822" t="str">
        <f>IF(AND(Sales[[#This Row],[Unit Price (₦)]]&gt;68000,Sales[[#This Row],[Quantity]]&gt;15),"Offer Discount", "No Discount")</f>
        <v>No Discount</v>
      </c>
    </row>
    <row r="823" spans="1:25" ht="15" customHeight="1" x14ac:dyDescent="0.25">
      <c r="A823" t="s">
        <v>170</v>
      </c>
      <c r="B823" s="8">
        <v>44822</v>
      </c>
      <c r="C823" s="8">
        <v>44824</v>
      </c>
      <c r="D823" t="s">
        <v>20</v>
      </c>
      <c r="E823" t="s">
        <v>3051</v>
      </c>
      <c r="F823" t="s">
        <v>3069</v>
      </c>
      <c r="G823" t="s">
        <v>172</v>
      </c>
      <c r="H823">
        <v>9073919694</v>
      </c>
      <c r="I823" t="s">
        <v>43</v>
      </c>
      <c r="J823" t="s">
        <v>69</v>
      </c>
      <c r="K823" t="s">
        <v>144</v>
      </c>
      <c r="L823" t="s">
        <v>27</v>
      </c>
      <c r="M823" t="s">
        <v>173</v>
      </c>
      <c r="N823" t="s">
        <v>174</v>
      </c>
      <c r="O823">
        <v>1</v>
      </c>
      <c r="P823">
        <v>3426.78</v>
      </c>
      <c r="Q823">
        <v>10</v>
      </c>
      <c r="R823" s="39">
        <v>342.68</v>
      </c>
      <c r="S823" s="39">
        <v>3084.1</v>
      </c>
      <c r="T823" s="39">
        <v>68.31</v>
      </c>
      <c r="U823" t="str">
        <f t="shared" si="28"/>
        <v>Food &amp; Beverages</v>
      </c>
      <c r="V823">
        <f t="shared" si="29"/>
        <v>68.31</v>
      </c>
      <c r="W823" t="str">
        <f>IF(Sales[[#This Row],[Quantity]]&gt;=15, "Large","Small")</f>
        <v>Small</v>
      </c>
      <c r="X823" t="str">
        <f>IF(Sales[[#This Row],[Quantity]]&gt;=15,"Large",IF(Sales[[#This Row],[Quantity]]=14,"Medium","Small"))</f>
        <v>Small</v>
      </c>
      <c r="Y823" t="str">
        <f>IF(AND(Sales[[#This Row],[Unit Price (₦)]]&gt;68000,Sales[[#This Row],[Quantity]]&gt;15),"Offer Discount", "No Discount")</f>
        <v>No Discount</v>
      </c>
    </row>
    <row r="824" spans="1:25" ht="15" customHeight="1" x14ac:dyDescent="0.25">
      <c r="A824" t="s">
        <v>809</v>
      </c>
      <c r="B824" s="8">
        <v>44822</v>
      </c>
      <c r="C824" s="8">
        <v>44824</v>
      </c>
      <c r="D824" t="s">
        <v>20</v>
      </c>
      <c r="E824" t="s">
        <v>3049</v>
      </c>
      <c r="F824" t="s">
        <v>3078</v>
      </c>
      <c r="G824" t="s">
        <v>811</v>
      </c>
      <c r="H824">
        <v>8031543292</v>
      </c>
      <c r="I824" t="s">
        <v>43</v>
      </c>
      <c r="J824" t="s">
        <v>61</v>
      </c>
      <c r="K824" t="s">
        <v>204</v>
      </c>
      <c r="L824" t="s">
        <v>85</v>
      </c>
      <c r="M824" t="s">
        <v>266</v>
      </c>
      <c r="N824" t="s">
        <v>593</v>
      </c>
      <c r="O824">
        <v>20</v>
      </c>
      <c r="P824">
        <v>166418.57</v>
      </c>
      <c r="Q824">
        <v>5</v>
      </c>
      <c r="R824" s="39">
        <v>166418.57</v>
      </c>
      <c r="S824" s="39">
        <v>3161952.83</v>
      </c>
      <c r="T824" s="39">
        <v>739226.83</v>
      </c>
      <c r="U824" t="str">
        <f t="shared" si="28"/>
        <v>Furniture</v>
      </c>
      <c r="V824">
        <f t="shared" si="29"/>
        <v>739226.83</v>
      </c>
      <c r="W824" t="str">
        <f>IF(Sales[[#This Row],[Quantity]]&gt;=15, "Large","Small")</f>
        <v>Large</v>
      </c>
      <c r="X824" t="str">
        <f>IF(Sales[[#This Row],[Quantity]]&gt;=15,"Large",IF(Sales[[#This Row],[Quantity]]=14,"Medium","Small"))</f>
        <v>Large</v>
      </c>
      <c r="Y824" t="str">
        <f>IF(AND(Sales[[#This Row],[Unit Price (₦)]]&gt;68000,Sales[[#This Row],[Quantity]]&gt;15),"Offer Discount", "No Discount")</f>
        <v>Offer Discount</v>
      </c>
    </row>
    <row r="825" spans="1:25" ht="15" customHeight="1" x14ac:dyDescent="0.25">
      <c r="A825" t="s">
        <v>1842</v>
      </c>
      <c r="B825" s="8">
        <v>44825</v>
      </c>
      <c r="C825" s="8">
        <v>44828</v>
      </c>
      <c r="D825" t="s">
        <v>20</v>
      </c>
      <c r="E825" t="s">
        <v>3044</v>
      </c>
      <c r="F825" t="s">
        <v>3077</v>
      </c>
      <c r="G825" t="s">
        <v>1844</v>
      </c>
      <c r="H825">
        <v>8167405244</v>
      </c>
      <c r="I825" t="s">
        <v>43</v>
      </c>
      <c r="J825" t="s">
        <v>61</v>
      </c>
      <c r="K825" t="s">
        <v>84</v>
      </c>
      <c r="L825" t="s">
        <v>85</v>
      </c>
      <c r="M825" t="s">
        <v>486</v>
      </c>
      <c r="N825" t="s">
        <v>1018</v>
      </c>
      <c r="O825">
        <v>9</v>
      </c>
      <c r="P825">
        <v>22319.7</v>
      </c>
      <c r="Q825">
        <v>15</v>
      </c>
      <c r="R825" s="39">
        <v>30131.599999999999</v>
      </c>
      <c r="S825" s="39">
        <v>170745.7</v>
      </c>
      <c r="T825" s="39">
        <v>70709.14</v>
      </c>
      <c r="U825" t="str">
        <f t="shared" si="28"/>
        <v>Furniture</v>
      </c>
      <c r="V825">
        <f t="shared" si="29"/>
        <v>70709.14</v>
      </c>
      <c r="W825" t="str">
        <f>IF(Sales[[#This Row],[Quantity]]&gt;=15, "Large","Small")</f>
        <v>Small</v>
      </c>
      <c r="X825" t="str">
        <f>IF(Sales[[#This Row],[Quantity]]&gt;=15,"Large",IF(Sales[[#This Row],[Quantity]]=14,"Medium","Small"))</f>
        <v>Small</v>
      </c>
      <c r="Y825" t="str">
        <f>IF(AND(Sales[[#This Row],[Unit Price (₦)]]&gt;68000,Sales[[#This Row],[Quantity]]&gt;15),"Offer Discount", "No Discount")</f>
        <v>No Discount</v>
      </c>
    </row>
    <row r="826" spans="1:25" ht="15" customHeight="1" x14ac:dyDescent="0.25">
      <c r="A826" t="s">
        <v>2217</v>
      </c>
      <c r="B826" s="8">
        <v>44826</v>
      </c>
      <c r="C826" s="8">
        <v>44828</v>
      </c>
      <c r="D826" t="s">
        <v>20</v>
      </c>
      <c r="E826" t="s">
        <v>3047</v>
      </c>
      <c r="F826" t="s">
        <v>3079</v>
      </c>
      <c r="G826" t="s">
        <v>2218</v>
      </c>
      <c r="H826">
        <v>8066591646</v>
      </c>
      <c r="I826" t="s">
        <v>24</v>
      </c>
      <c r="J826" t="s">
        <v>25</v>
      </c>
      <c r="K826" t="s">
        <v>36</v>
      </c>
      <c r="L826" t="s">
        <v>63</v>
      </c>
      <c r="M826" t="s">
        <v>194</v>
      </c>
      <c r="N826" t="s">
        <v>195</v>
      </c>
      <c r="O826">
        <v>2</v>
      </c>
      <c r="P826">
        <v>2054.89</v>
      </c>
      <c r="Q826">
        <v>25</v>
      </c>
      <c r="R826" s="39">
        <v>1027.44</v>
      </c>
      <c r="S826" s="39">
        <v>3082.34</v>
      </c>
      <c r="T826" s="39">
        <v>-73.12</v>
      </c>
      <c r="U826" t="str">
        <f t="shared" si="28"/>
        <v>Office Supplies</v>
      </c>
      <c r="V826">
        <f t="shared" si="29"/>
        <v>73.12</v>
      </c>
      <c r="W826" t="str">
        <f>IF(Sales[[#This Row],[Quantity]]&gt;=15, "Large","Small")</f>
        <v>Small</v>
      </c>
      <c r="X826" t="str">
        <f>IF(Sales[[#This Row],[Quantity]]&gt;=15,"Large",IF(Sales[[#This Row],[Quantity]]=14,"Medium","Small"))</f>
        <v>Small</v>
      </c>
      <c r="Y826" t="str">
        <f>IF(AND(Sales[[#This Row],[Unit Price (₦)]]&gt;68000,Sales[[#This Row],[Quantity]]&gt;15),"Offer Discount", "No Discount")</f>
        <v>No Discount</v>
      </c>
    </row>
    <row r="827" spans="1:25" ht="15" customHeight="1" x14ac:dyDescent="0.25">
      <c r="A827" t="s">
        <v>2961</v>
      </c>
      <c r="B827" s="8">
        <v>44833</v>
      </c>
      <c r="C827" s="8">
        <v>44836</v>
      </c>
      <c r="D827" t="s">
        <v>20</v>
      </c>
      <c r="E827" t="s">
        <v>3089</v>
      </c>
      <c r="F827" t="s">
        <v>3077</v>
      </c>
      <c r="G827" t="s">
        <v>2809</v>
      </c>
      <c r="H827">
        <v>7063034475</v>
      </c>
      <c r="I827" t="s">
        <v>24</v>
      </c>
      <c r="J827" t="s">
        <v>61</v>
      </c>
      <c r="K827" t="s">
        <v>84</v>
      </c>
      <c r="L827" t="s">
        <v>85</v>
      </c>
      <c r="M827" t="s">
        <v>218</v>
      </c>
      <c r="N827" t="s">
        <v>219</v>
      </c>
      <c r="O827">
        <v>18</v>
      </c>
      <c r="P827">
        <v>20785.8</v>
      </c>
      <c r="Q827">
        <v>10</v>
      </c>
      <c r="R827" s="39">
        <v>37414.44</v>
      </c>
      <c r="S827" s="39">
        <v>336729.96</v>
      </c>
      <c r="T827" s="39">
        <v>11536.01</v>
      </c>
      <c r="U827" t="str">
        <f t="shared" si="28"/>
        <v>Furniture</v>
      </c>
      <c r="V827">
        <f t="shared" si="29"/>
        <v>11536.01</v>
      </c>
      <c r="W827" t="str">
        <f>IF(Sales[[#This Row],[Quantity]]&gt;=15, "Large","Small")</f>
        <v>Large</v>
      </c>
      <c r="X827" t="str">
        <f>IF(Sales[[#This Row],[Quantity]]&gt;=15,"Large",IF(Sales[[#This Row],[Quantity]]=14,"Medium","Small"))</f>
        <v>Large</v>
      </c>
      <c r="Y827" t="str">
        <f>IF(AND(Sales[[#This Row],[Unit Price (₦)]]&gt;68000,Sales[[#This Row],[Quantity]]&gt;15),"Offer Discount", "No Discount")</f>
        <v>No Discount</v>
      </c>
    </row>
    <row r="828" spans="1:25" ht="15" customHeight="1" x14ac:dyDescent="0.25">
      <c r="A828" t="s">
        <v>2384</v>
      </c>
      <c r="B828" s="8">
        <v>44848</v>
      </c>
      <c r="C828" s="8">
        <v>44851</v>
      </c>
      <c r="D828" t="s">
        <v>20</v>
      </c>
      <c r="E828" t="s">
        <v>3091</v>
      </c>
      <c r="F828" t="s">
        <v>3046</v>
      </c>
      <c r="G828" t="s">
        <v>2386</v>
      </c>
      <c r="H828">
        <v>8135293781</v>
      </c>
      <c r="I828" t="s">
        <v>43</v>
      </c>
      <c r="J828" t="s">
        <v>69</v>
      </c>
      <c r="K828" t="s">
        <v>307</v>
      </c>
      <c r="L828" t="s">
        <v>63</v>
      </c>
      <c r="M828" t="s">
        <v>194</v>
      </c>
      <c r="N828" t="s">
        <v>716</v>
      </c>
      <c r="O828">
        <v>14</v>
      </c>
      <c r="P828">
        <v>1080.1400000000001</v>
      </c>
      <c r="Q828">
        <v>15</v>
      </c>
      <c r="R828" s="39">
        <v>2268.29</v>
      </c>
      <c r="S828" s="39">
        <v>12853.67</v>
      </c>
      <c r="T828" s="39">
        <v>583.70000000000005</v>
      </c>
      <c r="U828" t="str">
        <f t="shared" si="28"/>
        <v>Office Supplies</v>
      </c>
      <c r="V828">
        <f t="shared" si="29"/>
        <v>583.70000000000005</v>
      </c>
      <c r="W828" t="str">
        <f>IF(Sales[[#This Row],[Quantity]]&gt;=15, "Large","Small")</f>
        <v>Small</v>
      </c>
      <c r="X828" t="str">
        <f>IF(Sales[[#This Row],[Quantity]]&gt;=15,"Large",IF(Sales[[#This Row],[Quantity]]=14,"Medium","Small"))</f>
        <v>Medium</v>
      </c>
      <c r="Y828" t="str">
        <f>IF(AND(Sales[[#This Row],[Unit Price (₦)]]&gt;68000,Sales[[#This Row],[Quantity]]&gt;15),"Offer Discount", "No Discount")</f>
        <v>No Discount</v>
      </c>
    </row>
    <row r="829" spans="1:25" ht="15" customHeight="1" x14ac:dyDescent="0.25">
      <c r="A829" t="s">
        <v>2448</v>
      </c>
      <c r="B829" s="8">
        <v>44849</v>
      </c>
      <c r="C829" s="8">
        <v>44852</v>
      </c>
      <c r="D829" t="s">
        <v>20</v>
      </c>
      <c r="E829" t="s">
        <v>3056</v>
      </c>
      <c r="F829" t="s">
        <v>3034</v>
      </c>
      <c r="G829" t="s">
        <v>1032</v>
      </c>
      <c r="H829">
        <v>8138438704</v>
      </c>
      <c r="I829" t="s">
        <v>35</v>
      </c>
      <c r="J829" t="s">
        <v>51</v>
      </c>
      <c r="K829" t="s">
        <v>52</v>
      </c>
      <c r="L829" t="s">
        <v>85</v>
      </c>
      <c r="M829" t="s">
        <v>243</v>
      </c>
      <c r="N829" t="s">
        <v>404</v>
      </c>
      <c r="O829">
        <v>4</v>
      </c>
      <c r="P829">
        <v>9852.27</v>
      </c>
      <c r="Q829">
        <v>25</v>
      </c>
      <c r="R829" s="39">
        <v>9852.27</v>
      </c>
      <c r="S829" s="39">
        <v>29556.81</v>
      </c>
      <c r="T829" s="39">
        <v>1084.6300000000001</v>
      </c>
      <c r="U829" t="str">
        <f t="shared" si="28"/>
        <v>Furniture</v>
      </c>
      <c r="V829">
        <f t="shared" si="29"/>
        <v>1084.6300000000001</v>
      </c>
      <c r="W829" t="str">
        <f>IF(Sales[[#This Row],[Quantity]]&gt;=15, "Large","Small")</f>
        <v>Small</v>
      </c>
      <c r="X829" t="str">
        <f>IF(Sales[[#This Row],[Quantity]]&gt;=15,"Large",IF(Sales[[#This Row],[Quantity]]=14,"Medium","Small"))</f>
        <v>Small</v>
      </c>
      <c r="Y829" t="str">
        <f>IF(AND(Sales[[#This Row],[Unit Price (₦)]]&gt;68000,Sales[[#This Row],[Quantity]]&gt;15),"Offer Discount", "No Discount")</f>
        <v>No Discount</v>
      </c>
    </row>
    <row r="830" spans="1:25" ht="15" customHeight="1" x14ac:dyDescent="0.25">
      <c r="A830" t="s">
        <v>1941</v>
      </c>
      <c r="B830" s="8">
        <v>44851</v>
      </c>
      <c r="C830" s="8">
        <v>44853</v>
      </c>
      <c r="D830" t="s">
        <v>20</v>
      </c>
      <c r="E830" t="s">
        <v>3059</v>
      </c>
      <c r="F830" t="s">
        <v>3050</v>
      </c>
      <c r="G830" t="s">
        <v>1943</v>
      </c>
      <c r="H830">
        <v>9057987624</v>
      </c>
      <c r="I830" t="s">
        <v>35</v>
      </c>
      <c r="J830" t="s">
        <v>61</v>
      </c>
      <c r="K830" t="s">
        <v>95</v>
      </c>
      <c r="L830" t="s">
        <v>85</v>
      </c>
      <c r="M830" t="s">
        <v>218</v>
      </c>
      <c r="N830" t="s">
        <v>219</v>
      </c>
      <c r="O830">
        <v>17</v>
      </c>
      <c r="P830">
        <v>135891.97</v>
      </c>
      <c r="Q830">
        <v>10</v>
      </c>
      <c r="R830" s="39">
        <v>231016.35</v>
      </c>
      <c r="S830" s="39">
        <v>2079147.14</v>
      </c>
      <c r="T830" s="39">
        <v>274677.58</v>
      </c>
      <c r="U830" t="str">
        <f t="shared" si="28"/>
        <v>Furniture</v>
      </c>
      <c r="V830">
        <f t="shared" si="29"/>
        <v>274677.58</v>
      </c>
      <c r="W830" t="str">
        <f>IF(Sales[[#This Row],[Quantity]]&gt;=15, "Large","Small")</f>
        <v>Large</v>
      </c>
      <c r="X830" t="str">
        <f>IF(Sales[[#This Row],[Quantity]]&gt;=15,"Large",IF(Sales[[#This Row],[Quantity]]=14,"Medium","Small"))</f>
        <v>Large</v>
      </c>
      <c r="Y830" t="str">
        <f>IF(AND(Sales[[#This Row],[Unit Price (₦)]]&gt;68000,Sales[[#This Row],[Quantity]]&gt;15),"Offer Discount", "No Discount")</f>
        <v>Offer Discount</v>
      </c>
    </row>
    <row r="831" spans="1:25" ht="15" customHeight="1" x14ac:dyDescent="0.25">
      <c r="A831" t="s">
        <v>687</v>
      </c>
      <c r="B831" s="8">
        <v>44851</v>
      </c>
      <c r="C831" s="8">
        <v>44854</v>
      </c>
      <c r="D831" t="s">
        <v>20</v>
      </c>
      <c r="E831" t="s">
        <v>3051</v>
      </c>
      <c r="F831" t="s">
        <v>3088</v>
      </c>
      <c r="G831" t="s">
        <v>689</v>
      </c>
      <c r="H831">
        <v>9057437584</v>
      </c>
      <c r="I831" t="s">
        <v>35</v>
      </c>
      <c r="J831" t="s">
        <v>51</v>
      </c>
      <c r="K831" t="s">
        <v>52</v>
      </c>
      <c r="L831" t="s">
        <v>108</v>
      </c>
      <c r="M831" t="s">
        <v>109</v>
      </c>
      <c r="N831" t="s">
        <v>690</v>
      </c>
      <c r="O831">
        <v>6</v>
      </c>
      <c r="P831">
        <v>29326.57</v>
      </c>
      <c r="Q831">
        <v>25</v>
      </c>
      <c r="R831" s="39">
        <v>43989.86</v>
      </c>
      <c r="S831" s="39">
        <v>131969.56</v>
      </c>
      <c r="T831" s="39">
        <v>-6582.73</v>
      </c>
      <c r="U831" t="str">
        <f t="shared" si="28"/>
        <v>Clothing</v>
      </c>
      <c r="V831">
        <f t="shared" si="29"/>
        <v>6582.73</v>
      </c>
      <c r="W831" t="str">
        <f>IF(Sales[[#This Row],[Quantity]]&gt;=15, "Large","Small")</f>
        <v>Small</v>
      </c>
      <c r="X831" t="str">
        <f>IF(Sales[[#This Row],[Quantity]]&gt;=15,"Large",IF(Sales[[#This Row],[Quantity]]=14,"Medium","Small"))</f>
        <v>Small</v>
      </c>
      <c r="Y831" t="str">
        <f>IF(AND(Sales[[#This Row],[Unit Price (₦)]]&gt;68000,Sales[[#This Row],[Quantity]]&gt;15),"Offer Discount", "No Discount")</f>
        <v>No Discount</v>
      </c>
    </row>
    <row r="832" spans="1:25" ht="15" customHeight="1" x14ac:dyDescent="0.25">
      <c r="A832" t="s">
        <v>2258</v>
      </c>
      <c r="B832" s="8">
        <v>44854</v>
      </c>
      <c r="C832" s="8">
        <v>44857</v>
      </c>
      <c r="D832" t="s">
        <v>20</v>
      </c>
      <c r="E832" t="s">
        <v>3060</v>
      </c>
      <c r="F832" t="s">
        <v>3071</v>
      </c>
      <c r="G832" t="s">
        <v>2259</v>
      </c>
      <c r="H832">
        <v>9015203347</v>
      </c>
      <c r="I832" t="s">
        <v>24</v>
      </c>
      <c r="J832" t="s">
        <v>61</v>
      </c>
      <c r="K832" t="s">
        <v>62</v>
      </c>
      <c r="L832" t="s">
        <v>96</v>
      </c>
      <c r="M832" t="s">
        <v>254</v>
      </c>
      <c r="N832" t="s">
        <v>530</v>
      </c>
      <c r="O832">
        <v>6</v>
      </c>
      <c r="P832">
        <v>298660.07</v>
      </c>
      <c r="Q832">
        <v>0</v>
      </c>
      <c r="R832" s="39">
        <v>0</v>
      </c>
      <c r="S832" s="39">
        <v>1791960.42</v>
      </c>
      <c r="T832" s="39">
        <v>662457.42000000004</v>
      </c>
      <c r="U832" t="str">
        <f t="shared" si="28"/>
        <v>Technology</v>
      </c>
      <c r="V832">
        <f t="shared" si="29"/>
        <v>662457.42000000004</v>
      </c>
      <c r="W832" t="str">
        <f>IF(Sales[[#This Row],[Quantity]]&gt;=15, "Large","Small")</f>
        <v>Small</v>
      </c>
      <c r="X832" t="str">
        <f>IF(Sales[[#This Row],[Quantity]]&gt;=15,"Large",IF(Sales[[#This Row],[Quantity]]=14,"Medium","Small"))</f>
        <v>Small</v>
      </c>
      <c r="Y832" t="str">
        <f>IF(AND(Sales[[#This Row],[Unit Price (₦)]]&gt;68000,Sales[[#This Row],[Quantity]]&gt;15),"Offer Discount", "No Discount")</f>
        <v>No Discount</v>
      </c>
    </row>
    <row r="833" spans="1:25" ht="15" customHeight="1" x14ac:dyDescent="0.25">
      <c r="A833" t="s">
        <v>2927</v>
      </c>
      <c r="B833" s="8">
        <v>44859</v>
      </c>
      <c r="C833" s="8">
        <v>44862</v>
      </c>
      <c r="D833" t="s">
        <v>20</v>
      </c>
      <c r="E833" t="s">
        <v>3035</v>
      </c>
      <c r="F833" t="s">
        <v>3045</v>
      </c>
      <c r="G833" t="s">
        <v>2929</v>
      </c>
      <c r="H833">
        <v>8106542417</v>
      </c>
      <c r="I833" t="s">
        <v>24</v>
      </c>
      <c r="J833" t="s">
        <v>69</v>
      </c>
      <c r="K833" t="s">
        <v>307</v>
      </c>
      <c r="L833" t="s">
        <v>27</v>
      </c>
      <c r="M833" t="s">
        <v>79</v>
      </c>
      <c r="N833" t="s">
        <v>80</v>
      </c>
      <c r="O833">
        <v>17</v>
      </c>
      <c r="P833">
        <v>463.8</v>
      </c>
      <c r="Q833">
        <v>10</v>
      </c>
      <c r="R833" s="39">
        <v>788.46</v>
      </c>
      <c r="S833" s="39">
        <v>7096.14</v>
      </c>
      <c r="T833" s="39">
        <v>1360.25</v>
      </c>
      <c r="U833" t="str">
        <f t="shared" si="28"/>
        <v>Food &amp; Beverages</v>
      </c>
      <c r="V833">
        <f t="shared" si="29"/>
        <v>1360.25</v>
      </c>
      <c r="W833" t="str">
        <f>IF(Sales[[#This Row],[Quantity]]&gt;=15, "Large","Small")</f>
        <v>Large</v>
      </c>
      <c r="X833" t="str">
        <f>IF(Sales[[#This Row],[Quantity]]&gt;=15,"Large",IF(Sales[[#This Row],[Quantity]]=14,"Medium","Small"))</f>
        <v>Large</v>
      </c>
      <c r="Y833" t="str">
        <f>IF(AND(Sales[[#This Row],[Unit Price (₦)]]&gt;68000,Sales[[#This Row],[Quantity]]&gt;15),"Offer Discount", "No Discount")</f>
        <v>No Discount</v>
      </c>
    </row>
    <row r="834" spans="1:25" ht="15" customHeight="1" x14ac:dyDescent="0.25">
      <c r="A834" t="s">
        <v>946</v>
      </c>
      <c r="B834" s="8">
        <v>44861</v>
      </c>
      <c r="C834" s="8">
        <v>44863</v>
      </c>
      <c r="D834" t="s">
        <v>20</v>
      </c>
      <c r="E834" t="s">
        <v>3076</v>
      </c>
      <c r="F834" t="s">
        <v>3052</v>
      </c>
      <c r="G834" t="s">
        <v>948</v>
      </c>
      <c r="H834">
        <v>7038593275</v>
      </c>
      <c r="I834" t="s">
        <v>24</v>
      </c>
      <c r="J834" t="s">
        <v>61</v>
      </c>
      <c r="K834" t="s">
        <v>182</v>
      </c>
      <c r="L834" t="s">
        <v>27</v>
      </c>
      <c r="M834" t="s">
        <v>254</v>
      </c>
      <c r="N834" t="s">
        <v>452</v>
      </c>
      <c r="O834">
        <v>18</v>
      </c>
      <c r="P834">
        <v>391206.05</v>
      </c>
      <c r="Q834">
        <v>15</v>
      </c>
      <c r="R834" s="39">
        <v>1056256.33</v>
      </c>
      <c r="S834" s="39">
        <v>5985452.5700000003</v>
      </c>
      <c r="T834" s="39">
        <v>-44548.03</v>
      </c>
      <c r="U834" t="str">
        <f t="shared" ref="U834:U897" si="30">PROPER(L834)</f>
        <v>Food &amp; Beverages</v>
      </c>
      <c r="V834">
        <f t="shared" si="29"/>
        <v>44548.03</v>
      </c>
      <c r="W834" t="str">
        <f>IF(Sales[[#This Row],[Quantity]]&gt;=15, "Large","Small")</f>
        <v>Large</v>
      </c>
      <c r="X834" t="str">
        <f>IF(Sales[[#This Row],[Quantity]]&gt;=15,"Large",IF(Sales[[#This Row],[Quantity]]=14,"Medium","Small"))</f>
        <v>Large</v>
      </c>
      <c r="Y834" t="str">
        <f>IF(AND(Sales[[#This Row],[Unit Price (₦)]]&gt;68000,Sales[[#This Row],[Quantity]]&gt;15),"Offer Discount", "No Discount")</f>
        <v>Offer Discount</v>
      </c>
    </row>
    <row r="835" spans="1:25" ht="15" customHeight="1" x14ac:dyDescent="0.25">
      <c r="A835" t="s">
        <v>1573</v>
      </c>
      <c r="B835" s="8">
        <v>44871</v>
      </c>
      <c r="C835" s="8">
        <v>44873</v>
      </c>
      <c r="D835" t="s">
        <v>20</v>
      </c>
      <c r="E835" t="s">
        <v>3087</v>
      </c>
      <c r="F835" t="s">
        <v>3071</v>
      </c>
      <c r="G835" t="s">
        <v>1575</v>
      </c>
      <c r="H835">
        <v>8032861110</v>
      </c>
      <c r="I835" t="s">
        <v>35</v>
      </c>
      <c r="J835" t="s">
        <v>51</v>
      </c>
      <c r="K835" t="s">
        <v>223</v>
      </c>
      <c r="L835" t="s">
        <v>96</v>
      </c>
      <c r="M835" t="s">
        <v>254</v>
      </c>
      <c r="N835" t="s">
        <v>452</v>
      </c>
      <c r="O835">
        <v>4</v>
      </c>
      <c r="P835">
        <v>355237.97</v>
      </c>
      <c r="Q835">
        <v>25</v>
      </c>
      <c r="R835" s="39">
        <v>355237.97</v>
      </c>
      <c r="S835" s="39">
        <v>1065713.9099999999</v>
      </c>
      <c r="T835" s="39">
        <v>-133020.64000000001</v>
      </c>
      <c r="U835" t="str">
        <f t="shared" si="30"/>
        <v>Technology</v>
      </c>
      <c r="V835">
        <f t="shared" ref="V835:V898" si="31">ABS(T835)</f>
        <v>133020.64000000001</v>
      </c>
      <c r="W835" t="str">
        <f>IF(Sales[[#This Row],[Quantity]]&gt;=15, "Large","Small")</f>
        <v>Small</v>
      </c>
      <c r="X835" t="str">
        <f>IF(Sales[[#This Row],[Quantity]]&gt;=15,"Large",IF(Sales[[#This Row],[Quantity]]=14,"Medium","Small"))</f>
        <v>Small</v>
      </c>
      <c r="Y835" t="str">
        <f>IF(AND(Sales[[#This Row],[Unit Price (₦)]]&gt;68000,Sales[[#This Row],[Quantity]]&gt;15),"Offer Discount", "No Discount")</f>
        <v>No Discount</v>
      </c>
    </row>
    <row r="836" spans="1:25" ht="15" customHeight="1" x14ac:dyDescent="0.25">
      <c r="A836" t="s">
        <v>987</v>
      </c>
      <c r="B836" s="8">
        <v>44874</v>
      </c>
      <c r="C836" s="8">
        <v>44877</v>
      </c>
      <c r="D836" t="s">
        <v>20</v>
      </c>
      <c r="E836" t="s">
        <v>3041</v>
      </c>
      <c r="F836" t="s">
        <v>3066</v>
      </c>
      <c r="G836" t="s">
        <v>989</v>
      </c>
      <c r="H836">
        <v>8036254872</v>
      </c>
      <c r="I836" t="s">
        <v>24</v>
      </c>
      <c r="J836" t="s">
        <v>69</v>
      </c>
      <c r="K836" t="s">
        <v>144</v>
      </c>
      <c r="L836" t="s">
        <v>85</v>
      </c>
      <c r="M836" t="s">
        <v>218</v>
      </c>
      <c r="N836" t="s">
        <v>219</v>
      </c>
      <c r="O836">
        <v>12</v>
      </c>
      <c r="P836">
        <v>55588.93</v>
      </c>
      <c r="Q836">
        <v>0</v>
      </c>
      <c r="R836" s="39">
        <v>0</v>
      </c>
      <c r="S836" s="39">
        <v>667067.16</v>
      </c>
      <c r="T836" s="39">
        <v>171935.3</v>
      </c>
      <c r="U836" t="str">
        <f t="shared" si="30"/>
        <v>Furniture</v>
      </c>
      <c r="V836">
        <f t="shared" si="31"/>
        <v>171935.3</v>
      </c>
      <c r="W836" t="str">
        <f>IF(Sales[[#This Row],[Quantity]]&gt;=15, "Large","Small")</f>
        <v>Small</v>
      </c>
      <c r="X836" t="str">
        <f>IF(Sales[[#This Row],[Quantity]]&gt;=15,"Large",IF(Sales[[#This Row],[Quantity]]=14,"Medium","Small"))</f>
        <v>Small</v>
      </c>
      <c r="Y836" t="str">
        <f>IF(AND(Sales[[#This Row],[Unit Price (₦)]]&gt;68000,Sales[[#This Row],[Quantity]]&gt;15),"Offer Discount", "No Discount")</f>
        <v>No Discount</v>
      </c>
    </row>
    <row r="837" spans="1:25" ht="15" customHeight="1" x14ac:dyDescent="0.25">
      <c r="A837" t="s">
        <v>1156</v>
      </c>
      <c r="B837" s="8">
        <v>44881</v>
      </c>
      <c r="C837" s="8">
        <v>44883</v>
      </c>
      <c r="D837" t="s">
        <v>20</v>
      </c>
      <c r="E837" t="s">
        <v>3056</v>
      </c>
      <c r="F837" t="s">
        <v>3034</v>
      </c>
      <c r="G837" t="s">
        <v>1157</v>
      </c>
      <c r="H837">
        <v>8133477610</v>
      </c>
      <c r="I837" t="s">
        <v>24</v>
      </c>
      <c r="J837" t="s">
        <v>61</v>
      </c>
      <c r="K837" t="s">
        <v>62</v>
      </c>
      <c r="L837" t="s">
        <v>63</v>
      </c>
      <c r="M837" t="s">
        <v>249</v>
      </c>
      <c r="N837" t="s">
        <v>1141</v>
      </c>
      <c r="O837">
        <v>4</v>
      </c>
      <c r="P837">
        <v>17497.98</v>
      </c>
      <c r="Q837">
        <v>10</v>
      </c>
      <c r="R837" s="39">
        <v>6999.19</v>
      </c>
      <c r="S837" s="39">
        <v>62992.73</v>
      </c>
      <c r="T837" s="39">
        <v>7561.45</v>
      </c>
      <c r="U837" t="str">
        <f t="shared" si="30"/>
        <v>Office Supplies</v>
      </c>
      <c r="V837">
        <f t="shared" si="31"/>
        <v>7561.45</v>
      </c>
      <c r="W837" t="str">
        <f>IF(Sales[[#This Row],[Quantity]]&gt;=15, "Large","Small")</f>
        <v>Small</v>
      </c>
      <c r="X837" t="str">
        <f>IF(Sales[[#This Row],[Quantity]]&gt;=15,"Large",IF(Sales[[#This Row],[Quantity]]=14,"Medium","Small"))</f>
        <v>Small</v>
      </c>
      <c r="Y837" t="str">
        <f>IF(AND(Sales[[#This Row],[Unit Price (₦)]]&gt;68000,Sales[[#This Row],[Quantity]]&gt;15),"Offer Discount", "No Discount")</f>
        <v>No Discount</v>
      </c>
    </row>
    <row r="838" spans="1:25" ht="15" customHeight="1" x14ac:dyDescent="0.25">
      <c r="A838" t="s">
        <v>1570</v>
      </c>
      <c r="B838" s="8">
        <v>44886</v>
      </c>
      <c r="C838" s="8">
        <v>44888</v>
      </c>
      <c r="D838" t="s">
        <v>20</v>
      </c>
      <c r="E838" t="s">
        <v>3092</v>
      </c>
      <c r="F838" t="s">
        <v>3090</v>
      </c>
      <c r="G838" t="s">
        <v>1572</v>
      </c>
      <c r="H838">
        <v>7038224612</v>
      </c>
      <c r="I838" t="s">
        <v>43</v>
      </c>
      <c r="J838" t="s">
        <v>25</v>
      </c>
      <c r="K838" t="s">
        <v>44</v>
      </c>
      <c r="L838" t="s">
        <v>96</v>
      </c>
      <c r="M838" t="s">
        <v>254</v>
      </c>
      <c r="N838" t="s">
        <v>255</v>
      </c>
      <c r="O838">
        <v>8</v>
      </c>
      <c r="P838">
        <v>67499.289999999994</v>
      </c>
      <c r="Q838">
        <v>20</v>
      </c>
      <c r="R838" s="39">
        <v>107998.86</v>
      </c>
      <c r="S838" s="39">
        <v>431995.46</v>
      </c>
      <c r="T838" s="39">
        <v>2027.48</v>
      </c>
      <c r="U838" t="str">
        <f t="shared" si="30"/>
        <v>Technology</v>
      </c>
      <c r="V838">
        <f t="shared" si="31"/>
        <v>2027.48</v>
      </c>
      <c r="W838" t="str">
        <f>IF(Sales[[#This Row],[Quantity]]&gt;=15, "Large","Small")</f>
        <v>Small</v>
      </c>
      <c r="X838" t="str">
        <f>IF(Sales[[#This Row],[Quantity]]&gt;=15,"Large",IF(Sales[[#This Row],[Quantity]]=14,"Medium","Small"))</f>
        <v>Small</v>
      </c>
      <c r="Y838" t="str">
        <f>IF(AND(Sales[[#This Row],[Unit Price (₦)]]&gt;68000,Sales[[#This Row],[Quantity]]&gt;15),"Offer Discount", "No Discount")</f>
        <v>No Discount</v>
      </c>
    </row>
    <row r="839" spans="1:25" ht="15" customHeight="1" x14ac:dyDescent="0.25">
      <c r="A839" t="s">
        <v>1454</v>
      </c>
      <c r="B839" s="8">
        <v>44898</v>
      </c>
      <c r="C839" s="8">
        <v>44901</v>
      </c>
      <c r="D839" t="s">
        <v>20</v>
      </c>
      <c r="E839" t="s">
        <v>3068</v>
      </c>
      <c r="F839" t="s">
        <v>3054</v>
      </c>
      <c r="G839" t="s">
        <v>1456</v>
      </c>
      <c r="H839">
        <v>9017527687</v>
      </c>
      <c r="I839" t="s">
        <v>24</v>
      </c>
      <c r="J839" t="s">
        <v>25</v>
      </c>
      <c r="K839" t="s">
        <v>126</v>
      </c>
      <c r="L839" t="s">
        <v>108</v>
      </c>
      <c r="M839" t="s">
        <v>114</v>
      </c>
      <c r="N839" t="s">
        <v>891</v>
      </c>
      <c r="O839">
        <v>18</v>
      </c>
      <c r="P839">
        <v>31026.06</v>
      </c>
      <c r="Q839">
        <v>25</v>
      </c>
      <c r="R839" s="39">
        <v>139617.26999999999</v>
      </c>
      <c r="S839" s="39">
        <v>418851.81</v>
      </c>
      <c r="T839" s="39">
        <v>80975</v>
      </c>
      <c r="U839" t="str">
        <f t="shared" si="30"/>
        <v>Clothing</v>
      </c>
      <c r="V839">
        <f t="shared" si="31"/>
        <v>80975</v>
      </c>
      <c r="W839" t="str">
        <f>IF(Sales[[#This Row],[Quantity]]&gt;=15, "Large","Small")</f>
        <v>Large</v>
      </c>
      <c r="X839" t="str">
        <f>IF(Sales[[#This Row],[Quantity]]&gt;=15,"Large",IF(Sales[[#This Row],[Quantity]]=14,"Medium","Small"))</f>
        <v>Large</v>
      </c>
      <c r="Y839" t="str">
        <f>IF(AND(Sales[[#This Row],[Unit Price (₦)]]&gt;68000,Sales[[#This Row],[Quantity]]&gt;15),"Offer Discount", "No Discount")</f>
        <v>No Discount</v>
      </c>
    </row>
    <row r="840" spans="1:25" ht="15" customHeight="1" x14ac:dyDescent="0.25">
      <c r="A840" t="s">
        <v>663</v>
      </c>
      <c r="B840" s="8">
        <v>44902</v>
      </c>
      <c r="C840" s="8">
        <v>44904</v>
      </c>
      <c r="D840" t="s">
        <v>20</v>
      </c>
      <c r="E840" t="s">
        <v>3094</v>
      </c>
      <c r="F840" t="s">
        <v>3040</v>
      </c>
      <c r="G840" t="s">
        <v>666</v>
      </c>
      <c r="H840">
        <v>9026563269</v>
      </c>
      <c r="I840" t="s">
        <v>35</v>
      </c>
      <c r="J840" t="s">
        <v>25</v>
      </c>
      <c r="K840" t="s">
        <v>26</v>
      </c>
      <c r="L840" t="s">
        <v>108</v>
      </c>
      <c r="M840" t="s">
        <v>114</v>
      </c>
      <c r="N840" t="s">
        <v>291</v>
      </c>
      <c r="O840">
        <v>8</v>
      </c>
      <c r="P840">
        <v>6240.08</v>
      </c>
      <c r="Q840">
        <v>25</v>
      </c>
      <c r="R840" s="39">
        <v>12480.16</v>
      </c>
      <c r="S840" s="39">
        <v>37440.480000000003</v>
      </c>
      <c r="T840" s="39">
        <v>11161.45</v>
      </c>
      <c r="U840" t="str">
        <f t="shared" si="30"/>
        <v>Clothing</v>
      </c>
      <c r="V840">
        <f t="shared" si="31"/>
        <v>11161.45</v>
      </c>
      <c r="W840" t="str">
        <f>IF(Sales[[#This Row],[Quantity]]&gt;=15, "Large","Small")</f>
        <v>Small</v>
      </c>
      <c r="X840" t="str">
        <f>IF(Sales[[#This Row],[Quantity]]&gt;=15,"Large",IF(Sales[[#This Row],[Quantity]]=14,"Medium","Small"))</f>
        <v>Small</v>
      </c>
      <c r="Y840" t="str">
        <f>IF(AND(Sales[[#This Row],[Unit Price (₦)]]&gt;68000,Sales[[#This Row],[Quantity]]&gt;15),"Offer Discount", "No Discount")</f>
        <v>No Discount</v>
      </c>
    </row>
    <row r="841" spans="1:25" ht="15" customHeight="1" x14ac:dyDescent="0.25">
      <c r="A841" t="s">
        <v>1467</v>
      </c>
      <c r="B841" s="8">
        <v>44909</v>
      </c>
      <c r="C841" s="8">
        <v>44911</v>
      </c>
      <c r="D841" t="s">
        <v>20</v>
      </c>
      <c r="E841" t="s">
        <v>3037</v>
      </c>
      <c r="F841" t="s">
        <v>3074</v>
      </c>
      <c r="G841" t="s">
        <v>1453</v>
      </c>
      <c r="H841">
        <v>8148087921</v>
      </c>
      <c r="I841" t="s">
        <v>35</v>
      </c>
      <c r="J841" t="s">
        <v>25</v>
      </c>
      <c r="K841" t="s">
        <v>44</v>
      </c>
      <c r="L841" t="s">
        <v>27</v>
      </c>
      <c r="M841" t="s">
        <v>173</v>
      </c>
      <c r="N841" t="s">
        <v>662</v>
      </c>
      <c r="O841">
        <v>16</v>
      </c>
      <c r="P841">
        <v>2352.9699999999998</v>
      </c>
      <c r="Q841">
        <v>0</v>
      </c>
      <c r="R841" s="39">
        <v>0</v>
      </c>
      <c r="S841" s="39">
        <v>37647.519999999997</v>
      </c>
      <c r="T841" s="39">
        <v>16619.830000000002</v>
      </c>
      <c r="U841" t="str">
        <f t="shared" si="30"/>
        <v>Food &amp; Beverages</v>
      </c>
      <c r="V841">
        <f t="shared" si="31"/>
        <v>16619.830000000002</v>
      </c>
      <c r="W841" t="str">
        <f>IF(Sales[[#This Row],[Quantity]]&gt;=15, "Large","Small")</f>
        <v>Large</v>
      </c>
      <c r="X841" t="str">
        <f>IF(Sales[[#This Row],[Quantity]]&gt;=15,"Large",IF(Sales[[#This Row],[Quantity]]=14,"Medium","Small"))</f>
        <v>Large</v>
      </c>
      <c r="Y841" t="str">
        <f>IF(AND(Sales[[#This Row],[Unit Price (₦)]]&gt;68000,Sales[[#This Row],[Quantity]]&gt;15),"Offer Discount", "No Discount")</f>
        <v>No Discount</v>
      </c>
    </row>
    <row r="842" spans="1:25" ht="15" customHeight="1" x14ac:dyDescent="0.25">
      <c r="A842" t="s">
        <v>2888</v>
      </c>
      <c r="B842" s="8">
        <v>44911</v>
      </c>
      <c r="C842" s="8">
        <v>44914</v>
      </c>
      <c r="D842" t="s">
        <v>20</v>
      </c>
      <c r="E842" t="s">
        <v>3051</v>
      </c>
      <c r="F842" t="s">
        <v>3064</v>
      </c>
      <c r="G842" t="s">
        <v>898</v>
      </c>
      <c r="H842">
        <v>8035072102</v>
      </c>
      <c r="I842" t="s">
        <v>24</v>
      </c>
      <c r="J842" t="s">
        <v>69</v>
      </c>
      <c r="K842" t="s">
        <v>155</v>
      </c>
      <c r="L842" t="s">
        <v>108</v>
      </c>
      <c r="M842" t="s">
        <v>109</v>
      </c>
      <c r="N842" t="s">
        <v>157</v>
      </c>
      <c r="O842">
        <v>17</v>
      </c>
      <c r="P842">
        <v>33056.730000000003</v>
      </c>
      <c r="Q842">
        <v>15</v>
      </c>
      <c r="R842" s="39">
        <v>84294.66</v>
      </c>
      <c r="S842" s="39">
        <v>477669.75</v>
      </c>
      <c r="T842" s="39">
        <v>-10353.69</v>
      </c>
      <c r="U842" t="str">
        <f t="shared" si="30"/>
        <v>Clothing</v>
      </c>
      <c r="V842">
        <f t="shared" si="31"/>
        <v>10353.69</v>
      </c>
      <c r="W842" t="str">
        <f>IF(Sales[[#This Row],[Quantity]]&gt;=15, "Large","Small")</f>
        <v>Large</v>
      </c>
      <c r="X842" t="str">
        <f>IF(Sales[[#This Row],[Quantity]]&gt;=15,"Large",IF(Sales[[#This Row],[Quantity]]=14,"Medium","Small"))</f>
        <v>Large</v>
      </c>
      <c r="Y842" t="str">
        <f>IF(AND(Sales[[#This Row],[Unit Price (₦)]]&gt;68000,Sales[[#This Row],[Quantity]]&gt;15),"Offer Discount", "No Discount")</f>
        <v>No Discount</v>
      </c>
    </row>
    <row r="843" spans="1:25" ht="15" customHeight="1" x14ac:dyDescent="0.25">
      <c r="A843" t="s">
        <v>1389</v>
      </c>
      <c r="B843" s="8">
        <v>44913</v>
      </c>
      <c r="C843" s="8">
        <v>44916</v>
      </c>
      <c r="D843" t="s">
        <v>20</v>
      </c>
      <c r="E843" t="s">
        <v>3067</v>
      </c>
      <c r="F843" t="s">
        <v>3083</v>
      </c>
      <c r="G843" t="s">
        <v>1391</v>
      </c>
      <c r="H843">
        <v>8161793880</v>
      </c>
      <c r="I843" t="s">
        <v>35</v>
      </c>
      <c r="J843" t="s">
        <v>51</v>
      </c>
      <c r="K843" t="s">
        <v>227</v>
      </c>
      <c r="L843" t="s">
        <v>85</v>
      </c>
      <c r="M843" t="s">
        <v>243</v>
      </c>
      <c r="N843" t="s">
        <v>404</v>
      </c>
      <c r="O843">
        <v>6</v>
      </c>
      <c r="P843">
        <v>86419.36</v>
      </c>
      <c r="Q843">
        <v>0</v>
      </c>
      <c r="R843" s="39">
        <v>0</v>
      </c>
      <c r="S843" s="39">
        <v>518516.16</v>
      </c>
      <c r="T843" s="39">
        <v>143674.23999999999</v>
      </c>
      <c r="U843" t="str">
        <f t="shared" si="30"/>
        <v>Furniture</v>
      </c>
      <c r="V843">
        <f t="shared" si="31"/>
        <v>143674.23999999999</v>
      </c>
      <c r="W843" t="str">
        <f>IF(Sales[[#This Row],[Quantity]]&gt;=15, "Large","Small")</f>
        <v>Small</v>
      </c>
      <c r="X843" t="str">
        <f>IF(Sales[[#This Row],[Quantity]]&gt;=15,"Large",IF(Sales[[#This Row],[Quantity]]=14,"Medium","Small"))</f>
        <v>Small</v>
      </c>
      <c r="Y843" t="str">
        <f>IF(AND(Sales[[#This Row],[Unit Price (₦)]]&gt;68000,Sales[[#This Row],[Quantity]]&gt;15),"Offer Discount", "No Discount")</f>
        <v>No Discount</v>
      </c>
    </row>
    <row r="844" spans="1:25" ht="15" customHeight="1" x14ac:dyDescent="0.25">
      <c r="A844" t="s">
        <v>1682</v>
      </c>
      <c r="B844" s="8">
        <v>44918</v>
      </c>
      <c r="C844" s="8">
        <v>44920</v>
      </c>
      <c r="D844" t="s">
        <v>20</v>
      </c>
      <c r="E844" t="s">
        <v>3061</v>
      </c>
      <c r="F844" t="s">
        <v>3034</v>
      </c>
      <c r="G844" t="s">
        <v>1684</v>
      </c>
      <c r="H844">
        <v>7035126595</v>
      </c>
      <c r="I844" t="s">
        <v>35</v>
      </c>
      <c r="J844" t="s">
        <v>25</v>
      </c>
      <c r="K844" t="s">
        <v>126</v>
      </c>
      <c r="L844" t="s">
        <v>85</v>
      </c>
      <c r="M844" t="s">
        <v>218</v>
      </c>
      <c r="N844" t="s">
        <v>321</v>
      </c>
      <c r="O844">
        <v>9</v>
      </c>
      <c r="P844">
        <v>38285.32</v>
      </c>
      <c r="Q844">
        <v>0</v>
      </c>
      <c r="R844" s="39">
        <v>0</v>
      </c>
      <c r="S844" s="39">
        <v>344567.88</v>
      </c>
      <c r="T844" s="39">
        <v>-47344.92</v>
      </c>
      <c r="U844" t="str">
        <f t="shared" si="30"/>
        <v>Furniture</v>
      </c>
      <c r="V844">
        <f t="shared" si="31"/>
        <v>47344.92</v>
      </c>
      <c r="W844" t="str">
        <f>IF(Sales[[#This Row],[Quantity]]&gt;=15, "Large","Small")</f>
        <v>Small</v>
      </c>
      <c r="X844" t="str">
        <f>IF(Sales[[#This Row],[Quantity]]&gt;=15,"Large",IF(Sales[[#This Row],[Quantity]]=14,"Medium","Small"))</f>
        <v>Small</v>
      </c>
      <c r="Y844" t="str">
        <f>IF(AND(Sales[[#This Row],[Unit Price (₦)]]&gt;68000,Sales[[#This Row],[Quantity]]&gt;15),"Offer Discount", "No Discount")</f>
        <v>No Discount</v>
      </c>
    </row>
    <row r="845" spans="1:25" ht="15" customHeight="1" x14ac:dyDescent="0.25">
      <c r="A845" t="s">
        <v>880</v>
      </c>
      <c r="B845" s="8">
        <v>44924</v>
      </c>
      <c r="C845" s="8">
        <v>44927</v>
      </c>
      <c r="D845" t="s">
        <v>20</v>
      </c>
      <c r="E845" t="s">
        <v>3087</v>
      </c>
      <c r="F845" t="s">
        <v>3046</v>
      </c>
      <c r="G845" t="s">
        <v>882</v>
      </c>
      <c r="H845">
        <v>8164512853</v>
      </c>
      <c r="I845" t="s">
        <v>43</v>
      </c>
      <c r="J845" t="s">
        <v>61</v>
      </c>
      <c r="K845" t="s">
        <v>3127</v>
      </c>
      <c r="L845" t="s">
        <v>85</v>
      </c>
      <c r="M845" t="s">
        <v>266</v>
      </c>
      <c r="N845" t="s">
        <v>803</v>
      </c>
      <c r="O845">
        <v>3</v>
      </c>
      <c r="P845">
        <v>92207.26</v>
      </c>
      <c r="Q845">
        <v>0</v>
      </c>
      <c r="R845" s="39">
        <v>0</v>
      </c>
      <c r="S845" s="39">
        <v>276621.78000000003</v>
      </c>
      <c r="T845" s="39">
        <v>60493.82</v>
      </c>
      <c r="U845" t="str">
        <f t="shared" si="30"/>
        <v>Furniture</v>
      </c>
      <c r="V845">
        <f t="shared" si="31"/>
        <v>60493.82</v>
      </c>
      <c r="W845" t="str">
        <f>IF(Sales[[#This Row],[Quantity]]&gt;=15, "Large","Small")</f>
        <v>Small</v>
      </c>
      <c r="X845" t="str">
        <f>IF(Sales[[#This Row],[Quantity]]&gt;=15,"Large",IF(Sales[[#This Row],[Quantity]]=14,"Medium","Small"))</f>
        <v>Small</v>
      </c>
      <c r="Y845" t="str">
        <f>IF(AND(Sales[[#This Row],[Unit Price (₦)]]&gt;68000,Sales[[#This Row],[Quantity]]&gt;15),"Offer Discount", "No Discount")</f>
        <v>No Discount</v>
      </c>
    </row>
    <row r="846" spans="1:25" ht="15" customHeight="1" x14ac:dyDescent="0.25">
      <c r="A846" t="s">
        <v>2886</v>
      </c>
      <c r="B846" s="8">
        <v>44925</v>
      </c>
      <c r="C846" s="8">
        <v>44928</v>
      </c>
      <c r="D846" t="s">
        <v>20</v>
      </c>
      <c r="E846" t="s">
        <v>3089</v>
      </c>
      <c r="F846" t="s">
        <v>3043</v>
      </c>
      <c r="G846" t="s">
        <v>2887</v>
      </c>
      <c r="H846">
        <v>7064148815</v>
      </c>
      <c r="I846" t="s">
        <v>24</v>
      </c>
      <c r="J846" t="s">
        <v>25</v>
      </c>
      <c r="K846" t="s">
        <v>44</v>
      </c>
      <c r="L846" t="s">
        <v>27</v>
      </c>
      <c r="M846" t="s">
        <v>79</v>
      </c>
      <c r="N846" t="s">
        <v>127</v>
      </c>
      <c r="O846">
        <v>5</v>
      </c>
      <c r="P846">
        <v>2362.06</v>
      </c>
      <c r="Q846">
        <v>0</v>
      </c>
      <c r="R846" s="39">
        <v>0</v>
      </c>
      <c r="S846" s="39">
        <v>11810.3</v>
      </c>
      <c r="T846" s="39">
        <v>-768.84</v>
      </c>
      <c r="U846" t="str">
        <f t="shared" si="30"/>
        <v>Food &amp; Beverages</v>
      </c>
      <c r="V846">
        <f t="shared" si="31"/>
        <v>768.84</v>
      </c>
      <c r="W846" t="str">
        <f>IF(Sales[[#This Row],[Quantity]]&gt;=15, "Large","Small")</f>
        <v>Small</v>
      </c>
      <c r="X846" t="str">
        <f>IF(Sales[[#This Row],[Quantity]]&gt;=15,"Large",IF(Sales[[#This Row],[Quantity]]=14,"Medium","Small"))</f>
        <v>Small</v>
      </c>
      <c r="Y846" t="str">
        <f>IF(AND(Sales[[#This Row],[Unit Price (₦)]]&gt;68000,Sales[[#This Row],[Quantity]]&gt;15),"Offer Discount", "No Discount")</f>
        <v>No Discount</v>
      </c>
    </row>
    <row r="847" spans="1:25" ht="15" customHeight="1" x14ac:dyDescent="0.25">
      <c r="A847" t="s">
        <v>1012</v>
      </c>
      <c r="B847" s="8">
        <v>44930</v>
      </c>
      <c r="C847" s="8">
        <v>44933</v>
      </c>
      <c r="D847" t="s">
        <v>20</v>
      </c>
      <c r="E847" t="s">
        <v>3080</v>
      </c>
      <c r="F847" t="s">
        <v>3057</v>
      </c>
      <c r="G847" t="s">
        <v>1014</v>
      </c>
      <c r="H847">
        <v>9015755579</v>
      </c>
      <c r="I847" t="s">
        <v>35</v>
      </c>
      <c r="J847" t="s">
        <v>61</v>
      </c>
      <c r="K847" t="s">
        <v>95</v>
      </c>
      <c r="L847" t="s">
        <v>96</v>
      </c>
      <c r="M847" t="s">
        <v>385</v>
      </c>
      <c r="N847" t="s">
        <v>942</v>
      </c>
      <c r="O847">
        <v>16</v>
      </c>
      <c r="P847">
        <v>278838.77</v>
      </c>
      <c r="Q847">
        <v>20</v>
      </c>
      <c r="R847" s="39">
        <v>892284.06</v>
      </c>
      <c r="S847" s="39">
        <v>3569136.26</v>
      </c>
      <c r="T847" s="39">
        <v>-170104.78</v>
      </c>
      <c r="U847" t="str">
        <f t="shared" si="30"/>
        <v>Technology</v>
      </c>
      <c r="V847">
        <f t="shared" si="31"/>
        <v>170104.78</v>
      </c>
      <c r="W847" t="str">
        <f>IF(Sales[[#This Row],[Quantity]]&gt;=15, "Large","Small")</f>
        <v>Large</v>
      </c>
      <c r="X847" t="str">
        <f>IF(Sales[[#This Row],[Quantity]]&gt;=15,"Large",IF(Sales[[#This Row],[Quantity]]=14,"Medium","Small"))</f>
        <v>Large</v>
      </c>
      <c r="Y847" t="str">
        <f>IF(AND(Sales[[#This Row],[Unit Price (₦)]]&gt;68000,Sales[[#This Row],[Quantity]]&gt;15),"Offer Discount", "No Discount")</f>
        <v>Offer Discount</v>
      </c>
    </row>
    <row r="848" spans="1:25" ht="15" customHeight="1" x14ac:dyDescent="0.25">
      <c r="A848" t="s">
        <v>1538</v>
      </c>
      <c r="B848" s="8">
        <v>44943</v>
      </c>
      <c r="C848" s="8">
        <v>44946</v>
      </c>
      <c r="D848" t="s">
        <v>20</v>
      </c>
      <c r="E848" t="s">
        <v>3068</v>
      </c>
      <c r="F848" t="s">
        <v>3050</v>
      </c>
      <c r="G848" t="s">
        <v>1540</v>
      </c>
      <c r="H848" t="s">
        <v>23</v>
      </c>
      <c r="I848" t="s">
        <v>43</v>
      </c>
      <c r="J848" t="s">
        <v>69</v>
      </c>
      <c r="K848" t="s">
        <v>307</v>
      </c>
      <c r="L848" t="s">
        <v>108</v>
      </c>
      <c r="M848" t="s">
        <v>109</v>
      </c>
      <c r="N848" t="s">
        <v>1258</v>
      </c>
      <c r="O848">
        <v>17</v>
      </c>
      <c r="P848">
        <v>42018.71</v>
      </c>
      <c r="Q848">
        <v>25</v>
      </c>
      <c r="R848" s="39">
        <v>178579.52</v>
      </c>
      <c r="S848" s="39">
        <v>535738.55000000005</v>
      </c>
      <c r="T848" s="39">
        <v>-53369.17</v>
      </c>
      <c r="U848" t="str">
        <f t="shared" si="30"/>
        <v>Clothing</v>
      </c>
      <c r="V848">
        <f t="shared" si="31"/>
        <v>53369.17</v>
      </c>
      <c r="W848" t="str">
        <f>IF(Sales[[#This Row],[Quantity]]&gt;=15, "Large","Small")</f>
        <v>Large</v>
      </c>
      <c r="X848" t="str">
        <f>IF(Sales[[#This Row],[Quantity]]&gt;=15,"Large",IF(Sales[[#This Row],[Quantity]]=14,"Medium","Small"))</f>
        <v>Large</v>
      </c>
      <c r="Y848" t="str">
        <f>IF(AND(Sales[[#This Row],[Unit Price (₦)]]&gt;68000,Sales[[#This Row],[Quantity]]&gt;15),"Offer Discount", "No Discount")</f>
        <v>No Discount</v>
      </c>
    </row>
    <row r="849" spans="1:25" ht="15" customHeight="1" x14ac:dyDescent="0.25">
      <c r="A849" t="s">
        <v>2691</v>
      </c>
      <c r="B849" s="8">
        <v>44951</v>
      </c>
      <c r="C849" s="8">
        <v>44954</v>
      </c>
      <c r="D849" t="s">
        <v>20</v>
      </c>
      <c r="E849" t="s">
        <v>3037</v>
      </c>
      <c r="F849" t="s">
        <v>3077</v>
      </c>
      <c r="G849" t="s">
        <v>2692</v>
      </c>
      <c r="H849">
        <v>8138762657</v>
      </c>
      <c r="I849" t="s">
        <v>35</v>
      </c>
      <c r="J849" t="s">
        <v>61</v>
      </c>
      <c r="K849" t="s">
        <v>84</v>
      </c>
      <c r="L849" t="s">
        <v>27</v>
      </c>
      <c r="M849" t="s">
        <v>173</v>
      </c>
      <c r="N849" t="s">
        <v>380</v>
      </c>
      <c r="O849">
        <v>10</v>
      </c>
      <c r="P849">
        <v>1202.52</v>
      </c>
      <c r="Q849">
        <v>5</v>
      </c>
      <c r="R849" s="39">
        <v>601.26</v>
      </c>
      <c r="S849" s="39">
        <v>11423.94</v>
      </c>
      <c r="T849" s="39">
        <v>-303.42</v>
      </c>
      <c r="U849" t="str">
        <f t="shared" si="30"/>
        <v>Food &amp; Beverages</v>
      </c>
      <c r="V849">
        <f t="shared" si="31"/>
        <v>303.42</v>
      </c>
      <c r="W849" t="str">
        <f>IF(Sales[[#This Row],[Quantity]]&gt;=15, "Large","Small")</f>
        <v>Small</v>
      </c>
      <c r="X849" t="str">
        <f>IF(Sales[[#This Row],[Quantity]]&gt;=15,"Large",IF(Sales[[#This Row],[Quantity]]=14,"Medium","Small"))</f>
        <v>Small</v>
      </c>
      <c r="Y849" t="str">
        <f>IF(AND(Sales[[#This Row],[Unit Price (₦)]]&gt;68000,Sales[[#This Row],[Quantity]]&gt;15),"Offer Discount", "No Discount")</f>
        <v>No Discount</v>
      </c>
    </row>
    <row r="850" spans="1:25" ht="15" customHeight="1" x14ac:dyDescent="0.25">
      <c r="A850" t="s">
        <v>1155</v>
      </c>
      <c r="B850" s="8">
        <v>44952</v>
      </c>
      <c r="C850" s="8">
        <v>44955</v>
      </c>
      <c r="D850" t="s">
        <v>20</v>
      </c>
      <c r="E850" t="s">
        <v>3097</v>
      </c>
      <c r="F850" t="s">
        <v>3088</v>
      </c>
      <c r="G850" t="s">
        <v>911</v>
      </c>
      <c r="H850">
        <v>9026114011</v>
      </c>
      <c r="I850" t="s">
        <v>43</v>
      </c>
      <c r="J850" t="s">
        <v>69</v>
      </c>
      <c r="K850" t="s">
        <v>70</v>
      </c>
      <c r="L850" t="s">
        <v>85</v>
      </c>
      <c r="M850" t="s">
        <v>243</v>
      </c>
      <c r="N850" t="s">
        <v>244</v>
      </c>
      <c r="O850">
        <v>15</v>
      </c>
      <c r="P850">
        <v>149312.46</v>
      </c>
      <c r="Q850">
        <v>0</v>
      </c>
      <c r="R850" s="39">
        <v>0</v>
      </c>
      <c r="S850" s="39">
        <v>2239686.9</v>
      </c>
      <c r="T850" s="39">
        <v>255947.06</v>
      </c>
      <c r="U850" t="str">
        <f t="shared" si="30"/>
        <v>Furniture</v>
      </c>
      <c r="V850">
        <f t="shared" si="31"/>
        <v>255947.06</v>
      </c>
      <c r="W850" t="str">
        <f>IF(Sales[[#This Row],[Quantity]]&gt;=15, "Large","Small")</f>
        <v>Large</v>
      </c>
      <c r="X850" t="str">
        <f>IF(Sales[[#This Row],[Quantity]]&gt;=15,"Large",IF(Sales[[#This Row],[Quantity]]=14,"Medium","Small"))</f>
        <v>Large</v>
      </c>
      <c r="Y850" t="str">
        <f>IF(AND(Sales[[#This Row],[Unit Price (₦)]]&gt;68000,Sales[[#This Row],[Quantity]]&gt;15),"Offer Discount", "No Discount")</f>
        <v>No Discount</v>
      </c>
    </row>
    <row r="851" spans="1:25" ht="15" customHeight="1" x14ac:dyDescent="0.25">
      <c r="A851" t="s">
        <v>1649</v>
      </c>
      <c r="B851" s="8">
        <v>44954</v>
      </c>
      <c r="C851" s="8">
        <v>44956</v>
      </c>
      <c r="D851" t="s">
        <v>20</v>
      </c>
      <c r="E851" t="s">
        <v>3085</v>
      </c>
      <c r="F851" t="s">
        <v>3040</v>
      </c>
      <c r="G851" t="s">
        <v>1651</v>
      </c>
      <c r="H851">
        <v>9024710242</v>
      </c>
      <c r="I851" t="s">
        <v>24</v>
      </c>
      <c r="J851" t="s">
        <v>25</v>
      </c>
      <c r="K851" t="s">
        <v>44</v>
      </c>
      <c r="L851" t="s">
        <v>85</v>
      </c>
      <c r="M851" t="s">
        <v>486</v>
      </c>
      <c r="N851" t="s">
        <v>543</v>
      </c>
      <c r="O851">
        <v>16</v>
      </c>
      <c r="P851">
        <v>14328.92</v>
      </c>
      <c r="Q851">
        <v>5</v>
      </c>
      <c r="R851" s="39">
        <v>11463.14</v>
      </c>
      <c r="S851" s="39">
        <v>217799.58</v>
      </c>
      <c r="T851" s="39">
        <v>-31737.48</v>
      </c>
      <c r="U851" t="str">
        <f t="shared" si="30"/>
        <v>Furniture</v>
      </c>
      <c r="V851">
        <f t="shared" si="31"/>
        <v>31737.48</v>
      </c>
      <c r="W851" t="str">
        <f>IF(Sales[[#This Row],[Quantity]]&gt;=15, "Large","Small")</f>
        <v>Large</v>
      </c>
      <c r="X851" t="str">
        <f>IF(Sales[[#This Row],[Quantity]]&gt;=15,"Large",IF(Sales[[#This Row],[Quantity]]=14,"Medium","Small"))</f>
        <v>Large</v>
      </c>
      <c r="Y851" t="str">
        <f>IF(AND(Sales[[#This Row],[Unit Price (₦)]]&gt;68000,Sales[[#This Row],[Quantity]]&gt;15),"Offer Discount", "No Discount")</f>
        <v>No Discount</v>
      </c>
    </row>
    <row r="852" spans="1:25" ht="15" customHeight="1" x14ac:dyDescent="0.25">
      <c r="A852" t="s">
        <v>2265</v>
      </c>
      <c r="B852" s="8">
        <v>44959</v>
      </c>
      <c r="C852" s="8">
        <v>44956</v>
      </c>
      <c r="D852" t="s">
        <v>20</v>
      </c>
      <c r="E852" t="s">
        <v>3095</v>
      </c>
      <c r="F852" t="s">
        <v>3042</v>
      </c>
      <c r="G852" t="s">
        <v>2185</v>
      </c>
      <c r="H852">
        <v>9013838932</v>
      </c>
      <c r="I852" t="s">
        <v>35</v>
      </c>
      <c r="J852" t="s">
        <v>25</v>
      </c>
      <c r="K852" t="s">
        <v>44</v>
      </c>
      <c r="L852" t="s">
        <v>27</v>
      </c>
      <c r="M852" t="s">
        <v>45</v>
      </c>
      <c r="N852" t="s">
        <v>46</v>
      </c>
      <c r="O852">
        <v>13</v>
      </c>
      <c r="P852">
        <v>409.12</v>
      </c>
      <c r="Q852">
        <v>15</v>
      </c>
      <c r="R852" s="39">
        <v>797.78</v>
      </c>
      <c r="S852" s="39">
        <v>4520.78</v>
      </c>
      <c r="T852" s="39">
        <v>1594.16</v>
      </c>
      <c r="U852" t="str">
        <f t="shared" si="30"/>
        <v>Food &amp; Beverages</v>
      </c>
      <c r="V852">
        <f t="shared" si="31"/>
        <v>1594.16</v>
      </c>
      <c r="W852" t="str">
        <f>IF(Sales[[#This Row],[Quantity]]&gt;=15, "Large","Small")</f>
        <v>Small</v>
      </c>
      <c r="X852" t="str">
        <f>IF(Sales[[#This Row],[Quantity]]&gt;=15,"Large",IF(Sales[[#This Row],[Quantity]]=14,"Medium","Small"))</f>
        <v>Small</v>
      </c>
      <c r="Y852" t="str">
        <f>IF(AND(Sales[[#This Row],[Unit Price (₦)]]&gt;68000,Sales[[#This Row],[Quantity]]&gt;15),"Offer Discount", "No Discount")</f>
        <v>No Discount</v>
      </c>
    </row>
    <row r="853" spans="1:25" ht="15" customHeight="1" x14ac:dyDescent="0.25">
      <c r="A853" t="s">
        <v>560</v>
      </c>
      <c r="B853" s="8">
        <v>44956</v>
      </c>
      <c r="C853" s="8">
        <v>44958</v>
      </c>
      <c r="D853" t="s">
        <v>20</v>
      </c>
      <c r="E853" t="s">
        <v>3095</v>
      </c>
      <c r="F853" t="s">
        <v>3062</v>
      </c>
      <c r="G853" t="s">
        <v>562</v>
      </c>
      <c r="H853">
        <v>9075316188</v>
      </c>
      <c r="I853" t="s">
        <v>43</v>
      </c>
      <c r="J853" t="s">
        <v>61</v>
      </c>
      <c r="K853" t="s">
        <v>84</v>
      </c>
      <c r="L853" t="s">
        <v>85</v>
      </c>
      <c r="M853" t="s">
        <v>86</v>
      </c>
      <c r="N853" t="s">
        <v>178</v>
      </c>
      <c r="O853">
        <v>19</v>
      </c>
      <c r="P853">
        <v>144012.04</v>
      </c>
      <c r="Q853">
        <v>5</v>
      </c>
      <c r="R853" s="39">
        <v>136811.44</v>
      </c>
      <c r="S853" s="39">
        <v>4520.78</v>
      </c>
      <c r="T853" s="39">
        <v>-116201.89</v>
      </c>
      <c r="U853" t="str">
        <f t="shared" si="30"/>
        <v>Furniture</v>
      </c>
      <c r="V853">
        <f t="shared" si="31"/>
        <v>116201.89</v>
      </c>
      <c r="W853" t="str">
        <f>IF(Sales[[#This Row],[Quantity]]&gt;=15, "Large","Small")</f>
        <v>Large</v>
      </c>
      <c r="X853" t="str">
        <f>IF(Sales[[#This Row],[Quantity]]&gt;=15,"Large",IF(Sales[[#This Row],[Quantity]]=14,"Medium","Small"))</f>
        <v>Large</v>
      </c>
      <c r="Y853" t="str">
        <f>IF(AND(Sales[[#This Row],[Unit Price (₦)]]&gt;68000,Sales[[#This Row],[Quantity]]&gt;15),"Offer Discount", "No Discount")</f>
        <v>Offer Discount</v>
      </c>
    </row>
    <row r="854" spans="1:25" ht="15" customHeight="1" x14ac:dyDescent="0.25">
      <c r="A854" t="s">
        <v>967</v>
      </c>
      <c r="B854" s="8">
        <v>44956</v>
      </c>
      <c r="C854" s="8">
        <v>44959</v>
      </c>
      <c r="D854" t="s">
        <v>20</v>
      </c>
      <c r="E854" t="s">
        <v>3092</v>
      </c>
      <c r="F854" t="s">
        <v>3050</v>
      </c>
      <c r="G854" t="s">
        <v>969</v>
      </c>
      <c r="H854">
        <v>8109945709</v>
      </c>
      <c r="I854" t="s">
        <v>35</v>
      </c>
      <c r="J854" t="s">
        <v>69</v>
      </c>
      <c r="K854" t="s">
        <v>70</v>
      </c>
      <c r="L854" t="s">
        <v>96</v>
      </c>
      <c r="M854" t="s">
        <v>120</v>
      </c>
      <c r="N854" t="s">
        <v>359</v>
      </c>
      <c r="O854">
        <v>7</v>
      </c>
      <c r="P854">
        <v>306595.78000000003</v>
      </c>
      <c r="Q854">
        <v>15</v>
      </c>
      <c r="R854" s="39">
        <v>321925.57</v>
      </c>
      <c r="S854" s="39">
        <v>1824244.89</v>
      </c>
      <c r="T854" s="39">
        <v>641037.92000000004</v>
      </c>
      <c r="U854" t="str">
        <f t="shared" si="30"/>
        <v>Technology</v>
      </c>
      <c r="V854">
        <f t="shared" si="31"/>
        <v>641037.92000000004</v>
      </c>
      <c r="W854" t="str">
        <f>IF(Sales[[#This Row],[Quantity]]&gt;=15, "Large","Small")</f>
        <v>Small</v>
      </c>
      <c r="X854" t="str">
        <f>IF(Sales[[#This Row],[Quantity]]&gt;=15,"Large",IF(Sales[[#This Row],[Quantity]]=14,"Medium","Small"))</f>
        <v>Small</v>
      </c>
      <c r="Y854" t="str">
        <f>IF(AND(Sales[[#This Row],[Unit Price (₦)]]&gt;68000,Sales[[#This Row],[Quantity]]&gt;15),"Offer Discount", "No Discount")</f>
        <v>No Discount</v>
      </c>
    </row>
    <row r="855" spans="1:25" ht="15" customHeight="1" x14ac:dyDescent="0.25">
      <c r="A855" t="s">
        <v>1111</v>
      </c>
      <c r="B855" s="8">
        <v>44968</v>
      </c>
      <c r="C855" s="8">
        <v>44971</v>
      </c>
      <c r="D855" t="s">
        <v>20</v>
      </c>
      <c r="E855" t="s">
        <v>3087</v>
      </c>
      <c r="F855" t="s">
        <v>3086</v>
      </c>
      <c r="G855" t="s">
        <v>1112</v>
      </c>
      <c r="H855">
        <v>8064958849</v>
      </c>
      <c r="I855" t="s">
        <v>24</v>
      </c>
      <c r="J855" t="s">
        <v>51</v>
      </c>
      <c r="K855" t="s">
        <v>316</v>
      </c>
      <c r="L855" t="s">
        <v>108</v>
      </c>
      <c r="M855" t="s">
        <v>38</v>
      </c>
      <c r="N855" t="s">
        <v>519</v>
      </c>
      <c r="O855">
        <v>9</v>
      </c>
      <c r="P855">
        <v>9196.5</v>
      </c>
      <c r="Q855">
        <v>0</v>
      </c>
      <c r="R855" s="39">
        <v>0</v>
      </c>
      <c r="S855" s="39">
        <v>82768.5</v>
      </c>
      <c r="T855" s="39">
        <v>7241</v>
      </c>
      <c r="U855" t="str">
        <f t="shared" si="30"/>
        <v>Clothing</v>
      </c>
      <c r="V855">
        <f t="shared" si="31"/>
        <v>7241</v>
      </c>
      <c r="W855" t="str">
        <f>IF(Sales[[#This Row],[Quantity]]&gt;=15, "Large","Small")</f>
        <v>Small</v>
      </c>
      <c r="X855" t="str">
        <f>IF(Sales[[#This Row],[Quantity]]&gt;=15,"Large",IF(Sales[[#This Row],[Quantity]]=14,"Medium","Small"))</f>
        <v>Small</v>
      </c>
      <c r="Y855" t="str">
        <f>IF(AND(Sales[[#This Row],[Unit Price (₦)]]&gt;68000,Sales[[#This Row],[Quantity]]&gt;15),"Offer Discount", "No Discount")</f>
        <v>No Discount</v>
      </c>
    </row>
    <row r="856" spans="1:25" ht="15" customHeight="1" x14ac:dyDescent="0.25">
      <c r="A856" t="s">
        <v>1716</v>
      </c>
      <c r="B856" s="8">
        <v>44977</v>
      </c>
      <c r="C856" s="8">
        <v>44980</v>
      </c>
      <c r="D856" t="s">
        <v>20</v>
      </c>
      <c r="E856" t="s">
        <v>3091</v>
      </c>
      <c r="F856" t="s">
        <v>3052</v>
      </c>
      <c r="G856" t="s">
        <v>587</v>
      </c>
      <c r="H856">
        <v>8108478135</v>
      </c>
      <c r="I856" t="s">
        <v>24</v>
      </c>
      <c r="J856" t="s">
        <v>69</v>
      </c>
      <c r="K856" t="s">
        <v>119</v>
      </c>
      <c r="L856" t="s">
        <v>96</v>
      </c>
      <c r="M856" t="s">
        <v>189</v>
      </c>
      <c r="N856" t="s">
        <v>205</v>
      </c>
      <c r="O856">
        <v>17</v>
      </c>
      <c r="P856">
        <v>366291.14</v>
      </c>
      <c r="Q856">
        <v>10</v>
      </c>
      <c r="R856" s="39">
        <v>622694.93999999994</v>
      </c>
      <c r="S856" s="39">
        <v>5604254.4400000004</v>
      </c>
      <c r="T856" s="39">
        <v>2220302.06</v>
      </c>
      <c r="U856" t="str">
        <f t="shared" si="30"/>
        <v>Technology</v>
      </c>
      <c r="V856">
        <f t="shared" si="31"/>
        <v>2220302.06</v>
      </c>
      <c r="W856" t="str">
        <f>IF(Sales[[#This Row],[Quantity]]&gt;=15, "Large","Small")</f>
        <v>Large</v>
      </c>
      <c r="X856" t="str">
        <f>IF(Sales[[#This Row],[Quantity]]&gt;=15,"Large",IF(Sales[[#This Row],[Quantity]]=14,"Medium","Small"))</f>
        <v>Large</v>
      </c>
      <c r="Y856" t="str">
        <f>IF(AND(Sales[[#This Row],[Unit Price (₦)]]&gt;68000,Sales[[#This Row],[Quantity]]&gt;15),"Offer Discount", "No Discount")</f>
        <v>Offer Discount</v>
      </c>
    </row>
    <row r="857" spans="1:25" ht="15" customHeight="1" x14ac:dyDescent="0.25">
      <c r="A857" t="s">
        <v>2199</v>
      </c>
      <c r="B857" s="8">
        <v>44978</v>
      </c>
      <c r="C857" s="8">
        <v>44981</v>
      </c>
      <c r="D857" t="s">
        <v>20</v>
      </c>
      <c r="E857" t="s">
        <v>3094</v>
      </c>
      <c r="F857" t="s">
        <v>3066</v>
      </c>
      <c r="G857" t="s">
        <v>2200</v>
      </c>
      <c r="H857">
        <v>8153116927</v>
      </c>
      <c r="I857" t="s">
        <v>35</v>
      </c>
      <c r="J857" t="s">
        <v>25</v>
      </c>
      <c r="K857" t="s">
        <v>168</v>
      </c>
      <c r="L857" t="s">
        <v>108</v>
      </c>
      <c r="M857" t="s">
        <v>38</v>
      </c>
      <c r="N857" t="s">
        <v>519</v>
      </c>
      <c r="O857">
        <v>4</v>
      </c>
      <c r="P857">
        <v>32798.79</v>
      </c>
      <c r="Q857">
        <v>20</v>
      </c>
      <c r="R857" s="39">
        <v>26239.03</v>
      </c>
      <c r="S857" s="39">
        <v>104956.13</v>
      </c>
      <c r="T857" s="39">
        <v>40232.61</v>
      </c>
      <c r="U857" t="str">
        <f t="shared" si="30"/>
        <v>Clothing</v>
      </c>
      <c r="V857">
        <f t="shared" si="31"/>
        <v>40232.61</v>
      </c>
      <c r="W857" t="str">
        <f>IF(Sales[[#This Row],[Quantity]]&gt;=15, "Large","Small")</f>
        <v>Small</v>
      </c>
      <c r="X857" t="str">
        <f>IF(Sales[[#This Row],[Quantity]]&gt;=15,"Large",IF(Sales[[#This Row],[Quantity]]=14,"Medium","Small"))</f>
        <v>Small</v>
      </c>
      <c r="Y857" t="str">
        <f>IF(AND(Sales[[#This Row],[Unit Price (₦)]]&gt;68000,Sales[[#This Row],[Quantity]]&gt;15),"Offer Discount", "No Discount")</f>
        <v>No Discount</v>
      </c>
    </row>
    <row r="858" spans="1:25" ht="15" customHeight="1" x14ac:dyDescent="0.25">
      <c r="A858" t="s">
        <v>2832</v>
      </c>
      <c r="B858" s="8">
        <v>44979</v>
      </c>
      <c r="C858" s="8">
        <v>44982</v>
      </c>
      <c r="D858" t="s">
        <v>20</v>
      </c>
      <c r="E858" t="s">
        <v>3056</v>
      </c>
      <c r="F858" t="s">
        <v>3064</v>
      </c>
      <c r="G858" t="s">
        <v>2833</v>
      </c>
      <c r="H858">
        <v>8165686347</v>
      </c>
      <c r="I858" t="s">
        <v>24</v>
      </c>
      <c r="J858" t="s">
        <v>25</v>
      </c>
      <c r="K858" t="s">
        <v>168</v>
      </c>
      <c r="L858" t="s">
        <v>85</v>
      </c>
      <c r="M858" t="s">
        <v>486</v>
      </c>
      <c r="N858" t="s">
        <v>487</v>
      </c>
      <c r="O858">
        <v>17</v>
      </c>
      <c r="P858">
        <v>89396.24</v>
      </c>
      <c r="Q858">
        <v>0</v>
      </c>
      <c r="R858" s="39">
        <v>0</v>
      </c>
      <c r="S858" s="39">
        <v>1519736.08</v>
      </c>
      <c r="T858" s="39">
        <v>306820.53999999998</v>
      </c>
      <c r="U858" t="str">
        <f t="shared" si="30"/>
        <v>Furniture</v>
      </c>
      <c r="V858">
        <f t="shared" si="31"/>
        <v>306820.53999999998</v>
      </c>
      <c r="W858" t="str">
        <f>IF(Sales[[#This Row],[Quantity]]&gt;=15, "Large","Small")</f>
        <v>Large</v>
      </c>
      <c r="X858" t="str">
        <f>IF(Sales[[#This Row],[Quantity]]&gt;=15,"Large",IF(Sales[[#This Row],[Quantity]]=14,"Medium","Small"))</f>
        <v>Large</v>
      </c>
      <c r="Y858" t="str">
        <f>IF(AND(Sales[[#This Row],[Unit Price (₦)]]&gt;68000,Sales[[#This Row],[Quantity]]&gt;15),"Offer Discount", "No Discount")</f>
        <v>Offer Discount</v>
      </c>
    </row>
    <row r="859" spans="1:25" ht="15" customHeight="1" x14ac:dyDescent="0.25">
      <c r="A859" t="s">
        <v>2516</v>
      </c>
      <c r="B859" s="8">
        <v>44981</v>
      </c>
      <c r="C859" s="8">
        <v>44984</v>
      </c>
      <c r="D859" t="s">
        <v>20</v>
      </c>
      <c r="E859" t="s">
        <v>3051</v>
      </c>
      <c r="F859" t="s">
        <v>3078</v>
      </c>
      <c r="G859" t="s">
        <v>2518</v>
      </c>
      <c r="H859">
        <v>7067939725</v>
      </c>
      <c r="I859" t="s">
        <v>24</v>
      </c>
      <c r="J859" t="s">
        <v>51</v>
      </c>
      <c r="K859" t="s">
        <v>316</v>
      </c>
      <c r="L859" t="s">
        <v>108</v>
      </c>
      <c r="M859" t="s">
        <v>38</v>
      </c>
      <c r="N859" t="s">
        <v>303</v>
      </c>
      <c r="O859">
        <v>16</v>
      </c>
      <c r="P859">
        <v>37119.160000000003</v>
      </c>
      <c r="Q859">
        <v>10</v>
      </c>
      <c r="R859" s="39">
        <v>59390.66</v>
      </c>
      <c r="S859" s="39">
        <v>534515.9</v>
      </c>
      <c r="T859" s="39">
        <v>112289.91</v>
      </c>
      <c r="U859" t="str">
        <f t="shared" si="30"/>
        <v>Clothing</v>
      </c>
      <c r="V859">
        <f t="shared" si="31"/>
        <v>112289.91</v>
      </c>
      <c r="W859" t="str">
        <f>IF(Sales[[#This Row],[Quantity]]&gt;=15, "Large","Small")</f>
        <v>Large</v>
      </c>
      <c r="X859" t="str">
        <f>IF(Sales[[#This Row],[Quantity]]&gt;=15,"Large",IF(Sales[[#This Row],[Quantity]]=14,"Medium","Small"))</f>
        <v>Large</v>
      </c>
      <c r="Y859" t="str">
        <f>IF(AND(Sales[[#This Row],[Unit Price (₦)]]&gt;68000,Sales[[#This Row],[Quantity]]&gt;15),"Offer Discount", "No Discount")</f>
        <v>No Discount</v>
      </c>
    </row>
    <row r="860" spans="1:25" ht="15" customHeight="1" x14ac:dyDescent="0.25">
      <c r="A860" t="s">
        <v>1265</v>
      </c>
      <c r="B860" s="8">
        <v>44988</v>
      </c>
      <c r="C860" s="8">
        <v>44991</v>
      </c>
      <c r="D860" t="s">
        <v>20</v>
      </c>
      <c r="E860" t="s">
        <v>3068</v>
      </c>
      <c r="F860" t="s">
        <v>3057</v>
      </c>
      <c r="G860" t="s">
        <v>1267</v>
      </c>
      <c r="H860">
        <v>8154962012</v>
      </c>
      <c r="I860" t="s">
        <v>35</v>
      </c>
      <c r="J860" t="s">
        <v>69</v>
      </c>
      <c r="K860" t="s">
        <v>70</v>
      </c>
      <c r="L860" t="s">
        <v>85</v>
      </c>
      <c r="M860" t="s">
        <v>86</v>
      </c>
      <c r="N860" t="s">
        <v>238</v>
      </c>
      <c r="O860">
        <v>4</v>
      </c>
      <c r="P860">
        <v>151920.69</v>
      </c>
      <c r="Q860">
        <v>20</v>
      </c>
      <c r="R860" s="39">
        <v>121536.55</v>
      </c>
      <c r="S860" s="39">
        <v>486146.21</v>
      </c>
      <c r="T860" s="39">
        <v>21986.86</v>
      </c>
      <c r="U860" t="str">
        <f t="shared" si="30"/>
        <v>Furniture</v>
      </c>
      <c r="V860">
        <f t="shared" si="31"/>
        <v>21986.86</v>
      </c>
      <c r="W860" t="str">
        <f>IF(Sales[[#This Row],[Quantity]]&gt;=15, "Large","Small")</f>
        <v>Small</v>
      </c>
      <c r="X860" t="str">
        <f>IF(Sales[[#This Row],[Quantity]]&gt;=15,"Large",IF(Sales[[#This Row],[Quantity]]=14,"Medium","Small"))</f>
        <v>Small</v>
      </c>
      <c r="Y860" t="str">
        <f>IF(AND(Sales[[#This Row],[Unit Price (₦)]]&gt;68000,Sales[[#This Row],[Quantity]]&gt;15),"Offer Discount", "No Discount")</f>
        <v>No Discount</v>
      </c>
    </row>
    <row r="861" spans="1:25" ht="15" customHeight="1" x14ac:dyDescent="0.25">
      <c r="A861" t="s">
        <v>2654</v>
      </c>
      <c r="B861" s="8">
        <v>44988</v>
      </c>
      <c r="C861" s="8">
        <v>44991</v>
      </c>
      <c r="D861" t="s">
        <v>20</v>
      </c>
      <c r="E861" t="s">
        <v>3068</v>
      </c>
      <c r="F861" t="s">
        <v>3088</v>
      </c>
      <c r="G861" t="s">
        <v>2656</v>
      </c>
      <c r="H861">
        <v>9071702543</v>
      </c>
      <c r="I861" t="s">
        <v>43</v>
      </c>
      <c r="J861" t="s">
        <v>51</v>
      </c>
      <c r="K861" t="s">
        <v>223</v>
      </c>
      <c r="L861" t="s">
        <v>85</v>
      </c>
      <c r="M861" t="s">
        <v>114</v>
      </c>
      <c r="N861" t="s">
        <v>115</v>
      </c>
      <c r="O861">
        <v>1</v>
      </c>
      <c r="P861">
        <v>15744.17</v>
      </c>
      <c r="Q861">
        <v>10</v>
      </c>
      <c r="R861" s="39">
        <v>1574.42</v>
      </c>
      <c r="S861" s="39">
        <v>14169.75</v>
      </c>
      <c r="T861" s="39">
        <v>3831.2</v>
      </c>
      <c r="U861" t="str">
        <f t="shared" si="30"/>
        <v>Furniture</v>
      </c>
      <c r="V861">
        <f t="shared" si="31"/>
        <v>3831.2</v>
      </c>
      <c r="W861" t="str">
        <f>IF(Sales[[#This Row],[Quantity]]&gt;=15, "Large","Small")</f>
        <v>Small</v>
      </c>
      <c r="X861" t="str">
        <f>IF(Sales[[#This Row],[Quantity]]&gt;=15,"Large",IF(Sales[[#This Row],[Quantity]]=14,"Medium","Small"))</f>
        <v>Small</v>
      </c>
      <c r="Y861" t="str">
        <f>IF(AND(Sales[[#This Row],[Unit Price (₦)]]&gt;68000,Sales[[#This Row],[Quantity]]&gt;15),"Offer Discount", "No Discount")</f>
        <v>No Discount</v>
      </c>
    </row>
    <row r="862" spans="1:25" ht="15" customHeight="1" x14ac:dyDescent="0.25">
      <c r="A862" t="s">
        <v>1247</v>
      </c>
      <c r="B862" s="8">
        <v>44991</v>
      </c>
      <c r="C862" s="8">
        <v>44994</v>
      </c>
      <c r="D862" t="s">
        <v>20</v>
      </c>
      <c r="E862" t="s">
        <v>3050</v>
      </c>
      <c r="F862" t="s">
        <v>3052</v>
      </c>
      <c r="G862" t="s">
        <v>1249</v>
      </c>
      <c r="H862">
        <v>8169930106</v>
      </c>
      <c r="I862" t="s">
        <v>24</v>
      </c>
      <c r="J862" t="s">
        <v>51</v>
      </c>
      <c r="K862" t="s">
        <v>52</v>
      </c>
      <c r="L862" t="s">
        <v>63</v>
      </c>
      <c r="M862" t="s">
        <v>194</v>
      </c>
      <c r="N862" t="s">
        <v>257</v>
      </c>
      <c r="O862">
        <v>9</v>
      </c>
      <c r="P862">
        <v>16942.54</v>
      </c>
      <c r="Q862">
        <v>0</v>
      </c>
      <c r="R862" s="39">
        <v>0</v>
      </c>
      <c r="S862" s="39">
        <v>152482.85999999999</v>
      </c>
      <c r="T862" s="39">
        <v>-8463.16</v>
      </c>
      <c r="U862" t="str">
        <f t="shared" si="30"/>
        <v>Office Supplies</v>
      </c>
      <c r="V862">
        <f t="shared" si="31"/>
        <v>8463.16</v>
      </c>
      <c r="W862" t="str">
        <f>IF(Sales[[#This Row],[Quantity]]&gt;=15, "Large","Small")</f>
        <v>Small</v>
      </c>
      <c r="X862" t="str">
        <f>IF(Sales[[#This Row],[Quantity]]&gt;=15,"Large",IF(Sales[[#This Row],[Quantity]]=14,"Medium","Small"))</f>
        <v>Small</v>
      </c>
      <c r="Y862" t="str">
        <f>IF(AND(Sales[[#This Row],[Unit Price (₦)]]&gt;68000,Sales[[#This Row],[Quantity]]&gt;15),"Offer Discount", "No Discount")</f>
        <v>No Discount</v>
      </c>
    </row>
    <row r="863" spans="1:25" ht="15" customHeight="1" x14ac:dyDescent="0.25">
      <c r="A863" t="s">
        <v>116</v>
      </c>
      <c r="B863" s="8">
        <v>45007</v>
      </c>
      <c r="C863" s="8">
        <v>45009</v>
      </c>
      <c r="D863" t="s">
        <v>20</v>
      </c>
      <c r="E863" t="s">
        <v>3035</v>
      </c>
      <c r="F863" t="s">
        <v>3034</v>
      </c>
      <c r="G863" t="s">
        <v>118</v>
      </c>
      <c r="H863">
        <v>9016261415</v>
      </c>
      <c r="I863" t="s">
        <v>35</v>
      </c>
      <c r="J863" t="s">
        <v>69</v>
      </c>
      <c r="K863" t="s">
        <v>119</v>
      </c>
      <c r="L863" t="s">
        <v>96</v>
      </c>
      <c r="M863" t="s">
        <v>120</v>
      </c>
      <c r="N863" t="s">
        <v>121</v>
      </c>
      <c r="O863">
        <v>17</v>
      </c>
      <c r="P863">
        <v>222403</v>
      </c>
      <c r="Q863">
        <v>0</v>
      </c>
      <c r="R863" s="39">
        <v>0</v>
      </c>
      <c r="S863" s="39">
        <v>3780851</v>
      </c>
      <c r="T863" s="39">
        <v>-438095.72</v>
      </c>
      <c r="U863" t="str">
        <f t="shared" si="30"/>
        <v>Technology</v>
      </c>
      <c r="V863">
        <f t="shared" si="31"/>
        <v>438095.72</v>
      </c>
      <c r="W863" t="str">
        <f>IF(Sales[[#This Row],[Quantity]]&gt;=15, "Large","Small")</f>
        <v>Large</v>
      </c>
      <c r="X863" t="str">
        <f>IF(Sales[[#This Row],[Quantity]]&gt;=15,"Large",IF(Sales[[#This Row],[Quantity]]=14,"Medium","Small"))</f>
        <v>Large</v>
      </c>
      <c r="Y863" t="str">
        <f>IF(AND(Sales[[#This Row],[Unit Price (₦)]]&gt;68000,Sales[[#This Row],[Quantity]]&gt;15),"Offer Discount", "No Discount")</f>
        <v>Offer Discount</v>
      </c>
    </row>
    <row r="864" spans="1:25" ht="15" customHeight="1" x14ac:dyDescent="0.25">
      <c r="A864" t="s">
        <v>2579</v>
      </c>
      <c r="B864" s="8">
        <v>45008</v>
      </c>
      <c r="C864" s="8">
        <v>45011</v>
      </c>
      <c r="D864" t="s">
        <v>20</v>
      </c>
      <c r="E864" t="s">
        <v>3061</v>
      </c>
      <c r="F864" t="s">
        <v>3042</v>
      </c>
      <c r="G864" t="s">
        <v>2581</v>
      </c>
      <c r="H864">
        <v>9015039461</v>
      </c>
      <c r="I864" t="s">
        <v>43</v>
      </c>
      <c r="J864" t="s">
        <v>69</v>
      </c>
      <c r="K864" t="s">
        <v>227</v>
      </c>
      <c r="L864" t="s">
        <v>27</v>
      </c>
      <c r="M864" t="s">
        <v>79</v>
      </c>
      <c r="N864" t="s">
        <v>80</v>
      </c>
      <c r="O864">
        <v>6</v>
      </c>
      <c r="P864">
        <v>2467.16</v>
      </c>
      <c r="Q864">
        <v>0</v>
      </c>
      <c r="R864" s="39">
        <v>0</v>
      </c>
      <c r="S864" s="39">
        <v>14802.96</v>
      </c>
      <c r="T864" s="39">
        <v>-1673.15</v>
      </c>
      <c r="U864" t="str">
        <f t="shared" si="30"/>
        <v>Food &amp; Beverages</v>
      </c>
      <c r="V864">
        <f t="shared" si="31"/>
        <v>1673.15</v>
      </c>
      <c r="W864" t="str">
        <f>IF(Sales[[#This Row],[Quantity]]&gt;=15, "Large","Small")</f>
        <v>Small</v>
      </c>
      <c r="X864" t="str">
        <f>IF(Sales[[#This Row],[Quantity]]&gt;=15,"Large",IF(Sales[[#This Row],[Quantity]]=14,"Medium","Small"))</f>
        <v>Small</v>
      </c>
      <c r="Y864" t="str">
        <f>IF(AND(Sales[[#This Row],[Unit Price (₦)]]&gt;68000,Sales[[#This Row],[Quantity]]&gt;15),"Offer Discount", "No Discount")</f>
        <v>No Discount</v>
      </c>
    </row>
    <row r="865" spans="1:25" ht="15" customHeight="1" x14ac:dyDescent="0.25">
      <c r="A865" t="s">
        <v>330</v>
      </c>
      <c r="B865" s="8">
        <v>45010</v>
      </c>
      <c r="C865" s="8">
        <v>45012</v>
      </c>
      <c r="D865" t="s">
        <v>20</v>
      </c>
      <c r="E865" t="s">
        <v>3085</v>
      </c>
      <c r="F865" t="s">
        <v>3036</v>
      </c>
      <c r="G865" t="s">
        <v>332</v>
      </c>
      <c r="H865">
        <v>9072630140</v>
      </c>
      <c r="I865" t="s">
        <v>35</v>
      </c>
      <c r="J865" t="s">
        <v>69</v>
      </c>
      <c r="K865" t="s">
        <v>144</v>
      </c>
      <c r="L865" t="s">
        <v>96</v>
      </c>
      <c r="M865" t="s">
        <v>97</v>
      </c>
      <c r="N865" t="s">
        <v>230</v>
      </c>
      <c r="O865">
        <v>12</v>
      </c>
      <c r="P865">
        <v>29513.57</v>
      </c>
      <c r="Q865">
        <v>0</v>
      </c>
      <c r="R865" s="39">
        <v>0</v>
      </c>
      <c r="S865" s="39">
        <v>354162.84</v>
      </c>
      <c r="T865" s="39">
        <v>-33971.29</v>
      </c>
      <c r="U865" t="str">
        <f t="shared" si="30"/>
        <v>Technology</v>
      </c>
      <c r="V865">
        <f t="shared" si="31"/>
        <v>33971.29</v>
      </c>
      <c r="W865" t="str">
        <f>IF(Sales[[#This Row],[Quantity]]&gt;=15, "Large","Small")</f>
        <v>Small</v>
      </c>
      <c r="X865" t="str">
        <f>IF(Sales[[#This Row],[Quantity]]&gt;=15,"Large",IF(Sales[[#This Row],[Quantity]]=14,"Medium","Small"))</f>
        <v>Small</v>
      </c>
      <c r="Y865" t="str">
        <f>IF(AND(Sales[[#This Row],[Unit Price (₦)]]&gt;68000,Sales[[#This Row],[Quantity]]&gt;15),"Offer Discount", "No Discount")</f>
        <v>No Discount</v>
      </c>
    </row>
    <row r="866" spans="1:25" ht="15" customHeight="1" x14ac:dyDescent="0.25">
      <c r="A866" t="s">
        <v>1055</v>
      </c>
      <c r="B866" s="8">
        <v>45009</v>
      </c>
      <c r="C866" s="8">
        <v>45012</v>
      </c>
      <c r="D866" t="s">
        <v>20</v>
      </c>
      <c r="E866" t="s">
        <v>3065</v>
      </c>
      <c r="F866" t="s">
        <v>3034</v>
      </c>
      <c r="G866" t="s">
        <v>1057</v>
      </c>
      <c r="H866">
        <v>8144349848</v>
      </c>
      <c r="I866" t="s">
        <v>43</v>
      </c>
      <c r="J866" t="s">
        <v>61</v>
      </c>
      <c r="K866" t="s">
        <v>204</v>
      </c>
      <c r="L866" t="s">
        <v>85</v>
      </c>
      <c r="M866" t="s">
        <v>218</v>
      </c>
      <c r="N866" t="s">
        <v>1058</v>
      </c>
      <c r="O866">
        <v>7</v>
      </c>
      <c r="P866">
        <v>43565.919999999998</v>
      </c>
      <c r="Q866">
        <v>5</v>
      </c>
      <c r="R866" s="39">
        <v>15248.07</v>
      </c>
      <c r="S866" s="39">
        <v>289713.37</v>
      </c>
      <c r="T866" s="39">
        <v>101921.4</v>
      </c>
      <c r="U866" t="str">
        <f t="shared" si="30"/>
        <v>Furniture</v>
      </c>
      <c r="V866">
        <f t="shared" si="31"/>
        <v>101921.4</v>
      </c>
      <c r="W866" t="str">
        <f>IF(Sales[[#This Row],[Quantity]]&gt;=15, "Large","Small")</f>
        <v>Small</v>
      </c>
      <c r="X866" t="str">
        <f>IF(Sales[[#This Row],[Quantity]]&gt;=15,"Large",IF(Sales[[#This Row],[Quantity]]=14,"Medium","Small"))</f>
        <v>Small</v>
      </c>
      <c r="Y866" t="str">
        <f>IF(AND(Sales[[#This Row],[Unit Price (₦)]]&gt;68000,Sales[[#This Row],[Quantity]]&gt;15),"Offer Discount", "No Discount")</f>
        <v>No Discount</v>
      </c>
    </row>
    <row r="867" spans="1:25" ht="15" customHeight="1" x14ac:dyDescent="0.25">
      <c r="A867" t="s">
        <v>401</v>
      </c>
      <c r="B867" s="8">
        <v>45015</v>
      </c>
      <c r="C867" s="8">
        <v>45018</v>
      </c>
      <c r="D867" t="s">
        <v>20</v>
      </c>
      <c r="E867" t="s">
        <v>3048</v>
      </c>
      <c r="F867" t="s">
        <v>3050</v>
      </c>
      <c r="G867" t="s">
        <v>403</v>
      </c>
      <c r="H867">
        <v>8159555575</v>
      </c>
      <c r="I867" t="s">
        <v>24</v>
      </c>
      <c r="J867" t="s">
        <v>69</v>
      </c>
      <c r="K867" t="s">
        <v>144</v>
      </c>
      <c r="L867" t="s">
        <v>85</v>
      </c>
      <c r="M867" t="s">
        <v>243</v>
      </c>
      <c r="N867" t="s">
        <v>404</v>
      </c>
      <c r="O867">
        <v>5</v>
      </c>
      <c r="P867">
        <v>133109.21</v>
      </c>
      <c r="Q867">
        <v>5</v>
      </c>
      <c r="R867" s="39">
        <v>33277.300000000003</v>
      </c>
      <c r="S867" s="39">
        <v>632268.75</v>
      </c>
      <c r="T867" s="39">
        <v>-55840.26</v>
      </c>
      <c r="U867" t="str">
        <f t="shared" si="30"/>
        <v>Furniture</v>
      </c>
      <c r="V867">
        <f t="shared" si="31"/>
        <v>55840.26</v>
      </c>
      <c r="W867" t="str">
        <f>IF(Sales[[#This Row],[Quantity]]&gt;=15, "Large","Small")</f>
        <v>Small</v>
      </c>
      <c r="X867" t="str">
        <f>IF(Sales[[#This Row],[Quantity]]&gt;=15,"Large",IF(Sales[[#This Row],[Quantity]]=14,"Medium","Small"))</f>
        <v>Small</v>
      </c>
      <c r="Y867" t="str">
        <f>IF(AND(Sales[[#This Row],[Unit Price (₦)]]&gt;68000,Sales[[#This Row],[Quantity]]&gt;15),"Offer Discount", "No Discount")</f>
        <v>No Discount</v>
      </c>
    </row>
    <row r="868" spans="1:25" ht="15" customHeight="1" x14ac:dyDescent="0.25">
      <c r="A868" t="s">
        <v>2404</v>
      </c>
      <c r="B868" s="8">
        <v>45018</v>
      </c>
      <c r="C868" s="8">
        <v>45021</v>
      </c>
      <c r="D868" t="s">
        <v>20</v>
      </c>
      <c r="E868" t="s">
        <v>3037</v>
      </c>
      <c r="F868" t="s">
        <v>3071</v>
      </c>
      <c r="G868" t="s">
        <v>2406</v>
      </c>
      <c r="H868">
        <v>9026949960</v>
      </c>
      <c r="I868" t="s">
        <v>35</v>
      </c>
      <c r="J868" t="s">
        <v>51</v>
      </c>
      <c r="K868" t="s">
        <v>316</v>
      </c>
      <c r="L868" t="s">
        <v>27</v>
      </c>
      <c r="M868" t="s">
        <v>354</v>
      </c>
      <c r="N868" t="s">
        <v>625</v>
      </c>
      <c r="O868">
        <v>7</v>
      </c>
      <c r="P868">
        <v>6252.04</v>
      </c>
      <c r="Q868">
        <v>10</v>
      </c>
      <c r="R868" s="39">
        <v>4376.43</v>
      </c>
      <c r="S868" s="39">
        <v>39387.85</v>
      </c>
      <c r="T868" s="39">
        <v>-1616.79</v>
      </c>
      <c r="U868" t="str">
        <f t="shared" si="30"/>
        <v>Food &amp; Beverages</v>
      </c>
      <c r="V868">
        <f t="shared" si="31"/>
        <v>1616.79</v>
      </c>
      <c r="W868" t="str">
        <f>IF(Sales[[#This Row],[Quantity]]&gt;=15, "Large","Small")</f>
        <v>Small</v>
      </c>
      <c r="X868" t="str">
        <f>IF(Sales[[#This Row],[Quantity]]&gt;=15,"Large",IF(Sales[[#This Row],[Quantity]]=14,"Medium","Small"))</f>
        <v>Small</v>
      </c>
      <c r="Y868" t="str">
        <f>IF(AND(Sales[[#This Row],[Unit Price (₦)]]&gt;68000,Sales[[#This Row],[Quantity]]&gt;15),"Offer Discount", "No Discount")</f>
        <v>No Discount</v>
      </c>
    </row>
    <row r="869" spans="1:25" ht="15" customHeight="1" x14ac:dyDescent="0.25">
      <c r="A869" t="s">
        <v>872</v>
      </c>
      <c r="B869" s="8">
        <v>45019</v>
      </c>
      <c r="C869" s="8">
        <v>45022</v>
      </c>
      <c r="D869" t="s">
        <v>20</v>
      </c>
      <c r="E869" t="s">
        <v>3051</v>
      </c>
      <c r="F869" t="s">
        <v>3079</v>
      </c>
      <c r="G869" t="s">
        <v>874</v>
      </c>
      <c r="H869">
        <v>7035371458</v>
      </c>
      <c r="I869" t="s">
        <v>35</v>
      </c>
      <c r="J869" t="s">
        <v>51</v>
      </c>
      <c r="K869" t="s">
        <v>52</v>
      </c>
      <c r="L869" t="s">
        <v>27</v>
      </c>
      <c r="M869" t="s">
        <v>45</v>
      </c>
      <c r="N869" t="s">
        <v>875</v>
      </c>
      <c r="O869">
        <v>16</v>
      </c>
      <c r="P869">
        <v>6854.35</v>
      </c>
      <c r="Q869">
        <v>0</v>
      </c>
      <c r="R869" s="39">
        <v>0</v>
      </c>
      <c r="S869" s="39">
        <v>109669.6</v>
      </c>
      <c r="T869" s="39">
        <v>40559.769999999997</v>
      </c>
      <c r="U869" t="str">
        <f t="shared" si="30"/>
        <v>Food &amp; Beverages</v>
      </c>
      <c r="V869">
        <f t="shared" si="31"/>
        <v>40559.769999999997</v>
      </c>
      <c r="W869" t="str">
        <f>IF(Sales[[#This Row],[Quantity]]&gt;=15, "Large","Small")</f>
        <v>Large</v>
      </c>
      <c r="X869" t="str">
        <f>IF(Sales[[#This Row],[Quantity]]&gt;=15,"Large",IF(Sales[[#This Row],[Quantity]]=14,"Medium","Small"))</f>
        <v>Large</v>
      </c>
      <c r="Y869" t="str">
        <f>IF(AND(Sales[[#This Row],[Unit Price (₦)]]&gt;68000,Sales[[#This Row],[Quantity]]&gt;15),"Offer Discount", "No Discount")</f>
        <v>No Discount</v>
      </c>
    </row>
    <row r="870" spans="1:25" ht="15" customHeight="1" x14ac:dyDescent="0.25">
      <c r="A870" t="s">
        <v>2908</v>
      </c>
      <c r="B870" s="8">
        <v>45024</v>
      </c>
      <c r="C870" s="8">
        <v>45026</v>
      </c>
      <c r="D870" t="s">
        <v>20</v>
      </c>
      <c r="E870" t="s">
        <v>3058</v>
      </c>
      <c r="F870" t="s">
        <v>3075</v>
      </c>
      <c r="G870" t="s">
        <v>2909</v>
      </c>
      <c r="H870">
        <v>7031442518</v>
      </c>
      <c r="I870" t="s">
        <v>24</v>
      </c>
      <c r="J870" t="s">
        <v>51</v>
      </c>
      <c r="K870" t="s">
        <v>52</v>
      </c>
      <c r="L870" t="s">
        <v>27</v>
      </c>
      <c r="M870" t="s">
        <v>354</v>
      </c>
      <c r="N870" t="s">
        <v>433</v>
      </c>
      <c r="O870">
        <v>6</v>
      </c>
      <c r="P870">
        <v>1799.24</v>
      </c>
      <c r="Q870">
        <v>5</v>
      </c>
      <c r="R870" s="39">
        <v>539.77</v>
      </c>
      <c r="S870" s="39">
        <v>10255.67</v>
      </c>
      <c r="T870" s="39">
        <v>2194.11</v>
      </c>
      <c r="U870" t="str">
        <f t="shared" si="30"/>
        <v>Food &amp; Beverages</v>
      </c>
      <c r="V870">
        <f t="shared" si="31"/>
        <v>2194.11</v>
      </c>
      <c r="W870" t="str">
        <f>IF(Sales[[#This Row],[Quantity]]&gt;=15, "Large","Small")</f>
        <v>Small</v>
      </c>
      <c r="X870" t="str">
        <f>IF(Sales[[#This Row],[Quantity]]&gt;=15,"Large",IF(Sales[[#This Row],[Quantity]]=14,"Medium","Small"))</f>
        <v>Small</v>
      </c>
      <c r="Y870" t="str">
        <f>IF(AND(Sales[[#This Row],[Unit Price (₦)]]&gt;68000,Sales[[#This Row],[Quantity]]&gt;15),"Offer Discount", "No Discount")</f>
        <v>No Discount</v>
      </c>
    </row>
    <row r="871" spans="1:25" ht="15" customHeight="1" x14ac:dyDescent="0.25">
      <c r="A871" t="s">
        <v>1947</v>
      </c>
      <c r="B871" s="8">
        <v>45027</v>
      </c>
      <c r="C871" s="8">
        <v>45030</v>
      </c>
      <c r="D871" t="s">
        <v>20</v>
      </c>
      <c r="E871" t="s">
        <v>3048</v>
      </c>
      <c r="F871" t="s">
        <v>3036</v>
      </c>
      <c r="G871" t="s">
        <v>3126</v>
      </c>
      <c r="H871" t="s">
        <v>1948</v>
      </c>
      <c r="I871" t="s">
        <v>24</v>
      </c>
      <c r="J871" t="s">
        <v>51</v>
      </c>
      <c r="K871" t="s">
        <v>227</v>
      </c>
      <c r="L871" t="s">
        <v>85</v>
      </c>
      <c r="M871" t="s">
        <v>218</v>
      </c>
      <c r="N871" t="s">
        <v>219</v>
      </c>
      <c r="O871">
        <v>8</v>
      </c>
      <c r="P871">
        <v>114475.53</v>
      </c>
      <c r="Q871">
        <v>15</v>
      </c>
      <c r="R871" s="39">
        <v>137370.64000000001</v>
      </c>
      <c r="S871" s="39">
        <v>778433.6</v>
      </c>
      <c r="T871" s="39">
        <v>-30969</v>
      </c>
      <c r="U871" t="str">
        <f t="shared" si="30"/>
        <v>Furniture</v>
      </c>
      <c r="V871">
        <f t="shared" si="31"/>
        <v>30969</v>
      </c>
      <c r="W871" t="str">
        <f>IF(Sales[[#This Row],[Quantity]]&gt;=15, "Large","Small")</f>
        <v>Small</v>
      </c>
      <c r="X871" t="str">
        <f>IF(Sales[[#This Row],[Quantity]]&gt;=15,"Large",IF(Sales[[#This Row],[Quantity]]=14,"Medium","Small"))</f>
        <v>Small</v>
      </c>
      <c r="Y871" t="str">
        <f>IF(AND(Sales[[#This Row],[Unit Price (₦)]]&gt;68000,Sales[[#This Row],[Quantity]]&gt;15),"Offer Discount", "No Discount")</f>
        <v>No Discount</v>
      </c>
    </row>
    <row r="872" spans="1:25" ht="15" customHeight="1" x14ac:dyDescent="0.25">
      <c r="A872" t="s">
        <v>1353</v>
      </c>
      <c r="B872" s="8">
        <v>45033</v>
      </c>
      <c r="C872" s="8">
        <v>45035</v>
      </c>
      <c r="D872" t="s">
        <v>20</v>
      </c>
      <c r="E872" t="s">
        <v>3041</v>
      </c>
      <c r="F872" t="s">
        <v>3043</v>
      </c>
      <c r="G872" t="s">
        <v>1355</v>
      </c>
      <c r="H872">
        <v>8137922203</v>
      </c>
      <c r="I872" t="s">
        <v>35</v>
      </c>
      <c r="J872" t="s">
        <v>51</v>
      </c>
      <c r="K872" t="s">
        <v>316</v>
      </c>
      <c r="L872" t="s">
        <v>85</v>
      </c>
      <c r="M872" t="s">
        <v>486</v>
      </c>
      <c r="N872" t="s">
        <v>1193</v>
      </c>
      <c r="O872">
        <v>19</v>
      </c>
      <c r="P872">
        <v>20647.11</v>
      </c>
      <c r="Q872">
        <v>20</v>
      </c>
      <c r="R872" s="39">
        <v>78459.02</v>
      </c>
      <c r="S872" s="39">
        <v>313836.07</v>
      </c>
      <c r="T872" s="39">
        <f>T871</f>
        <v>-30969</v>
      </c>
      <c r="U872" t="str">
        <f t="shared" si="30"/>
        <v>Furniture</v>
      </c>
      <c r="V872">
        <f t="shared" si="31"/>
        <v>30969</v>
      </c>
      <c r="W872" t="str">
        <f>IF(Sales[[#This Row],[Quantity]]&gt;=15, "Large","Small")</f>
        <v>Large</v>
      </c>
      <c r="X872" t="str">
        <f>IF(Sales[[#This Row],[Quantity]]&gt;=15,"Large",IF(Sales[[#This Row],[Quantity]]=14,"Medium","Small"))</f>
        <v>Large</v>
      </c>
      <c r="Y872" t="str">
        <f>IF(AND(Sales[[#This Row],[Unit Price (₦)]]&gt;68000,Sales[[#This Row],[Quantity]]&gt;15),"Offer Discount", "No Discount")</f>
        <v>No Discount</v>
      </c>
    </row>
    <row r="873" spans="1:25" ht="15" customHeight="1" x14ac:dyDescent="0.25">
      <c r="A873" t="s">
        <v>1167</v>
      </c>
      <c r="B873" s="8">
        <v>45045</v>
      </c>
      <c r="C873" s="8">
        <v>45048</v>
      </c>
      <c r="D873" t="s">
        <v>20</v>
      </c>
      <c r="E873" t="s">
        <v>3087</v>
      </c>
      <c r="F873" t="s">
        <v>3040</v>
      </c>
      <c r="G873" t="s">
        <v>1169</v>
      </c>
      <c r="H873">
        <v>7061494355</v>
      </c>
      <c r="I873" t="s">
        <v>24</v>
      </c>
      <c r="J873" t="s">
        <v>51</v>
      </c>
      <c r="K873" t="s">
        <v>223</v>
      </c>
      <c r="L873" t="s">
        <v>27</v>
      </c>
      <c r="M873" t="s">
        <v>45</v>
      </c>
      <c r="N873" t="s">
        <v>523</v>
      </c>
      <c r="O873">
        <v>13</v>
      </c>
      <c r="P873">
        <v>1468.15</v>
      </c>
      <c r="Q873">
        <v>0</v>
      </c>
      <c r="R873" s="39">
        <v>0</v>
      </c>
      <c r="S873" s="39">
        <v>19085.95</v>
      </c>
      <c r="T873" s="39">
        <v>-1857.5</v>
      </c>
      <c r="U873" t="str">
        <f t="shared" si="30"/>
        <v>Food &amp; Beverages</v>
      </c>
      <c r="V873">
        <f t="shared" si="31"/>
        <v>1857.5</v>
      </c>
      <c r="W873" t="str">
        <f>IF(Sales[[#This Row],[Quantity]]&gt;=15, "Large","Small")</f>
        <v>Small</v>
      </c>
      <c r="X873" t="str">
        <f>IF(Sales[[#This Row],[Quantity]]&gt;=15,"Large",IF(Sales[[#This Row],[Quantity]]=14,"Medium","Small"))</f>
        <v>Small</v>
      </c>
      <c r="Y873" t="str">
        <f>IF(AND(Sales[[#This Row],[Unit Price (₦)]]&gt;68000,Sales[[#This Row],[Quantity]]&gt;15),"Offer Discount", "No Discount")</f>
        <v>No Discount</v>
      </c>
    </row>
    <row r="874" spans="1:25" ht="15" customHeight="1" x14ac:dyDescent="0.25">
      <c r="A874" t="s">
        <v>128</v>
      </c>
      <c r="B874" s="8">
        <v>45050</v>
      </c>
      <c r="C874" s="8">
        <v>45053</v>
      </c>
      <c r="D874" t="s">
        <v>20</v>
      </c>
      <c r="E874" t="s">
        <v>3058</v>
      </c>
      <c r="F874" t="s">
        <v>3054</v>
      </c>
      <c r="G874" t="s">
        <v>130</v>
      </c>
      <c r="H874">
        <v>8146304573</v>
      </c>
      <c r="I874" t="s">
        <v>24</v>
      </c>
      <c r="J874" t="s">
        <v>51</v>
      </c>
      <c r="K874" t="s">
        <v>131</v>
      </c>
      <c r="L874" t="s">
        <v>96</v>
      </c>
      <c r="M874" t="s">
        <v>120</v>
      </c>
      <c r="N874" t="s">
        <v>133</v>
      </c>
      <c r="O874">
        <v>19</v>
      </c>
      <c r="P874">
        <v>285204.28000000003</v>
      </c>
      <c r="Q874">
        <v>0</v>
      </c>
      <c r="R874" s="39">
        <v>0</v>
      </c>
      <c r="S874" s="39">
        <v>5418881.3200000003</v>
      </c>
      <c r="T874" s="39">
        <v>-574637.51</v>
      </c>
      <c r="U874" t="str">
        <f t="shared" si="30"/>
        <v>Technology</v>
      </c>
      <c r="V874">
        <f t="shared" si="31"/>
        <v>574637.51</v>
      </c>
      <c r="W874" t="str">
        <f>IF(Sales[[#This Row],[Quantity]]&gt;=15, "Large","Small")</f>
        <v>Large</v>
      </c>
      <c r="X874" t="str">
        <f>IF(Sales[[#This Row],[Quantity]]&gt;=15,"Large",IF(Sales[[#This Row],[Quantity]]=14,"Medium","Small"))</f>
        <v>Large</v>
      </c>
      <c r="Y874" t="str">
        <f>IF(AND(Sales[[#This Row],[Unit Price (₦)]]&gt;68000,Sales[[#This Row],[Quantity]]&gt;15),"Offer Discount", "No Discount")</f>
        <v>Offer Discount</v>
      </c>
    </row>
    <row r="875" spans="1:25" ht="15" customHeight="1" x14ac:dyDescent="0.25">
      <c r="A875" t="s">
        <v>1123</v>
      </c>
      <c r="B875" s="8">
        <v>45051</v>
      </c>
      <c r="C875" s="8">
        <v>45054</v>
      </c>
      <c r="D875" t="s">
        <v>20</v>
      </c>
      <c r="E875" t="s">
        <v>3044</v>
      </c>
      <c r="F875" t="s">
        <v>3069</v>
      </c>
      <c r="G875" t="s">
        <v>1125</v>
      </c>
      <c r="H875">
        <v>8139792431</v>
      </c>
      <c r="I875" t="s">
        <v>35</v>
      </c>
      <c r="J875" t="s">
        <v>69</v>
      </c>
      <c r="K875" t="s">
        <v>119</v>
      </c>
      <c r="L875" t="s">
        <v>108</v>
      </c>
      <c r="M875" t="s">
        <v>189</v>
      </c>
      <c r="N875" t="s">
        <v>190</v>
      </c>
      <c r="O875">
        <v>11</v>
      </c>
      <c r="P875">
        <v>28360.69</v>
      </c>
      <c r="Q875">
        <v>15</v>
      </c>
      <c r="R875" s="39">
        <v>46795.14</v>
      </c>
      <c r="S875" s="39">
        <v>265172.45</v>
      </c>
      <c r="T875" s="39">
        <v>62194.17</v>
      </c>
      <c r="U875" t="str">
        <f t="shared" si="30"/>
        <v>Clothing</v>
      </c>
      <c r="V875">
        <f t="shared" si="31"/>
        <v>62194.17</v>
      </c>
      <c r="W875" t="str">
        <f>IF(Sales[[#This Row],[Quantity]]&gt;=15, "Large","Small")</f>
        <v>Small</v>
      </c>
      <c r="X875" t="str">
        <f>IF(Sales[[#This Row],[Quantity]]&gt;=15,"Large",IF(Sales[[#This Row],[Quantity]]=14,"Medium","Small"))</f>
        <v>Small</v>
      </c>
      <c r="Y875" t="str">
        <f>IF(AND(Sales[[#This Row],[Unit Price (₦)]]&gt;68000,Sales[[#This Row],[Quantity]]&gt;15),"Offer Discount", "No Discount")</f>
        <v>No Discount</v>
      </c>
    </row>
    <row r="876" spans="1:25" ht="15" customHeight="1" x14ac:dyDescent="0.25">
      <c r="A876" t="s">
        <v>449</v>
      </c>
      <c r="B876" s="8">
        <v>45054</v>
      </c>
      <c r="C876" s="8">
        <v>45057</v>
      </c>
      <c r="D876" t="s">
        <v>20</v>
      </c>
      <c r="E876" t="s">
        <v>3065</v>
      </c>
      <c r="F876" t="s">
        <v>3069</v>
      </c>
      <c r="G876" t="s">
        <v>451</v>
      </c>
      <c r="H876">
        <v>8157049927</v>
      </c>
      <c r="I876" t="s">
        <v>35</v>
      </c>
      <c r="J876" t="s">
        <v>51</v>
      </c>
      <c r="K876" t="s">
        <v>3127</v>
      </c>
      <c r="L876" t="s">
        <v>96</v>
      </c>
      <c r="M876" t="s">
        <v>254</v>
      </c>
      <c r="N876" t="s">
        <v>452</v>
      </c>
      <c r="O876">
        <v>17</v>
      </c>
      <c r="P876">
        <v>235687.55</v>
      </c>
      <c r="Q876">
        <v>25</v>
      </c>
      <c r="R876" s="39">
        <v>1001672.09</v>
      </c>
      <c r="S876" s="39">
        <v>3005016.26</v>
      </c>
      <c r="T876" s="39">
        <v>-414089.49</v>
      </c>
      <c r="U876" t="str">
        <f t="shared" si="30"/>
        <v>Technology</v>
      </c>
      <c r="V876">
        <f t="shared" si="31"/>
        <v>414089.49</v>
      </c>
      <c r="W876" t="str">
        <f>IF(Sales[[#This Row],[Quantity]]&gt;=15, "Large","Small")</f>
        <v>Large</v>
      </c>
      <c r="X876" t="str">
        <f>IF(Sales[[#This Row],[Quantity]]&gt;=15,"Large",IF(Sales[[#This Row],[Quantity]]=14,"Medium","Small"))</f>
        <v>Large</v>
      </c>
      <c r="Y876" t="str">
        <f>IF(AND(Sales[[#This Row],[Unit Price (₦)]]&gt;68000,Sales[[#This Row],[Quantity]]&gt;15),"Offer Discount", "No Discount")</f>
        <v>Offer Discount</v>
      </c>
    </row>
    <row r="877" spans="1:25" ht="15" customHeight="1" x14ac:dyDescent="0.25">
      <c r="A877" t="s">
        <v>2761</v>
      </c>
      <c r="B877" s="8">
        <v>45060</v>
      </c>
      <c r="C877" s="8">
        <v>45062</v>
      </c>
      <c r="D877" t="s">
        <v>20</v>
      </c>
      <c r="E877" t="s">
        <v>3095</v>
      </c>
      <c r="F877" t="s">
        <v>3062</v>
      </c>
      <c r="G877" t="s">
        <v>2762</v>
      </c>
      <c r="H877">
        <v>9057322454</v>
      </c>
      <c r="I877" t="s">
        <v>35</v>
      </c>
      <c r="J877" t="s">
        <v>69</v>
      </c>
      <c r="K877" t="s">
        <v>70</v>
      </c>
      <c r="L877" t="s">
        <v>96</v>
      </c>
      <c r="M877" t="s">
        <v>120</v>
      </c>
      <c r="N877" t="s">
        <v>1307</v>
      </c>
      <c r="O877">
        <v>1</v>
      </c>
      <c r="P877">
        <v>50804.959999999999</v>
      </c>
      <c r="Q877">
        <v>0</v>
      </c>
      <c r="R877" s="39">
        <v>0</v>
      </c>
      <c r="S877" s="39">
        <v>50804.959999999999</v>
      </c>
      <c r="T877" s="39">
        <v>8851.36</v>
      </c>
      <c r="U877" t="str">
        <f t="shared" si="30"/>
        <v>Technology</v>
      </c>
      <c r="V877">
        <f t="shared" si="31"/>
        <v>8851.36</v>
      </c>
      <c r="W877" t="str">
        <f>IF(Sales[[#This Row],[Quantity]]&gt;=15, "Large","Small")</f>
        <v>Small</v>
      </c>
      <c r="X877" t="str">
        <f>IF(Sales[[#This Row],[Quantity]]&gt;=15,"Large",IF(Sales[[#This Row],[Quantity]]=14,"Medium","Small"))</f>
        <v>Small</v>
      </c>
      <c r="Y877" t="str">
        <f>IF(AND(Sales[[#This Row],[Unit Price (₦)]]&gt;68000,Sales[[#This Row],[Quantity]]&gt;15),"Offer Discount", "No Discount")</f>
        <v>No Discount</v>
      </c>
    </row>
    <row r="878" spans="1:25" ht="15" customHeight="1" x14ac:dyDescent="0.25">
      <c r="A878" t="s">
        <v>2838</v>
      </c>
      <c r="B878" s="8">
        <v>45062</v>
      </c>
      <c r="C878" s="8">
        <v>45064</v>
      </c>
      <c r="D878" t="s">
        <v>20</v>
      </c>
      <c r="E878" t="s">
        <v>3089</v>
      </c>
      <c r="F878" t="s">
        <v>3075</v>
      </c>
      <c r="G878" t="s">
        <v>2839</v>
      </c>
      <c r="H878">
        <v>8101328330</v>
      </c>
      <c r="I878" t="s">
        <v>43</v>
      </c>
      <c r="J878" t="s">
        <v>25</v>
      </c>
      <c r="K878" t="s">
        <v>126</v>
      </c>
      <c r="L878" t="s">
        <v>63</v>
      </c>
      <c r="M878" t="s">
        <v>194</v>
      </c>
      <c r="N878" t="s">
        <v>195</v>
      </c>
      <c r="O878">
        <v>11</v>
      </c>
      <c r="P878">
        <v>10783.29</v>
      </c>
      <c r="Q878">
        <v>0</v>
      </c>
      <c r="R878" s="39">
        <v>0</v>
      </c>
      <c r="S878" s="39">
        <v>118616.19</v>
      </c>
      <c r="T878" s="39">
        <v>16441.57</v>
      </c>
      <c r="U878" t="str">
        <f t="shared" si="30"/>
        <v>Office Supplies</v>
      </c>
      <c r="V878">
        <f t="shared" si="31"/>
        <v>16441.57</v>
      </c>
      <c r="W878" t="str">
        <f>IF(Sales[[#This Row],[Quantity]]&gt;=15, "Large","Small")</f>
        <v>Small</v>
      </c>
      <c r="X878" t="str">
        <f>IF(Sales[[#This Row],[Quantity]]&gt;=15,"Large",IF(Sales[[#This Row],[Quantity]]=14,"Medium","Small"))</f>
        <v>Small</v>
      </c>
      <c r="Y878" t="str">
        <f>IF(AND(Sales[[#This Row],[Unit Price (₦)]]&gt;68000,Sales[[#This Row],[Quantity]]&gt;15),"Offer Discount", "No Discount")</f>
        <v>No Discount</v>
      </c>
    </row>
    <row r="879" spans="1:25" ht="15" customHeight="1" x14ac:dyDescent="0.25">
      <c r="A879" t="s">
        <v>19</v>
      </c>
      <c r="B879" s="8">
        <v>45063</v>
      </c>
      <c r="C879" s="8">
        <v>45065</v>
      </c>
      <c r="D879" t="s">
        <v>20</v>
      </c>
      <c r="E879" t="s">
        <v>3033</v>
      </c>
      <c r="F879" t="s">
        <v>3034</v>
      </c>
      <c r="G879" t="s">
        <v>22</v>
      </c>
      <c r="H879" t="s">
        <v>23</v>
      </c>
      <c r="I879" t="s">
        <v>24</v>
      </c>
      <c r="J879" t="s">
        <v>25</v>
      </c>
      <c r="K879" t="s">
        <v>26</v>
      </c>
      <c r="L879" t="s">
        <v>27</v>
      </c>
      <c r="M879" t="s">
        <v>28</v>
      </c>
      <c r="N879" t="s">
        <v>29</v>
      </c>
      <c r="O879">
        <v>7</v>
      </c>
      <c r="P879">
        <v>529.44000000000005</v>
      </c>
      <c r="Q879">
        <v>5</v>
      </c>
      <c r="R879" s="39">
        <v>185.3</v>
      </c>
      <c r="S879" s="39">
        <v>3520.78</v>
      </c>
      <c r="T879" s="39">
        <v>539.42999999999995</v>
      </c>
      <c r="U879" t="str">
        <f t="shared" si="30"/>
        <v>Food &amp; Beverages</v>
      </c>
      <c r="V879">
        <f t="shared" si="31"/>
        <v>539.42999999999995</v>
      </c>
      <c r="W879" t="str">
        <f>IF(Sales[[#This Row],[Quantity]]&gt;=15, "Large","Small")</f>
        <v>Small</v>
      </c>
      <c r="X879" t="str">
        <f>IF(Sales[[#This Row],[Quantity]]&gt;=15,"Large",IF(Sales[[#This Row],[Quantity]]=14,"Medium","Small"))</f>
        <v>Small</v>
      </c>
      <c r="Y879" t="str">
        <f>IF(AND(Sales[[#This Row],[Unit Price (₦)]]&gt;68000,Sales[[#This Row],[Quantity]]&gt;15),"Offer Discount", "No Discount")</f>
        <v>No Discount</v>
      </c>
    </row>
    <row r="880" spans="1:25" ht="15" customHeight="1" x14ac:dyDescent="0.25">
      <c r="A880" t="s">
        <v>2602</v>
      </c>
      <c r="B880" s="8">
        <v>45070</v>
      </c>
      <c r="C880" s="8">
        <v>45069</v>
      </c>
      <c r="D880" t="s">
        <v>20</v>
      </c>
      <c r="E880" t="s">
        <v>3068</v>
      </c>
      <c r="F880" t="s">
        <v>3078</v>
      </c>
      <c r="G880" t="s">
        <v>2603</v>
      </c>
      <c r="H880">
        <v>8165378650</v>
      </c>
      <c r="I880" t="s">
        <v>24</v>
      </c>
      <c r="J880" t="s">
        <v>61</v>
      </c>
      <c r="K880" t="s">
        <v>84</v>
      </c>
      <c r="L880" t="s">
        <v>85</v>
      </c>
      <c r="M880" t="s">
        <v>218</v>
      </c>
      <c r="N880" t="s">
        <v>1058</v>
      </c>
      <c r="O880">
        <v>14</v>
      </c>
      <c r="P880">
        <v>12348.8</v>
      </c>
      <c r="Q880">
        <v>0</v>
      </c>
      <c r="R880" s="39">
        <v>0</v>
      </c>
      <c r="S880" s="39">
        <v>172883.20000000001</v>
      </c>
      <c r="T880" s="39">
        <v>12305.65</v>
      </c>
      <c r="U880" t="str">
        <f t="shared" si="30"/>
        <v>Furniture</v>
      </c>
      <c r="V880">
        <f t="shared" si="31"/>
        <v>12305.65</v>
      </c>
      <c r="W880" t="str">
        <f>IF(Sales[[#This Row],[Quantity]]&gt;=15, "Large","Small")</f>
        <v>Small</v>
      </c>
      <c r="X880" t="str">
        <f>IF(Sales[[#This Row],[Quantity]]&gt;=15,"Large",IF(Sales[[#This Row],[Quantity]]=14,"Medium","Small"))</f>
        <v>Medium</v>
      </c>
      <c r="Y880" t="str">
        <f>IF(AND(Sales[[#This Row],[Unit Price (₦)]]&gt;68000,Sales[[#This Row],[Quantity]]&gt;15),"Offer Discount", "No Discount")</f>
        <v>No Discount</v>
      </c>
    </row>
    <row r="881" spans="1:25" ht="15" customHeight="1" x14ac:dyDescent="0.25">
      <c r="A881" t="s">
        <v>1308</v>
      </c>
      <c r="B881" s="8">
        <v>45077</v>
      </c>
      <c r="C881" s="8">
        <v>45079</v>
      </c>
      <c r="D881" t="s">
        <v>20</v>
      </c>
      <c r="E881" t="s">
        <v>3063</v>
      </c>
      <c r="F881" t="s">
        <v>3046</v>
      </c>
      <c r="G881" t="s">
        <v>1310</v>
      </c>
      <c r="H881">
        <v>8034637715</v>
      </c>
      <c r="I881" t="s">
        <v>24</v>
      </c>
      <c r="J881" t="s">
        <v>51</v>
      </c>
      <c r="K881" t="s">
        <v>1311</v>
      </c>
      <c r="L881" t="s">
        <v>27</v>
      </c>
      <c r="M881" t="s">
        <v>79</v>
      </c>
      <c r="N881" t="s">
        <v>145</v>
      </c>
      <c r="O881">
        <v>20</v>
      </c>
      <c r="P881">
        <v>965.18</v>
      </c>
      <c r="Q881">
        <v>0</v>
      </c>
      <c r="R881" s="39">
        <v>0</v>
      </c>
      <c r="S881" s="39">
        <v>19303.599999999999</v>
      </c>
      <c r="T881" s="39">
        <v>1458.87</v>
      </c>
      <c r="U881" t="str">
        <f t="shared" si="30"/>
        <v>Food &amp; Beverages</v>
      </c>
      <c r="V881">
        <f t="shared" si="31"/>
        <v>1458.87</v>
      </c>
      <c r="W881" t="str">
        <f>IF(Sales[[#This Row],[Quantity]]&gt;=15, "Large","Small")</f>
        <v>Large</v>
      </c>
      <c r="X881" t="str">
        <f>IF(Sales[[#This Row],[Quantity]]&gt;=15,"Large",IF(Sales[[#This Row],[Quantity]]=14,"Medium","Small"))</f>
        <v>Large</v>
      </c>
      <c r="Y881" t="str">
        <f>IF(AND(Sales[[#This Row],[Unit Price (₦)]]&gt;68000,Sales[[#This Row],[Quantity]]&gt;15),"Offer Discount", "No Discount")</f>
        <v>No Discount</v>
      </c>
    </row>
    <row r="882" spans="1:25" ht="15" customHeight="1" x14ac:dyDescent="0.25">
      <c r="A882" t="s">
        <v>373</v>
      </c>
      <c r="B882" s="8">
        <v>45084</v>
      </c>
      <c r="C882" s="8">
        <v>45087</v>
      </c>
      <c r="D882" t="s">
        <v>20</v>
      </c>
      <c r="E882" t="s">
        <v>3084</v>
      </c>
      <c r="F882" t="s">
        <v>3069</v>
      </c>
      <c r="G882" t="s">
        <v>375</v>
      </c>
      <c r="H882">
        <v>8062530497</v>
      </c>
      <c r="I882" t="s">
        <v>43</v>
      </c>
      <c r="J882" t="s">
        <v>25</v>
      </c>
      <c r="K882" t="s">
        <v>44</v>
      </c>
      <c r="L882" t="s">
        <v>96</v>
      </c>
      <c r="M882" t="s">
        <v>120</v>
      </c>
      <c r="N882" t="s">
        <v>133</v>
      </c>
      <c r="O882">
        <v>12</v>
      </c>
      <c r="P882">
        <v>57005.53</v>
      </c>
      <c r="Q882">
        <v>0</v>
      </c>
      <c r="R882" s="39">
        <v>0</v>
      </c>
      <c r="S882" s="39">
        <v>684066.36</v>
      </c>
      <c r="T882" s="39">
        <v>125746.75</v>
      </c>
      <c r="U882" t="str">
        <f t="shared" si="30"/>
        <v>Technology</v>
      </c>
      <c r="V882">
        <f t="shared" si="31"/>
        <v>125746.75</v>
      </c>
      <c r="W882" t="str">
        <f>IF(Sales[[#This Row],[Quantity]]&gt;=15, "Large","Small")</f>
        <v>Small</v>
      </c>
      <c r="X882" t="str">
        <f>IF(Sales[[#This Row],[Quantity]]&gt;=15,"Large",IF(Sales[[#This Row],[Quantity]]=14,"Medium","Small"))</f>
        <v>Small</v>
      </c>
      <c r="Y882" t="str">
        <f>IF(AND(Sales[[#This Row],[Unit Price (₦)]]&gt;68000,Sales[[#This Row],[Quantity]]&gt;15),"Offer Discount", "No Discount")</f>
        <v>No Discount</v>
      </c>
    </row>
    <row r="883" spans="1:25" ht="15" customHeight="1" x14ac:dyDescent="0.25">
      <c r="A883" t="s">
        <v>2622</v>
      </c>
      <c r="B883" s="8">
        <v>45095</v>
      </c>
      <c r="C883" s="8">
        <v>45098</v>
      </c>
      <c r="D883" t="s">
        <v>20</v>
      </c>
      <c r="E883" t="s">
        <v>3056</v>
      </c>
      <c r="F883" t="s">
        <v>3040</v>
      </c>
      <c r="G883" t="s">
        <v>2624</v>
      </c>
      <c r="H883">
        <v>8141483477</v>
      </c>
      <c r="I883" t="s">
        <v>35</v>
      </c>
      <c r="J883" t="s">
        <v>51</v>
      </c>
      <c r="K883" t="s">
        <v>223</v>
      </c>
      <c r="L883" t="s">
        <v>108</v>
      </c>
      <c r="M883" t="s">
        <v>189</v>
      </c>
      <c r="N883" t="s">
        <v>205</v>
      </c>
      <c r="O883">
        <v>7</v>
      </c>
      <c r="P883">
        <v>35110.720000000001</v>
      </c>
      <c r="Q883">
        <v>0</v>
      </c>
      <c r="R883" s="39">
        <v>0</v>
      </c>
      <c r="S883" s="39">
        <v>245775.04</v>
      </c>
      <c r="T883" s="39">
        <v>-20247.91</v>
      </c>
      <c r="U883" t="str">
        <f t="shared" si="30"/>
        <v>Clothing</v>
      </c>
      <c r="V883">
        <f t="shared" si="31"/>
        <v>20247.91</v>
      </c>
      <c r="W883" t="str">
        <f>IF(Sales[[#This Row],[Quantity]]&gt;=15, "Large","Small")</f>
        <v>Small</v>
      </c>
      <c r="X883" t="str">
        <f>IF(Sales[[#This Row],[Quantity]]&gt;=15,"Large",IF(Sales[[#This Row],[Quantity]]=14,"Medium","Small"))</f>
        <v>Small</v>
      </c>
      <c r="Y883" t="str">
        <f>IF(AND(Sales[[#This Row],[Unit Price (₦)]]&gt;68000,Sales[[#This Row],[Quantity]]&gt;15),"Offer Discount", "No Discount")</f>
        <v>No Discount</v>
      </c>
    </row>
    <row r="884" spans="1:25" ht="15" customHeight="1" x14ac:dyDescent="0.25">
      <c r="A884" t="s">
        <v>1026</v>
      </c>
      <c r="B884" s="8">
        <v>45097</v>
      </c>
      <c r="C884" s="8">
        <v>45100</v>
      </c>
      <c r="D884" t="s">
        <v>20</v>
      </c>
      <c r="E884" t="s">
        <v>3094</v>
      </c>
      <c r="F884" t="s">
        <v>3039</v>
      </c>
      <c r="G884" t="s">
        <v>1028</v>
      </c>
      <c r="H884">
        <v>9077668174</v>
      </c>
      <c r="I884" t="s">
        <v>43</v>
      </c>
      <c r="J884" t="s">
        <v>25</v>
      </c>
      <c r="K884" t="s">
        <v>126</v>
      </c>
      <c r="L884" t="s">
        <v>85</v>
      </c>
      <c r="M884" t="s">
        <v>486</v>
      </c>
      <c r="N884" t="s">
        <v>527</v>
      </c>
      <c r="O884">
        <v>16</v>
      </c>
      <c r="P884">
        <v>142811.60999999999</v>
      </c>
      <c r="Q884">
        <v>0</v>
      </c>
      <c r="R884" s="39">
        <v>0</v>
      </c>
      <c r="S884" s="39">
        <v>2284985.7599999998</v>
      </c>
      <c r="T884" s="39">
        <v>164810.95000000001</v>
      </c>
      <c r="U884" t="str">
        <f t="shared" si="30"/>
        <v>Furniture</v>
      </c>
      <c r="V884">
        <f t="shared" si="31"/>
        <v>164810.95000000001</v>
      </c>
      <c r="W884" t="str">
        <f>IF(Sales[[#This Row],[Quantity]]&gt;=15, "Large","Small")</f>
        <v>Large</v>
      </c>
      <c r="X884" t="str">
        <f>IF(Sales[[#This Row],[Quantity]]&gt;=15,"Large",IF(Sales[[#This Row],[Quantity]]=14,"Medium","Small"))</f>
        <v>Large</v>
      </c>
      <c r="Y884" t="str">
        <f>IF(AND(Sales[[#This Row],[Unit Price (₦)]]&gt;68000,Sales[[#This Row],[Quantity]]&gt;15),"Offer Discount", "No Discount")</f>
        <v>Offer Discount</v>
      </c>
    </row>
    <row r="885" spans="1:25" ht="15" customHeight="1" x14ac:dyDescent="0.25">
      <c r="A885" t="s">
        <v>1471</v>
      </c>
      <c r="B885" s="8">
        <v>45105</v>
      </c>
      <c r="C885" s="8">
        <v>45107</v>
      </c>
      <c r="D885" t="s">
        <v>20</v>
      </c>
      <c r="E885" t="s">
        <v>3093</v>
      </c>
      <c r="F885" t="s">
        <v>3057</v>
      </c>
      <c r="G885" t="s">
        <v>1473</v>
      </c>
      <c r="H885">
        <v>9024789737</v>
      </c>
      <c r="I885" t="s">
        <v>35</v>
      </c>
      <c r="J885" t="s">
        <v>25</v>
      </c>
      <c r="K885" t="s">
        <v>36</v>
      </c>
      <c r="L885" t="s">
        <v>27</v>
      </c>
      <c r="M885" t="s">
        <v>79</v>
      </c>
      <c r="N885" t="s">
        <v>234</v>
      </c>
      <c r="O885">
        <v>11</v>
      </c>
      <c r="P885">
        <v>1029.45</v>
      </c>
      <c r="Q885">
        <v>10</v>
      </c>
      <c r="R885" s="39">
        <v>1132.3900000000001</v>
      </c>
      <c r="S885" s="39">
        <v>10191.56</v>
      </c>
      <c r="T885" s="39">
        <v>-1117.3800000000001</v>
      </c>
      <c r="U885" t="str">
        <f t="shared" si="30"/>
        <v>Food &amp; Beverages</v>
      </c>
      <c r="V885">
        <f t="shared" si="31"/>
        <v>1117.3800000000001</v>
      </c>
      <c r="W885" t="str">
        <f>IF(Sales[[#This Row],[Quantity]]&gt;=15, "Large","Small")</f>
        <v>Small</v>
      </c>
      <c r="X885" t="str">
        <f>IF(Sales[[#This Row],[Quantity]]&gt;=15,"Large",IF(Sales[[#This Row],[Quantity]]=14,"Medium","Small"))</f>
        <v>Small</v>
      </c>
      <c r="Y885" t="str">
        <f>IF(AND(Sales[[#This Row],[Unit Price (₦)]]&gt;68000,Sales[[#This Row],[Quantity]]&gt;15),"Offer Discount", "No Discount")</f>
        <v>No Discount</v>
      </c>
    </row>
    <row r="886" spans="1:25" ht="15" customHeight="1" x14ac:dyDescent="0.25">
      <c r="A886" t="s">
        <v>860</v>
      </c>
      <c r="B886" s="8">
        <v>45125</v>
      </c>
      <c r="C886" s="8">
        <v>45128</v>
      </c>
      <c r="D886" t="s">
        <v>20</v>
      </c>
      <c r="E886" t="s">
        <v>3098</v>
      </c>
      <c r="F886" t="s">
        <v>3086</v>
      </c>
      <c r="G886" t="s">
        <v>862</v>
      </c>
      <c r="H886">
        <v>8145227836</v>
      </c>
      <c r="I886" t="s">
        <v>43</v>
      </c>
      <c r="J886" t="s">
        <v>25</v>
      </c>
      <c r="K886" t="s">
        <v>126</v>
      </c>
      <c r="L886" t="s">
        <v>85</v>
      </c>
      <c r="M886" t="s">
        <v>486</v>
      </c>
      <c r="N886" t="s">
        <v>543</v>
      </c>
      <c r="O886">
        <v>20</v>
      </c>
      <c r="P886">
        <v>124477.74</v>
      </c>
      <c r="Q886">
        <v>15</v>
      </c>
      <c r="R886" s="39">
        <v>373433.22</v>
      </c>
      <c r="S886" s="39">
        <v>2116121.58</v>
      </c>
      <c r="T886" s="39">
        <v>424689.29</v>
      </c>
      <c r="U886" t="str">
        <f t="shared" si="30"/>
        <v>Furniture</v>
      </c>
      <c r="V886">
        <f t="shared" si="31"/>
        <v>424689.29</v>
      </c>
      <c r="W886" t="str">
        <f>IF(Sales[[#This Row],[Quantity]]&gt;=15, "Large","Small")</f>
        <v>Large</v>
      </c>
      <c r="X886" t="str">
        <f>IF(Sales[[#This Row],[Quantity]]&gt;=15,"Large",IF(Sales[[#This Row],[Quantity]]=14,"Medium","Small"))</f>
        <v>Large</v>
      </c>
      <c r="Y886" t="str">
        <f>IF(AND(Sales[[#This Row],[Unit Price (₦)]]&gt;68000,Sales[[#This Row],[Quantity]]&gt;15),"Offer Discount", "No Discount")</f>
        <v>Offer Discount</v>
      </c>
    </row>
    <row r="887" spans="1:25" ht="15" customHeight="1" x14ac:dyDescent="0.25">
      <c r="A887" t="s">
        <v>2161</v>
      </c>
      <c r="B887" s="8">
        <v>45127</v>
      </c>
      <c r="C887" s="8">
        <v>45130</v>
      </c>
      <c r="D887" t="s">
        <v>20</v>
      </c>
      <c r="E887" t="s">
        <v>3089</v>
      </c>
      <c r="F887" t="s">
        <v>3054</v>
      </c>
      <c r="G887" t="s">
        <v>1383</v>
      </c>
      <c r="H887">
        <v>9073927545</v>
      </c>
      <c r="I887" t="s">
        <v>35</v>
      </c>
      <c r="J887" t="s">
        <v>25</v>
      </c>
      <c r="K887" t="s">
        <v>168</v>
      </c>
      <c r="L887" t="s">
        <v>85</v>
      </c>
      <c r="M887" t="s">
        <v>266</v>
      </c>
      <c r="N887" t="s">
        <v>267</v>
      </c>
      <c r="O887">
        <v>2</v>
      </c>
      <c r="P887">
        <v>48019.66</v>
      </c>
      <c r="Q887">
        <v>0</v>
      </c>
      <c r="R887" s="39">
        <v>0</v>
      </c>
      <c r="S887" s="39">
        <v>96039.32</v>
      </c>
      <c r="T887" s="39">
        <v>25034.07</v>
      </c>
      <c r="U887" t="str">
        <f t="shared" si="30"/>
        <v>Furniture</v>
      </c>
      <c r="V887">
        <f t="shared" si="31"/>
        <v>25034.07</v>
      </c>
      <c r="W887" t="str">
        <f>IF(Sales[[#This Row],[Quantity]]&gt;=15, "Large","Small")</f>
        <v>Small</v>
      </c>
      <c r="X887" t="str">
        <f>IF(Sales[[#This Row],[Quantity]]&gt;=15,"Large",IF(Sales[[#This Row],[Quantity]]=14,"Medium","Small"))</f>
        <v>Small</v>
      </c>
      <c r="Y887" t="str">
        <f>IF(AND(Sales[[#This Row],[Unit Price (₦)]]&gt;68000,Sales[[#This Row],[Quantity]]&gt;15),"Offer Discount", "No Discount")</f>
        <v>No Discount</v>
      </c>
    </row>
    <row r="888" spans="1:25" ht="15" customHeight="1" x14ac:dyDescent="0.25">
      <c r="A888" t="s">
        <v>1506</v>
      </c>
      <c r="B888" s="8">
        <v>45139</v>
      </c>
      <c r="C888" s="8">
        <v>45141</v>
      </c>
      <c r="D888" t="s">
        <v>20</v>
      </c>
      <c r="E888" t="s">
        <v>3081</v>
      </c>
      <c r="F888" t="s">
        <v>3066</v>
      </c>
      <c r="G888" t="s">
        <v>1507</v>
      </c>
      <c r="H888" t="s">
        <v>1508</v>
      </c>
      <c r="I888" t="s">
        <v>35</v>
      </c>
      <c r="J888" t="s">
        <v>61</v>
      </c>
      <c r="K888" t="s">
        <v>182</v>
      </c>
      <c r="L888" t="s">
        <v>108</v>
      </c>
      <c r="M888" t="s">
        <v>189</v>
      </c>
      <c r="N888" t="s">
        <v>190</v>
      </c>
      <c r="O888">
        <v>1</v>
      </c>
      <c r="P888">
        <v>2891.59</v>
      </c>
      <c r="Q888">
        <v>25</v>
      </c>
      <c r="R888" s="39">
        <v>722.9</v>
      </c>
      <c r="S888" s="39">
        <v>2168.69</v>
      </c>
      <c r="T888" s="39">
        <v>516.72</v>
      </c>
      <c r="U888" t="str">
        <f t="shared" si="30"/>
        <v>Clothing</v>
      </c>
      <c r="V888">
        <f t="shared" si="31"/>
        <v>516.72</v>
      </c>
      <c r="W888" t="str">
        <f>IF(Sales[[#This Row],[Quantity]]&gt;=15, "Large","Small")</f>
        <v>Small</v>
      </c>
      <c r="X888" t="str">
        <f>IF(Sales[[#This Row],[Quantity]]&gt;=15,"Large",IF(Sales[[#This Row],[Quantity]]=14,"Medium","Small"))</f>
        <v>Small</v>
      </c>
      <c r="Y888" t="str">
        <f>IF(AND(Sales[[#This Row],[Unit Price (₦)]]&gt;68000,Sales[[#This Row],[Quantity]]&gt;15),"Offer Discount", "No Discount")</f>
        <v>No Discount</v>
      </c>
    </row>
    <row r="889" spans="1:25" ht="15" customHeight="1" x14ac:dyDescent="0.25">
      <c r="A889" t="s">
        <v>863</v>
      </c>
      <c r="B889" s="8">
        <v>45140</v>
      </c>
      <c r="C889" s="8">
        <v>45143</v>
      </c>
      <c r="D889" t="s">
        <v>20</v>
      </c>
      <c r="E889" t="s">
        <v>3072</v>
      </c>
      <c r="F889" t="s">
        <v>3083</v>
      </c>
      <c r="G889" t="s">
        <v>865</v>
      </c>
      <c r="H889">
        <v>7035638619</v>
      </c>
      <c r="I889" t="s">
        <v>24</v>
      </c>
      <c r="J889" t="s">
        <v>25</v>
      </c>
      <c r="K889" t="s">
        <v>36</v>
      </c>
      <c r="L889" t="s">
        <v>63</v>
      </c>
      <c r="M889" t="s">
        <v>194</v>
      </c>
      <c r="N889" t="s">
        <v>716</v>
      </c>
      <c r="O889">
        <v>10</v>
      </c>
      <c r="P889">
        <v>6898.1</v>
      </c>
      <c r="Q889">
        <v>5</v>
      </c>
      <c r="R889" s="39">
        <v>3449.05</v>
      </c>
      <c r="S889" s="39">
        <v>65531.95</v>
      </c>
      <c r="T889" s="39">
        <v>-3934.7</v>
      </c>
      <c r="U889" t="str">
        <f t="shared" si="30"/>
        <v>Office Supplies</v>
      </c>
      <c r="V889">
        <f t="shared" si="31"/>
        <v>3934.7</v>
      </c>
      <c r="W889" t="str">
        <f>IF(Sales[[#This Row],[Quantity]]&gt;=15, "Large","Small")</f>
        <v>Small</v>
      </c>
      <c r="X889" t="str">
        <f>IF(Sales[[#This Row],[Quantity]]&gt;=15,"Large",IF(Sales[[#This Row],[Quantity]]=14,"Medium","Small"))</f>
        <v>Small</v>
      </c>
      <c r="Y889" t="str">
        <f>IF(AND(Sales[[#This Row],[Unit Price (₦)]]&gt;68000,Sales[[#This Row],[Quantity]]&gt;15),"Offer Discount", "No Discount")</f>
        <v>No Discount</v>
      </c>
    </row>
    <row r="890" spans="1:25" ht="15" customHeight="1" x14ac:dyDescent="0.25">
      <c r="A890" t="s">
        <v>2523</v>
      </c>
      <c r="B890" s="8">
        <v>45145</v>
      </c>
      <c r="C890" s="8">
        <v>45148</v>
      </c>
      <c r="D890" t="s">
        <v>20</v>
      </c>
      <c r="E890" t="s">
        <v>3072</v>
      </c>
      <c r="F890" t="s">
        <v>3096</v>
      </c>
      <c r="G890" t="s">
        <v>2525</v>
      </c>
      <c r="H890">
        <v>7064391113</v>
      </c>
      <c r="I890" t="s">
        <v>24</v>
      </c>
      <c r="J890" t="s">
        <v>69</v>
      </c>
      <c r="K890" t="s">
        <v>144</v>
      </c>
      <c r="L890" t="s">
        <v>96</v>
      </c>
      <c r="M890" t="s">
        <v>254</v>
      </c>
      <c r="N890" t="s">
        <v>530</v>
      </c>
      <c r="O890">
        <v>17</v>
      </c>
      <c r="P890">
        <v>102342.85</v>
      </c>
      <c r="Q890">
        <v>0</v>
      </c>
      <c r="R890" s="39">
        <v>0</v>
      </c>
      <c r="S890" s="39">
        <v>1739828.45</v>
      </c>
      <c r="T890" s="39">
        <v>228568.56</v>
      </c>
      <c r="U890" t="str">
        <f t="shared" si="30"/>
        <v>Technology</v>
      </c>
      <c r="V890">
        <f t="shared" si="31"/>
        <v>228568.56</v>
      </c>
      <c r="W890" t="str">
        <f>IF(Sales[[#This Row],[Quantity]]&gt;=15, "Large","Small")</f>
        <v>Large</v>
      </c>
      <c r="X890" t="str">
        <f>IF(Sales[[#This Row],[Quantity]]&gt;=15,"Large",IF(Sales[[#This Row],[Quantity]]=14,"Medium","Small"))</f>
        <v>Large</v>
      </c>
      <c r="Y890" t="str">
        <f>IF(AND(Sales[[#This Row],[Unit Price (₦)]]&gt;68000,Sales[[#This Row],[Quantity]]&gt;15),"Offer Discount", "No Discount")</f>
        <v>Offer Discount</v>
      </c>
    </row>
    <row r="891" spans="1:25" ht="15" customHeight="1" x14ac:dyDescent="0.25">
      <c r="A891" t="s">
        <v>2746</v>
      </c>
      <c r="B891" s="8">
        <v>45145</v>
      </c>
      <c r="C891" s="8">
        <v>45148</v>
      </c>
      <c r="D891" t="s">
        <v>20</v>
      </c>
      <c r="E891" t="s">
        <v>3087</v>
      </c>
      <c r="F891" t="s">
        <v>3079</v>
      </c>
      <c r="G891" t="s">
        <v>2747</v>
      </c>
      <c r="H891">
        <v>8149179175</v>
      </c>
      <c r="I891" t="s">
        <v>24</v>
      </c>
      <c r="J891" t="s">
        <v>69</v>
      </c>
      <c r="K891" t="s">
        <v>144</v>
      </c>
      <c r="L891" t="s">
        <v>108</v>
      </c>
      <c r="M891" t="s">
        <v>189</v>
      </c>
      <c r="N891" t="s">
        <v>287</v>
      </c>
      <c r="O891">
        <v>18</v>
      </c>
      <c r="P891">
        <v>30651.759999999998</v>
      </c>
      <c r="Q891">
        <v>25</v>
      </c>
      <c r="R891" s="39">
        <v>137932.92000000001</v>
      </c>
      <c r="S891" s="39">
        <v>413798.76</v>
      </c>
      <c r="T891" s="39">
        <v>-45363.31</v>
      </c>
      <c r="U891" t="str">
        <f t="shared" si="30"/>
        <v>Clothing</v>
      </c>
      <c r="V891">
        <f t="shared" si="31"/>
        <v>45363.31</v>
      </c>
      <c r="W891" t="str">
        <f>IF(Sales[[#This Row],[Quantity]]&gt;=15, "Large","Small")</f>
        <v>Large</v>
      </c>
      <c r="X891" t="str">
        <f>IF(Sales[[#This Row],[Quantity]]&gt;=15,"Large",IF(Sales[[#This Row],[Quantity]]=14,"Medium","Small"))</f>
        <v>Large</v>
      </c>
      <c r="Y891" t="str">
        <f>IF(AND(Sales[[#This Row],[Unit Price (₦)]]&gt;68000,Sales[[#This Row],[Quantity]]&gt;15),"Offer Discount", "No Discount")</f>
        <v>No Discount</v>
      </c>
    </row>
    <row r="892" spans="1:25" ht="15" customHeight="1" x14ac:dyDescent="0.25">
      <c r="A892" t="s">
        <v>1610</v>
      </c>
      <c r="B892" s="8">
        <v>45164</v>
      </c>
      <c r="C892" s="8">
        <v>45167</v>
      </c>
      <c r="D892" t="s">
        <v>20</v>
      </c>
      <c r="E892" t="s">
        <v>3047</v>
      </c>
      <c r="F892" t="s">
        <v>3079</v>
      </c>
      <c r="G892" t="s">
        <v>1612</v>
      </c>
      <c r="H892">
        <v>8108075907</v>
      </c>
      <c r="I892" t="s">
        <v>43</v>
      </c>
      <c r="J892" t="s">
        <v>51</v>
      </c>
      <c r="K892" t="s">
        <v>223</v>
      </c>
      <c r="L892" t="s">
        <v>96</v>
      </c>
      <c r="M892" t="s">
        <v>97</v>
      </c>
      <c r="N892" t="s">
        <v>1416</v>
      </c>
      <c r="O892">
        <v>16</v>
      </c>
      <c r="P892">
        <v>108777.93</v>
      </c>
      <c r="Q892">
        <v>0</v>
      </c>
      <c r="R892" s="39">
        <v>0</v>
      </c>
      <c r="S892" s="39">
        <v>1740446.88</v>
      </c>
      <c r="T892" s="39">
        <v>-133323.9</v>
      </c>
      <c r="U892" t="str">
        <f t="shared" si="30"/>
        <v>Technology</v>
      </c>
      <c r="V892">
        <f t="shared" si="31"/>
        <v>133323.9</v>
      </c>
      <c r="W892" t="str">
        <f>IF(Sales[[#This Row],[Quantity]]&gt;=15, "Large","Small")</f>
        <v>Large</v>
      </c>
      <c r="X892" t="str">
        <f>IF(Sales[[#This Row],[Quantity]]&gt;=15,"Large",IF(Sales[[#This Row],[Quantity]]=14,"Medium","Small"))</f>
        <v>Large</v>
      </c>
      <c r="Y892" t="str">
        <f>IF(AND(Sales[[#This Row],[Unit Price (₦)]]&gt;68000,Sales[[#This Row],[Quantity]]&gt;15),"Offer Discount", "No Discount")</f>
        <v>Offer Discount</v>
      </c>
    </row>
    <row r="893" spans="1:25" ht="15" customHeight="1" x14ac:dyDescent="0.25">
      <c r="A893" t="s">
        <v>1657</v>
      </c>
      <c r="B893" s="8">
        <v>45198</v>
      </c>
      <c r="C893" s="8">
        <v>45200</v>
      </c>
      <c r="D893" t="s">
        <v>20</v>
      </c>
      <c r="E893" t="s">
        <v>3072</v>
      </c>
      <c r="F893" t="s">
        <v>3046</v>
      </c>
      <c r="G893" t="s">
        <v>3126</v>
      </c>
      <c r="H893">
        <v>7061403047</v>
      </c>
      <c r="I893" t="s">
        <v>959</v>
      </c>
      <c r="J893" t="s">
        <v>61</v>
      </c>
      <c r="K893" t="s">
        <v>62</v>
      </c>
      <c r="L893" t="s">
        <v>27</v>
      </c>
      <c r="M893" t="s">
        <v>45</v>
      </c>
      <c r="N893" t="s">
        <v>838</v>
      </c>
      <c r="O893">
        <v>16</v>
      </c>
      <c r="P893">
        <v>2203.08</v>
      </c>
      <c r="Q893">
        <v>5</v>
      </c>
      <c r="R893" s="39">
        <v>1762.46</v>
      </c>
      <c r="S893" s="39">
        <v>33486.82</v>
      </c>
      <c r="T893" s="39">
        <v>14241.33</v>
      </c>
      <c r="U893" t="str">
        <f t="shared" si="30"/>
        <v>Food &amp; Beverages</v>
      </c>
      <c r="V893">
        <f t="shared" si="31"/>
        <v>14241.33</v>
      </c>
      <c r="W893" t="str">
        <f>IF(Sales[[#This Row],[Quantity]]&gt;=15, "Large","Small")</f>
        <v>Large</v>
      </c>
      <c r="X893" t="str">
        <f>IF(Sales[[#This Row],[Quantity]]&gt;=15,"Large",IF(Sales[[#This Row],[Quantity]]=14,"Medium","Small"))</f>
        <v>Large</v>
      </c>
      <c r="Y893" t="str">
        <f>IF(AND(Sales[[#This Row],[Unit Price (₦)]]&gt;68000,Sales[[#This Row],[Quantity]]&gt;15),"Offer Discount", "No Discount")</f>
        <v>No Discount</v>
      </c>
    </row>
    <row r="894" spans="1:25" ht="15" customHeight="1" x14ac:dyDescent="0.25">
      <c r="A894" t="s">
        <v>1672</v>
      </c>
      <c r="B894" s="8">
        <v>45199</v>
      </c>
      <c r="C894" s="8">
        <v>45201</v>
      </c>
      <c r="D894" t="s">
        <v>20</v>
      </c>
      <c r="E894" t="s">
        <v>3084</v>
      </c>
      <c r="F894" t="s">
        <v>3083</v>
      </c>
      <c r="G894" t="s">
        <v>1673</v>
      </c>
      <c r="H894">
        <v>9056752912</v>
      </c>
      <c r="I894" t="s">
        <v>24</v>
      </c>
      <c r="J894" t="s">
        <v>69</v>
      </c>
      <c r="K894" t="s">
        <v>155</v>
      </c>
      <c r="L894" t="s">
        <v>27</v>
      </c>
      <c r="M894" t="s">
        <v>558</v>
      </c>
      <c r="N894" t="s">
        <v>1460</v>
      </c>
      <c r="O894">
        <v>5</v>
      </c>
      <c r="P894">
        <v>13183.17</v>
      </c>
      <c r="Q894">
        <v>0</v>
      </c>
      <c r="R894" s="39">
        <v>0</v>
      </c>
      <c r="S894" s="39">
        <v>65915.850000000006</v>
      </c>
      <c r="T894" s="39">
        <v>-498.82</v>
      </c>
      <c r="U894" t="str">
        <f t="shared" si="30"/>
        <v>Food &amp; Beverages</v>
      </c>
      <c r="V894">
        <f t="shared" si="31"/>
        <v>498.82</v>
      </c>
      <c r="W894" t="str">
        <f>IF(Sales[[#This Row],[Quantity]]&gt;=15, "Large","Small")</f>
        <v>Small</v>
      </c>
      <c r="X894" t="str">
        <f>IF(Sales[[#This Row],[Quantity]]&gt;=15,"Large",IF(Sales[[#This Row],[Quantity]]=14,"Medium","Small"))</f>
        <v>Small</v>
      </c>
      <c r="Y894" t="str">
        <f>IF(AND(Sales[[#This Row],[Unit Price (₦)]]&gt;68000,Sales[[#This Row],[Quantity]]&gt;15),"Offer Discount", "No Discount")</f>
        <v>No Discount</v>
      </c>
    </row>
    <row r="895" spans="1:25" ht="15" customHeight="1" x14ac:dyDescent="0.25">
      <c r="A895" t="s">
        <v>2816</v>
      </c>
      <c r="B895" s="8">
        <v>45199</v>
      </c>
      <c r="C895" s="8">
        <v>45201</v>
      </c>
      <c r="D895" t="s">
        <v>20</v>
      </c>
      <c r="E895" t="s">
        <v>3060</v>
      </c>
      <c r="F895" t="s">
        <v>3057</v>
      </c>
      <c r="G895" t="s">
        <v>2707</v>
      </c>
      <c r="H895">
        <v>8155991994</v>
      </c>
      <c r="I895" t="s">
        <v>35</v>
      </c>
      <c r="J895" t="s">
        <v>25</v>
      </c>
      <c r="K895" t="s">
        <v>126</v>
      </c>
      <c r="L895" t="s">
        <v>96</v>
      </c>
      <c r="M895" t="s">
        <v>189</v>
      </c>
      <c r="N895" t="s">
        <v>287</v>
      </c>
      <c r="O895">
        <v>14</v>
      </c>
      <c r="P895">
        <v>150673.10999999999</v>
      </c>
      <c r="Q895">
        <v>0</v>
      </c>
      <c r="R895" s="39">
        <v>0</v>
      </c>
      <c r="S895" s="39">
        <v>2109423.54</v>
      </c>
      <c r="T895" s="39">
        <v>516257.17</v>
      </c>
      <c r="U895" t="str">
        <f t="shared" si="30"/>
        <v>Technology</v>
      </c>
      <c r="V895">
        <f t="shared" si="31"/>
        <v>516257.17</v>
      </c>
      <c r="W895" t="str">
        <f>IF(Sales[[#This Row],[Quantity]]&gt;=15, "Large","Small")</f>
        <v>Small</v>
      </c>
      <c r="X895" t="str">
        <f>IF(Sales[[#This Row],[Quantity]]&gt;=15,"Large",IF(Sales[[#This Row],[Quantity]]=14,"Medium","Small"))</f>
        <v>Medium</v>
      </c>
      <c r="Y895" t="str">
        <f>IF(AND(Sales[[#This Row],[Unit Price (₦)]]&gt;68000,Sales[[#This Row],[Quantity]]&gt;15),"Offer Discount", "No Discount")</f>
        <v>No Discount</v>
      </c>
    </row>
    <row r="896" spans="1:25" ht="15" customHeight="1" x14ac:dyDescent="0.25">
      <c r="A896" t="s">
        <v>196</v>
      </c>
      <c r="B896" s="8">
        <v>45216</v>
      </c>
      <c r="C896" s="8">
        <v>45218</v>
      </c>
      <c r="D896" t="s">
        <v>20</v>
      </c>
      <c r="E896" t="s">
        <v>3033</v>
      </c>
      <c r="F896" t="s">
        <v>3054</v>
      </c>
      <c r="G896" t="s">
        <v>198</v>
      </c>
      <c r="H896">
        <v>7063563646</v>
      </c>
      <c r="I896" t="s">
        <v>43</v>
      </c>
      <c r="J896" t="s">
        <v>51</v>
      </c>
      <c r="K896" t="s">
        <v>131</v>
      </c>
      <c r="L896" t="s">
        <v>85</v>
      </c>
      <c r="M896" t="s">
        <v>86</v>
      </c>
      <c r="N896" t="s">
        <v>199</v>
      </c>
      <c r="O896">
        <v>18</v>
      </c>
      <c r="P896">
        <v>78107.09</v>
      </c>
      <c r="Q896">
        <v>20</v>
      </c>
      <c r="R896" s="39">
        <v>281185.52</v>
      </c>
      <c r="S896" s="39">
        <v>1124742.1000000001</v>
      </c>
      <c r="T896" s="39">
        <v>111871.96</v>
      </c>
      <c r="U896" t="str">
        <f t="shared" si="30"/>
        <v>Furniture</v>
      </c>
      <c r="V896">
        <f t="shared" si="31"/>
        <v>111871.96</v>
      </c>
      <c r="W896" t="str">
        <f>IF(Sales[[#This Row],[Quantity]]&gt;=15, "Large","Small")</f>
        <v>Large</v>
      </c>
      <c r="X896" t="str">
        <f>IF(Sales[[#This Row],[Quantity]]&gt;=15,"Large",IF(Sales[[#This Row],[Quantity]]=14,"Medium","Small"))</f>
        <v>Large</v>
      </c>
      <c r="Y896" t="str">
        <f>IF(AND(Sales[[#This Row],[Unit Price (₦)]]&gt;68000,Sales[[#This Row],[Quantity]]&gt;15),"Offer Discount", "No Discount")</f>
        <v>Offer Discount</v>
      </c>
    </row>
    <row r="897" spans="1:25" ht="15" customHeight="1" x14ac:dyDescent="0.25">
      <c r="A897" t="s">
        <v>2335</v>
      </c>
      <c r="B897" s="8">
        <v>45216</v>
      </c>
      <c r="C897" s="8">
        <v>45219</v>
      </c>
      <c r="D897" t="s">
        <v>20</v>
      </c>
      <c r="E897" t="s">
        <v>3072</v>
      </c>
      <c r="F897" t="s">
        <v>3069</v>
      </c>
      <c r="G897" t="s">
        <v>2337</v>
      </c>
      <c r="H897">
        <v>8159986330</v>
      </c>
      <c r="I897" t="s">
        <v>43</v>
      </c>
      <c r="J897" t="s">
        <v>51</v>
      </c>
      <c r="K897" t="s">
        <v>131</v>
      </c>
      <c r="L897" t="s">
        <v>27</v>
      </c>
      <c r="M897" t="s">
        <v>28</v>
      </c>
      <c r="N897" t="s">
        <v>508</v>
      </c>
      <c r="O897">
        <v>16</v>
      </c>
      <c r="P897">
        <v>6914.74</v>
      </c>
      <c r="Q897">
        <v>20</v>
      </c>
      <c r="R897" s="39">
        <v>22127.17</v>
      </c>
      <c r="S897" s="39">
        <v>88508.67</v>
      </c>
      <c r="T897" s="39">
        <v>1926.84</v>
      </c>
      <c r="U897" t="str">
        <f t="shared" si="30"/>
        <v>Food &amp; Beverages</v>
      </c>
      <c r="V897">
        <f t="shared" si="31"/>
        <v>1926.84</v>
      </c>
      <c r="W897" t="str">
        <f>IF(Sales[[#This Row],[Quantity]]&gt;=15, "Large","Small")</f>
        <v>Large</v>
      </c>
      <c r="X897" t="str">
        <f>IF(Sales[[#This Row],[Quantity]]&gt;=15,"Large",IF(Sales[[#This Row],[Quantity]]=14,"Medium","Small"))</f>
        <v>Large</v>
      </c>
      <c r="Y897" t="str">
        <f>IF(AND(Sales[[#This Row],[Unit Price (₦)]]&gt;68000,Sales[[#This Row],[Quantity]]&gt;15),"Offer Discount", "No Discount")</f>
        <v>No Discount</v>
      </c>
    </row>
    <row r="898" spans="1:25" ht="15" customHeight="1" x14ac:dyDescent="0.25">
      <c r="A898" t="s">
        <v>2712</v>
      </c>
      <c r="B898" s="8">
        <v>45221</v>
      </c>
      <c r="C898" s="8">
        <v>45223</v>
      </c>
      <c r="D898" t="s">
        <v>20</v>
      </c>
      <c r="E898" t="s">
        <v>3089</v>
      </c>
      <c r="F898" t="s">
        <v>3075</v>
      </c>
      <c r="G898" t="s">
        <v>2427</v>
      </c>
      <c r="H898">
        <v>8038418708</v>
      </c>
      <c r="I898" t="s">
        <v>24</v>
      </c>
      <c r="J898" t="s">
        <v>69</v>
      </c>
      <c r="K898" t="s">
        <v>70</v>
      </c>
      <c r="L898" t="s">
        <v>27</v>
      </c>
      <c r="M898" t="s">
        <v>354</v>
      </c>
      <c r="N898" t="s">
        <v>494</v>
      </c>
      <c r="O898">
        <v>3</v>
      </c>
      <c r="P898">
        <v>1412.77</v>
      </c>
      <c r="Q898">
        <v>15</v>
      </c>
      <c r="R898" s="39">
        <v>635.75</v>
      </c>
      <c r="S898" s="39">
        <v>3602.56</v>
      </c>
      <c r="T898" s="39">
        <v>-176.42</v>
      </c>
      <c r="U898" t="str">
        <f t="shared" ref="U898:U961" si="32">PROPER(L898)</f>
        <v>Food &amp; Beverages</v>
      </c>
      <c r="V898">
        <f t="shared" si="31"/>
        <v>176.42</v>
      </c>
      <c r="W898" t="str">
        <f>IF(Sales[[#This Row],[Quantity]]&gt;=15, "Large","Small")</f>
        <v>Small</v>
      </c>
      <c r="X898" t="str">
        <f>IF(Sales[[#This Row],[Quantity]]&gt;=15,"Large",IF(Sales[[#This Row],[Quantity]]=14,"Medium","Small"))</f>
        <v>Small</v>
      </c>
      <c r="Y898" t="str">
        <f>IF(AND(Sales[[#This Row],[Unit Price (₦)]]&gt;68000,Sales[[#This Row],[Quantity]]&gt;15),"Offer Discount", "No Discount")</f>
        <v>No Discount</v>
      </c>
    </row>
    <row r="899" spans="1:25" ht="15" customHeight="1" x14ac:dyDescent="0.25">
      <c r="A899" t="s">
        <v>1211</v>
      </c>
      <c r="B899" s="8">
        <v>45223</v>
      </c>
      <c r="C899" s="8">
        <v>45226</v>
      </c>
      <c r="D899" t="s">
        <v>20</v>
      </c>
      <c r="E899" t="s">
        <v>3098</v>
      </c>
      <c r="F899" t="s">
        <v>3042</v>
      </c>
      <c r="G899" t="s">
        <v>1213</v>
      </c>
      <c r="H899">
        <v>9028169304</v>
      </c>
      <c r="I899" t="s">
        <v>35</v>
      </c>
      <c r="J899" t="s">
        <v>51</v>
      </c>
      <c r="K899" t="s">
        <v>52</v>
      </c>
      <c r="L899" t="s">
        <v>27</v>
      </c>
      <c r="M899" t="s">
        <v>79</v>
      </c>
      <c r="N899" t="s">
        <v>80</v>
      </c>
      <c r="O899">
        <v>4</v>
      </c>
      <c r="P899">
        <v>3925.29</v>
      </c>
      <c r="Q899">
        <v>10</v>
      </c>
      <c r="R899" s="39">
        <v>1570.12</v>
      </c>
      <c r="S899" s="39">
        <v>14131.04</v>
      </c>
      <c r="T899" s="39">
        <v>671.58</v>
      </c>
      <c r="U899" t="str">
        <f t="shared" si="32"/>
        <v>Food &amp; Beverages</v>
      </c>
      <c r="V899">
        <f t="shared" ref="V899:V962" si="33">ABS(T899)</f>
        <v>671.58</v>
      </c>
      <c r="W899" t="str">
        <f>IF(Sales[[#This Row],[Quantity]]&gt;=15, "Large","Small")</f>
        <v>Small</v>
      </c>
      <c r="X899" t="str">
        <f>IF(Sales[[#This Row],[Quantity]]&gt;=15,"Large",IF(Sales[[#This Row],[Quantity]]=14,"Medium","Small"))</f>
        <v>Small</v>
      </c>
      <c r="Y899" t="str">
        <f>IF(AND(Sales[[#This Row],[Unit Price (₦)]]&gt;68000,Sales[[#This Row],[Quantity]]&gt;15),"Offer Discount", "No Discount")</f>
        <v>No Discount</v>
      </c>
    </row>
    <row r="900" spans="1:25" ht="15" customHeight="1" x14ac:dyDescent="0.25">
      <c r="A900" t="s">
        <v>1910</v>
      </c>
      <c r="B900" s="8">
        <v>45226</v>
      </c>
      <c r="C900" s="8">
        <v>45228</v>
      </c>
      <c r="D900" t="s">
        <v>20</v>
      </c>
      <c r="E900" t="s">
        <v>3049</v>
      </c>
      <c r="F900" t="s">
        <v>3042</v>
      </c>
      <c r="G900" t="s">
        <v>1912</v>
      </c>
      <c r="H900">
        <v>8135692416</v>
      </c>
      <c r="I900" t="s">
        <v>43</v>
      </c>
      <c r="J900" t="s">
        <v>51</v>
      </c>
      <c r="K900" t="s">
        <v>131</v>
      </c>
      <c r="L900" t="s">
        <v>85</v>
      </c>
      <c r="M900" t="s">
        <v>243</v>
      </c>
      <c r="N900" t="s">
        <v>1054</v>
      </c>
      <c r="O900">
        <v>19</v>
      </c>
      <c r="P900">
        <v>100430.86</v>
      </c>
      <c r="Q900">
        <v>0</v>
      </c>
      <c r="R900" s="39">
        <v>0</v>
      </c>
      <c r="S900" s="39">
        <v>1908186.34</v>
      </c>
      <c r="T900" s="39">
        <v>541087.82999999996</v>
      </c>
      <c r="U900" t="str">
        <f t="shared" si="32"/>
        <v>Furniture</v>
      </c>
      <c r="V900">
        <f t="shared" si="33"/>
        <v>541087.82999999996</v>
      </c>
      <c r="W900" t="str">
        <f>IF(Sales[[#This Row],[Quantity]]&gt;=15, "Large","Small")</f>
        <v>Large</v>
      </c>
      <c r="X900" t="str">
        <f>IF(Sales[[#This Row],[Quantity]]&gt;=15,"Large",IF(Sales[[#This Row],[Quantity]]=14,"Medium","Small"))</f>
        <v>Large</v>
      </c>
      <c r="Y900" t="str">
        <f>IF(AND(Sales[[#This Row],[Unit Price (₦)]]&gt;68000,Sales[[#This Row],[Quantity]]&gt;15),"Offer Discount", "No Discount")</f>
        <v>Offer Discount</v>
      </c>
    </row>
    <row r="901" spans="1:25" ht="15" customHeight="1" x14ac:dyDescent="0.25">
      <c r="A901" t="s">
        <v>1259</v>
      </c>
      <c r="B901" s="8">
        <v>45227</v>
      </c>
      <c r="C901" s="8">
        <v>45230</v>
      </c>
      <c r="D901" t="s">
        <v>20</v>
      </c>
      <c r="E901" t="s">
        <v>3089</v>
      </c>
      <c r="F901" t="s">
        <v>3046</v>
      </c>
      <c r="G901" t="s">
        <v>1261</v>
      </c>
      <c r="H901" t="s">
        <v>23</v>
      </c>
      <c r="I901" t="s">
        <v>24</v>
      </c>
      <c r="J901" t="s">
        <v>69</v>
      </c>
      <c r="K901" t="s">
        <v>119</v>
      </c>
      <c r="L901" t="s">
        <v>63</v>
      </c>
      <c r="M901" t="s">
        <v>64</v>
      </c>
      <c r="N901" t="s">
        <v>104</v>
      </c>
      <c r="O901">
        <v>10</v>
      </c>
      <c r="P901">
        <v>21221.27</v>
      </c>
      <c r="Q901">
        <v>10</v>
      </c>
      <c r="R901" s="39">
        <v>21221.27</v>
      </c>
      <c r="S901" s="39">
        <v>190991.43</v>
      </c>
      <c r="T901" s="39">
        <v>40617.03</v>
      </c>
      <c r="U901" t="str">
        <f t="shared" si="32"/>
        <v>Office Supplies</v>
      </c>
      <c r="V901">
        <f t="shared" si="33"/>
        <v>40617.03</v>
      </c>
      <c r="W901" t="str">
        <f>IF(Sales[[#This Row],[Quantity]]&gt;=15, "Large","Small")</f>
        <v>Small</v>
      </c>
      <c r="X901" t="str">
        <f>IF(Sales[[#This Row],[Quantity]]&gt;=15,"Large",IF(Sales[[#This Row],[Quantity]]=14,"Medium","Small"))</f>
        <v>Small</v>
      </c>
      <c r="Y901" t="str">
        <f>IF(AND(Sales[[#This Row],[Unit Price (₦)]]&gt;68000,Sales[[#This Row],[Quantity]]&gt;15),"Offer Discount", "No Discount")</f>
        <v>No Discount</v>
      </c>
    </row>
    <row r="902" spans="1:25" ht="15" customHeight="1" x14ac:dyDescent="0.25">
      <c r="A902" t="s">
        <v>1088</v>
      </c>
      <c r="B902" s="8">
        <v>45228</v>
      </c>
      <c r="C902" s="8">
        <v>45231</v>
      </c>
      <c r="D902" t="s">
        <v>20</v>
      </c>
      <c r="E902" t="s">
        <v>3039</v>
      </c>
      <c r="F902" t="s">
        <v>3086</v>
      </c>
      <c r="G902" t="s">
        <v>1090</v>
      </c>
      <c r="H902">
        <v>8158463259</v>
      </c>
      <c r="I902" t="s">
        <v>35</v>
      </c>
      <c r="J902" t="s">
        <v>61</v>
      </c>
      <c r="K902" t="s">
        <v>95</v>
      </c>
      <c r="L902" t="s">
        <v>85</v>
      </c>
      <c r="M902" t="s">
        <v>266</v>
      </c>
      <c r="N902" t="s">
        <v>803</v>
      </c>
      <c r="O902">
        <v>15</v>
      </c>
      <c r="P902">
        <v>109622.92</v>
      </c>
      <c r="Q902">
        <v>15</v>
      </c>
      <c r="R902" s="39">
        <v>246651.57</v>
      </c>
      <c r="S902" s="39">
        <v>1397692.23</v>
      </c>
      <c r="T902" s="39">
        <v>229327.59</v>
      </c>
      <c r="U902" t="str">
        <f t="shared" si="32"/>
        <v>Furniture</v>
      </c>
      <c r="V902">
        <f t="shared" si="33"/>
        <v>229327.59</v>
      </c>
      <c r="W902" t="str">
        <f>IF(Sales[[#This Row],[Quantity]]&gt;=15, "Large","Small")</f>
        <v>Large</v>
      </c>
      <c r="X902" t="str">
        <f>IF(Sales[[#This Row],[Quantity]]&gt;=15,"Large",IF(Sales[[#This Row],[Quantity]]=14,"Medium","Small"))</f>
        <v>Large</v>
      </c>
      <c r="Y902" t="str">
        <f>IF(AND(Sales[[#This Row],[Unit Price (₦)]]&gt;68000,Sales[[#This Row],[Quantity]]&gt;15),"Offer Discount", "No Discount")</f>
        <v>No Discount</v>
      </c>
    </row>
    <row r="903" spans="1:25" ht="15" customHeight="1" x14ac:dyDescent="0.25">
      <c r="A903" t="s">
        <v>757</v>
      </c>
      <c r="B903" s="8">
        <v>45232</v>
      </c>
      <c r="C903" s="8">
        <v>45234</v>
      </c>
      <c r="D903" t="s">
        <v>20</v>
      </c>
      <c r="E903" t="s">
        <v>3060</v>
      </c>
      <c r="F903" t="s">
        <v>3071</v>
      </c>
      <c r="G903" t="s">
        <v>759</v>
      </c>
      <c r="H903">
        <v>7034366703</v>
      </c>
      <c r="I903" t="s">
        <v>43</v>
      </c>
      <c r="J903" t="s">
        <v>25</v>
      </c>
      <c r="K903" t="s">
        <v>168</v>
      </c>
      <c r="L903" t="s">
        <v>760</v>
      </c>
      <c r="M903" t="s">
        <v>312</v>
      </c>
      <c r="N903" t="s">
        <v>761</v>
      </c>
      <c r="O903">
        <v>8</v>
      </c>
      <c r="P903">
        <v>18619.61</v>
      </c>
      <c r="Q903">
        <v>20</v>
      </c>
      <c r="R903" s="39">
        <v>29791.38</v>
      </c>
      <c r="S903" s="39">
        <v>119165.5</v>
      </c>
      <c r="T903" s="39">
        <v>8456.48</v>
      </c>
      <c r="U903" t="str">
        <f t="shared" si="32"/>
        <v>Office Supplies</v>
      </c>
      <c r="V903">
        <f t="shared" si="33"/>
        <v>8456.48</v>
      </c>
      <c r="W903" t="str">
        <f>IF(Sales[[#This Row],[Quantity]]&gt;=15, "Large","Small")</f>
        <v>Small</v>
      </c>
      <c r="X903" t="str">
        <f>IF(Sales[[#This Row],[Quantity]]&gt;=15,"Large",IF(Sales[[#This Row],[Quantity]]=14,"Medium","Small"))</f>
        <v>Small</v>
      </c>
      <c r="Y903" t="str">
        <f>IF(AND(Sales[[#This Row],[Unit Price (₦)]]&gt;68000,Sales[[#This Row],[Quantity]]&gt;15),"Offer Discount", "No Discount")</f>
        <v>No Discount</v>
      </c>
    </row>
    <row r="904" spans="1:25" ht="15" customHeight="1" x14ac:dyDescent="0.25">
      <c r="A904" t="s">
        <v>1789</v>
      </c>
      <c r="B904" s="8">
        <v>45238</v>
      </c>
      <c r="C904" s="8">
        <v>45240</v>
      </c>
      <c r="D904" t="s">
        <v>20</v>
      </c>
      <c r="E904" t="s">
        <v>3049</v>
      </c>
      <c r="F904" t="s">
        <v>3071</v>
      </c>
      <c r="G904" t="s">
        <v>1791</v>
      </c>
      <c r="H904">
        <v>9013329735</v>
      </c>
      <c r="I904" t="s">
        <v>35</v>
      </c>
      <c r="J904" t="s">
        <v>69</v>
      </c>
      <c r="K904" t="s">
        <v>155</v>
      </c>
      <c r="L904" t="s">
        <v>96</v>
      </c>
      <c r="M904" t="s">
        <v>254</v>
      </c>
      <c r="N904" t="s">
        <v>756</v>
      </c>
      <c r="O904">
        <v>9</v>
      </c>
      <c r="P904">
        <v>393017.3</v>
      </c>
      <c r="Q904">
        <v>5</v>
      </c>
      <c r="R904" s="39">
        <v>176857.79</v>
      </c>
      <c r="S904" s="39">
        <v>3360297.91</v>
      </c>
      <c r="T904" s="39">
        <v>238775.84</v>
      </c>
      <c r="U904" t="str">
        <f t="shared" si="32"/>
        <v>Technology</v>
      </c>
      <c r="V904">
        <f t="shared" si="33"/>
        <v>238775.84</v>
      </c>
      <c r="W904" t="str">
        <f>IF(Sales[[#This Row],[Quantity]]&gt;=15, "Large","Small")</f>
        <v>Small</v>
      </c>
      <c r="X904" t="str">
        <f>IF(Sales[[#This Row],[Quantity]]&gt;=15,"Large",IF(Sales[[#This Row],[Quantity]]=14,"Medium","Small"))</f>
        <v>Small</v>
      </c>
      <c r="Y904" t="str">
        <f>IF(AND(Sales[[#This Row],[Unit Price (₦)]]&gt;68000,Sales[[#This Row],[Quantity]]&gt;15),"Offer Discount", "No Discount")</f>
        <v>No Discount</v>
      </c>
    </row>
    <row r="905" spans="1:25" ht="15" customHeight="1" x14ac:dyDescent="0.25">
      <c r="A905" t="s">
        <v>1209</v>
      </c>
      <c r="B905" s="8">
        <v>45240</v>
      </c>
      <c r="C905" s="8">
        <v>45242</v>
      </c>
      <c r="D905" t="s">
        <v>20</v>
      </c>
      <c r="E905" t="s">
        <v>3087</v>
      </c>
      <c r="F905" t="s">
        <v>3038</v>
      </c>
      <c r="G905" t="s">
        <v>1210</v>
      </c>
      <c r="H905">
        <v>8103706755</v>
      </c>
      <c r="I905" t="s">
        <v>35</v>
      </c>
      <c r="J905" t="s">
        <v>25</v>
      </c>
      <c r="K905" t="s">
        <v>126</v>
      </c>
      <c r="L905" t="s">
        <v>63</v>
      </c>
      <c r="M905" t="s">
        <v>312</v>
      </c>
      <c r="N905" t="s">
        <v>686</v>
      </c>
      <c r="O905">
        <v>18</v>
      </c>
      <c r="P905">
        <v>14520.92</v>
      </c>
      <c r="Q905">
        <v>0</v>
      </c>
      <c r="R905" s="39">
        <v>0</v>
      </c>
      <c r="S905" s="39">
        <v>261376.56</v>
      </c>
      <c r="T905" s="39">
        <v>112333.36</v>
      </c>
      <c r="U905" t="str">
        <f t="shared" si="32"/>
        <v>Office Supplies</v>
      </c>
      <c r="V905">
        <f t="shared" si="33"/>
        <v>112333.36</v>
      </c>
      <c r="W905" t="str">
        <f>IF(Sales[[#This Row],[Quantity]]&gt;=15, "Large","Small")</f>
        <v>Large</v>
      </c>
      <c r="X905" t="str">
        <f>IF(Sales[[#This Row],[Quantity]]&gt;=15,"Large",IF(Sales[[#This Row],[Quantity]]=14,"Medium","Small"))</f>
        <v>Large</v>
      </c>
      <c r="Y905" t="str">
        <f>IF(AND(Sales[[#This Row],[Unit Price (₦)]]&gt;68000,Sales[[#This Row],[Quantity]]&gt;15),"Offer Discount", "No Discount")</f>
        <v>No Discount</v>
      </c>
    </row>
    <row r="906" spans="1:25" ht="15" customHeight="1" x14ac:dyDescent="0.25">
      <c r="A906" t="s">
        <v>1351</v>
      </c>
      <c r="B906" s="8">
        <v>45246</v>
      </c>
      <c r="C906" s="8">
        <v>45249</v>
      </c>
      <c r="D906" t="s">
        <v>20</v>
      </c>
      <c r="E906" t="s">
        <v>3063</v>
      </c>
      <c r="F906" t="s">
        <v>3038</v>
      </c>
      <c r="G906" t="s">
        <v>3126</v>
      </c>
      <c r="H906">
        <v>8153950904</v>
      </c>
      <c r="I906" t="s">
        <v>43</v>
      </c>
      <c r="J906" t="s">
        <v>51</v>
      </c>
      <c r="K906" t="s">
        <v>131</v>
      </c>
      <c r="L906" t="s">
        <v>85</v>
      </c>
      <c r="M906" t="s">
        <v>86</v>
      </c>
      <c r="N906" t="s">
        <v>199</v>
      </c>
      <c r="O906">
        <v>3</v>
      </c>
      <c r="P906">
        <v>96563.44</v>
      </c>
      <c r="Q906">
        <v>5</v>
      </c>
      <c r="R906" s="39">
        <v>14484.52</v>
      </c>
      <c r="S906" s="39">
        <v>275205.8</v>
      </c>
      <c r="T906" s="39">
        <v>77839.72</v>
      </c>
      <c r="U906" t="str">
        <f t="shared" si="32"/>
        <v>Furniture</v>
      </c>
      <c r="V906">
        <f t="shared" si="33"/>
        <v>77839.72</v>
      </c>
      <c r="W906" t="str">
        <f>IF(Sales[[#This Row],[Quantity]]&gt;=15, "Large","Small")</f>
        <v>Small</v>
      </c>
      <c r="X906" t="str">
        <f>IF(Sales[[#This Row],[Quantity]]&gt;=15,"Large",IF(Sales[[#This Row],[Quantity]]=14,"Medium","Small"))</f>
        <v>Small</v>
      </c>
      <c r="Y906" t="str">
        <f>IF(AND(Sales[[#This Row],[Unit Price (₦)]]&gt;68000,Sales[[#This Row],[Quantity]]&gt;15),"Offer Discount", "No Discount")</f>
        <v>No Discount</v>
      </c>
    </row>
    <row r="907" spans="1:25" ht="15" customHeight="1" x14ac:dyDescent="0.25">
      <c r="A907" t="s">
        <v>2236</v>
      </c>
      <c r="B907" s="8">
        <v>45253</v>
      </c>
      <c r="C907" s="8">
        <v>45255</v>
      </c>
      <c r="D907" t="s">
        <v>20</v>
      </c>
      <c r="E907" t="s">
        <v>3063</v>
      </c>
      <c r="F907" t="s">
        <v>3074</v>
      </c>
      <c r="G907" t="s">
        <v>2239</v>
      </c>
      <c r="H907">
        <v>8031093478</v>
      </c>
      <c r="I907" t="s">
        <v>43</v>
      </c>
      <c r="J907" t="s">
        <v>69</v>
      </c>
      <c r="K907" t="s">
        <v>144</v>
      </c>
      <c r="L907" t="s">
        <v>63</v>
      </c>
      <c r="M907" t="s">
        <v>469</v>
      </c>
      <c r="N907" t="s">
        <v>1595</v>
      </c>
      <c r="O907">
        <v>16</v>
      </c>
      <c r="P907">
        <v>18998.43</v>
      </c>
      <c r="Q907">
        <v>25</v>
      </c>
      <c r="R907" s="39">
        <v>75993.72</v>
      </c>
      <c r="S907" s="39">
        <v>227981.16</v>
      </c>
      <c r="T907" s="39">
        <v>34171.93</v>
      </c>
      <c r="U907" t="str">
        <f t="shared" si="32"/>
        <v>Office Supplies</v>
      </c>
      <c r="V907">
        <f t="shared" si="33"/>
        <v>34171.93</v>
      </c>
      <c r="W907" t="str">
        <f>IF(Sales[[#This Row],[Quantity]]&gt;=15, "Large","Small")</f>
        <v>Large</v>
      </c>
      <c r="X907" t="str">
        <f>IF(Sales[[#This Row],[Quantity]]&gt;=15,"Large",IF(Sales[[#This Row],[Quantity]]=14,"Medium","Small"))</f>
        <v>Large</v>
      </c>
      <c r="Y907" t="str">
        <f>IF(AND(Sales[[#This Row],[Unit Price (₦)]]&gt;68000,Sales[[#This Row],[Quantity]]&gt;15),"Offer Discount", "No Discount")</f>
        <v>No Discount</v>
      </c>
    </row>
    <row r="908" spans="1:25" ht="15" customHeight="1" x14ac:dyDescent="0.25">
      <c r="A908" t="s">
        <v>2283</v>
      </c>
      <c r="B908" s="8">
        <v>45253</v>
      </c>
      <c r="C908" s="8">
        <v>45256</v>
      </c>
      <c r="D908" t="s">
        <v>20</v>
      </c>
      <c r="E908" t="str">
        <f>E909</f>
        <v>Kehinde</v>
      </c>
      <c r="F908" t="str">
        <f>F907</f>
        <v>Osei</v>
      </c>
      <c r="G908" t="s">
        <v>2284</v>
      </c>
      <c r="H908">
        <v>8139505390</v>
      </c>
      <c r="I908" t="s">
        <v>43</v>
      </c>
      <c r="J908" t="s">
        <v>69</v>
      </c>
      <c r="K908" t="s">
        <v>119</v>
      </c>
      <c r="L908" t="s">
        <v>96</v>
      </c>
      <c r="M908" t="s">
        <v>189</v>
      </c>
      <c r="N908" t="s">
        <v>478</v>
      </c>
      <c r="O908">
        <v>19</v>
      </c>
      <c r="P908">
        <v>351721.51</v>
      </c>
      <c r="Q908">
        <v>15</v>
      </c>
      <c r="R908" s="39">
        <v>1002406.3</v>
      </c>
      <c r="S908" s="39">
        <v>5680302.3899999997</v>
      </c>
      <c r="T908" s="39">
        <v>1169265.43</v>
      </c>
      <c r="U908" t="str">
        <f t="shared" si="32"/>
        <v>Technology</v>
      </c>
      <c r="V908">
        <f t="shared" si="33"/>
        <v>1169265.43</v>
      </c>
      <c r="W908" t="str">
        <f>IF(Sales[[#This Row],[Quantity]]&gt;=15, "Large","Small")</f>
        <v>Large</v>
      </c>
      <c r="X908" t="str">
        <f>IF(Sales[[#This Row],[Quantity]]&gt;=15,"Large",IF(Sales[[#This Row],[Quantity]]=14,"Medium","Small"))</f>
        <v>Large</v>
      </c>
      <c r="Y908" t="str">
        <f>IF(AND(Sales[[#This Row],[Unit Price (₦)]]&gt;68000,Sales[[#This Row],[Quantity]]&gt;15),"Offer Discount", "No Discount")</f>
        <v>Offer Discount</v>
      </c>
    </row>
    <row r="909" spans="1:25" ht="15" customHeight="1" x14ac:dyDescent="0.25">
      <c r="A909" t="s">
        <v>1227</v>
      </c>
      <c r="B909" s="8">
        <v>45261</v>
      </c>
      <c r="C909" s="8">
        <v>45264</v>
      </c>
      <c r="D909" t="s">
        <v>20</v>
      </c>
      <c r="E909" t="s">
        <v>3094</v>
      </c>
      <c r="F909" t="s">
        <v>3088</v>
      </c>
      <c r="G909" t="s">
        <v>1229</v>
      </c>
      <c r="H909">
        <v>8033946567</v>
      </c>
      <c r="I909" t="s">
        <v>24</v>
      </c>
      <c r="J909" t="s">
        <v>25</v>
      </c>
      <c r="K909" t="s">
        <v>26</v>
      </c>
      <c r="L909" t="s">
        <v>85</v>
      </c>
      <c r="M909" t="s">
        <v>243</v>
      </c>
      <c r="N909" t="s">
        <v>404</v>
      </c>
      <c r="O909">
        <v>16</v>
      </c>
      <c r="P909">
        <v>166632.12</v>
      </c>
      <c r="Q909">
        <v>20</v>
      </c>
      <c r="R909" s="39">
        <v>533222.78</v>
      </c>
      <c r="S909" s="39">
        <v>2132891.14</v>
      </c>
      <c r="T909" s="39">
        <v>700340.42</v>
      </c>
      <c r="U909" t="str">
        <f t="shared" si="32"/>
        <v>Furniture</v>
      </c>
      <c r="V909">
        <f t="shared" si="33"/>
        <v>700340.42</v>
      </c>
      <c r="W909" t="str">
        <f>IF(Sales[[#This Row],[Quantity]]&gt;=15, "Large","Small")</f>
        <v>Large</v>
      </c>
      <c r="X909" t="str">
        <f>IF(Sales[[#This Row],[Quantity]]&gt;=15,"Large",IF(Sales[[#This Row],[Quantity]]=14,"Medium","Small"))</f>
        <v>Large</v>
      </c>
      <c r="Y909" t="str">
        <f>IF(AND(Sales[[#This Row],[Unit Price (₦)]]&gt;68000,Sales[[#This Row],[Quantity]]&gt;15),"Offer Discount", "No Discount")</f>
        <v>Offer Discount</v>
      </c>
    </row>
    <row r="910" spans="1:25" ht="15" customHeight="1" x14ac:dyDescent="0.25">
      <c r="A910" t="s">
        <v>2544</v>
      </c>
      <c r="B910" s="8">
        <v>45268</v>
      </c>
      <c r="C910" s="8">
        <v>45271</v>
      </c>
      <c r="D910" t="s">
        <v>20</v>
      </c>
      <c r="E910" t="s">
        <v>3055</v>
      </c>
      <c r="F910" t="s">
        <v>3054</v>
      </c>
      <c r="G910" t="s">
        <v>571</v>
      </c>
      <c r="H910">
        <v>8157042065</v>
      </c>
      <c r="I910" t="s">
        <v>24</v>
      </c>
      <c r="J910" t="s">
        <v>61</v>
      </c>
      <c r="K910" t="s">
        <v>204</v>
      </c>
      <c r="L910" t="s">
        <v>85</v>
      </c>
      <c r="M910" t="s">
        <v>218</v>
      </c>
      <c r="N910" t="s">
        <v>1058</v>
      </c>
      <c r="O910">
        <v>6</v>
      </c>
      <c r="P910">
        <v>117580.03</v>
      </c>
      <c r="Q910">
        <v>15</v>
      </c>
      <c r="R910" s="39">
        <v>105822.03</v>
      </c>
      <c r="S910" s="39">
        <v>599658.15</v>
      </c>
      <c r="T910" s="39">
        <v>269536.92</v>
      </c>
      <c r="U910" t="str">
        <f t="shared" si="32"/>
        <v>Furniture</v>
      </c>
      <c r="V910">
        <f t="shared" si="33"/>
        <v>269536.92</v>
      </c>
      <c r="W910" t="str">
        <f>IF(Sales[[#This Row],[Quantity]]&gt;=15, "Large","Small")</f>
        <v>Small</v>
      </c>
      <c r="X910" t="str">
        <f>IF(Sales[[#This Row],[Quantity]]&gt;=15,"Large",IF(Sales[[#This Row],[Quantity]]=14,"Medium","Small"))</f>
        <v>Small</v>
      </c>
      <c r="Y910" t="str">
        <f>IF(AND(Sales[[#This Row],[Unit Price (₦)]]&gt;68000,Sales[[#This Row],[Quantity]]&gt;15),"Offer Discount", "No Discount")</f>
        <v>No Discount</v>
      </c>
    </row>
    <row r="911" spans="1:25" ht="15" customHeight="1" x14ac:dyDescent="0.25">
      <c r="A911" t="s">
        <v>1116</v>
      </c>
      <c r="B911" s="8">
        <v>45273</v>
      </c>
      <c r="C911" s="8">
        <v>45276</v>
      </c>
      <c r="D911" t="s">
        <v>20</v>
      </c>
      <c r="E911" t="s">
        <v>3050</v>
      </c>
      <c r="F911" t="s">
        <v>3046</v>
      </c>
      <c r="G911" t="s">
        <v>422</v>
      </c>
      <c r="H911">
        <v>7033260430</v>
      </c>
      <c r="I911" t="s">
        <v>35</v>
      </c>
      <c r="J911" t="s">
        <v>61</v>
      </c>
      <c r="K911" t="s">
        <v>204</v>
      </c>
      <c r="L911" t="s">
        <v>63</v>
      </c>
      <c r="M911" t="s">
        <v>249</v>
      </c>
      <c r="N911" t="s">
        <v>329</v>
      </c>
      <c r="O911">
        <v>18</v>
      </c>
      <c r="P911">
        <v>17812.34</v>
      </c>
      <c r="Q911">
        <v>10</v>
      </c>
      <c r="R911" s="39">
        <v>32062.21</v>
      </c>
      <c r="S911" s="39">
        <v>288559.90999999997</v>
      </c>
      <c r="T911" s="39">
        <v>50682.79</v>
      </c>
      <c r="U911" t="str">
        <f t="shared" si="32"/>
        <v>Office Supplies</v>
      </c>
      <c r="V911">
        <f t="shared" si="33"/>
        <v>50682.79</v>
      </c>
      <c r="W911" t="str">
        <f>IF(Sales[[#This Row],[Quantity]]&gt;=15, "Large","Small")</f>
        <v>Large</v>
      </c>
      <c r="X911" t="str">
        <f>IF(Sales[[#This Row],[Quantity]]&gt;=15,"Large",IF(Sales[[#This Row],[Quantity]]=14,"Medium","Small"))</f>
        <v>Large</v>
      </c>
      <c r="Y911" t="str">
        <f>IF(AND(Sales[[#This Row],[Unit Price (₦)]]&gt;68000,Sales[[#This Row],[Quantity]]&gt;15),"Offer Discount", "No Discount")</f>
        <v>No Discount</v>
      </c>
    </row>
    <row r="912" spans="1:25" ht="15" customHeight="1" x14ac:dyDescent="0.25">
      <c r="A912" t="s">
        <v>1427</v>
      </c>
      <c r="B912" s="8">
        <v>45274</v>
      </c>
      <c r="C912" s="8">
        <v>45277</v>
      </c>
      <c r="D912" t="s">
        <v>20</v>
      </c>
      <c r="E912" t="s">
        <v>3048</v>
      </c>
      <c r="F912" t="s">
        <v>3086</v>
      </c>
      <c r="G912" t="s">
        <v>1429</v>
      </c>
      <c r="H912">
        <v>8152146505</v>
      </c>
      <c r="I912" t="s">
        <v>35</v>
      </c>
      <c r="J912" t="s">
        <v>25</v>
      </c>
      <c r="K912" t="s">
        <v>26</v>
      </c>
      <c r="L912" t="s">
        <v>96</v>
      </c>
      <c r="M912" t="s">
        <v>254</v>
      </c>
      <c r="N912" t="s">
        <v>756</v>
      </c>
      <c r="O912">
        <v>7</v>
      </c>
      <c r="P912">
        <v>245044.85</v>
      </c>
      <c r="Q912">
        <v>10</v>
      </c>
      <c r="R912" s="39">
        <v>171531.39</v>
      </c>
      <c r="S912" s="39">
        <v>1543782.56</v>
      </c>
      <c r="T912" s="39">
        <v>-72458.86</v>
      </c>
      <c r="U912" t="str">
        <f t="shared" si="32"/>
        <v>Technology</v>
      </c>
      <c r="V912">
        <f t="shared" si="33"/>
        <v>72458.86</v>
      </c>
      <c r="W912" t="str">
        <f>IF(Sales[[#This Row],[Quantity]]&gt;=15, "Large","Small")</f>
        <v>Small</v>
      </c>
      <c r="X912" t="str">
        <f>IF(Sales[[#This Row],[Quantity]]&gt;=15,"Large",IF(Sales[[#This Row],[Quantity]]=14,"Medium","Small"))</f>
        <v>Small</v>
      </c>
      <c r="Y912" t="str">
        <f>IF(AND(Sales[[#This Row],[Unit Price (₦)]]&gt;68000,Sales[[#This Row],[Quantity]]&gt;15),"Offer Discount", "No Discount")</f>
        <v>No Discount</v>
      </c>
    </row>
    <row r="913" spans="1:25" ht="15" customHeight="1" x14ac:dyDescent="0.25">
      <c r="A913" t="s">
        <v>2113</v>
      </c>
      <c r="B913" s="8">
        <v>45274</v>
      </c>
      <c r="C913" s="8">
        <v>45277</v>
      </c>
      <c r="D913" t="s">
        <v>20</v>
      </c>
      <c r="E913" t="s">
        <v>3044</v>
      </c>
      <c r="F913" t="s">
        <v>3090</v>
      </c>
      <c r="G913" t="s">
        <v>2115</v>
      </c>
      <c r="H913">
        <v>8033670591</v>
      </c>
      <c r="I913" t="s">
        <v>24</v>
      </c>
      <c r="J913" t="s">
        <v>51</v>
      </c>
      <c r="K913" t="s">
        <v>131</v>
      </c>
      <c r="L913" t="s">
        <v>85</v>
      </c>
      <c r="M913" t="s">
        <v>86</v>
      </c>
      <c r="N913" t="s">
        <v>584</v>
      </c>
      <c r="O913">
        <v>16</v>
      </c>
      <c r="P913">
        <v>93902.63</v>
      </c>
      <c r="Q913">
        <v>10</v>
      </c>
      <c r="R913" s="39">
        <v>150244.21</v>
      </c>
      <c r="S913" s="39">
        <v>1352197.87</v>
      </c>
      <c r="T913" s="39">
        <v>413698.95</v>
      </c>
      <c r="U913" t="str">
        <f t="shared" si="32"/>
        <v>Furniture</v>
      </c>
      <c r="V913">
        <f t="shared" si="33"/>
        <v>413698.95</v>
      </c>
      <c r="W913" t="str">
        <f>IF(Sales[[#This Row],[Quantity]]&gt;=15, "Large","Small")</f>
        <v>Large</v>
      </c>
      <c r="X913" t="str">
        <f>IF(Sales[[#This Row],[Quantity]]&gt;=15,"Large",IF(Sales[[#This Row],[Quantity]]=14,"Medium","Small"))</f>
        <v>Large</v>
      </c>
      <c r="Y913" t="str">
        <f>IF(AND(Sales[[#This Row],[Unit Price (₦)]]&gt;68000,Sales[[#This Row],[Quantity]]&gt;15),"Offer Discount", "No Discount")</f>
        <v>Offer Discount</v>
      </c>
    </row>
    <row r="914" spans="1:25" ht="15" customHeight="1" x14ac:dyDescent="0.25">
      <c r="A914" t="s">
        <v>1222</v>
      </c>
      <c r="B914" s="8">
        <v>45278</v>
      </c>
      <c r="C914" s="8">
        <v>45280</v>
      </c>
      <c r="D914" t="s">
        <v>20</v>
      </c>
      <c r="E914" t="s">
        <v>3049</v>
      </c>
      <c r="F914" t="s">
        <v>3040</v>
      </c>
      <c r="G914" t="s">
        <v>1225</v>
      </c>
      <c r="H914">
        <v>9015724912</v>
      </c>
      <c r="I914" t="s">
        <v>35</v>
      </c>
      <c r="J914" t="s">
        <v>69</v>
      </c>
      <c r="K914" t="s">
        <v>70</v>
      </c>
      <c r="L914" t="s">
        <v>63</v>
      </c>
      <c r="M914" t="s">
        <v>194</v>
      </c>
      <c r="N914" t="s">
        <v>1226</v>
      </c>
      <c r="O914">
        <v>17</v>
      </c>
      <c r="P914">
        <v>8040.43</v>
      </c>
      <c r="Q914">
        <v>25</v>
      </c>
      <c r="R914" s="39">
        <v>34171.83</v>
      </c>
      <c r="S914" s="39">
        <v>102515.48</v>
      </c>
      <c r="T914" s="39">
        <v>4547</v>
      </c>
      <c r="U914" t="str">
        <f t="shared" si="32"/>
        <v>Office Supplies</v>
      </c>
      <c r="V914">
        <f t="shared" si="33"/>
        <v>4547</v>
      </c>
      <c r="W914" t="str">
        <f>IF(Sales[[#This Row],[Quantity]]&gt;=15, "Large","Small")</f>
        <v>Large</v>
      </c>
      <c r="X914" t="str">
        <f>IF(Sales[[#This Row],[Quantity]]&gt;=15,"Large",IF(Sales[[#This Row],[Quantity]]=14,"Medium","Small"))</f>
        <v>Large</v>
      </c>
      <c r="Y914" t="str">
        <f>IF(AND(Sales[[#This Row],[Unit Price (₦)]]&gt;68000,Sales[[#This Row],[Quantity]]&gt;15),"Offer Discount", "No Discount")</f>
        <v>No Discount</v>
      </c>
    </row>
    <row r="915" spans="1:25" ht="15" customHeight="1" x14ac:dyDescent="0.25">
      <c r="A915" t="s">
        <v>2714</v>
      </c>
      <c r="B915" s="8">
        <v>45285</v>
      </c>
      <c r="C915" s="8">
        <v>45288</v>
      </c>
      <c r="D915" t="s">
        <v>20</v>
      </c>
      <c r="E915" t="s">
        <v>3091</v>
      </c>
      <c r="F915" t="s">
        <v>3043</v>
      </c>
      <c r="G915" t="s">
        <v>2715</v>
      </c>
      <c r="H915">
        <v>8137366014</v>
      </c>
      <c r="I915" t="s">
        <v>125</v>
      </c>
      <c r="J915" t="s">
        <v>69</v>
      </c>
      <c r="K915" t="s">
        <v>119</v>
      </c>
      <c r="L915" t="s">
        <v>27</v>
      </c>
      <c r="M915" t="s">
        <v>28</v>
      </c>
      <c r="N915" t="s">
        <v>29</v>
      </c>
      <c r="O915">
        <v>19</v>
      </c>
      <c r="P915">
        <v>5585.99</v>
      </c>
      <c r="Q915">
        <v>5</v>
      </c>
      <c r="R915" s="39">
        <v>5306.69</v>
      </c>
      <c r="S915" s="39">
        <v>100827.12</v>
      </c>
      <c r="T915" s="39">
        <v>23924.9</v>
      </c>
      <c r="U915" t="str">
        <f t="shared" si="32"/>
        <v>Food &amp; Beverages</v>
      </c>
      <c r="V915">
        <f t="shared" si="33"/>
        <v>23924.9</v>
      </c>
      <c r="W915" t="str">
        <f>IF(Sales[[#This Row],[Quantity]]&gt;=15, "Large","Small")</f>
        <v>Large</v>
      </c>
      <c r="X915" t="str">
        <f>IF(Sales[[#This Row],[Quantity]]&gt;=15,"Large",IF(Sales[[#This Row],[Quantity]]=14,"Medium","Small"))</f>
        <v>Large</v>
      </c>
      <c r="Y915" t="str">
        <f>IF(AND(Sales[[#This Row],[Unit Price (₦)]]&gt;68000,Sales[[#This Row],[Quantity]]&gt;15),"Offer Discount", "No Discount")</f>
        <v>No Discount</v>
      </c>
    </row>
    <row r="916" spans="1:25" ht="15" customHeight="1" x14ac:dyDescent="0.25">
      <c r="A916" t="s">
        <v>2844</v>
      </c>
      <c r="B916" s="8">
        <v>45292</v>
      </c>
      <c r="C916" s="8">
        <v>45295</v>
      </c>
      <c r="D916" t="s">
        <v>20</v>
      </c>
      <c r="E916" t="s">
        <v>3059</v>
      </c>
      <c r="F916" t="s">
        <v>3077</v>
      </c>
      <c r="G916" t="s">
        <v>2846</v>
      </c>
      <c r="H916">
        <v>8144818119</v>
      </c>
      <c r="I916" t="s">
        <v>35</v>
      </c>
      <c r="J916" t="s">
        <v>69</v>
      </c>
      <c r="K916" t="s">
        <v>182</v>
      </c>
      <c r="L916" t="s">
        <v>108</v>
      </c>
      <c r="M916" t="s">
        <v>189</v>
      </c>
      <c r="N916" t="s">
        <v>287</v>
      </c>
      <c r="O916">
        <v>4</v>
      </c>
      <c r="P916">
        <v>31658.36</v>
      </c>
      <c r="Q916">
        <v>0</v>
      </c>
      <c r="R916" s="39">
        <v>0</v>
      </c>
      <c r="S916" s="39">
        <v>126633.44</v>
      </c>
      <c r="T916" s="39">
        <v>-1420.49</v>
      </c>
      <c r="U916" t="str">
        <f t="shared" si="32"/>
        <v>Clothing</v>
      </c>
      <c r="V916">
        <f t="shared" si="33"/>
        <v>1420.49</v>
      </c>
      <c r="W916" t="str">
        <f>IF(Sales[[#This Row],[Quantity]]&gt;=15, "Large","Small")</f>
        <v>Small</v>
      </c>
      <c r="X916" t="str">
        <f>IF(Sales[[#This Row],[Quantity]]&gt;=15,"Large",IF(Sales[[#This Row],[Quantity]]=14,"Medium","Small"))</f>
        <v>Small</v>
      </c>
      <c r="Y916" t="str">
        <f>IF(AND(Sales[[#This Row],[Unit Price (₦)]]&gt;68000,Sales[[#This Row],[Quantity]]&gt;15),"Offer Discount", "No Discount")</f>
        <v>No Discount</v>
      </c>
    </row>
    <row r="917" spans="1:25" ht="15" customHeight="1" x14ac:dyDescent="0.25">
      <c r="A917" t="s">
        <v>2471</v>
      </c>
      <c r="B917" s="8">
        <v>45307</v>
      </c>
      <c r="C917" s="8">
        <v>45310</v>
      </c>
      <c r="D917" t="s">
        <v>20</v>
      </c>
      <c r="E917" t="s">
        <v>3068</v>
      </c>
      <c r="F917" t="s">
        <v>3039</v>
      </c>
      <c r="G917" t="s">
        <v>1463</v>
      </c>
      <c r="H917">
        <v>8136371304</v>
      </c>
      <c r="I917" t="s">
        <v>43</v>
      </c>
      <c r="J917" t="s">
        <v>69</v>
      </c>
      <c r="K917" t="s">
        <v>155</v>
      </c>
      <c r="L917" t="s">
        <v>27</v>
      </c>
      <c r="M917" t="s">
        <v>45</v>
      </c>
      <c r="N917" t="s">
        <v>308</v>
      </c>
      <c r="O917">
        <v>5</v>
      </c>
      <c r="P917">
        <v>7677.3</v>
      </c>
      <c r="Q917">
        <v>10</v>
      </c>
      <c r="R917" s="39">
        <v>3838.65</v>
      </c>
      <c r="S917" s="39">
        <v>34547.85</v>
      </c>
      <c r="T917" s="39">
        <v>12643.37</v>
      </c>
      <c r="U917" t="str">
        <f t="shared" si="32"/>
        <v>Food &amp; Beverages</v>
      </c>
      <c r="V917">
        <f t="shared" si="33"/>
        <v>12643.37</v>
      </c>
      <c r="W917" t="str">
        <f>IF(Sales[[#This Row],[Quantity]]&gt;=15, "Large","Small")</f>
        <v>Small</v>
      </c>
      <c r="X917" t="str">
        <f>IF(Sales[[#This Row],[Quantity]]&gt;=15,"Large",IF(Sales[[#This Row],[Quantity]]=14,"Medium","Small"))</f>
        <v>Small</v>
      </c>
      <c r="Y917" t="str">
        <f>IF(AND(Sales[[#This Row],[Unit Price (₦)]]&gt;68000,Sales[[#This Row],[Quantity]]&gt;15),"Offer Discount", "No Discount")</f>
        <v>No Discount</v>
      </c>
    </row>
    <row r="918" spans="1:25" ht="15" customHeight="1" x14ac:dyDescent="0.25">
      <c r="A918" t="s">
        <v>2144</v>
      </c>
      <c r="B918" s="8">
        <v>45313</v>
      </c>
      <c r="C918" s="8">
        <v>45316</v>
      </c>
      <c r="D918" t="s">
        <v>20</v>
      </c>
      <c r="E918" t="s">
        <v>3059</v>
      </c>
      <c r="F918" t="s">
        <v>3075</v>
      </c>
      <c r="G918" t="s">
        <v>2145</v>
      </c>
      <c r="H918">
        <v>7039446412</v>
      </c>
      <c r="I918" t="s">
        <v>43</v>
      </c>
      <c r="J918" t="s">
        <v>51</v>
      </c>
      <c r="K918" t="s">
        <v>131</v>
      </c>
      <c r="L918" t="s">
        <v>96</v>
      </c>
      <c r="M918" t="s">
        <v>120</v>
      </c>
      <c r="N918" t="s">
        <v>367</v>
      </c>
      <c r="O918">
        <v>20</v>
      </c>
      <c r="P918">
        <v>406685.04</v>
      </c>
      <c r="Q918">
        <v>20</v>
      </c>
      <c r="R918" s="39">
        <v>1626740.16</v>
      </c>
      <c r="S918" s="39">
        <v>6506960.6399999997</v>
      </c>
      <c r="T918" s="39">
        <v>116281.39</v>
      </c>
      <c r="U918" t="str">
        <f t="shared" si="32"/>
        <v>Technology</v>
      </c>
      <c r="V918">
        <f t="shared" si="33"/>
        <v>116281.39</v>
      </c>
      <c r="W918" t="str">
        <f>IF(Sales[[#This Row],[Quantity]]&gt;=15, "Large","Small")</f>
        <v>Large</v>
      </c>
      <c r="X918" t="str">
        <f>IF(Sales[[#This Row],[Quantity]]&gt;=15,"Large",IF(Sales[[#This Row],[Quantity]]=14,"Medium","Small"))</f>
        <v>Large</v>
      </c>
      <c r="Y918" t="str">
        <f>IF(AND(Sales[[#This Row],[Unit Price (₦)]]&gt;68000,Sales[[#This Row],[Quantity]]&gt;15),"Offer Discount", "No Discount")</f>
        <v>Offer Discount</v>
      </c>
    </row>
    <row r="919" spans="1:25" ht="15" customHeight="1" x14ac:dyDescent="0.25">
      <c r="A919" t="s">
        <v>997</v>
      </c>
      <c r="B919" s="8">
        <v>45318</v>
      </c>
      <c r="C919" s="8">
        <v>45320</v>
      </c>
      <c r="D919" t="s">
        <v>20</v>
      </c>
      <c r="E919" t="str">
        <f>E920</f>
        <v>Chisom</v>
      </c>
      <c r="F919" t="str">
        <f>F918</f>
        <v>Dangote</v>
      </c>
      <c r="G919" t="s">
        <v>998</v>
      </c>
      <c r="H919">
        <v>8157060792</v>
      </c>
      <c r="I919" t="s">
        <v>35</v>
      </c>
      <c r="J919" t="s">
        <v>69</v>
      </c>
      <c r="K919" t="s">
        <v>119</v>
      </c>
      <c r="L919" t="s">
        <v>108</v>
      </c>
      <c r="M919" t="s">
        <v>183</v>
      </c>
      <c r="N919" t="s">
        <v>869</v>
      </c>
      <c r="O919">
        <v>2</v>
      </c>
      <c r="P919">
        <v>39906.74</v>
      </c>
      <c r="Q919">
        <v>10</v>
      </c>
      <c r="R919" s="39">
        <v>7981.35</v>
      </c>
      <c r="S919" s="39">
        <v>71832.13</v>
      </c>
      <c r="T919" s="39">
        <v>-6325.9</v>
      </c>
      <c r="U919" t="str">
        <f t="shared" si="32"/>
        <v>Clothing</v>
      </c>
      <c r="V919">
        <f t="shared" si="33"/>
        <v>6325.9</v>
      </c>
      <c r="W919" t="str">
        <f>IF(Sales[[#This Row],[Quantity]]&gt;=15, "Large","Small")</f>
        <v>Small</v>
      </c>
      <c r="X919" t="str">
        <f>IF(Sales[[#This Row],[Quantity]]&gt;=15,"Large",IF(Sales[[#This Row],[Quantity]]=14,"Medium","Small"))</f>
        <v>Small</v>
      </c>
      <c r="Y919" t="str">
        <f>IF(AND(Sales[[#This Row],[Unit Price (₦)]]&gt;68000,Sales[[#This Row],[Quantity]]&gt;15),"Offer Discount", "No Discount")</f>
        <v>No Discount</v>
      </c>
    </row>
    <row r="920" spans="1:25" ht="15" customHeight="1" x14ac:dyDescent="0.25">
      <c r="A920" t="s">
        <v>2641</v>
      </c>
      <c r="B920" s="8">
        <v>45322</v>
      </c>
      <c r="C920" s="8">
        <v>45324</v>
      </c>
      <c r="D920" t="s">
        <v>20</v>
      </c>
      <c r="E920" t="s">
        <v>3041</v>
      </c>
      <c r="F920" t="s">
        <v>3034</v>
      </c>
      <c r="G920" t="s">
        <v>2643</v>
      </c>
      <c r="H920">
        <v>7063918610</v>
      </c>
      <c r="I920" t="s">
        <v>35</v>
      </c>
      <c r="J920" t="s">
        <v>69</v>
      </c>
      <c r="K920" t="s">
        <v>155</v>
      </c>
      <c r="L920" t="s">
        <v>27</v>
      </c>
      <c r="M920" t="s">
        <v>28</v>
      </c>
      <c r="N920" t="s">
        <v>71</v>
      </c>
      <c r="O920">
        <v>12</v>
      </c>
      <c r="P920">
        <v>3899.63</v>
      </c>
      <c r="Q920">
        <v>10</v>
      </c>
      <c r="R920" s="39">
        <v>4679.5600000000004</v>
      </c>
      <c r="S920" s="39">
        <v>42116</v>
      </c>
      <c r="T920" s="39">
        <v>-2586.77</v>
      </c>
      <c r="U920" t="str">
        <f t="shared" si="32"/>
        <v>Food &amp; Beverages</v>
      </c>
      <c r="V920">
        <f t="shared" si="33"/>
        <v>2586.77</v>
      </c>
      <c r="W920" t="str">
        <f>IF(Sales[[#This Row],[Quantity]]&gt;=15, "Large","Small")</f>
        <v>Small</v>
      </c>
      <c r="X920" t="str">
        <f>IF(Sales[[#This Row],[Quantity]]&gt;=15,"Large",IF(Sales[[#This Row],[Quantity]]=14,"Medium","Small"))</f>
        <v>Small</v>
      </c>
      <c r="Y920" t="str">
        <f>IF(AND(Sales[[#This Row],[Unit Price (₦)]]&gt;68000,Sales[[#This Row],[Quantity]]&gt;15),"Offer Discount", "No Discount")</f>
        <v>No Discount</v>
      </c>
    </row>
    <row r="921" spans="1:25" ht="15" customHeight="1" x14ac:dyDescent="0.25">
      <c r="A921" t="s">
        <v>1964</v>
      </c>
      <c r="B921" s="8">
        <v>45327</v>
      </c>
      <c r="C921" s="8">
        <v>45329</v>
      </c>
      <c r="D921" t="s">
        <v>20</v>
      </c>
      <c r="E921" t="s">
        <v>3051</v>
      </c>
      <c r="F921" t="s">
        <v>3075</v>
      </c>
      <c r="G921" t="s">
        <v>1966</v>
      </c>
      <c r="H921">
        <v>8161715977</v>
      </c>
      <c r="I921" t="s">
        <v>43</v>
      </c>
      <c r="J921" t="s">
        <v>61</v>
      </c>
      <c r="K921" t="s">
        <v>204</v>
      </c>
      <c r="L921" t="s">
        <v>27</v>
      </c>
      <c r="M921" t="s">
        <v>79</v>
      </c>
      <c r="N921" t="s">
        <v>490</v>
      </c>
      <c r="O921">
        <v>18</v>
      </c>
      <c r="P921">
        <v>5688.04</v>
      </c>
      <c r="Q921">
        <v>0</v>
      </c>
      <c r="R921" s="39">
        <v>0</v>
      </c>
      <c r="S921" s="39">
        <v>102384.72</v>
      </c>
      <c r="T921" s="39">
        <f>T920</f>
        <v>-2586.77</v>
      </c>
      <c r="U921" t="str">
        <f t="shared" si="32"/>
        <v>Food &amp; Beverages</v>
      </c>
      <c r="V921">
        <f t="shared" si="33"/>
        <v>2586.77</v>
      </c>
      <c r="W921" t="str">
        <f>IF(Sales[[#This Row],[Quantity]]&gt;=15, "Large","Small")</f>
        <v>Large</v>
      </c>
      <c r="X921" t="str">
        <f>IF(Sales[[#This Row],[Quantity]]&gt;=15,"Large",IF(Sales[[#This Row],[Quantity]]=14,"Medium","Small"))</f>
        <v>Large</v>
      </c>
      <c r="Y921" t="str">
        <f>IF(AND(Sales[[#This Row],[Unit Price (₦)]]&gt;68000,Sales[[#This Row],[Quantity]]&gt;15),"Offer Discount", "No Discount")</f>
        <v>No Discount</v>
      </c>
    </row>
    <row r="922" spans="1:25" ht="15" customHeight="1" x14ac:dyDescent="0.25">
      <c r="A922" t="s">
        <v>2735</v>
      </c>
      <c r="B922" s="8">
        <v>45327</v>
      </c>
      <c r="C922" s="8">
        <v>45329</v>
      </c>
      <c r="D922" t="s">
        <v>20</v>
      </c>
      <c r="E922" t="s">
        <v>3041</v>
      </c>
      <c r="F922" t="s">
        <v>3083</v>
      </c>
      <c r="G922" t="s">
        <v>2737</v>
      </c>
      <c r="H922">
        <v>9021269132</v>
      </c>
      <c r="I922" t="s">
        <v>43</v>
      </c>
      <c r="J922" t="s">
        <v>69</v>
      </c>
      <c r="K922" t="s">
        <v>70</v>
      </c>
      <c r="L922" t="s">
        <v>85</v>
      </c>
      <c r="M922" t="s">
        <v>486</v>
      </c>
      <c r="N922" t="s">
        <v>1193</v>
      </c>
      <c r="O922">
        <v>19</v>
      </c>
      <c r="P922">
        <v>85389.75</v>
      </c>
      <c r="Q922">
        <v>0</v>
      </c>
      <c r="R922" s="39">
        <v>0</v>
      </c>
      <c r="S922" s="39">
        <v>1622405.25</v>
      </c>
      <c r="T922" s="39">
        <v>388473.24</v>
      </c>
      <c r="U922" t="str">
        <f t="shared" si="32"/>
        <v>Furniture</v>
      </c>
      <c r="V922">
        <f t="shared" si="33"/>
        <v>388473.24</v>
      </c>
      <c r="W922" t="str">
        <f>IF(Sales[[#This Row],[Quantity]]&gt;=15, "Large","Small")</f>
        <v>Large</v>
      </c>
      <c r="X922" t="str">
        <f>IF(Sales[[#This Row],[Quantity]]&gt;=15,"Large",IF(Sales[[#This Row],[Quantity]]=14,"Medium","Small"))</f>
        <v>Large</v>
      </c>
      <c r="Y922" t="str">
        <f>IF(AND(Sales[[#This Row],[Unit Price (₦)]]&gt;68000,Sales[[#This Row],[Quantity]]&gt;15),"Offer Discount", "No Discount")</f>
        <v>Offer Discount</v>
      </c>
    </row>
    <row r="923" spans="1:25" ht="15" customHeight="1" x14ac:dyDescent="0.25">
      <c r="A923" t="s">
        <v>2874</v>
      </c>
      <c r="B923" s="8">
        <v>45338</v>
      </c>
      <c r="C923" s="8">
        <v>45340</v>
      </c>
      <c r="D923" t="s">
        <v>20</v>
      </c>
      <c r="E923" t="s">
        <v>3092</v>
      </c>
      <c r="F923" t="s">
        <v>3040</v>
      </c>
      <c r="G923" t="s">
        <v>2876</v>
      </c>
      <c r="H923">
        <v>9025901261</v>
      </c>
      <c r="I923" t="s">
        <v>43</v>
      </c>
      <c r="J923" t="s">
        <v>25</v>
      </c>
      <c r="K923" t="s">
        <v>126</v>
      </c>
      <c r="L923" t="s">
        <v>63</v>
      </c>
      <c r="M923" t="s">
        <v>54</v>
      </c>
      <c r="N923" t="s">
        <v>1039</v>
      </c>
      <c r="O923">
        <v>5</v>
      </c>
      <c r="P923">
        <v>13871.49</v>
      </c>
      <c r="Q923">
        <v>25</v>
      </c>
      <c r="R923" s="39">
        <v>17339.36</v>
      </c>
      <c r="S923" s="39">
        <v>52018.09</v>
      </c>
      <c r="T923" s="39">
        <v>7077.95</v>
      </c>
      <c r="U923" t="str">
        <f t="shared" si="32"/>
        <v>Office Supplies</v>
      </c>
      <c r="V923">
        <f t="shared" si="33"/>
        <v>7077.95</v>
      </c>
      <c r="W923" t="str">
        <f>IF(Sales[[#This Row],[Quantity]]&gt;=15, "Large","Small")</f>
        <v>Small</v>
      </c>
      <c r="X923" t="str">
        <f>IF(Sales[[#This Row],[Quantity]]&gt;=15,"Large",IF(Sales[[#This Row],[Quantity]]=14,"Medium","Small"))</f>
        <v>Small</v>
      </c>
      <c r="Y923" t="str">
        <f>IF(AND(Sales[[#This Row],[Unit Price (₦)]]&gt;68000,Sales[[#This Row],[Quantity]]&gt;15),"Offer Discount", "No Discount")</f>
        <v>No Discount</v>
      </c>
    </row>
    <row r="924" spans="1:25" ht="15" customHeight="1" x14ac:dyDescent="0.25">
      <c r="A924" t="s">
        <v>2207</v>
      </c>
      <c r="B924" s="8">
        <v>45340</v>
      </c>
      <c r="C924" s="8">
        <v>45342</v>
      </c>
      <c r="D924" t="s">
        <v>20</v>
      </c>
      <c r="E924" t="s">
        <v>3097</v>
      </c>
      <c r="F924" t="s">
        <v>3083</v>
      </c>
      <c r="G924" t="s">
        <v>2208</v>
      </c>
      <c r="H924">
        <v>8164890524</v>
      </c>
      <c r="I924" t="s">
        <v>24</v>
      </c>
      <c r="J924" t="s">
        <v>25</v>
      </c>
      <c r="K924" t="s">
        <v>168</v>
      </c>
      <c r="L924" t="s">
        <v>63</v>
      </c>
      <c r="M924" t="s">
        <v>469</v>
      </c>
      <c r="N924" t="s">
        <v>546</v>
      </c>
      <c r="O924">
        <v>13</v>
      </c>
      <c r="P924">
        <v>12510.44</v>
      </c>
      <c r="Q924">
        <v>10</v>
      </c>
      <c r="R924" s="39">
        <v>16263.57</v>
      </c>
      <c r="S924" s="39">
        <v>146372.15</v>
      </c>
      <c r="T924" s="39">
        <v>25768.52</v>
      </c>
      <c r="U924" t="str">
        <f t="shared" si="32"/>
        <v>Office Supplies</v>
      </c>
      <c r="V924">
        <f t="shared" si="33"/>
        <v>25768.52</v>
      </c>
      <c r="W924" t="str">
        <f>IF(Sales[[#This Row],[Quantity]]&gt;=15, "Large","Small")</f>
        <v>Small</v>
      </c>
      <c r="X924" t="str">
        <f>IF(Sales[[#This Row],[Quantity]]&gt;=15,"Large",IF(Sales[[#This Row],[Quantity]]=14,"Medium","Small"))</f>
        <v>Small</v>
      </c>
      <c r="Y924" t="str">
        <f>IF(AND(Sales[[#This Row],[Unit Price (₦)]]&gt;68000,Sales[[#This Row],[Quantity]]&gt;15),"Offer Discount", "No Discount")</f>
        <v>No Discount</v>
      </c>
    </row>
    <row r="925" spans="1:25" ht="15" customHeight="1" x14ac:dyDescent="0.25">
      <c r="A925" t="s">
        <v>1461</v>
      </c>
      <c r="B925" s="8">
        <v>45341</v>
      </c>
      <c r="C925" s="8">
        <v>45343</v>
      </c>
      <c r="D925" t="s">
        <v>20</v>
      </c>
      <c r="E925" t="s">
        <v>3068</v>
      </c>
      <c r="F925" t="s">
        <v>3039</v>
      </c>
      <c r="G925" t="s">
        <v>1463</v>
      </c>
      <c r="H925">
        <v>7066893320</v>
      </c>
      <c r="I925" t="s">
        <v>35</v>
      </c>
      <c r="J925" t="s">
        <v>51</v>
      </c>
      <c r="K925" t="s">
        <v>227</v>
      </c>
      <c r="L925" t="s">
        <v>96</v>
      </c>
      <c r="M925" t="s">
        <v>385</v>
      </c>
      <c r="N925" t="s">
        <v>781</v>
      </c>
      <c r="O925">
        <v>10</v>
      </c>
      <c r="P925">
        <v>117060.61</v>
      </c>
      <c r="Q925">
        <v>0</v>
      </c>
      <c r="R925" s="39">
        <v>0</v>
      </c>
      <c r="S925" s="39">
        <v>1170606.1000000001</v>
      </c>
      <c r="T925" s="39">
        <v>463833.25</v>
      </c>
      <c r="U925" t="str">
        <f t="shared" si="32"/>
        <v>Technology</v>
      </c>
      <c r="V925">
        <f t="shared" si="33"/>
        <v>463833.25</v>
      </c>
      <c r="W925" t="str">
        <f>IF(Sales[[#This Row],[Quantity]]&gt;=15, "Large","Small")</f>
        <v>Small</v>
      </c>
      <c r="X925" t="str">
        <f>IF(Sales[[#This Row],[Quantity]]&gt;=15,"Large",IF(Sales[[#This Row],[Quantity]]=14,"Medium","Small"))</f>
        <v>Small</v>
      </c>
      <c r="Y925" t="str">
        <f>IF(AND(Sales[[#This Row],[Unit Price (₦)]]&gt;68000,Sales[[#This Row],[Quantity]]&gt;15),"Offer Discount", "No Discount")</f>
        <v>No Discount</v>
      </c>
    </row>
    <row r="926" spans="1:25" ht="15" customHeight="1" x14ac:dyDescent="0.25">
      <c r="A926" t="s">
        <v>1461</v>
      </c>
      <c r="B926" s="8">
        <v>45341</v>
      </c>
      <c r="C926" s="8">
        <v>45343</v>
      </c>
      <c r="D926" t="s">
        <v>20</v>
      </c>
      <c r="E926" t="s">
        <v>3068</v>
      </c>
      <c r="F926" t="s">
        <v>3102</v>
      </c>
      <c r="G926" t="s">
        <v>1463</v>
      </c>
      <c r="H926">
        <v>7066893320</v>
      </c>
      <c r="I926" t="s">
        <v>35</v>
      </c>
      <c r="J926" t="s">
        <v>51</v>
      </c>
      <c r="K926" t="s">
        <v>227</v>
      </c>
      <c r="L926" t="s">
        <v>96</v>
      </c>
      <c r="M926" t="s">
        <v>385</v>
      </c>
      <c r="N926" t="s">
        <v>781</v>
      </c>
      <c r="O926">
        <v>10</v>
      </c>
      <c r="P926">
        <v>117060.61</v>
      </c>
      <c r="Q926">
        <v>0</v>
      </c>
      <c r="R926" s="39">
        <v>0</v>
      </c>
      <c r="S926" s="39">
        <v>1170606.1000000001</v>
      </c>
      <c r="T926" s="39">
        <v>463833.25</v>
      </c>
      <c r="U926" t="str">
        <f t="shared" si="32"/>
        <v>Technology</v>
      </c>
      <c r="V926">
        <f t="shared" si="33"/>
        <v>463833.25</v>
      </c>
      <c r="W926" t="str">
        <f>IF(Sales[[#This Row],[Quantity]]&gt;=15, "Large","Small")</f>
        <v>Small</v>
      </c>
      <c r="X926" t="str">
        <f>IF(Sales[[#This Row],[Quantity]]&gt;=15,"Large",IF(Sales[[#This Row],[Quantity]]=14,"Medium","Small"))</f>
        <v>Small</v>
      </c>
      <c r="Y926" t="str">
        <f>IF(AND(Sales[[#This Row],[Unit Price (₦)]]&gt;68000,Sales[[#This Row],[Quantity]]&gt;15),"Offer Discount", "No Discount")</f>
        <v>No Discount</v>
      </c>
    </row>
    <row r="927" spans="1:25" ht="15" customHeight="1" x14ac:dyDescent="0.25">
      <c r="A927" t="s">
        <v>1698</v>
      </c>
      <c r="B927" s="8">
        <v>45345</v>
      </c>
      <c r="C927" s="8">
        <v>45347</v>
      </c>
      <c r="D927" t="s">
        <v>20</v>
      </c>
      <c r="E927" t="s">
        <v>3065</v>
      </c>
      <c r="F927" t="s">
        <v>3071</v>
      </c>
      <c r="G927" t="s">
        <v>1196</v>
      </c>
      <c r="H927">
        <v>8162273196</v>
      </c>
      <c r="I927" t="s">
        <v>43</v>
      </c>
      <c r="J927" t="s">
        <v>51</v>
      </c>
      <c r="K927" t="s">
        <v>316</v>
      </c>
      <c r="L927" t="s">
        <v>63</v>
      </c>
      <c r="M927" t="s">
        <v>249</v>
      </c>
      <c r="N927" t="s">
        <v>1141</v>
      </c>
      <c r="O927">
        <v>17</v>
      </c>
      <c r="P927">
        <v>21143.78</v>
      </c>
      <c r="Q927">
        <v>25</v>
      </c>
      <c r="R927" s="39">
        <v>89861.07</v>
      </c>
      <c r="S927" s="39">
        <v>269583.19</v>
      </c>
      <c r="T927" s="39">
        <v>63673.57</v>
      </c>
      <c r="U927" t="str">
        <f t="shared" si="32"/>
        <v>Office Supplies</v>
      </c>
      <c r="V927">
        <f t="shared" si="33"/>
        <v>63673.57</v>
      </c>
      <c r="W927" t="str">
        <f>IF(Sales[[#This Row],[Quantity]]&gt;=15, "Large","Small")</f>
        <v>Large</v>
      </c>
      <c r="X927" t="str">
        <f>IF(Sales[[#This Row],[Quantity]]&gt;=15,"Large",IF(Sales[[#This Row],[Quantity]]=14,"Medium","Small"))</f>
        <v>Large</v>
      </c>
      <c r="Y927" t="str">
        <f>IF(AND(Sales[[#This Row],[Unit Price (₦)]]&gt;68000,Sales[[#This Row],[Quantity]]&gt;15),"Offer Discount", "No Discount")</f>
        <v>No Discount</v>
      </c>
    </row>
    <row r="928" spans="1:25" ht="15" customHeight="1" x14ac:dyDescent="0.25">
      <c r="A928" t="s">
        <v>1764</v>
      </c>
      <c r="B928" s="8">
        <v>45348</v>
      </c>
      <c r="C928" s="8">
        <v>45351</v>
      </c>
      <c r="D928" t="s">
        <v>20</v>
      </c>
      <c r="E928" t="s">
        <v>3093</v>
      </c>
      <c r="F928" t="s">
        <v>3040</v>
      </c>
      <c r="G928" t="s">
        <v>1766</v>
      </c>
      <c r="H928">
        <v>7061651407</v>
      </c>
      <c r="I928" t="s">
        <v>24</v>
      </c>
      <c r="J928" t="s">
        <v>69</v>
      </c>
      <c r="K928" t="s">
        <v>70</v>
      </c>
      <c r="L928" t="s">
        <v>96</v>
      </c>
      <c r="M928" t="s">
        <v>189</v>
      </c>
      <c r="N928" t="s">
        <v>205</v>
      </c>
      <c r="O928">
        <v>14</v>
      </c>
      <c r="P928">
        <v>85627.64</v>
      </c>
      <c r="Q928">
        <v>10</v>
      </c>
      <c r="R928" s="39">
        <v>119878.7</v>
      </c>
      <c r="S928" s="39">
        <v>1078908.26</v>
      </c>
      <c r="T928" s="39">
        <v>337441.75</v>
      </c>
      <c r="U928" t="str">
        <f t="shared" si="32"/>
        <v>Technology</v>
      </c>
      <c r="V928">
        <f t="shared" si="33"/>
        <v>337441.75</v>
      </c>
      <c r="W928" t="str">
        <f>IF(Sales[[#This Row],[Quantity]]&gt;=15, "Large","Small")</f>
        <v>Small</v>
      </c>
      <c r="X928" t="str">
        <f>IF(Sales[[#This Row],[Quantity]]&gt;=15,"Large",IF(Sales[[#This Row],[Quantity]]=14,"Medium","Small"))</f>
        <v>Medium</v>
      </c>
      <c r="Y928" t="str">
        <f>IF(AND(Sales[[#This Row],[Unit Price (₦)]]&gt;68000,Sales[[#This Row],[Quantity]]&gt;15),"Offer Discount", "No Discount")</f>
        <v>No Discount</v>
      </c>
    </row>
    <row r="929" spans="1:25" ht="15" customHeight="1" x14ac:dyDescent="0.25">
      <c r="A929" t="s">
        <v>791</v>
      </c>
      <c r="B929" s="8">
        <v>45357</v>
      </c>
      <c r="C929" s="8">
        <v>45360</v>
      </c>
      <c r="D929" t="s">
        <v>20</v>
      </c>
      <c r="E929" t="s">
        <v>3065</v>
      </c>
      <c r="F929" t="s">
        <v>3046</v>
      </c>
      <c r="G929" t="s">
        <v>793</v>
      </c>
      <c r="H929">
        <v>9054674549</v>
      </c>
      <c r="I929" t="s">
        <v>24</v>
      </c>
      <c r="J929" t="s">
        <v>69</v>
      </c>
      <c r="K929" t="s">
        <v>144</v>
      </c>
      <c r="L929" t="s">
        <v>96</v>
      </c>
      <c r="M929" t="s">
        <v>97</v>
      </c>
      <c r="N929" t="s">
        <v>98</v>
      </c>
      <c r="O929">
        <v>16</v>
      </c>
      <c r="P929">
        <v>366764.44</v>
      </c>
      <c r="Q929">
        <v>25</v>
      </c>
      <c r="R929" s="39">
        <v>1467057.76</v>
      </c>
      <c r="S929" s="39">
        <v>4401173.28</v>
      </c>
      <c r="T929" s="39">
        <v>283698.46999999997</v>
      </c>
      <c r="U929" t="str">
        <f t="shared" si="32"/>
        <v>Technology</v>
      </c>
      <c r="V929">
        <f t="shared" si="33"/>
        <v>283698.46999999997</v>
      </c>
      <c r="W929" t="str">
        <f>IF(Sales[[#This Row],[Quantity]]&gt;=15, "Large","Small")</f>
        <v>Large</v>
      </c>
      <c r="X929" t="str">
        <f>IF(Sales[[#This Row],[Quantity]]&gt;=15,"Large",IF(Sales[[#This Row],[Quantity]]=14,"Medium","Small"))</f>
        <v>Large</v>
      </c>
      <c r="Y929" t="str">
        <f>IF(AND(Sales[[#This Row],[Unit Price (₦)]]&gt;68000,Sales[[#This Row],[Quantity]]&gt;15),"Offer Discount", "No Discount")</f>
        <v>Offer Discount</v>
      </c>
    </row>
    <row r="930" spans="1:25" ht="15" customHeight="1" x14ac:dyDescent="0.25">
      <c r="A930" t="s">
        <v>1271</v>
      </c>
      <c r="B930" s="8">
        <v>45360</v>
      </c>
      <c r="C930" s="8">
        <v>45363</v>
      </c>
      <c r="D930" t="s">
        <v>20</v>
      </c>
      <c r="E930" t="s">
        <v>3050</v>
      </c>
      <c r="F930" t="s">
        <v>3052</v>
      </c>
      <c r="G930" t="s">
        <v>1249</v>
      </c>
      <c r="H930">
        <v>8166109503</v>
      </c>
      <c r="I930" t="s">
        <v>24</v>
      </c>
      <c r="J930" t="s">
        <v>61</v>
      </c>
      <c r="K930" t="s">
        <v>204</v>
      </c>
      <c r="L930" t="s">
        <v>108</v>
      </c>
      <c r="M930" t="s">
        <v>38</v>
      </c>
      <c r="N930" t="s">
        <v>519</v>
      </c>
      <c r="O930">
        <v>20</v>
      </c>
      <c r="P930">
        <v>27057.26</v>
      </c>
      <c r="Q930">
        <v>25</v>
      </c>
      <c r="R930" s="39">
        <v>135286.29999999999</v>
      </c>
      <c r="S930" s="39">
        <v>405858.9</v>
      </c>
      <c r="T930" s="39">
        <v>37549.440000000002</v>
      </c>
      <c r="U930" t="str">
        <f t="shared" si="32"/>
        <v>Clothing</v>
      </c>
      <c r="V930">
        <f t="shared" si="33"/>
        <v>37549.440000000002</v>
      </c>
      <c r="W930" t="str">
        <f>IF(Sales[[#This Row],[Quantity]]&gt;=15, "Large","Small")</f>
        <v>Large</v>
      </c>
      <c r="X930" t="str">
        <f>IF(Sales[[#This Row],[Quantity]]&gt;=15,"Large",IF(Sales[[#This Row],[Quantity]]=14,"Medium","Small"))</f>
        <v>Large</v>
      </c>
      <c r="Y930" t="str">
        <f>IF(AND(Sales[[#This Row],[Unit Price (₦)]]&gt;68000,Sales[[#This Row],[Quantity]]&gt;15),"Offer Discount", "No Discount")</f>
        <v>No Discount</v>
      </c>
    </row>
    <row r="931" spans="1:25" ht="15" customHeight="1" x14ac:dyDescent="0.25">
      <c r="A931" t="s">
        <v>740</v>
      </c>
      <c r="B931" s="8">
        <v>45362</v>
      </c>
      <c r="C931" s="8">
        <v>45364</v>
      </c>
      <c r="D931" t="s">
        <v>20</v>
      </c>
      <c r="E931" t="s">
        <v>3093</v>
      </c>
      <c r="F931" t="s">
        <v>3078</v>
      </c>
      <c r="G931" t="s">
        <v>742</v>
      </c>
      <c r="H931">
        <v>9015003671</v>
      </c>
      <c r="I931" t="s">
        <v>24</v>
      </c>
      <c r="J931" t="s">
        <v>61</v>
      </c>
      <c r="K931" t="s">
        <v>62</v>
      </c>
      <c r="L931" t="s">
        <v>108</v>
      </c>
      <c r="M931" t="s">
        <v>385</v>
      </c>
      <c r="N931" t="s">
        <v>743</v>
      </c>
      <c r="O931">
        <v>4</v>
      </c>
      <c r="P931">
        <v>417213.07</v>
      </c>
      <c r="Q931">
        <v>20</v>
      </c>
      <c r="R931" s="39">
        <v>333770.46000000002</v>
      </c>
      <c r="S931" s="39">
        <v>1335081.82</v>
      </c>
      <c r="T931" s="39">
        <v>290217.52</v>
      </c>
      <c r="U931" t="str">
        <f t="shared" si="32"/>
        <v>Clothing</v>
      </c>
      <c r="V931">
        <f t="shared" si="33"/>
        <v>290217.52</v>
      </c>
      <c r="W931" t="str">
        <f>IF(Sales[[#This Row],[Quantity]]&gt;=15, "Large","Small")</f>
        <v>Small</v>
      </c>
      <c r="X931" t="str">
        <f>IF(Sales[[#This Row],[Quantity]]&gt;=15,"Large",IF(Sales[[#This Row],[Quantity]]=14,"Medium","Small"))</f>
        <v>Small</v>
      </c>
      <c r="Y931" t="str">
        <f>IF(AND(Sales[[#This Row],[Unit Price (₦)]]&gt;68000,Sales[[#This Row],[Quantity]]&gt;15),"Offer Discount", "No Discount")</f>
        <v>No Discount</v>
      </c>
    </row>
    <row r="932" spans="1:25" ht="15" customHeight="1" x14ac:dyDescent="0.25">
      <c r="A932" t="s">
        <v>2915</v>
      </c>
      <c r="B932" s="8">
        <v>45361</v>
      </c>
      <c r="C932" s="8">
        <v>45364</v>
      </c>
      <c r="D932" t="s">
        <v>20</v>
      </c>
      <c r="E932" t="s">
        <v>3080</v>
      </c>
      <c r="F932" t="s">
        <v>3050</v>
      </c>
      <c r="G932" t="s">
        <v>2916</v>
      </c>
      <c r="H932">
        <v>7063583553</v>
      </c>
      <c r="I932" t="s">
        <v>35</v>
      </c>
      <c r="J932" t="s">
        <v>25</v>
      </c>
      <c r="K932" t="s">
        <v>36</v>
      </c>
      <c r="L932" t="s">
        <v>108</v>
      </c>
      <c r="M932" t="s">
        <v>114</v>
      </c>
      <c r="N932" t="s">
        <v>482</v>
      </c>
      <c r="O932">
        <v>7</v>
      </c>
      <c r="P932">
        <v>42433.3</v>
      </c>
      <c r="Q932">
        <v>0</v>
      </c>
      <c r="R932" s="39">
        <v>0</v>
      </c>
      <c r="S932" s="39">
        <v>297033.09999999998</v>
      </c>
      <c r="T932" s="39">
        <v>125250.55</v>
      </c>
      <c r="U932" t="str">
        <f t="shared" si="32"/>
        <v>Clothing</v>
      </c>
      <c r="V932">
        <f t="shared" si="33"/>
        <v>125250.55</v>
      </c>
      <c r="W932" t="str">
        <f>IF(Sales[[#This Row],[Quantity]]&gt;=15, "Large","Small")</f>
        <v>Small</v>
      </c>
      <c r="X932" t="str">
        <f>IF(Sales[[#This Row],[Quantity]]&gt;=15,"Large",IF(Sales[[#This Row],[Quantity]]=14,"Medium","Small"))</f>
        <v>Small</v>
      </c>
      <c r="Y932" t="str">
        <f>IF(AND(Sales[[#This Row],[Unit Price (₦)]]&gt;68000,Sales[[#This Row],[Quantity]]&gt;15),"Offer Discount", "No Discount")</f>
        <v>No Discount</v>
      </c>
    </row>
    <row r="933" spans="1:25" ht="15" customHeight="1" x14ac:dyDescent="0.25">
      <c r="A933" t="s">
        <v>1322</v>
      </c>
      <c r="B933" s="8">
        <v>45363</v>
      </c>
      <c r="C933" s="8">
        <v>45365</v>
      </c>
      <c r="D933" t="s">
        <v>20</v>
      </c>
      <c r="E933" t="s">
        <v>3092</v>
      </c>
      <c r="F933" t="s">
        <v>3078</v>
      </c>
      <c r="G933" t="s">
        <v>1324</v>
      </c>
      <c r="H933">
        <v>8148315833</v>
      </c>
      <c r="I933" t="s">
        <v>24</v>
      </c>
      <c r="J933" t="s">
        <v>51</v>
      </c>
      <c r="K933" t="s">
        <v>131</v>
      </c>
      <c r="L933" t="s">
        <v>108</v>
      </c>
      <c r="M933" t="s">
        <v>114</v>
      </c>
      <c r="N933" t="s">
        <v>891</v>
      </c>
      <c r="O933">
        <v>13</v>
      </c>
      <c r="P933">
        <v>11711.41</v>
      </c>
      <c r="Q933">
        <v>20</v>
      </c>
      <c r="R933" s="39">
        <v>30449.67</v>
      </c>
      <c r="S933" s="39">
        <v>121798.66</v>
      </c>
      <c r="T933" s="39">
        <v>-9412.33</v>
      </c>
      <c r="U933" t="str">
        <f t="shared" si="32"/>
        <v>Clothing</v>
      </c>
      <c r="V933">
        <f t="shared" si="33"/>
        <v>9412.33</v>
      </c>
      <c r="W933" t="str">
        <f>IF(Sales[[#This Row],[Quantity]]&gt;=15, "Large","Small")</f>
        <v>Small</v>
      </c>
      <c r="X933" t="str">
        <f>IF(Sales[[#This Row],[Quantity]]&gt;=15,"Large",IF(Sales[[#This Row],[Quantity]]=14,"Medium","Small"))</f>
        <v>Small</v>
      </c>
      <c r="Y933" t="str">
        <f>IF(AND(Sales[[#This Row],[Unit Price (₦)]]&gt;68000,Sales[[#This Row],[Quantity]]&gt;15),"Offer Discount", "No Discount")</f>
        <v>No Discount</v>
      </c>
    </row>
    <row r="934" spans="1:25" ht="15" customHeight="1" x14ac:dyDescent="0.25">
      <c r="A934" t="s">
        <v>2680</v>
      </c>
      <c r="B934" s="8">
        <v>45599</v>
      </c>
      <c r="C934" s="8">
        <v>45365</v>
      </c>
      <c r="D934" t="s">
        <v>20</v>
      </c>
      <c r="E934" t="s">
        <v>3080</v>
      </c>
      <c r="F934" t="s">
        <v>3042</v>
      </c>
      <c r="G934" t="s">
        <v>2683</v>
      </c>
      <c r="H934">
        <v>9013136181</v>
      </c>
      <c r="I934" t="s">
        <v>35</v>
      </c>
      <c r="J934" t="s">
        <v>69</v>
      </c>
      <c r="K934" t="s">
        <v>307</v>
      </c>
      <c r="L934" t="s">
        <v>108</v>
      </c>
      <c r="M934" t="s">
        <v>189</v>
      </c>
      <c r="N934" t="s">
        <v>205</v>
      </c>
      <c r="O934">
        <v>6</v>
      </c>
      <c r="P934">
        <v>40216</v>
      </c>
      <c r="Q934">
        <v>5</v>
      </c>
      <c r="R934" s="39">
        <v>12064.8</v>
      </c>
      <c r="S934" s="39">
        <v>229231.2</v>
      </c>
      <c r="T934" s="39">
        <v>47998.1</v>
      </c>
      <c r="U934" t="str">
        <f t="shared" si="32"/>
        <v>Clothing</v>
      </c>
      <c r="V934">
        <f t="shared" si="33"/>
        <v>47998.1</v>
      </c>
      <c r="W934" t="str">
        <f>IF(Sales[[#This Row],[Quantity]]&gt;=15, "Large","Small")</f>
        <v>Small</v>
      </c>
      <c r="X934" t="str">
        <f>IF(Sales[[#This Row],[Quantity]]&gt;=15,"Large",IF(Sales[[#This Row],[Quantity]]=14,"Medium","Small"))</f>
        <v>Small</v>
      </c>
      <c r="Y934" t="str">
        <f>IF(AND(Sales[[#This Row],[Unit Price (₦)]]&gt;68000,Sales[[#This Row],[Quantity]]&gt;15),"Offer Discount", "No Discount")</f>
        <v>No Discount</v>
      </c>
    </row>
    <row r="935" spans="1:25" ht="15" customHeight="1" x14ac:dyDescent="0.25">
      <c r="A935" t="s">
        <v>1150</v>
      </c>
      <c r="B935" s="8">
        <v>45369</v>
      </c>
      <c r="C935" s="8">
        <v>45371</v>
      </c>
      <c r="D935" t="s">
        <v>20</v>
      </c>
      <c r="E935" t="s">
        <v>3033</v>
      </c>
      <c r="F935" t="s">
        <v>3074</v>
      </c>
      <c r="G935" t="s">
        <v>1152</v>
      </c>
      <c r="H935">
        <v>8141827302</v>
      </c>
      <c r="I935" t="s">
        <v>43</v>
      </c>
      <c r="J935" t="s">
        <v>25</v>
      </c>
      <c r="K935" t="s">
        <v>126</v>
      </c>
      <c r="L935" t="s">
        <v>27</v>
      </c>
      <c r="M935" t="s">
        <v>28</v>
      </c>
      <c r="N935" t="s">
        <v>71</v>
      </c>
      <c r="O935">
        <v>17</v>
      </c>
      <c r="P935">
        <v>955.11</v>
      </c>
      <c r="Q935">
        <v>15</v>
      </c>
      <c r="R935" s="39">
        <v>2435.5300000000002</v>
      </c>
      <c r="S935" s="39">
        <v>13801.34</v>
      </c>
      <c r="T935" s="39">
        <v>4337.6899999999996</v>
      </c>
      <c r="U935" t="str">
        <f t="shared" si="32"/>
        <v>Food &amp; Beverages</v>
      </c>
      <c r="V935">
        <f t="shared" si="33"/>
        <v>4337.6899999999996</v>
      </c>
      <c r="W935" t="str">
        <f>IF(Sales[[#This Row],[Quantity]]&gt;=15, "Large","Small")</f>
        <v>Large</v>
      </c>
      <c r="X935" t="str">
        <f>IF(Sales[[#This Row],[Quantity]]&gt;=15,"Large",IF(Sales[[#This Row],[Quantity]]=14,"Medium","Small"))</f>
        <v>Large</v>
      </c>
      <c r="Y935" t="str">
        <f>IF(AND(Sales[[#This Row],[Unit Price (₦)]]&gt;68000,Sales[[#This Row],[Quantity]]&gt;15),"Offer Discount", "No Discount")</f>
        <v>No Discount</v>
      </c>
    </row>
    <row r="936" spans="1:25" ht="15" customHeight="1" x14ac:dyDescent="0.25">
      <c r="A936" t="s">
        <v>2156</v>
      </c>
      <c r="B936" s="8">
        <v>45370</v>
      </c>
      <c r="C936" s="8">
        <v>45372</v>
      </c>
      <c r="D936" t="s">
        <v>20</v>
      </c>
      <c r="E936" t="s">
        <v>3085</v>
      </c>
      <c r="F936" t="s">
        <v>3036</v>
      </c>
      <c r="G936" t="s">
        <v>2157</v>
      </c>
      <c r="H936">
        <v>8165202915</v>
      </c>
      <c r="I936" t="s">
        <v>43</v>
      </c>
      <c r="J936" t="s">
        <v>61</v>
      </c>
      <c r="K936" t="s">
        <v>84</v>
      </c>
      <c r="L936" t="s">
        <v>27</v>
      </c>
      <c r="M936" t="s">
        <v>79</v>
      </c>
      <c r="N936" t="s">
        <v>145</v>
      </c>
      <c r="O936">
        <v>11</v>
      </c>
      <c r="P936">
        <v>2663.09</v>
      </c>
      <c r="Q936">
        <v>10</v>
      </c>
      <c r="R936" s="39">
        <v>2929.4</v>
      </c>
      <c r="S936" s="39">
        <v>26364.59</v>
      </c>
      <c r="T936" s="39">
        <v>9453.17</v>
      </c>
      <c r="U936" t="str">
        <f t="shared" si="32"/>
        <v>Food &amp; Beverages</v>
      </c>
      <c r="V936">
        <f t="shared" si="33"/>
        <v>9453.17</v>
      </c>
      <c r="W936" t="str">
        <f>IF(Sales[[#This Row],[Quantity]]&gt;=15, "Large","Small")</f>
        <v>Small</v>
      </c>
      <c r="X936" t="str">
        <f>IF(Sales[[#This Row],[Quantity]]&gt;=15,"Large",IF(Sales[[#This Row],[Quantity]]=14,"Medium","Small"))</f>
        <v>Small</v>
      </c>
      <c r="Y936" t="str">
        <f>IF(AND(Sales[[#This Row],[Unit Price (₦)]]&gt;68000,Sales[[#This Row],[Quantity]]&gt;15),"Offer Discount", "No Discount")</f>
        <v>No Discount</v>
      </c>
    </row>
    <row r="937" spans="1:25" ht="15" customHeight="1" x14ac:dyDescent="0.25">
      <c r="A937" t="s">
        <v>2788</v>
      </c>
      <c r="B937" s="8">
        <v>45370</v>
      </c>
      <c r="C937" s="8">
        <v>45373</v>
      </c>
      <c r="D937" t="s">
        <v>20</v>
      </c>
      <c r="E937" t="s">
        <v>3049</v>
      </c>
      <c r="F937" t="s">
        <v>3075</v>
      </c>
      <c r="G937" t="s">
        <v>2789</v>
      </c>
      <c r="H937">
        <v>8034721202</v>
      </c>
      <c r="I937" t="s">
        <v>35</v>
      </c>
      <c r="J937" t="s">
        <v>51</v>
      </c>
      <c r="K937" t="s">
        <v>52</v>
      </c>
      <c r="L937" t="s">
        <v>108</v>
      </c>
      <c r="M937" t="s">
        <v>109</v>
      </c>
      <c r="N937" t="s">
        <v>690</v>
      </c>
      <c r="O937">
        <v>2</v>
      </c>
      <c r="P937">
        <v>2096.77</v>
      </c>
      <c r="Q937">
        <v>0</v>
      </c>
      <c r="R937" s="39">
        <v>0</v>
      </c>
      <c r="S937" s="39">
        <v>4193.54</v>
      </c>
      <c r="T937" s="39">
        <v>1389.88</v>
      </c>
      <c r="U937" t="str">
        <f t="shared" si="32"/>
        <v>Clothing</v>
      </c>
      <c r="V937">
        <f t="shared" si="33"/>
        <v>1389.88</v>
      </c>
      <c r="W937" t="str">
        <f>IF(Sales[[#This Row],[Quantity]]&gt;=15, "Large","Small")</f>
        <v>Small</v>
      </c>
      <c r="X937" t="str">
        <f>IF(Sales[[#This Row],[Quantity]]&gt;=15,"Large",IF(Sales[[#This Row],[Quantity]]=14,"Medium","Small"))</f>
        <v>Small</v>
      </c>
      <c r="Y937" t="str">
        <f>IF(AND(Sales[[#This Row],[Unit Price (₦)]]&gt;68000,Sales[[#This Row],[Quantity]]&gt;15),"Offer Discount", "No Discount")</f>
        <v>No Discount</v>
      </c>
    </row>
    <row r="938" spans="1:25" ht="15" customHeight="1" x14ac:dyDescent="0.25">
      <c r="A938" t="s">
        <v>829</v>
      </c>
      <c r="B938" s="8">
        <v>45376</v>
      </c>
      <c r="C938" s="8">
        <v>45379</v>
      </c>
      <c r="D938" t="s">
        <v>20</v>
      </c>
      <c r="E938" t="s">
        <v>3089</v>
      </c>
      <c r="F938" t="s">
        <v>3069</v>
      </c>
      <c r="G938" t="s">
        <v>831</v>
      </c>
      <c r="H938">
        <v>8067501626</v>
      </c>
      <c r="I938" t="s">
        <v>35</v>
      </c>
      <c r="J938" t="s">
        <v>25</v>
      </c>
      <c r="K938" t="s">
        <v>168</v>
      </c>
      <c r="L938" t="s">
        <v>85</v>
      </c>
      <c r="M938" t="s">
        <v>243</v>
      </c>
      <c r="N938" t="s">
        <v>439</v>
      </c>
      <c r="O938">
        <v>15</v>
      </c>
      <c r="P938">
        <v>71537.09</v>
      </c>
      <c r="Q938">
        <v>0</v>
      </c>
      <c r="R938" s="39">
        <v>0</v>
      </c>
      <c r="S938" s="39">
        <v>1073056.3500000001</v>
      </c>
      <c r="T938" s="39">
        <v>8560.39</v>
      </c>
      <c r="U938" t="str">
        <f t="shared" si="32"/>
        <v>Furniture</v>
      </c>
      <c r="V938">
        <f t="shared" si="33"/>
        <v>8560.39</v>
      </c>
      <c r="W938" t="str">
        <f>IF(Sales[[#This Row],[Quantity]]&gt;=15, "Large","Small")</f>
        <v>Large</v>
      </c>
      <c r="X938" t="str">
        <f>IF(Sales[[#This Row],[Quantity]]&gt;=15,"Large",IF(Sales[[#This Row],[Quantity]]=14,"Medium","Small"))</f>
        <v>Large</v>
      </c>
      <c r="Y938" t="str">
        <f>IF(AND(Sales[[#This Row],[Unit Price (₦)]]&gt;68000,Sales[[#This Row],[Quantity]]&gt;15),"Offer Discount", "No Discount")</f>
        <v>No Discount</v>
      </c>
    </row>
    <row r="939" spans="1:25" ht="15" customHeight="1" x14ac:dyDescent="0.25">
      <c r="A939" t="s">
        <v>1029</v>
      </c>
      <c r="B939" s="8">
        <v>45377</v>
      </c>
      <c r="C939" s="8">
        <v>45379</v>
      </c>
      <c r="D939" t="s">
        <v>20</v>
      </c>
      <c r="E939" t="s">
        <v>3056</v>
      </c>
      <c r="F939" t="s">
        <v>3034</v>
      </c>
      <c r="G939" t="s">
        <v>1032</v>
      </c>
      <c r="H939">
        <v>8143714471</v>
      </c>
      <c r="I939" t="s">
        <v>43</v>
      </c>
      <c r="J939" t="s">
        <v>69</v>
      </c>
      <c r="K939" t="s">
        <v>144</v>
      </c>
      <c r="L939" t="s">
        <v>96</v>
      </c>
      <c r="M939" t="s">
        <v>385</v>
      </c>
      <c r="N939" t="s">
        <v>1010</v>
      </c>
      <c r="O939">
        <v>11</v>
      </c>
      <c r="P939">
        <v>189243.99</v>
      </c>
      <c r="Q939">
        <v>25</v>
      </c>
      <c r="R939" s="39">
        <v>520420.97</v>
      </c>
      <c r="S939" s="39">
        <v>1561262.92</v>
      </c>
      <c r="T939" s="39">
        <v>341003.58</v>
      </c>
      <c r="U939" t="str">
        <f t="shared" si="32"/>
        <v>Technology</v>
      </c>
      <c r="V939">
        <f t="shared" si="33"/>
        <v>341003.58</v>
      </c>
      <c r="W939" t="str">
        <f>IF(Sales[[#This Row],[Quantity]]&gt;=15, "Large","Small")</f>
        <v>Small</v>
      </c>
      <c r="X939" t="str">
        <f>IF(Sales[[#This Row],[Quantity]]&gt;=15,"Large",IF(Sales[[#This Row],[Quantity]]=14,"Medium","Small"))</f>
        <v>Small</v>
      </c>
      <c r="Y939" t="str">
        <f>IF(AND(Sales[[#This Row],[Unit Price (₦)]]&gt;68000,Sales[[#This Row],[Quantity]]&gt;15),"Offer Discount", "No Discount")</f>
        <v>No Discount</v>
      </c>
    </row>
    <row r="940" spans="1:25" ht="15" customHeight="1" x14ac:dyDescent="0.25">
      <c r="A940" t="s">
        <v>475</v>
      </c>
      <c r="B940" s="8">
        <v>45377</v>
      </c>
      <c r="C940" s="8">
        <v>45380</v>
      </c>
      <c r="D940" t="s">
        <v>20</v>
      </c>
      <c r="E940" t="s">
        <v>3091</v>
      </c>
      <c r="F940" t="s">
        <v>3043</v>
      </c>
      <c r="G940" t="s">
        <v>477</v>
      </c>
      <c r="H940">
        <v>8034121368</v>
      </c>
      <c r="I940" t="s">
        <v>35</v>
      </c>
      <c r="J940" t="s">
        <v>25</v>
      </c>
      <c r="K940" t="s">
        <v>36</v>
      </c>
      <c r="L940" t="s">
        <v>108</v>
      </c>
      <c r="M940" t="s">
        <v>189</v>
      </c>
      <c r="N940" t="s">
        <v>478</v>
      </c>
      <c r="O940">
        <v>4</v>
      </c>
      <c r="P940">
        <v>41282.33</v>
      </c>
      <c r="Q940">
        <v>10</v>
      </c>
      <c r="R940" s="39">
        <v>16512.93</v>
      </c>
      <c r="S940" s="39">
        <v>148616.39000000001</v>
      </c>
      <c r="T940" s="39">
        <f>T939</f>
        <v>341003.58</v>
      </c>
      <c r="U940" t="str">
        <f t="shared" si="32"/>
        <v>Clothing</v>
      </c>
      <c r="V940">
        <f t="shared" si="33"/>
        <v>341003.58</v>
      </c>
      <c r="W940" t="str">
        <f>IF(Sales[[#This Row],[Quantity]]&gt;=15, "Large","Small")</f>
        <v>Small</v>
      </c>
      <c r="X940" t="str">
        <f>IF(Sales[[#This Row],[Quantity]]&gt;=15,"Large",IF(Sales[[#This Row],[Quantity]]=14,"Medium","Small"))</f>
        <v>Small</v>
      </c>
      <c r="Y940" t="str">
        <f>IF(AND(Sales[[#This Row],[Unit Price (₦)]]&gt;68000,Sales[[#This Row],[Quantity]]&gt;15),"Offer Discount", "No Discount")</f>
        <v>No Discount</v>
      </c>
    </row>
    <row r="941" spans="1:25" ht="15" customHeight="1" x14ac:dyDescent="0.25">
      <c r="A941" t="s">
        <v>1325</v>
      </c>
      <c r="B941" s="8">
        <v>45382</v>
      </c>
      <c r="C941" s="8">
        <v>45384</v>
      </c>
      <c r="D941" t="s">
        <v>20</v>
      </c>
      <c r="E941" t="s">
        <v>3081</v>
      </c>
      <c r="F941" t="s">
        <v>3039</v>
      </c>
      <c r="G941" t="s">
        <v>1326</v>
      </c>
      <c r="H941">
        <v>8068711468</v>
      </c>
      <c r="I941" t="s">
        <v>24</v>
      </c>
      <c r="J941" t="s">
        <v>51</v>
      </c>
      <c r="K941" t="s">
        <v>223</v>
      </c>
      <c r="L941" t="s">
        <v>63</v>
      </c>
      <c r="M941" t="s">
        <v>469</v>
      </c>
      <c r="N941" t="s">
        <v>1327</v>
      </c>
      <c r="O941">
        <v>2</v>
      </c>
      <c r="P941">
        <v>4827.1499999999996</v>
      </c>
      <c r="Q941">
        <v>15</v>
      </c>
      <c r="R941" s="39">
        <v>1448.14</v>
      </c>
      <c r="S941" s="39">
        <v>8206.16</v>
      </c>
      <c r="T941" s="39">
        <v>2022.33</v>
      </c>
      <c r="U941" t="str">
        <f t="shared" si="32"/>
        <v>Office Supplies</v>
      </c>
      <c r="V941">
        <f t="shared" si="33"/>
        <v>2022.33</v>
      </c>
      <c r="W941" t="str">
        <f>IF(Sales[[#This Row],[Quantity]]&gt;=15, "Large","Small")</f>
        <v>Small</v>
      </c>
      <c r="X941" t="str">
        <f>IF(Sales[[#This Row],[Quantity]]&gt;=15,"Large",IF(Sales[[#This Row],[Quantity]]=14,"Medium","Small"))</f>
        <v>Small</v>
      </c>
      <c r="Y941" t="str">
        <f>IF(AND(Sales[[#This Row],[Unit Price (₦)]]&gt;68000,Sales[[#This Row],[Quantity]]&gt;15),"Offer Discount", "No Discount")</f>
        <v>No Discount</v>
      </c>
    </row>
    <row r="942" spans="1:25" ht="15" customHeight="1" x14ac:dyDescent="0.25">
      <c r="A942" t="s">
        <v>1692</v>
      </c>
      <c r="B942" s="8">
        <v>45383</v>
      </c>
      <c r="C942" s="8">
        <v>45385</v>
      </c>
      <c r="D942" t="s">
        <v>20</v>
      </c>
      <c r="E942" t="s">
        <v>3082</v>
      </c>
      <c r="F942" t="s">
        <v>3043</v>
      </c>
      <c r="G942" t="s">
        <v>1694</v>
      </c>
      <c r="H942">
        <v>8144932320</v>
      </c>
      <c r="I942" t="s">
        <v>43</v>
      </c>
      <c r="J942" t="s">
        <v>69</v>
      </c>
      <c r="K942" t="s">
        <v>70</v>
      </c>
      <c r="L942" t="s">
        <v>108</v>
      </c>
      <c r="M942" t="s">
        <v>109</v>
      </c>
      <c r="N942" t="s">
        <v>157</v>
      </c>
      <c r="O942">
        <v>13</v>
      </c>
      <c r="P942">
        <v>20275.98</v>
      </c>
      <c r="Q942">
        <v>0</v>
      </c>
      <c r="R942" s="39">
        <v>0</v>
      </c>
      <c r="S942" s="39">
        <v>263587.74</v>
      </c>
      <c r="T942" s="39">
        <v>108413.46</v>
      </c>
      <c r="U942" t="str">
        <f t="shared" si="32"/>
        <v>Clothing</v>
      </c>
      <c r="V942">
        <f t="shared" si="33"/>
        <v>108413.46</v>
      </c>
      <c r="W942" t="str">
        <f>IF(Sales[[#This Row],[Quantity]]&gt;=15, "Large","Small")</f>
        <v>Small</v>
      </c>
      <c r="X942" t="str">
        <f>IF(Sales[[#This Row],[Quantity]]&gt;=15,"Large",IF(Sales[[#This Row],[Quantity]]=14,"Medium","Small"))</f>
        <v>Small</v>
      </c>
      <c r="Y942" t="str">
        <f>IF(AND(Sales[[#This Row],[Unit Price (₦)]]&gt;68000,Sales[[#This Row],[Quantity]]&gt;15),"Offer Discount", "No Discount")</f>
        <v>No Discount</v>
      </c>
    </row>
    <row r="943" spans="1:25" ht="15" customHeight="1" x14ac:dyDescent="0.25">
      <c r="A943" t="s">
        <v>1622</v>
      </c>
      <c r="B943" s="8">
        <v>45384</v>
      </c>
      <c r="C943" s="8">
        <v>45386</v>
      </c>
      <c r="D943" t="s">
        <v>20</v>
      </c>
      <c r="E943" t="s">
        <v>3089</v>
      </c>
      <c r="F943" t="s">
        <v>3086</v>
      </c>
      <c r="G943" t="s">
        <v>1624</v>
      </c>
      <c r="H943">
        <v>7038331935</v>
      </c>
      <c r="I943" t="s">
        <v>24</v>
      </c>
      <c r="J943" t="s">
        <v>69</v>
      </c>
      <c r="K943" t="s">
        <v>307</v>
      </c>
      <c r="L943" t="s">
        <v>85</v>
      </c>
      <c r="M943" t="s">
        <v>486</v>
      </c>
      <c r="N943" t="s">
        <v>487</v>
      </c>
      <c r="O943">
        <v>11</v>
      </c>
      <c r="P943">
        <v>155859.53</v>
      </c>
      <c r="Q943">
        <v>15</v>
      </c>
      <c r="R943" s="39">
        <v>257168.22</v>
      </c>
      <c r="S943" s="39">
        <v>1457286.61</v>
      </c>
      <c r="T943" s="39">
        <v>6276.06</v>
      </c>
      <c r="U943" t="str">
        <f t="shared" si="32"/>
        <v>Furniture</v>
      </c>
      <c r="V943">
        <f t="shared" si="33"/>
        <v>6276.06</v>
      </c>
      <c r="W943" t="str">
        <f>IF(Sales[[#This Row],[Quantity]]&gt;=15, "Large","Small")</f>
        <v>Small</v>
      </c>
      <c r="X943" t="str">
        <f>IF(Sales[[#This Row],[Quantity]]&gt;=15,"Large",IF(Sales[[#This Row],[Quantity]]=14,"Medium","Small"))</f>
        <v>Small</v>
      </c>
      <c r="Y943" t="str">
        <f>IF(AND(Sales[[#This Row],[Unit Price (₦)]]&gt;68000,Sales[[#This Row],[Quantity]]&gt;15),"Offer Discount", "No Discount")</f>
        <v>No Discount</v>
      </c>
    </row>
    <row r="944" spans="1:25" ht="15" customHeight="1" x14ac:dyDescent="0.25">
      <c r="A944" t="s">
        <v>2771</v>
      </c>
      <c r="B944" s="8">
        <v>45383</v>
      </c>
      <c r="C944" s="8">
        <v>45386</v>
      </c>
      <c r="D944" t="s">
        <v>20</v>
      </c>
      <c r="E944" t="s">
        <v>3059</v>
      </c>
      <c r="F944" t="s">
        <v>3079</v>
      </c>
      <c r="G944" t="s">
        <v>2772</v>
      </c>
      <c r="H944">
        <v>9076479600</v>
      </c>
      <c r="I944" t="s">
        <v>43</v>
      </c>
      <c r="J944" t="s">
        <v>51</v>
      </c>
      <c r="K944" t="s">
        <v>227</v>
      </c>
      <c r="L944" t="s">
        <v>85</v>
      </c>
      <c r="M944" t="s">
        <v>218</v>
      </c>
      <c r="N944" t="s">
        <v>219</v>
      </c>
      <c r="O944">
        <v>5</v>
      </c>
      <c r="P944">
        <v>33580</v>
      </c>
      <c r="Q944">
        <v>0</v>
      </c>
      <c r="R944" s="39">
        <v>0</v>
      </c>
      <c r="S944" s="39">
        <v>167900</v>
      </c>
      <c r="T944" s="39">
        <v>-17180.89</v>
      </c>
      <c r="U944" t="str">
        <f t="shared" si="32"/>
        <v>Furniture</v>
      </c>
      <c r="V944">
        <f t="shared" si="33"/>
        <v>17180.89</v>
      </c>
      <c r="W944" t="str">
        <f>IF(Sales[[#This Row],[Quantity]]&gt;=15, "Large","Small")</f>
        <v>Small</v>
      </c>
      <c r="X944" t="str">
        <f>IF(Sales[[#This Row],[Quantity]]&gt;=15,"Large",IF(Sales[[#This Row],[Quantity]]=14,"Medium","Small"))</f>
        <v>Small</v>
      </c>
      <c r="Y944" t="str">
        <f>IF(AND(Sales[[#This Row],[Unit Price (₦)]]&gt;68000,Sales[[#This Row],[Quantity]]&gt;15),"Offer Discount", "No Discount")</f>
        <v>No Discount</v>
      </c>
    </row>
    <row r="945" spans="1:25" ht="15" customHeight="1" x14ac:dyDescent="0.25">
      <c r="A945" t="s">
        <v>1949</v>
      </c>
      <c r="B945" s="8">
        <v>45391</v>
      </c>
      <c r="C945" s="8">
        <v>45394</v>
      </c>
      <c r="D945" t="s">
        <v>20</v>
      </c>
      <c r="E945" t="s">
        <v>3048</v>
      </c>
      <c r="F945" t="s">
        <v>3090</v>
      </c>
      <c r="G945" t="s">
        <v>1950</v>
      </c>
      <c r="H945">
        <v>9078117262</v>
      </c>
      <c r="I945" t="s">
        <v>43</v>
      </c>
      <c r="J945" t="s">
        <v>25</v>
      </c>
      <c r="K945" t="s">
        <v>168</v>
      </c>
      <c r="L945" t="s">
        <v>85</v>
      </c>
      <c r="M945" t="s">
        <v>243</v>
      </c>
      <c r="N945" t="s">
        <v>1054</v>
      </c>
      <c r="O945">
        <v>12</v>
      </c>
      <c r="P945">
        <v>25956.81</v>
      </c>
      <c r="Q945">
        <v>10</v>
      </c>
      <c r="R945" s="39">
        <v>31148.17</v>
      </c>
      <c r="S945" s="39">
        <v>280333.55</v>
      </c>
      <c r="T945" s="39">
        <v>-37332.21</v>
      </c>
      <c r="U945" t="str">
        <f t="shared" si="32"/>
        <v>Furniture</v>
      </c>
      <c r="V945">
        <f t="shared" si="33"/>
        <v>37332.21</v>
      </c>
      <c r="W945" t="str">
        <f>IF(Sales[[#This Row],[Quantity]]&gt;=15, "Large","Small")</f>
        <v>Small</v>
      </c>
      <c r="X945" t="str">
        <f>IF(Sales[[#This Row],[Quantity]]&gt;=15,"Large",IF(Sales[[#This Row],[Quantity]]=14,"Medium","Small"))</f>
        <v>Small</v>
      </c>
      <c r="Y945" t="str">
        <f>IF(AND(Sales[[#This Row],[Unit Price (₦)]]&gt;68000,Sales[[#This Row],[Quantity]]&gt;15),"Offer Discount", "No Discount")</f>
        <v>No Discount</v>
      </c>
    </row>
    <row r="946" spans="1:25" ht="15" customHeight="1" x14ac:dyDescent="0.25">
      <c r="A946" t="s">
        <v>1268</v>
      </c>
      <c r="B946" s="8">
        <v>45393</v>
      </c>
      <c r="C946" s="8">
        <v>45395</v>
      </c>
      <c r="D946" t="s">
        <v>20</v>
      </c>
      <c r="E946" t="s">
        <v>3080</v>
      </c>
      <c r="F946" t="s">
        <v>3038</v>
      </c>
      <c r="G946" t="s">
        <v>1270</v>
      </c>
      <c r="H946">
        <v>7039292896</v>
      </c>
      <c r="I946" t="s">
        <v>35</v>
      </c>
      <c r="J946" t="s">
        <v>25</v>
      </c>
      <c r="K946" t="s">
        <v>168</v>
      </c>
      <c r="L946" t="s">
        <v>96</v>
      </c>
      <c r="M946" t="s">
        <v>120</v>
      </c>
      <c r="N946" t="s">
        <v>359</v>
      </c>
      <c r="O946">
        <v>19</v>
      </c>
      <c r="P946">
        <v>370409.61</v>
      </c>
      <c r="Q946">
        <v>0</v>
      </c>
      <c r="R946" s="39">
        <v>0</v>
      </c>
      <c r="S946" s="39">
        <v>7037782.5899999999</v>
      </c>
      <c r="T946" s="39">
        <v>2141221.64</v>
      </c>
      <c r="U946" t="str">
        <f t="shared" si="32"/>
        <v>Technology</v>
      </c>
      <c r="V946">
        <f t="shared" si="33"/>
        <v>2141221.64</v>
      </c>
      <c r="W946" t="str">
        <f>IF(Sales[[#This Row],[Quantity]]&gt;=15, "Large","Small")</f>
        <v>Large</v>
      </c>
      <c r="X946" t="str">
        <f>IF(Sales[[#This Row],[Quantity]]&gt;=15,"Large",IF(Sales[[#This Row],[Quantity]]=14,"Medium","Small"))</f>
        <v>Large</v>
      </c>
      <c r="Y946" t="str">
        <f>IF(AND(Sales[[#This Row],[Unit Price (₦)]]&gt;68000,Sales[[#This Row],[Quantity]]&gt;15),"Offer Discount", "No Discount")</f>
        <v>Offer Discount</v>
      </c>
    </row>
    <row r="947" spans="1:25" ht="15" customHeight="1" x14ac:dyDescent="0.25">
      <c r="A947" t="s">
        <v>2968</v>
      </c>
      <c r="B947" s="8">
        <v>45398</v>
      </c>
      <c r="C947" s="8">
        <v>45400</v>
      </c>
      <c r="D947" t="s">
        <v>20</v>
      </c>
      <c r="E947" t="s">
        <v>3095</v>
      </c>
      <c r="F947" t="s">
        <v>3043</v>
      </c>
      <c r="G947" t="s">
        <v>1708</v>
      </c>
      <c r="H947">
        <v>9011384511</v>
      </c>
      <c r="I947" t="s">
        <v>35</v>
      </c>
      <c r="J947" t="s">
        <v>25</v>
      </c>
      <c r="K947" t="s">
        <v>36</v>
      </c>
      <c r="L947" t="s">
        <v>108</v>
      </c>
      <c r="M947" t="s">
        <v>189</v>
      </c>
      <c r="N947" t="s">
        <v>205</v>
      </c>
      <c r="O947">
        <v>14</v>
      </c>
      <c r="P947">
        <v>32924.870000000003</v>
      </c>
      <c r="Q947">
        <v>15</v>
      </c>
      <c r="R947" s="39">
        <v>69142.23</v>
      </c>
      <c r="S947" s="39">
        <v>391805.95</v>
      </c>
      <c r="T947" s="39">
        <v>101261.15</v>
      </c>
      <c r="U947" t="str">
        <f t="shared" si="32"/>
        <v>Clothing</v>
      </c>
      <c r="V947">
        <f t="shared" si="33"/>
        <v>101261.15</v>
      </c>
      <c r="W947" t="str">
        <f>IF(Sales[[#This Row],[Quantity]]&gt;=15, "Large","Small")</f>
        <v>Small</v>
      </c>
      <c r="X947" t="str">
        <f>IF(Sales[[#This Row],[Quantity]]&gt;=15,"Large",IF(Sales[[#This Row],[Quantity]]=14,"Medium","Small"))</f>
        <v>Medium</v>
      </c>
      <c r="Y947" t="str">
        <f>IF(AND(Sales[[#This Row],[Unit Price (₦)]]&gt;68000,Sales[[#This Row],[Quantity]]&gt;15),"Offer Discount", "No Discount")</f>
        <v>No Discount</v>
      </c>
    </row>
    <row r="948" spans="1:25" ht="15" customHeight="1" x14ac:dyDescent="0.25">
      <c r="A948" t="s">
        <v>1722</v>
      </c>
      <c r="B948" s="8">
        <v>45401</v>
      </c>
      <c r="C948" s="8">
        <v>45404</v>
      </c>
      <c r="D948" t="s">
        <v>20</v>
      </c>
      <c r="E948" t="s">
        <v>3048</v>
      </c>
      <c r="F948" t="s">
        <v>3036</v>
      </c>
      <c r="G948" t="s">
        <v>1723</v>
      </c>
      <c r="H948">
        <v>8151748853</v>
      </c>
      <c r="I948" t="s">
        <v>24</v>
      </c>
      <c r="J948" t="s">
        <v>25</v>
      </c>
      <c r="K948" t="s">
        <v>26</v>
      </c>
      <c r="L948" t="s">
        <v>156</v>
      </c>
      <c r="M948" t="s">
        <v>114</v>
      </c>
      <c r="N948" t="s">
        <v>291</v>
      </c>
      <c r="O948">
        <v>15</v>
      </c>
      <c r="P948">
        <v>29471.26</v>
      </c>
      <c r="Q948">
        <v>15</v>
      </c>
      <c r="R948" s="39">
        <v>66310.33</v>
      </c>
      <c r="S948" s="39">
        <v>375758.57</v>
      </c>
      <c r="T948" s="39">
        <v>21115.61</v>
      </c>
      <c r="U948" t="str">
        <f t="shared" si="32"/>
        <v>Clothing</v>
      </c>
      <c r="V948">
        <f t="shared" si="33"/>
        <v>21115.61</v>
      </c>
      <c r="W948" t="str">
        <f>IF(Sales[[#This Row],[Quantity]]&gt;=15, "Large","Small")</f>
        <v>Large</v>
      </c>
      <c r="X948" t="str">
        <f>IF(Sales[[#This Row],[Quantity]]&gt;=15,"Large",IF(Sales[[#This Row],[Quantity]]=14,"Medium","Small"))</f>
        <v>Large</v>
      </c>
      <c r="Y948" t="str">
        <f>IF(AND(Sales[[#This Row],[Unit Price (₦)]]&gt;68000,Sales[[#This Row],[Quantity]]&gt;15),"Offer Discount", "No Discount")</f>
        <v>No Discount</v>
      </c>
    </row>
    <row r="949" spans="1:25" ht="15" customHeight="1" x14ac:dyDescent="0.25">
      <c r="A949" t="s">
        <v>843</v>
      </c>
      <c r="B949" s="8">
        <v>45403</v>
      </c>
      <c r="C949" s="8">
        <v>45406</v>
      </c>
      <c r="D949" t="s">
        <v>20</v>
      </c>
      <c r="E949" t="str">
        <f>E950</f>
        <v>Chisom</v>
      </c>
      <c r="F949" t="str">
        <f>F948</f>
        <v>Chukwu</v>
      </c>
      <c r="G949" t="s">
        <v>844</v>
      </c>
      <c r="H949">
        <v>9058936405</v>
      </c>
      <c r="I949" t="s">
        <v>24</v>
      </c>
      <c r="J949" t="s">
        <v>25</v>
      </c>
      <c r="K949" t="s">
        <v>44</v>
      </c>
      <c r="L949" t="s">
        <v>96</v>
      </c>
      <c r="M949" t="s">
        <v>385</v>
      </c>
      <c r="N949" t="s">
        <v>386</v>
      </c>
      <c r="O949">
        <v>20</v>
      </c>
      <c r="P949">
        <v>190293.67</v>
      </c>
      <c r="Q949">
        <v>15</v>
      </c>
      <c r="R949" s="39">
        <v>570881.01</v>
      </c>
      <c r="S949" s="39">
        <v>3234992.39</v>
      </c>
      <c r="T949" s="39">
        <v>-409972.14</v>
      </c>
      <c r="U949" t="str">
        <f t="shared" si="32"/>
        <v>Technology</v>
      </c>
      <c r="V949">
        <f t="shared" si="33"/>
        <v>409972.14</v>
      </c>
      <c r="W949" t="str">
        <f>IF(Sales[[#This Row],[Quantity]]&gt;=15, "Large","Small")</f>
        <v>Large</v>
      </c>
      <c r="X949" t="str">
        <f>IF(Sales[[#This Row],[Quantity]]&gt;=15,"Large",IF(Sales[[#This Row],[Quantity]]=14,"Medium","Small"))</f>
        <v>Large</v>
      </c>
      <c r="Y949" t="str">
        <f>IF(AND(Sales[[#This Row],[Unit Price (₦)]]&gt;68000,Sales[[#This Row],[Quantity]]&gt;15),"Offer Discount", "No Discount")</f>
        <v>Offer Discount</v>
      </c>
    </row>
    <row r="950" spans="1:25" ht="15" customHeight="1" x14ac:dyDescent="0.25">
      <c r="A950" t="s">
        <v>1137</v>
      </c>
      <c r="B950" s="8">
        <v>45406</v>
      </c>
      <c r="C950" s="8">
        <v>45409</v>
      </c>
      <c r="D950" t="s">
        <v>20</v>
      </c>
      <c r="E950" t="s">
        <v>3041</v>
      </c>
      <c r="F950" t="s">
        <v>3088</v>
      </c>
      <c r="G950" t="s">
        <v>655</v>
      </c>
      <c r="H950">
        <v>9054589118</v>
      </c>
      <c r="I950" t="s">
        <v>43</v>
      </c>
      <c r="J950" t="s">
        <v>51</v>
      </c>
      <c r="K950" t="s">
        <v>227</v>
      </c>
      <c r="L950" t="s">
        <v>108</v>
      </c>
      <c r="M950" t="s">
        <v>189</v>
      </c>
      <c r="N950" t="s">
        <v>325</v>
      </c>
      <c r="O950">
        <f>O949</f>
        <v>20</v>
      </c>
      <c r="P950">
        <v>17480.37</v>
      </c>
      <c r="Q950">
        <v>20</v>
      </c>
      <c r="R950" s="39">
        <v>52441.11</v>
      </c>
      <c r="S950" s="39">
        <v>209764.44</v>
      </c>
      <c r="T950" s="39">
        <v>89337.55</v>
      </c>
      <c r="U950" t="str">
        <f t="shared" si="32"/>
        <v>Clothing</v>
      </c>
      <c r="V950">
        <f t="shared" si="33"/>
        <v>89337.55</v>
      </c>
      <c r="W950" t="str">
        <f>IF(Sales[[#This Row],[Quantity]]&gt;=15, "Large","Small")</f>
        <v>Large</v>
      </c>
      <c r="X950" t="str">
        <f>IF(Sales[[#This Row],[Quantity]]&gt;=15,"Large",IF(Sales[[#This Row],[Quantity]]=14,"Medium","Small"))</f>
        <v>Large</v>
      </c>
      <c r="Y950" t="str">
        <f>IF(AND(Sales[[#This Row],[Unit Price (₦)]]&gt;68000,Sales[[#This Row],[Quantity]]&gt;15),"Offer Discount", "No Discount")</f>
        <v>No Discount</v>
      </c>
    </row>
    <row r="951" spans="1:25" ht="15" customHeight="1" x14ac:dyDescent="0.25">
      <c r="A951" t="s">
        <v>709</v>
      </c>
      <c r="B951" s="8">
        <v>45410</v>
      </c>
      <c r="C951" s="8">
        <v>45413</v>
      </c>
      <c r="D951" t="s">
        <v>20</v>
      </c>
      <c r="E951" t="s">
        <v>3053</v>
      </c>
      <c r="F951" t="s">
        <v>3050</v>
      </c>
      <c r="G951" t="s">
        <v>711</v>
      </c>
      <c r="H951">
        <v>7069650558</v>
      </c>
      <c r="I951" t="s">
        <v>35</v>
      </c>
      <c r="J951" t="s">
        <v>69</v>
      </c>
      <c r="K951" t="s">
        <v>70</v>
      </c>
      <c r="L951" t="s">
        <v>63</v>
      </c>
      <c r="M951" t="s">
        <v>469</v>
      </c>
      <c r="N951" t="s">
        <v>712</v>
      </c>
      <c r="O951">
        <v>16</v>
      </c>
      <c r="P951">
        <v>11640.04</v>
      </c>
      <c r="Q951">
        <v>10</v>
      </c>
      <c r="R951" s="39">
        <v>18624.060000000001</v>
      </c>
      <c r="S951" s="39">
        <v>167616.57999999999</v>
      </c>
      <c r="T951" s="39">
        <v>33384.75</v>
      </c>
      <c r="U951" t="str">
        <f t="shared" si="32"/>
        <v>Office Supplies</v>
      </c>
      <c r="V951">
        <f t="shared" si="33"/>
        <v>33384.75</v>
      </c>
      <c r="W951" t="str">
        <f>IF(Sales[[#This Row],[Quantity]]&gt;=15, "Large","Small")</f>
        <v>Large</v>
      </c>
      <c r="X951" t="str">
        <f>IF(Sales[[#This Row],[Quantity]]&gt;=15,"Large",IF(Sales[[#This Row],[Quantity]]=14,"Medium","Small"))</f>
        <v>Large</v>
      </c>
      <c r="Y951" t="str">
        <f>IF(AND(Sales[[#This Row],[Unit Price (₦)]]&gt;68000,Sales[[#This Row],[Quantity]]&gt;15),"Offer Discount", "No Discount")</f>
        <v>No Discount</v>
      </c>
    </row>
    <row r="952" spans="1:25" ht="15" customHeight="1" x14ac:dyDescent="0.25">
      <c r="A952" t="s">
        <v>2451</v>
      </c>
      <c r="B952" s="8">
        <v>45421</v>
      </c>
      <c r="C952" s="8">
        <v>45424</v>
      </c>
      <c r="D952" t="s">
        <v>20</v>
      </c>
      <c r="E952" t="s">
        <v>3097</v>
      </c>
      <c r="F952" t="s">
        <v>3050</v>
      </c>
      <c r="G952" t="s">
        <v>2452</v>
      </c>
      <c r="H952" t="s">
        <v>1508</v>
      </c>
      <c r="I952" t="s">
        <v>24</v>
      </c>
      <c r="J952" t="s">
        <v>51</v>
      </c>
      <c r="K952" t="s">
        <v>223</v>
      </c>
      <c r="L952" t="s">
        <v>85</v>
      </c>
      <c r="M952" t="s">
        <v>266</v>
      </c>
      <c r="N952" t="s">
        <v>952</v>
      </c>
      <c r="O952">
        <v>14</v>
      </c>
      <c r="P952">
        <v>46078.76</v>
      </c>
      <c r="Q952">
        <v>10</v>
      </c>
      <c r="R952" s="39">
        <v>64510.26</v>
      </c>
      <c r="S952" s="39">
        <v>580592.38</v>
      </c>
      <c r="T952" s="39">
        <v>-50871.93</v>
      </c>
      <c r="U952" t="str">
        <f t="shared" si="32"/>
        <v>Furniture</v>
      </c>
      <c r="V952">
        <f t="shared" si="33"/>
        <v>50871.93</v>
      </c>
      <c r="W952" t="str">
        <f>IF(Sales[[#This Row],[Quantity]]&gt;=15, "Large","Small")</f>
        <v>Small</v>
      </c>
      <c r="X952" t="str">
        <f>IF(Sales[[#This Row],[Quantity]]&gt;=15,"Large",IF(Sales[[#This Row],[Quantity]]=14,"Medium","Small"))</f>
        <v>Medium</v>
      </c>
      <c r="Y952" t="str">
        <f>IF(AND(Sales[[#This Row],[Unit Price (₦)]]&gt;68000,Sales[[#This Row],[Quantity]]&gt;15),"Offer Discount", "No Discount")</f>
        <v>No Discount</v>
      </c>
    </row>
    <row r="953" spans="1:25" ht="15" customHeight="1" x14ac:dyDescent="0.25">
      <c r="A953" t="s">
        <v>1655</v>
      </c>
      <c r="B953" s="8">
        <v>45422</v>
      </c>
      <c r="C953" s="8">
        <v>45425</v>
      </c>
      <c r="D953" t="s">
        <v>20</v>
      </c>
      <c r="E953" t="s">
        <v>3041</v>
      </c>
      <c r="F953" t="s">
        <v>3046</v>
      </c>
      <c r="G953" t="s">
        <v>3126</v>
      </c>
      <c r="H953">
        <v>8136615431</v>
      </c>
      <c r="I953" t="s">
        <v>35</v>
      </c>
      <c r="J953" t="s">
        <v>25</v>
      </c>
      <c r="K953" t="s">
        <v>126</v>
      </c>
      <c r="L953" t="s">
        <v>96</v>
      </c>
      <c r="M953" t="s">
        <v>254</v>
      </c>
      <c r="N953" t="s">
        <v>756</v>
      </c>
      <c r="O953">
        <v>8</v>
      </c>
      <c r="P953">
        <v>445765.12</v>
      </c>
      <c r="Q953">
        <v>15</v>
      </c>
      <c r="R953" s="39">
        <v>534918.14</v>
      </c>
      <c r="S953" s="39">
        <v>3031202.82</v>
      </c>
      <c r="T953" s="39">
        <v>1287246.99</v>
      </c>
      <c r="U953" t="str">
        <f t="shared" si="32"/>
        <v>Technology</v>
      </c>
      <c r="V953">
        <f t="shared" si="33"/>
        <v>1287246.99</v>
      </c>
      <c r="W953" t="str">
        <f>IF(Sales[[#This Row],[Quantity]]&gt;=15, "Large","Small")</f>
        <v>Small</v>
      </c>
      <c r="X953" t="str">
        <f>IF(Sales[[#This Row],[Quantity]]&gt;=15,"Large",IF(Sales[[#This Row],[Quantity]]=14,"Medium","Small"))</f>
        <v>Small</v>
      </c>
      <c r="Y953" t="str">
        <f>IF(AND(Sales[[#This Row],[Unit Price (₦)]]&gt;68000,Sales[[#This Row],[Quantity]]&gt;15),"Offer Discount", "No Discount")</f>
        <v>No Discount</v>
      </c>
    </row>
    <row r="954" spans="1:25" ht="15" customHeight="1" x14ac:dyDescent="0.25">
      <c r="A954" t="s">
        <v>377</v>
      </c>
      <c r="B954" s="8">
        <v>45428</v>
      </c>
      <c r="C954" s="8">
        <v>45430</v>
      </c>
      <c r="D954" t="s">
        <v>20</v>
      </c>
      <c r="E954" t="s">
        <v>3076</v>
      </c>
      <c r="F954" t="s">
        <v>3088</v>
      </c>
      <c r="G954" t="s">
        <v>379</v>
      </c>
      <c r="H954">
        <v>7032738129</v>
      </c>
      <c r="I954" t="s">
        <v>43</v>
      </c>
      <c r="J954" t="s">
        <v>51</v>
      </c>
      <c r="K954" t="s">
        <v>52</v>
      </c>
      <c r="L954" t="s">
        <v>27</v>
      </c>
      <c r="M954" t="s">
        <v>173</v>
      </c>
      <c r="N954" t="s">
        <v>380</v>
      </c>
      <c r="O954">
        <v>16</v>
      </c>
      <c r="P954">
        <v>1491.42</v>
      </c>
      <c r="Q954">
        <v>5</v>
      </c>
      <c r="R954" s="39">
        <v>1193.1400000000001</v>
      </c>
      <c r="S954" s="39">
        <v>22669.58</v>
      </c>
      <c r="T954" s="39">
        <v>8123.98</v>
      </c>
      <c r="U954" t="str">
        <f t="shared" si="32"/>
        <v>Food &amp; Beverages</v>
      </c>
      <c r="V954">
        <f t="shared" si="33"/>
        <v>8123.98</v>
      </c>
      <c r="W954" t="str">
        <f>IF(Sales[[#This Row],[Quantity]]&gt;=15, "Large","Small")</f>
        <v>Large</v>
      </c>
      <c r="X954" t="str">
        <f>IF(Sales[[#This Row],[Quantity]]&gt;=15,"Large",IF(Sales[[#This Row],[Quantity]]=14,"Medium","Small"))</f>
        <v>Large</v>
      </c>
      <c r="Y954" t="str">
        <f>IF(AND(Sales[[#This Row],[Unit Price (₦)]]&gt;68000,Sales[[#This Row],[Quantity]]&gt;15),"Offer Discount", "No Discount")</f>
        <v>No Discount</v>
      </c>
    </row>
    <row r="955" spans="1:25" ht="15" customHeight="1" x14ac:dyDescent="0.25">
      <c r="A955" t="s">
        <v>2292</v>
      </c>
      <c r="B955" s="8">
        <v>45431</v>
      </c>
      <c r="C955" s="8">
        <v>45434</v>
      </c>
      <c r="D955" t="s">
        <v>20</v>
      </c>
      <c r="E955" t="s">
        <v>3037</v>
      </c>
      <c r="F955" t="s">
        <v>3050</v>
      </c>
      <c r="G955" t="s">
        <v>2294</v>
      </c>
      <c r="H955">
        <v>8141451244</v>
      </c>
      <c r="I955" t="s">
        <v>43</v>
      </c>
      <c r="J955" t="s">
        <v>61</v>
      </c>
      <c r="K955" t="s">
        <v>204</v>
      </c>
      <c r="L955" t="s">
        <v>85</v>
      </c>
      <c r="M955" t="s">
        <v>266</v>
      </c>
      <c r="N955" t="s">
        <v>803</v>
      </c>
      <c r="O955">
        <v>12</v>
      </c>
      <c r="P955">
        <v>140069.16</v>
      </c>
      <c r="Q955">
        <v>10</v>
      </c>
      <c r="R955" s="39">
        <v>168082.99</v>
      </c>
      <c r="S955" s="39">
        <v>1512746.93</v>
      </c>
      <c r="T955" s="39">
        <v>81553.05</v>
      </c>
      <c r="U955" t="str">
        <f t="shared" si="32"/>
        <v>Furniture</v>
      </c>
      <c r="V955">
        <f t="shared" si="33"/>
        <v>81553.05</v>
      </c>
      <c r="W955" t="str">
        <f>IF(Sales[[#This Row],[Quantity]]&gt;=15, "Large","Small")</f>
        <v>Small</v>
      </c>
      <c r="X955" t="str">
        <f>IF(Sales[[#This Row],[Quantity]]&gt;=15,"Large",IF(Sales[[#This Row],[Quantity]]=14,"Medium","Small"))</f>
        <v>Small</v>
      </c>
      <c r="Y955" t="str">
        <f>IF(AND(Sales[[#This Row],[Unit Price (₦)]]&gt;68000,Sales[[#This Row],[Quantity]]&gt;15),"Offer Discount", "No Discount")</f>
        <v>No Discount</v>
      </c>
    </row>
    <row r="956" spans="1:25" ht="15" customHeight="1" x14ac:dyDescent="0.25">
      <c r="A956" t="s">
        <v>2840</v>
      </c>
      <c r="B956" s="8">
        <v>45432</v>
      </c>
      <c r="C956" s="8">
        <v>45435</v>
      </c>
      <c r="D956" t="s">
        <v>20</v>
      </c>
      <c r="E956" t="s">
        <v>3091</v>
      </c>
      <c r="F956" t="s">
        <v>3057</v>
      </c>
      <c r="G956" t="s">
        <v>2842</v>
      </c>
      <c r="H956">
        <v>9077743663</v>
      </c>
      <c r="I956" t="s">
        <v>24</v>
      </c>
      <c r="J956" t="s">
        <v>61</v>
      </c>
      <c r="K956" t="s">
        <v>95</v>
      </c>
      <c r="L956" t="s">
        <v>27</v>
      </c>
      <c r="M956" t="s">
        <v>173</v>
      </c>
      <c r="N956" t="s">
        <v>2843</v>
      </c>
      <c r="O956">
        <v>13</v>
      </c>
      <c r="P956">
        <v>3048.03</v>
      </c>
      <c r="Q956">
        <v>20</v>
      </c>
      <c r="R956" s="39">
        <v>7924.88</v>
      </c>
      <c r="S956" s="39">
        <v>31699.51</v>
      </c>
      <c r="T956" s="39">
        <v>7125.15</v>
      </c>
      <c r="U956" t="str">
        <f t="shared" si="32"/>
        <v>Food &amp; Beverages</v>
      </c>
      <c r="V956">
        <f t="shared" si="33"/>
        <v>7125.15</v>
      </c>
      <c r="W956" t="str">
        <f>IF(Sales[[#This Row],[Quantity]]&gt;=15, "Large","Small")</f>
        <v>Small</v>
      </c>
      <c r="X956" t="str">
        <f>IF(Sales[[#This Row],[Quantity]]&gt;=15,"Large",IF(Sales[[#This Row],[Quantity]]=14,"Medium","Small"))</f>
        <v>Small</v>
      </c>
      <c r="Y956" t="str">
        <f>IF(AND(Sales[[#This Row],[Unit Price (₦)]]&gt;68000,Sales[[#This Row],[Quantity]]&gt;15),"Offer Discount", "No Discount")</f>
        <v>No Discount</v>
      </c>
    </row>
    <row r="957" spans="1:25" ht="15" customHeight="1" x14ac:dyDescent="0.25">
      <c r="A957" t="s">
        <v>1883</v>
      </c>
      <c r="B957" s="8">
        <v>45434</v>
      </c>
      <c r="C957" s="8">
        <v>45437</v>
      </c>
      <c r="D957" t="s">
        <v>20</v>
      </c>
      <c r="E957" t="s">
        <v>3087</v>
      </c>
      <c r="F957" t="s">
        <v>3075</v>
      </c>
      <c r="G957" t="s">
        <v>1886</v>
      </c>
      <c r="H957">
        <v>9071866635</v>
      </c>
      <c r="I957" t="s">
        <v>35</v>
      </c>
      <c r="J957" t="s">
        <v>51</v>
      </c>
      <c r="K957" t="s">
        <v>131</v>
      </c>
      <c r="L957" t="s">
        <v>1887</v>
      </c>
      <c r="M957" t="s">
        <v>249</v>
      </c>
      <c r="N957" t="s">
        <v>1141</v>
      </c>
      <c r="O957">
        <v>12</v>
      </c>
      <c r="P957">
        <v>9407.6200000000008</v>
      </c>
      <c r="Q957">
        <v>15</v>
      </c>
      <c r="R957" s="39">
        <v>16933.72</v>
      </c>
      <c r="S957" s="39">
        <v>31699.51</v>
      </c>
      <c r="T957" s="39">
        <v>-174.53</v>
      </c>
      <c r="U957" t="str">
        <f t="shared" si="32"/>
        <v>Office Supply</v>
      </c>
      <c r="V957">
        <f t="shared" si="33"/>
        <v>174.53</v>
      </c>
      <c r="W957" t="str">
        <f>IF(Sales[[#This Row],[Quantity]]&gt;=15, "Large","Small")</f>
        <v>Small</v>
      </c>
      <c r="X957" t="str">
        <f>IF(Sales[[#This Row],[Quantity]]&gt;=15,"Large",IF(Sales[[#This Row],[Quantity]]=14,"Medium","Small"))</f>
        <v>Small</v>
      </c>
      <c r="Y957" t="str">
        <f>IF(AND(Sales[[#This Row],[Unit Price (₦)]]&gt;68000,Sales[[#This Row],[Quantity]]&gt;15),"Offer Discount", "No Discount")</f>
        <v>No Discount</v>
      </c>
    </row>
    <row r="958" spans="1:25" ht="15" customHeight="1" x14ac:dyDescent="0.25">
      <c r="A958" t="s">
        <v>701</v>
      </c>
      <c r="B958" s="8">
        <v>45438</v>
      </c>
      <c r="C958" s="8">
        <v>45440</v>
      </c>
      <c r="D958" t="s">
        <v>20</v>
      </c>
      <c r="E958" t="s">
        <v>3085</v>
      </c>
      <c r="F958" t="s">
        <v>3054</v>
      </c>
      <c r="G958" t="s">
        <v>703</v>
      </c>
      <c r="H958">
        <v>8034471922</v>
      </c>
      <c r="I958" t="s">
        <v>35</v>
      </c>
      <c r="J958" t="s">
        <v>25</v>
      </c>
      <c r="K958" t="s">
        <v>126</v>
      </c>
      <c r="L958" t="s">
        <v>96</v>
      </c>
      <c r="M958" t="s">
        <v>254</v>
      </c>
      <c r="N958" t="s">
        <v>455</v>
      </c>
      <c r="O958">
        <v>20</v>
      </c>
      <c r="P958">
        <v>246542.15</v>
      </c>
      <c r="Q958">
        <v>25</v>
      </c>
      <c r="R958" s="39">
        <v>1232710.75</v>
      </c>
      <c r="S958" s="39">
        <v>3698132.25</v>
      </c>
      <c r="T958" s="39">
        <f>T957</f>
        <v>-174.53</v>
      </c>
      <c r="U958" t="str">
        <f t="shared" si="32"/>
        <v>Technology</v>
      </c>
      <c r="V958">
        <f t="shared" si="33"/>
        <v>174.53</v>
      </c>
      <c r="W958" t="str">
        <f>IF(Sales[[#This Row],[Quantity]]&gt;=15, "Large","Small")</f>
        <v>Large</v>
      </c>
      <c r="X958" t="str">
        <f>IF(Sales[[#This Row],[Quantity]]&gt;=15,"Large",IF(Sales[[#This Row],[Quantity]]=14,"Medium","Small"))</f>
        <v>Large</v>
      </c>
      <c r="Y958" t="str">
        <f>IF(AND(Sales[[#This Row],[Unit Price (₦)]]&gt;68000,Sales[[#This Row],[Quantity]]&gt;15),"Offer Discount", "No Discount")</f>
        <v>Offer Discount</v>
      </c>
    </row>
    <row r="959" spans="1:25" ht="15" customHeight="1" x14ac:dyDescent="0.25">
      <c r="A959" t="s">
        <v>747</v>
      </c>
      <c r="B959" s="8">
        <v>45441</v>
      </c>
      <c r="C959" s="8">
        <v>45444</v>
      </c>
      <c r="D959" t="s">
        <v>20</v>
      </c>
      <c r="E959" t="s">
        <v>3070</v>
      </c>
      <c r="F959" t="s">
        <v>3050</v>
      </c>
      <c r="G959" t="s">
        <v>749</v>
      </c>
      <c r="H959">
        <v>9012293020</v>
      </c>
      <c r="I959" t="s">
        <v>35</v>
      </c>
      <c r="J959" t="s">
        <v>51</v>
      </c>
      <c r="K959" t="s">
        <v>52</v>
      </c>
      <c r="L959" t="s">
        <v>108</v>
      </c>
      <c r="M959" t="s">
        <v>183</v>
      </c>
      <c r="N959" t="s">
        <v>184</v>
      </c>
      <c r="O959">
        <v>16</v>
      </c>
      <c r="P959">
        <v>17485.330000000002</v>
      </c>
      <c r="Q959">
        <v>0</v>
      </c>
      <c r="R959" s="39">
        <v>0</v>
      </c>
      <c r="S959" s="39">
        <v>279765.28000000003</v>
      </c>
      <c r="T959" s="39">
        <v>19754.97</v>
      </c>
      <c r="U959" t="str">
        <f t="shared" si="32"/>
        <v>Clothing</v>
      </c>
      <c r="V959">
        <f t="shared" si="33"/>
        <v>19754.97</v>
      </c>
      <c r="W959" t="str">
        <f>IF(Sales[[#This Row],[Quantity]]&gt;=15, "Large","Small")</f>
        <v>Large</v>
      </c>
      <c r="X959" t="str">
        <f>IF(Sales[[#This Row],[Quantity]]&gt;=15,"Large",IF(Sales[[#This Row],[Quantity]]=14,"Medium","Small"))</f>
        <v>Large</v>
      </c>
      <c r="Y959" t="str">
        <f>IF(AND(Sales[[#This Row],[Unit Price (₦)]]&gt;68000,Sales[[#This Row],[Quantity]]&gt;15),"Offer Discount", "No Discount")</f>
        <v>No Discount</v>
      </c>
    </row>
    <row r="960" spans="1:25" ht="15" customHeight="1" x14ac:dyDescent="0.25">
      <c r="A960" t="s">
        <v>318</v>
      </c>
      <c r="B960" s="8">
        <v>45444</v>
      </c>
      <c r="C960" s="8">
        <v>45446</v>
      </c>
      <c r="D960" t="s">
        <v>20</v>
      </c>
      <c r="E960" t="s">
        <v>3059</v>
      </c>
      <c r="F960" t="s">
        <v>3075</v>
      </c>
      <c r="G960" t="s">
        <v>320</v>
      </c>
      <c r="H960">
        <v>9054020853</v>
      </c>
      <c r="I960" t="s">
        <v>43</v>
      </c>
      <c r="J960" t="s">
        <v>25</v>
      </c>
      <c r="K960" t="s">
        <v>44</v>
      </c>
      <c r="L960" t="s">
        <v>85</v>
      </c>
      <c r="M960" t="s">
        <v>218</v>
      </c>
      <c r="N960" t="s">
        <v>321</v>
      </c>
      <c r="O960">
        <v>13</v>
      </c>
      <c r="P960">
        <v>112832.59</v>
      </c>
      <c r="Q960">
        <v>5</v>
      </c>
      <c r="R960" s="39">
        <v>73341.179999999993</v>
      </c>
      <c r="S960" s="39">
        <v>1393482.49</v>
      </c>
      <c r="T960" s="39">
        <v>207071.99</v>
      </c>
      <c r="U960" t="str">
        <f t="shared" si="32"/>
        <v>Furniture</v>
      </c>
      <c r="V960">
        <f t="shared" si="33"/>
        <v>207071.99</v>
      </c>
      <c r="W960" t="str">
        <f>IF(Sales[[#This Row],[Quantity]]&gt;=15, "Large","Small")</f>
        <v>Small</v>
      </c>
      <c r="X960" t="str">
        <f>IF(Sales[[#This Row],[Quantity]]&gt;=15,"Large",IF(Sales[[#This Row],[Quantity]]=14,"Medium","Small"))</f>
        <v>Small</v>
      </c>
      <c r="Y960" t="str">
        <f>IF(AND(Sales[[#This Row],[Unit Price (₦)]]&gt;68000,Sales[[#This Row],[Quantity]]&gt;15),"Offer Discount", "No Discount")</f>
        <v>No Discount</v>
      </c>
    </row>
    <row r="961" spans="1:25" ht="15" customHeight="1" x14ac:dyDescent="0.25">
      <c r="A961" t="s">
        <v>2644</v>
      </c>
      <c r="B961" s="8">
        <v>45446</v>
      </c>
      <c r="C961" s="8">
        <v>45448</v>
      </c>
      <c r="D961" t="s">
        <v>20</v>
      </c>
      <c r="E961" t="s">
        <v>3080</v>
      </c>
      <c r="F961" t="s">
        <v>3036</v>
      </c>
      <c r="G961" t="s">
        <v>2645</v>
      </c>
      <c r="H961">
        <v>7037017462</v>
      </c>
      <c r="I961" t="s">
        <v>43</v>
      </c>
      <c r="J961" t="s">
        <v>69</v>
      </c>
      <c r="K961" t="s">
        <v>155</v>
      </c>
      <c r="L961" t="s">
        <v>108</v>
      </c>
      <c r="M961" t="s">
        <v>183</v>
      </c>
      <c r="N961" t="s">
        <v>184</v>
      </c>
      <c r="O961">
        <v>6</v>
      </c>
      <c r="P961">
        <v>39057.4</v>
      </c>
      <c r="Q961">
        <v>0</v>
      </c>
      <c r="R961" s="39">
        <v>0</v>
      </c>
      <c r="S961" s="39">
        <v>234344.4</v>
      </c>
      <c r="T961" s="39">
        <v>13140.22</v>
      </c>
      <c r="U961" t="str">
        <f t="shared" si="32"/>
        <v>Clothing</v>
      </c>
      <c r="V961">
        <f t="shared" si="33"/>
        <v>13140.22</v>
      </c>
      <c r="W961" t="str">
        <f>IF(Sales[[#This Row],[Quantity]]&gt;=15, "Large","Small")</f>
        <v>Small</v>
      </c>
      <c r="X961" t="str">
        <f>IF(Sales[[#This Row],[Quantity]]&gt;=15,"Large",IF(Sales[[#This Row],[Quantity]]=14,"Medium","Small"))</f>
        <v>Small</v>
      </c>
      <c r="Y961" t="str">
        <f>IF(AND(Sales[[#This Row],[Unit Price (₦)]]&gt;68000,Sales[[#This Row],[Quantity]]&gt;15),"Offer Discount", "No Discount")</f>
        <v>No Discount</v>
      </c>
    </row>
    <row r="962" spans="1:25" ht="15" customHeight="1" x14ac:dyDescent="0.25">
      <c r="A962" t="s">
        <v>1826</v>
      </c>
      <c r="B962" s="8">
        <v>45450</v>
      </c>
      <c r="C962" s="8">
        <v>45452</v>
      </c>
      <c r="D962" t="s">
        <v>20</v>
      </c>
      <c r="E962" t="s">
        <v>3058</v>
      </c>
      <c r="F962" t="s">
        <v>3043</v>
      </c>
      <c r="G962" t="s">
        <v>1828</v>
      </c>
      <c r="H962">
        <v>8065040883</v>
      </c>
      <c r="I962" t="s">
        <v>24</v>
      </c>
      <c r="J962" t="s">
        <v>25</v>
      </c>
      <c r="K962" t="s">
        <v>36</v>
      </c>
      <c r="L962" t="s">
        <v>108</v>
      </c>
      <c r="M962" t="s">
        <v>183</v>
      </c>
      <c r="N962" t="s">
        <v>1829</v>
      </c>
      <c r="O962">
        <v>6</v>
      </c>
      <c r="P962">
        <v>31583.32</v>
      </c>
      <c r="Q962">
        <v>15</v>
      </c>
      <c r="R962" s="39">
        <v>28424.99</v>
      </c>
      <c r="S962" s="39">
        <v>161074.93</v>
      </c>
      <c r="T962" s="39">
        <v>50820.73</v>
      </c>
      <c r="U962" t="str">
        <f t="shared" ref="U962:U1010" si="34">PROPER(L962)</f>
        <v>Clothing</v>
      </c>
      <c r="V962">
        <f t="shared" si="33"/>
        <v>50820.73</v>
      </c>
      <c r="W962" t="str">
        <f>IF(Sales[[#This Row],[Quantity]]&gt;=15, "Large","Small")</f>
        <v>Small</v>
      </c>
      <c r="X962" t="str">
        <f>IF(Sales[[#This Row],[Quantity]]&gt;=15,"Large",IF(Sales[[#This Row],[Quantity]]=14,"Medium","Small"))</f>
        <v>Small</v>
      </c>
      <c r="Y962" t="str">
        <f>IF(AND(Sales[[#This Row],[Unit Price (₦)]]&gt;68000,Sales[[#This Row],[Quantity]]&gt;15),"Offer Discount", "No Discount")</f>
        <v>No Discount</v>
      </c>
    </row>
    <row r="963" spans="1:25" ht="15" customHeight="1" x14ac:dyDescent="0.25">
      <c r="A963" t="s">
        <v>76</v>
      </c>
      <c r="B963" s="8">
        <v>45452</v>
      </c>
      <c r="C963" s="8">
        <v>45454</v>
      </c>
      <c r="D963" t="s">
        <v>20</v>
      </c>
      <c r="E963" t="s">
        <v>3039</v>
      </c>
      <c r="F963" t="s">
        <v>3046</v>
      </c>
      <c r="G963" t="s">
        <v>78</v>
      </c>
      <c r="H963">
        <v>8153997281</v>
      </c>
      <c r="I963" t="s">
        <v>35</v>
      </c>
      <c r="J963" t="s">
        <v>51</v>
      </c>
      <c r="K963" t="s">
        <v>3127</v>
      </c>
      <c r="L963" t="s">
        <v>27</v>
      </c>
      <c r="M963" t="s">
        <v>79</v>
      </c>
      <c r="N963" t="s">
        <v>80</v>
      </c>
      <c r="O963">
        <v>17</v>
      </c>
      <c r="P963">
        <v>6780.85</v>
      </c>
      <c r="Q963">
        <v>5</v>
      </c>
      <c r="R963" s="39">
        <v>5763.72</v>
      </c>
      <c r="S963" s="39">
        <v>109510.73</v>
      </c>
      <c r="T963" s="39">
        <v>-6384.09</v>
      </c>
      <c r="U963" t="str">
        <f t="shared" si="34"/>
        <v>Food &amp; Beverages</v>
      </c>
      <c r="V963">
        <f t="shared" ref="V963:V1010" si="35">ABS(T963)</f>
        <v>6384.09</v>
      </c>
      <c r="W963" t="str">
        <f>IF(Sales[[#This Row],[Quantity]]&gt;=15, "Large","Small")</f>
        <v>Large</v>
      </c>
      <c r="X963" t="str">
        <f>IF(Sales[[#This Row],[Quantity]]&gt;=15,"Large",IF(Sales[[#This Row],[Quantity]]=14,"Medium","Small"))</f>
        <v>Large</v>
      </c>
      <c r="Y963" t="str">
        <f>IF(AND(Sales[[#This Row],[Unit Price (₦)]]&gt;68000,Sales[[#This Row],[Quantity]]&gt;15),"Offer Discount", "No Discount")</f>
        <v>No Discount</v>
      </c>
    </row>
    <row r="964" spans="1:25" ht="15" customHeight="1" x14ac:dyDescent="0.25">
      <c r="A964" t="s">
        <v>1047</v>
      </c>
      <c r="B964" s="8">
        <v>45468</v>
      </c>
      <c r="C964" s="8">
        <v>45471</v>
      </c>
      <c r="D964" t="s">
        <v>20</v>
      </c>
      <c r="E964" t="s">
        <v>3094</v>
      </c>
      <c r="F964" t="s">
        <v>3083</v>
      </c>
      <c r="G964" t="s">
        <v>1049</v>
      </c>
      <c r="H964">
        <v>9026698561</v>
      </c>
      <c r="I964" t="s">
        <v>43</v>
      </c>
      <c r="J964" t="s">
        <v>25</v>
      </c>
      <c r="K964" t="s">
        <v>36</v>
      </c>
      <c r="L964" t="s">
        <v>108</v>
      </c>
      <c r="M964" t="s">
        <v>183</v>
      </c>
      <c r="N964" t="s">
        <v>184</v>
      </c>
      <c r="O964">
        <v>16</v>
      </c>
      <c r="P964">
        <v>39067</v>
      </c>
      <c r="Q964">
        <v>0</v>
      </c>
      <c r="R964" s="39">
        <v>0</v>
      </c>
      <c r="S964" s="39">
        <v>625072</v>
      </c>
      <c r="T964" s="39">
        <v>2932.75</v>
      </c>
      <c r="U964" t="str">
        <f t="shared" si="34"/>
        <v>Clothing</v>
      </c>
      <c r="V964">
        <f t="shared" si="35"/>
        <v>2932.75</v>
      </c>
      <c r="W964" t="str">
        <f>IF(Sales[[#This Row],[Quantity]]&gt;=15, "Large","Small")</f>
        <v>Large</v>
      </c>
      <c r="X964" t="str">
        <f>IF(Sales[[#This Row],[Quantity]]&gt;=15,"Large",IF(Sales[[#This Row],[Quantity]]=14,"Medium","Small"))</f>
        <v>Large</v>
      </c>
      <c r="Y964" t="str">
        <f>IF(AND(Sales[[#This Row],[Unit Price (₦)]]&gt;68000,Sales[[#This Row],[Quantity]]&gt;15),"Offer Discount", "No Discount")</f>
        <v>No Discount</v>
      </c>
    </row>
    <row r="965" spans="1:25" ht="15" customHeight="1" x14ac:dyDescent="0.25">
      <c r="A965" t="s">
        <v>1200</v>
      </c>
      <c r="B965" s="8">
        <v>45475</v>
      </c>
      <c r="C965" s="8">
        <v>45478</v>
      </c>
      <c r="D965" t="s">
        <v>20</v>
      </c>
      <c r="E965" t="s">
        <v>3065</v>
      </c>
      <c r="F965" t="s">
        <v>3038</v>
      </c>
      <c r="G965" t="s">
        <v>1202</v>
      </c>
      <c r="H965">
        <v>8131059272</v>
      </c>
      <c r="I965" t="s">
        <v>43</v>
      </c>
      <c r="J965" t="s">
        <v>25</v>
      </c>
      <c r="K965" t="s">
        <v>168</v>
      </c>
      <c r="L965" t="s">
        <v>27</v>
      </c>
      <c r="M965" t="s">
        <v>45</v>
      </c>
      <c r="N965" t="s">
        <v>308</v>
      </c>
      <c r="O965">
        <v>16</v>
      </c>
      <c r="P965">
        <v>3831.55</v>
      </c>
      <c r="Q965">
        <v>25</v>
      </c>
      <c r="R965" s="39">
        <v>15326.2</v>
      </c>
      <c r="S965" s="39">
        <v>45978.6</v>
      </c>
      <c r="T965" s="39">
        <v>15378.59</v>
      </c>
      <c r="U965" t="str">
        <f t="shared" si="34"/>
        <v>Food &amp; Beverages</v>
      </c>
      <c r="V965">
        <f t="shared" si="35"/>
        <v>15378.59</v>
      </c>
      <c r="W965" t="str">
        <f>IF(Sales[[#This Row],[Quantity]]&gt;=15, "Large","Small")</f>
        <v>Large</v>
      </c>
      <c r="X965" t="str">
        <f>IF(Sales[[#This Row],[Quantity]]&gt;=15,"Large",IF(Sales[[#This Row],[Quantity]]=14,"Medium","Small"))</f>
        <v>Large</v>
      </c>
      <c r="Y965" t="str">
        <f>IF(AND(Sales[[#This Row],[Unit Price (₦)]]&gt;68000,Sales[[#This Row],[Quantity]]&gt;15),"Offer Discount", "No Discount")</f>
        <v>No Discount</v>
      </c>
    </row>
    <row r="966" spans="1:25" ht="15" customHeight="1" x14ac:dyDescent="0.25">
      <c r="A966" t="s">
        <v>1955</v>
      </c>
      <c r="B966" s="8">
        <v>45478</v>
      </c>
      <c r="C966" s="8">
        <v>45480</v>
      </c>
      <c r="D966" t="s">
        <v>20</v>
      </c>
      <c r="E966" t="s">
        <v>3095</v>
      </c>
      <c r="F966" t="s">
        <v>3064</v>
      </c>
      <c r="G966" t="s">
        <v>1956</v>
      </c>
      <c r="H966">
        <v>9058229326</v>
      </c>
      <c r="I966" t="s">
        <v>24</v>
      </c>
      <c r="J966" t="s">
        <v>61</v>
      </c>
      <c r="K966" t="s">
        <v>62</v>
      </c>
      <c r="L966" t="s">
        <v>96</v>
      </c>
      <c r="M966" t="s">
        <v>189</v>
      </c>
      <c r="N966" t="s">
        <v>190</v>
      </c>
      <c r="O966">
        <v>20</v>
      </c>
      <c r="P966">
        <v>105836.98</v>
      </c>
      <c r="Q966">
        <v>0</v>
      </c>
      <c r="R966" s="39">
        <v>0</v>
      </c>
      <c r="S966" s="39">
        <v>2116739.6</v>
      </c>
      <c r="T966" s="39">
        <v>899210.86</v>
      </c>
      <c r="U966" t="str">
        <f t="shared" si="34"/>
        <v>Technology</v>
      </c>
      <c r="V966">
        <f t="shared" si="35"/>
        <v>899210.86</v>
      </c>
      <c r="W966" t="str">
        <f>IF(Sales[[#This Row],[Quantity]]&gt;=15, "Large","Small")</f>
        <v>Large</v>
      </c>
      <c r="X966" t="str">
        <f>IF(Sales[[#This Row],[Quantity]]&gt;=15,"Large",IF(Sales[[#This Row],[Quantity]]=14,"Medium","Small"))</f>
        <v>Large</v>
      </c>
      <c r="Y966" t="str">
        <f>IF(AND(Sales[[#This Row],[Unit Price (₦)]]&gt;68000,Sales[[#This Row],[Quantity]]&gt;15),"Offer Discount", "No Discount")</f>
        <v>Offer Discount</v>
      </c>
    </row>
    <row r="967" spans="1:25" ht="15" customHeight="1" x14ac:dyDescent="0.25">
      <c r="A967" t="s">
        <v>505</v>
      </c>
      <c r="B967" s="8">
        <v>45482</v>
      </c>
      <c r="C967" s="8">
        <v>45484</v>
      </c>
      <c r="D967" t="s">
        <v>20</v>
      </c>
      <c r="E967" t="s">
        <v>3084</v>
      </c>
      <c r="F967" t="s">
        <v>3038</v>
      </c>
      <c r="G967" t="s">
        <v>507</v>
      </c>
      <c r="H967">
        <v>8167444964</v>
      </c>
      <c r="I967" t="s">
        <v>35</v>
      </c>
      <c r="J967" t="s">
        <v>61</v>
      </c>
      <c r="K967" t="s">
        <v>204</v>
      </c>
      <c r="L967" t="s">
        <v>27</v>
      </c>
      <c r="M967" t="s">
        <v>28</v>
      </c>
      <c r="N967" t="s">
        <v>508</v>
      </c>
      <c r="O967">
        <v>6</v>
      </c>
      <c r="P967">
        <v>7712.68</v>
      </c>
      <c r="Q967">
        <v>10</v>
      </c>
      <c r="R967" s="39">
        <v>4627.6099999999997</v>
      </c>
      <c r="S967" s="39">
        <v>41648.47</v>
      </c>
      <c r="T967" s="39">
        <v>17086.32</v>
      </c>
      <c r="U967" t="str">
        <f t="shared" si="34"/>
        <v>Food &amp; Beverages</v>
      </c>
      <c r="V967">
        <f t="shared" si="35"/>
        <v>17086.32</v>
      </c>
      <c r="W967" t="str">
        <f>IF(Sales[[#This Row],[Quantity]]&gt;=15, "Large","Small")</f>
        <v>Small</v>
      </c>
      <c r="X967" t="str">
        <f>IF(Sales[[#This Row],[Quantity]]&gt;=15,"Large",IF(Sales[[#This Row],[Quantity]]=14,"Medium","Small"))</f>
        <v>Small</v>
      </c>
      <c r="Y967" t="str">
        <f>IF(AND(Sales[[#This Row],[Unit Price (₦)]]&gt;68000,Sales[[#This Row],[Quantity]]&gt;15),"Offer Discount", "No Discount")</f>
        <v>No Discount</v>
      </c>
    </row>
    <row r="968" spans="1:25" ht="15" customHeight="1" x14ac:dyDescent="0.25">
      <c r="A968" t="s">
        <v>637</v>
      </c>
      <c r="B968" s="8">
        <v>45484</v>
      </c>
      <c r="C968" s="8">
        <v>45487</v>
      </c>
      <c r="D968" t="s">
        <v>20</v>
      </c>
      <c r="E968" t="s">
        <v>3067</v>
      </c>
      <c r="F968" t="s">
        <v>3039</v>
      </c>
      <c r="G968" t="s">
        <v>639</v>
      </c>
      <c r="H968">
        <v>7064116163</v>
      </c>
      <c r="I968" t="s">
        <v>24</v>
      </c>
      <c r="J968" t="s">
        <v>51</v>
      </c>
      <c r="K968" t="s">
        <v>52</v>
      </c>
      <c r="L968" t="s">
        <v>27</v>
      </c>
      <c r="M968" t="s">
        <v>28</v>
      </c>
      <c r="N968" t="s">
        <v>29</v>
      </c>
      <c r="O968">
        <v>10</v>
      </c>
      <c r="P968">
        <v>6245.69</v>
      </c>
      <c r="Q968">
        <v>5</v>
      </c>
      <c r="R968" s="39">
        <v>3122.84</v>
      </c>
      <c r="S968" s="39">
        <v>59334.06</v>
      </c>
      <c r="T968" s="39">
        <v>16486.87</v>
      </c>
      <c r="U968" t="str">
        <f t="shared" si="34"/>
        <v>Food &amp; Beverages</v>
      </c>
      <c r="V968">
        <f t="shared" si="35"/>
        <v>16486.87</v>
      </c>
      <c r="W968" t="str">
        <f>IF(Sales[[#This Row],[Quantity]]&gt;=15, "Large","Small")</f>
        <v>Small</v>
      </c>
      <c r="X968" t="str">
        <f>IF(Sales[[#This Row],[Quantity]]&gt;=15,"Large",IF(Sales[[#This Row],[Quantity]]=14,"Medium","Small"))</f>
        <v>Small</v>
      </c>
      <c r="Y968" t="str">
        <f>IF(AND(Sales[[#This Row],[Unit Price (₦)]]&gt;68000,Sales[[#This Row],[Quantity]]&gt;15),"Offer Discount", "No Discount")</f>
        <v>No Discount</v>
      </c>
    </row>
    <row r="969" spans="1:25" ht="15" customHeight="1" x14ac:dyDescent="0.25">
      <c r="A969" t="s">
        <v>691</v>
      </c>
      <c r="B969" s="8">
        <v>45485</v>
      </c>
      <c r="C969" s="8">
        <v>45487</v>
      </c>
      <c r="D969" t="s">
        <v>20</v>
      </c>
      <c r="E969" t="s">
        <v>3097</v>
      </c>
      <c r="F969" t="s">
        <v>3046</v>
      </c>
      <c r="G969" t="s">
        <v>692</v>
      </c>
      <c r="H969">
        <v>8104273712</v>
      </c>
      <c r="I969" t="s">
        <v>35</v>
      </c>
      <c r="J969" t="s">
        <v>69</v>
      </c>
      <c r="K969" t="s">
        <v>131</v>
      </c>
      <c r="L969" t="s">
        <v>108</v>
      </c>
      <c r="M969" t="s">
        <v>189</v>
      </c>
      <c r="N969" t="s">
        <v>205</v>
      </c>
      <c r="O969">
        <v>14</v>
      </c>
      <c r="P969">
        <v>30082</v>
      </c>
      <c r="Q969">
        <v>20</v>
      </c>
      <c r="R969" s="39">
        <v>84229.6</v>
      </c>
      <c r="S969" s="39">
        <v>336918.4</v>
      </c>
      <c r="T969" s="39">
        <v>33482.36</v>
      </c>
      <c r="U969" t="str">
        <f t="shared" si="34"/>
        <v>Clothing</v>
      </c>
      <c r="V969">
        <f t="shared" si="35"/>
        <v>33482.36</v>
      </c>
      <c r="W969" t="str">
        <f>IF(Sales[[#This Row],[Quantity]]&gt;=15, "Large","Small")</f>
        <v>Small</v>
      </c>
      <c r="X969" t="str">
        <f>IF(Sales[[#This Row],[Quantity]]&gt;=15,"Large",IF(Sales[[#This Row],[Quantity]]=14,"Medium","Small"))</f>
        <v>Medium</v>
      </c>
      <c r="Y969" t="str">
        <f>IF(AND(Sales[[#This Row],[Unit Price (₦)]]&gt;68000,Sales[[#This Row],[Quantity]]&gt;15),"Offer Discount", "No Discount")</f>
        <v>No Discount</v>
      </c>
    </row>
    <row r="970" spans="1:25" ht="15" customHeight="1" x14ac:dyDescent="0.25">
      <c r="A970" t="s">
        <v>1194</v>
      </c>
      <c r="B970" s="8">
        <v>45485</v>
      </c>
      <c r="C970" s="8">
        <v>45487</v>
      </c>
      <c r="D970" t="s">
        <v>20</v>
      </c>
      <c r="E970" t="s">
        <v>3065</v>
      </c>
      <c r="F970" t="s">
        <v>3071</v>
      </c>
      <c r="G970" t="s">
        <v>1196</v>
      </c>
      <c r="H970">
        <v>8142512963</v>
      </c>
      <c r="I970" t="s">
        <v>43</v>
      </c>
      <c r="J970" t="s">
        <v>61</v>
      </c>
      <c r="K970" t="s">
        <v>204</v>
      </c>
      <c r="L970" t="s">
        <v>63</v>
      </c>
      <c r="M970" t="s">
        <v>558</v>
      </c>
      <c r="N970" t="s">
        <v>680</v>
      </c>
      <c r="O970">
        <v>4</v>
      </c>
      <c r="P970">
        <v>18100.18</v>
      </c>
      <c r="Q970">
        <v>0</v>
      </c>
      <c r="R970" s="39">
        <v>0</v>
      </c>
      <c r="S970" s="39">
        <v>72400.72</v>
      </c>
      <c r="T970" s="39">
        <v>-5900.73</v>
      </c>
      <c r="U970" t="str">
        <f t="shared" si="34"/>
        <v>Office Supplies</v>
      </c>
      <c r="V970">
        <f t="shared" si="35"/>
        <v>5900.73</v>
      </c>
      <c r="W970" t="str">
        <f>IF(Sales[[#This Row],[Quantity]]&gt;=15, "Large","Small")</f>
        <v>Small</v>
      </c>
      <c r="X970" t="str">
        <f>IF(Sales[[#This Row],[Quantity]]&gt;=15,"Large",IF(Sales[[#This Row],[Quantity]]=14,"Medium","Small"))</f>
        <v>Small</v>
      </c>
      <c r="Y970" t="str">
        <f>IF(AND(Sales[[#This Row],[Unit Price (₦)]]&gt;68000,Sales[[#This Row],[Quantity]]&gt;15),"Offer Discount", "No Discount")</f>
        <v>No Discount</v>
      </c>
    </row>
    <row r="971" spans="1:25" ht="15" customHeight="1" x14ac:dyDescent="0.25">
      <c r="A971" t="s">
        <v>2071</v>
      </c>
      <c r="B971" s="8">
        <v>45488</v>
      </c>
      <c r="C971" s="8">
        <v>45491</v>
      </c>
      <c r="D971" t="s">
        <v>20</v>
      </c>
      <c r="E971" t="s">
        <v>3097</v>
      </c>
      <c r="F971" t="s">
        <v>3077</v>
      </c>
      <c r="G971" t="s">
        <v>2073</v>
      </c>
      <c r="H971">
        <v>9079162003</v>
      </c>
      <c r="I971" t="s">
        <v>24</v>
      </c>
      <c r="J971" t="s">
        <v>25</v>
      </c>
      <c r="K971" t="s">
        <v>44</v>
      </c>
      <c r="L971" t="s">
        <v>53</v>
      </c>
      <c r="M971" t="s">
        <v>558</v>
      </c>
      <c r="N971" t="s">
        <v>559</v>
      </c>
      <c r="O971">
        <f>O970</f>
        <v>4</v>
      </c>
      <c r="P971">
        <v>832.25</v>
      </c>
      <c r="Q971">
        <v>10</v>
      </c>
      <c r="R971" s="39">
        <v>998.7</v>
      </c>
      <c r="S971" s="39">
        <v>8988.2999999999993</v>
      </c>
      <c r="T971" s="39">
        <v>2481.62</v>
      </c>
      <c r="U971" t="str">
        <f t="shared" si="34"/>
        <v>Office Supplies</v>
      </c>
      <c r="V971">
        <f t="shared" si="35"/>
        <v>2481.62</v>
      </c>
      <c r="W971" t="str">
        <f>IF(Sales[[#This Row],[Quantity]]&gt;=15, "Large","Small")</f>
        <v>Small</v>
      </c>
      <c r="X971" t="str">
        <f>IF(Sales[[#This Row],[Quantity]]&gt;=15,"Large",IF(Sales[[#This Row],[Quantity]]=14,"Medium","Small"))</f>
        <v>Small</v>
      </c>
      <c r="Y971" t="str">
        <f>IF(AND(Sales[[#This Row],[Unit Price (₦)]]&gt;68000,Sales[[#This Row],[Quantity]]&gt;15),"Offer Discount", "No Discount")</f>
        <v>No Discount</v>
      </c>
    </row>
    <row r="972" spans="1:25" ht="15" customHeight="1" x14ac:dyDescent="0.25">
      <c r="A972" t="s">
        <v>2438</v>
      </c>
      <c r="B972" s="8">
        <v>45488</v>
      </c>
      <c r="C972" s="8">
        <v>45491</v>
      </c>
      <c r="D972" t="s">
        <v>20</v>
      </c>
      <c r="E972" t="str">
        <f>E973</f>
        <v>Nike</v>
      </c>
      <c r="F972" t="str">
        <f>F971</f>
        <v>Otedola</v>
      </c>
      <c r="G972" t="s">
        <v>2439</v>
      </c>
      <c r="H972">
        <v>7069571557</v>
      </c>
      <c r="I972" t="s">
        <v>43</v>
      </c>
      <c r="J972" t="s">
        <v>51</v>
      </c>
      <c r="K972" t="s">
        <v>131</v>
      </c>
      <c r="L972" t="s">
        <v>85</v>
      </c>
      <c r="M972" t="s">
        <v>218</v>
      </c>
      <c r="N972" t="s">
        <v>708</v>
      </c>
      <c r="O972">
        <v>7</v>
      </c>
      <c r="P972">
        <v>141456.75</v>
      </c>
      <c r="Q972">
        <v>10</v>
      </c>
      <c r="R972" s="39">
        <v>99019.73</v>
      </c>
      <c r="S972" s="39">
        <v>891177.52</v>
      </c>
      <c r="T972" s="39">
        <v>147351.57999999999</v>
      </c>
      <c r="U972" t="str">
        <f t="shared" si="34"/>
        <v>Furniture</v>
      </c>
      <c r="V972">
        <f t="shared" si="35"/>
        <v>147351.57999999999</v>
      </c>
      <c r="W972" t="str">
        <f>IF(Sales[[#This Row],[Quantity]]&gt;=15, "Large","Small")</f>
        <v>Small</v>
      </c>
      <c r="X972" t="str">
        <f>IF(Sales[[#This Row],[Quantity]]&gt;=15,"Large",IF(Sales[[#This Row],[Quantity]]=14,"Medium","Small"))</f>
        <v>Small</v>
      </c>
      <c r="Y972" t="str">
        <f>IF(AND(Sales[[#This Row],[Unit Price (₦)]]&gt;68000,Sales[[#This Row],[Quantity]]&gt;15),"Offer Discount", "No Discount")</f>
        <v>No Discount</v>
      </c>
    </row>
    <row r="973" spans="1:25" ht="15" customHeight="1" x14ac:dyDescent="0.25">
      <c r="A973" t="s">
        <v>2722</v>
      </c>
      <c r="B973" s="8">
        <v>45489</v>
      </c>
      <c r="C973" s="8">
        <v>45491</v>
      </c>
      <c r="D973" t="s">
        <v>20</v>
      </c>
      <c r="E973" t="s">
        <v>3076</v>
      </c>
      <c r="F973" t="s">
        <v>3054</v>
      </c>
      <c r="G973" t="s">
        <v>2724</v>
      </c>
      <c r="H973">
        <v>8164120898</v>
      </c>
      <c r="I973" t="s">
        <v>35</v>
      </c>
      <c r="J973" t="s">
        <v>25</v>
      </c>
      <c r="K973" t="s">
        <v>44</v>
      </c>
      <c r="L973" t="s">
        <v>85</v>
      </c>
      <c r="M973" t="s">
        <v>486</v>
      </c>
      <c r="N973" t="s">
        <v>543</v>
      </c>
      <c r="O973">
        <v>3</v>
      </c>
      <c r="P973">
        <v>36660.15</v>
      </c>
      <c r="Q973">
        <v>5</v>
      </c>
      <c r="R973" s="39">
        <v>5499.02</v>
      </c>
      <c r="S973" s="39">
        <v>104481.43</v>
      </c>
      <c r="T973" s="39">
        <v>38980.57</v>
      </c>
      <c r="U973" t="str">
        <f t="shared" si="34"/>
        <v>Furniture</v>
      </c>
      <c r="V973">
        <f t="shared" si="35"/>
        <v>38980.57</v>
      </c>
      <c r="W973" t="str">
        <f>IF(Sales[[#This Row],[Quantity]]&gt;=15, "Large","Small")</f>
        <v>Small</v>
      </c>
      <c r="X973" t="str">
        <f>IF(Sales[[#This Row],[Quantity]]&gt;=15,"Large",IF(Sales[[#This Row],[Quantity]]=14,"Medium","Small"))</f>
        <v>Small</v>
      </c>
      <c r="Y973" t="str">
        <f>IF(AND(Sales[[#This Row],[Unit Price (₦)]]&gt;68000,Sales[[#This Row],[Quantity]]&gt;15),"Offer Discount", "No Discount")</f>
        <v>No Discount</v>
      </c>
    </row>
    <row r="974" spans="1:25" ht="15" customHeight="1" x14ac:dyDescent="0.25">
      <c r="A974" t="s">
        <v>368</v>
      </c>
      <c r="B974" s="8">
        <v>45491</v>
      </c>
      <c r="C974" s="8">
        <v>45494</v>
      </c>
      <c r="D974" t="s">
        <v>20</v>
      </c>
      <c r="E974" t="s">
        <v>3072</v>
      </c>
      <c r="F974" t="s">
        <v>3079</v>
      </c>
      <c r="G974" t="s">
        <v>370</v>
      </c>
      <c r="H974">
        <v>8034607488</v>
      </c>
      <c r="I974" t="s">
        <v>24</v>
      </c>
      <c r="J974" t="s">
        <v>51</v>
      </c>
      <c r="K974" t="s">
        <v>316</v>
      </c>
      <c r="L974" t="s">
        <v>108</v>
      </c>
      <c r="M974" t="s">
        <v>183</v>
      </c>
      <c r="N974" t="s">
        <v>372</v>
      </c>
      <c r="O974">
        <v>15</v>
      </c>
      <c r="P974">
        <v>19793.98</v>
      </c>
      <c r="Q974">
        <v>15</v>
      </c>
      <c r="R974" s="39">
        <v>44536.46</v>
      </c>
      <c r="S974" s="39">
        <v>252373.24</v>
      </c>
      <c r="T974" s="39">
        <v>25134.81</v>
      </c>
      <c r="U974" t="str">
        <f t="shared" si="34"/>
        <v>Clothing</v>
      </c>
      <c r="V974">
        <f t="shared" si="35"/>
        <v>25134.81</v>
      </c>
      <c r="W974" t="str">
        <f>IF(Sales[[#This Row],[Quantity]]&gt;=15, "Large","Small")</f>
        <v>Large</v>
      </c>
      <c r="X974" t="str">
        <f>IF(Sales[[#This Row],[Quantity]]&gt;=15,"Large",IF(Sales[[#This Row],[Quantity]]=14,"Medium","Small"))</f>
        <v>Large</v>
      </c>
      <c r="Y974" t="str">
        <f>IF(AND(Sales[[#This Row],[Unit Price (₦)]]&gt;68000,Sales[[#This Row],[Quantity]]&gt;15),"Offer Discount", "No Discount")</f>
        <v>No Discount</v>
      </c>
    </row>
    <row r="975" spans="1:25" ht="15" customHeight="1" x14ac:dyDescent="0.25">
      <c r="A975" t="s">
        <v>2569</v>
      </c>
      <c r="B975" s="8">
        <v>45500</v>
      </c>
      <c r="C975" s="8">
        <v>45502</v>
      </c>
      <c r="D975" t="s">
        <v>20</v>
      </c>
      <c r="E975" t="s">
        <v>3095</v>
      </c>
      <c r="F975" t="s">
        <v>3077</v>
      </c>
      <c r="G975" t="s">
        <v>2571</v>
      </c>
      <c r="H975">
        <v>8101179145</v>
      </c>
      <c r="I975" t="s">
        <v>35</v>
      </c>
      <c r="J975" t="s">
        <v>69</v>
      </c>
      <c r="K975" t="s">
        <v>3127</v>
      </c>
      <c r="L975" t="s">
        <v>27</v>
      </c>
      <c r="M975" t="s">
        <v>79</v>
      </c>
      <c r="N975" t="s">
        <v>80</v>
      </c>
      <c r="O975">
        <v>16</v>
      </c>
      <c r="P975">
        <v>3231.17</v>
      </c>
      <c r="Q975">
        <v>15</v>
      </c>
      <c r="R975" s="39">
        <v>7754.81</v>
      </c>
      <c r="S975" s="39">
        <v>43943.91</v>
      </c>
      <c r="T975" s="39">
        <v>3649.03</v>
      </c>
      <c r="U975" t="str">
        <f t="shared" si="34"/>
        <v>Food &amp; Beverages</v>
      </c>
      <c r="V975">
        <f t="shared" si="35"/>
        <v>3649.03</v>
      </c>
      <c r="W975" t="str">
        <f>IF(Sales[[#This Row],[Quantity]]&gt;=15, "Large","Small")</f>
        <v>Large</v>
      </c>
      <c r="X975" t="str">
        <f>IF(Sales[[#This Row],[Quantity]]&gt;=15,"Large",IF(Sales[[#This Row],[Quantity]]=14,"Medium","Small"))</f>
        <v>Large</v>
      </c>
      <c r="Y975" t="str">
        <f>IF(AND(Sales[[#This Row],[Unit Price (₦)]]&gt;68000,Sales[[#This Row],[Quantity]]&gt;15),"Offer Discount", "No Discount")</f>
        <v>No Discount</v>
      </c>
    </row>
    <row r="976" spans="1:25" ht="15" customHeight="1" x14ac:dyDescent="0.25">
      <c r="A976" t="s">
        <v>1136</v>
      </c>
      <c r="B976" s="8">
        <v>45501</v>
      </c>
      <c r="C976" s="8">
        <v>45504</v>
      </c>
      <c r="D976" t="s">
        <v>20</v>
      </c>
      <c r="E976" t="s">
        <v>3072</v>
      </c>
      <c r="F976" t="s">
        <v>3062</v>
      </c>
      <c r="G976" t="s">
        <v>565</v>
      </c>
      <c r="H976">
        <v>8157737011</v>
      </c>
      <c r="I976" t="s">
        <v>24</v>
      </c>
      <c r="J976" t="s">
        <v>69</v>
      </c>
      <c r="K976" t="s">
        <v>307</v>
      </c>
      <c r="L976" t="s">
        <v>27</v>
      </c>
      <c r="M976" t="s">
        <v>45</v>
      </c>
      <c r="N976" t="s">
        <v>523</v>
      </c>
      <c r="O976">
        <v>20</v>
      </c>
      <c r="P976">
        <v>4411.03</v>
      </c>
      <c r="Q976">
        <v>20</v>
      </c>
      <c r="R976" s="39">
        <v>17644.12</v>
      </c>
      <c r="S976" s="39">
        <v>70576.479999999996</v>
      </c>
      <c r="T976" s="39">
        <v>28944.26</v>
      </c>
      <c r="U976" t="str">
        <f t="shared" si="34"/>
        <v>Food &amp; Beverages</v>
      </c>
      <c r="V976">
        <f t="shared" si="35"/>
        <v>28944.26</v>
      </c>
      <c r="W976" t="str">
        <f>IF(Sales[[#This Row],[Quantity]]&gt;=15, "Large","Small")</f>
        <v>Large</v>
      </c>
      <c r="X976" t="str">
        <f>IF(Sales[[#This Row],[Quantity]]&gt;=15,"Large",IF(Sales[[#This Row],[Quantity]]=14,"Medium","Small"))</f>
        <v>Large</v>
      </c>
      <c r="Y976" t="str">
        <f>IF(AND(Sales[[#This Row],[Unit Price (₦)]]&gt;68000,Sales[[#This Row],[Quantity]]&gt;15),"Offer Discount", "No Discount")</f>
        <v>No Discount</v>
      </c>
    </row>
    <row r="977" spans="1:25" ht="15" customHeight="1" x14ac:dyDescent="0.25">
      <c r="A977" t="s">
        <v>2110</v>
      </c>
      <c r="B977" s="8">
        <v>45503</v>
      </c>
      <c r="C977" s="8">
        <v>45505</v>
      </c>
      <c r="D977" t="s">
        <v>20</v>
      </c>
      <c r="E977" t="s">
        <v>3091</v>
      </c>
      <c r="F977" t="s">
        <v>3079</v>
      </c>
      <c r="G977" t="s">
        <v>2112</v>
      </c>
      <c r="H977">
        <v>7062144375</v>
      </c>
      <c r="I977" t="s">
        <v>43</v>
      </c>
      <c r="J977" t="s">
        <v>61</v>
      </c>
      <c r="K977" t="s">
        <v>62</v>
      </c>
      <c r="L977" t="s">
        <v>108</v>
      </c>
      <c r="M977" t="s">
        <v>183</v>
      </c>
      <c r="N977" t="s">
        <v>869</v>
      </c>
      <c r="O977">
        <v>6</v>
      </c>
      <c r="P977">
        <v>28051.200000000001</v>
      </c>
      <c r="Q977">
        <v>25</v>
      </c>
      <c r="R977" s="39">
        <v>42076.800000000003</v>
      </c>
      <c r="S977" s="39">
        <v>126230.39999999999</v>
      </c>
      <c r="T977" s="39">
        <v>39792.720000000001</v>
      </c>
      <c r="U977" t="str">
        <f t="shared" si="34"/>
        <v>Clothing</v>
      </c>
      <c r="V977">
        <f t="shared" si="35"/>
        <v>39792.720000000001</v>
      </c>
      <c r="W977" t="str">
        <f>IF(Sales[[#This Row],[Quantity]]&gt;=15, "Large","Small")</f>
        <v>Small</v>
      </c>
      <c r="X977" t="str">
        <f>IF(Sales[[#This Row],[Quantity]]&gt;=15,"Large",IF(Sales[[#This Row],[Quantity]]=14,"Medium","Small"))</f>
        <v>Small</v>
      </c>
      <c r="Y977" t="str">
        <f>IF(AND(Sales[[#This Row],[Unit Price (₦)]]&gt;68000,Sales[[#This Row],[Quantity]]&gt;15),"Offer Discount", "No Discount")</f>
        <v>No Discount</v>
      </c>
    </row>
    <row r="978" spans="1:25" ht="15" customHeight="1" x14ac:dyDescent="0.25">
      <c r="A978" t="s">
        <v>322</v>
      </c>
      <c r="B978" s="8">
        <v>45503</v>
      </c>
      <c r="C978" s="8">
        <v>45506</v>
      </c>
      <c r="D978" t="s">
        <v>20</v>
      </c>
      <c r="E978" t="s">
        <v>3049</v>
      </c>
      <c r="F978" t="s">
        <v>3079</v>
      </c>
      <c r="G978" t="s">
        <v>324</v>
      </c>
      <c r="H978">
        <v>8163650391</v>
      </c>
      <c r="I978" t="s">
        <v>43</v>
      </c>
      <c r="J978" t="s">
        <v>61</v>
      </c>
      <c r="K978" t="s">
        <v>62</v>
      </c>
      <c r="L978" t="s">
        <v>96</v>
      </c>
      <c r="M978" t="s">
        <v>189</v>
      </c>
      <c r="N978" t="s">
        <v>325</v>
      </c>
      <c r="O978">
        <v>10</v>
      </c>
      <c r="P978">
        <v>444628.49</v>
      </c>
      <c r="Q978">
        <v>15</v>
      </c>
      <c r="R978" s="39">
        <v>666942.74</v>
      </c>
      <c r="S978" s="39">
        <v>3779342.16</v>
      </c>
      <c r="T978" s="39">
        <v>998457.25</v>
      </c>
      <c r="U978" t="str">
        <f t="shared" si="34"/>
        <v>Technology</v>
      </c>
      <c r="V978">
        <f t="shared" si="35"/>
        <v>998457.25</v>
      </c>
      <c r="W978" t="str">
        <f>IF(Sales[[#This Row],[Quantity]]&gt;=15, "Large","Small")</f>
        <v>Small</v>
      </c>
      <c r="X978" t="str">
        <f>IF(Sales[[#This Row],[Quantity]]&gt;=15,"Large",IF(Sales[[#This Row],[Quantity]]=14,"Medium","Small"))</f>
        <v>Small</v>
      </c>
      <c r="Y978" t="str">
        <f>IF(AND(Sales[[#This Row],[Unit Price (₦)]]&gt;68000,Sales[[#This Row],[Quantity]]&gt;15),"Offer Discount", "No Discount")</f>
        <v>No Discount</v>
      </c>
    </row>
    <row r="979" spans="1:25" ht="15" customHeight="1" x14ac:dyDescent="0.25">
      <c r="A979" t="s">
        <v>1187</v>
      </c>
      <c r="B979" s="8">
        <v>45506</v>
      </c>
      <c r="C979" s="8">
        <v>45508</v>
      </c>
      <c r="D979" t="s">
        <v>20</v>
      </c>
      <c r="E979" t="s">
        <v>3068</v>
      </c>
      <c r="F979" t="s">
        <v>3064</v>
      </c>
      <c r="G979" t="s">
        <v>1189</v>
      </c>
      <c r="H979">
        <v>9019673311</v>
      </c>
      <c r="I979" t="s">
        <v>43</v>
      </c>
      <c r="J979" t="s">
        <v>69</v>
      </c>
      <c r="K979" t="s">
        <v>70</v>
      </c>
      <c r="L979" t="s">
        <v>85</v>
      </c>
      <c r="M979" t="s">
        <v>486</v>
      </c>
      <c r="N979" t="s">
        <v>1018</v>
      </c>
      <c r="O979">
        <v>17</v>
      </c>
      <c r="P979">
        <v>23555.82</v>
      </c>
      <c r="Q979">
        <v>0</v>
      </c>
      <c r="R979" s="39">
        <v>0</v>
      </c>
      <c r="S979" s="39">
        <v>400448.94</v>
      </c>
      <c r="T979" s="39">
        <v>-16873.78</v>
      </c>
      <c r="U979" t="str">
        <f t="shared" si="34"/>
        <v>Furniture</v>
      </c>
      <c r="V979">
        <f t="shared" si="35"/>
        <v>16873.78</v>
      </c>
      <c r="W979" t="str">
        <f>IF(Sales[[#This Row],[Quantity]]&gt;=15, "Large","Small")</f>
        <v>Large</v>
      </c>
      <c r="X979" t="str">
        <f>IF(Sales[[#This Row],[Quantity]]&gt;=15,"Large",IF(Sales[[#This Row],[Quantity]]=14,"Medium","Small"))</f>
        <v>Large</v>
      </c>
      <c r="Y979" t="str">
        <f>IF(AND(Sales[[#This Row],[Unit Price (₦)]]&gt;68000,Sales[[#This Row],[Quantity]]&gt;15),"Offer Discount", "No Discount")</f>
        <v>No Discount</v>
      </c>
    </row>
    <row r="980" spans="1:25" ht="15" customHeight="1" x14ac:dyDescent="0.25">
      <c r="A980" t="s">
        <v>2323</v>
      </c>
      <c r="B980" s="8">
        <v>45505</v>
      </c>
      <c r="C980" s="8">
        <v>45508</v>
      </c>
      <c r="D980" t="s">
        <v>20</v>
      </c>
      <c r="E980" t="s">
        <v>3080</v>
      </c>
      <c r="F980" t="s">
        <v>3074</v>
      </c>
      <c r="G980" t="s">
        <v>2325</v>
      </c>
      <c r="H980">
        <v>8141210843</v>
      </c>
      <c r="I980" t="s">
        <v>24</v>
      </c>
      <c r="J980" t="s">
        <v>61</v>
      </c>
      <c r="K980" t="s">
        <v>95</v>
      </c>
      <c r="L980" t="s">
        <v>63</v>
      </c>
      <c r="M980" t="s">
        <v>558</v>
      </c>
      <c r="N980" t="s">
        <v>1380</v>
      </c>
      <c r="O980">
        <v>15</v>
      </c>
      <c r="P980">
        <v>8985.9699999999993</v>
      </c>
      <c r="Q980">
        <v>0</v>
      </c>
      <c r="R980" s="39">
        <v>0</v>
      </c>
      <c r="S980" s="39">
        <v>134789.54999999999</v>
      </c>
      <c r="T980" s="39">
        <v>17140.990000000002</v>
      </c>
      <c r="U980" t="str">
        <f t="shared" si="34"/>
        <v>Office Supplies</v>
      </c>
      <c r="V980">
        <f t="shared" si="35"/>
        <v>17140.990000000002</v>
      </c>
      <c r="W980" t="str">
        <f>IF(Sales[[#This Row],[Quantity]]&gt;=15, "Large","Small")</f>
        <v>Large</v>
      </c>
      <c r="X980" t="str">
        <f>IF(Sales[[#This Row],[Quantity]]&gt;=15,"Large",IF(Sales[[#This Row],[Quantity]]=14,"Medium","Small"))</f>
        <v>Large</v>
      </c>
      <c r="Y980" t="str">
        <f>IF(AND(Sales[[#This Row],[Unit Price (₦)]]&gt;68000,Sales[[#This Row],[Quantity]]&gt;15),"Offer Discount", "No Discount")</f>
        <v>No Discount</v>
      </c>
    </row>
    <row r="981" spans="1:25" ht="15" customHeight="1" x14ac:dyDescent="0.25">
      <c r="A981" t="s">
        <v>175</v>
      </c>
      <c r="B981" s="8">
        <v>45514</v>
      </c>
      <c r="C981" s="8">
        <v>45517</v>
      </c>
      <c r="D981" t="s">
        <v>20</v>
      </c>
      <c r="E981" t="s">
        <v>3053</v>
      </c>
      <c r="F981" t="s">
        <v>3069</v>
      </c>
      <c r="G981" t="s">
        <v>177</v>
      </c>
      <c r="H981">
        <v>8158938746</v>
      </c>
      <c r="I981" t="s">
        <v>24</v>
      </c>
      <c r="J981" t="s">
        <v>69</v>
      </c>
      <c r="K981" t="s">
        <v>155</v>
      </c>
      <c r="L981" t="s">
        <v>85</v>
      </c>
      <c r="M981" t="s">
        <v>86</v>
      </c>
      <c r="N981" t="s">
        <v>178</v>
      </c>
      <c r="O981">
        <v>20</v>
      </c>
      <c r="P981">
        <v>96657.75</v>
      </c>
      <c r="Q981">
        <v>10</v>
      </c>
      <c r="R981" s="39">
        <v>193315.5</v>
      </c>
      <c r="S981" s="39">
        <v>1739839.5</v>
      </c>
      <c r="T981" s="39">
        <v>-163488.68</v>
      </c>
      <c r="U981" t="str">
        <f t="shared" si="34"/>
        <v>Furniture</v>
      </c>
      <c r="V981">
        <f t="shared" si="35"/>
        <v>163488.68</v>
      </c>
      <c r="W981" t="str">
        <f>IF(Sales[[#This Row],[Quantity]]&gt;=15, "Large","Small")</f>
        <v>Large</v>
      </c>
      <c r="X981" t="str">
        <f>IF(Sales[[#This Row],[Quantity]]&gt;=15,"Large",IF(Sales[[#This Row],[Quantity]]=14,"Medium","Small"))</f>
        <v>Large</v>
      </c>
      <c r="Y981" t="str">
        <f>IF(AND(Sales[[#This Row],[Unit Price (₦)]]&gt;68000,Sales[[#This Row],[Quantity]]&gt;15),"Offer Discount", "No Discount")</f>
        <v>Offer Discount</v>
      </c>
    </row>
    <row r="982" spans="1:25" ht="15" customHeight="1" x14ac:dyDescent="0.25">
      <c r="A982" t="s">
        <v>2555</v>
      </c>
      <c r="B982" s="8">
        <v>45521</v>
      </c>
      <c r="C982" s="8">
        <v>45523</v>
      </c>
      <c r="D982" t="s">
        <v>20</v>
      </c>
      <c r="E982" t="s">
        <v>3033</v>
      </c>
      <c r="F982" t="s">
        <v>3096</v>
      </c>
      <c r="G982" t="s">
        <v>707</v>
      </c>
      <c r="H982">
        <v>7039901791</v>
      </c>
      <c r="I982" t="s">
        <v>43</v>
      </c>
      <c r="J982" t="s">
        <v>61</v>
      </c>
      <c r="K982" t="s">
        <v>62</v>
      </c>
      <c r="L982" t="s">
        <v>96</v>
      </c>
      <c r="M982" t="s">
        <v>120</v>
      </c>
      <c r="N982" t="s">
        <v>1307</v>
      </c>
      <c r="O982">
        <v>1</v>
      </c>
      <c r="P982">
        <v>52301.279999999999</v>
      </c>
      <c r="Q982">
        <v>0</v>
      </c>
      <c r="R982" s="39">
        <v>0</v>
      </c>
      <c r="S982" s="39">
        <v>52301.279999999999</v>
      </c>
      <c r="T982" s="39">
        <v>2557.8000000000002</v>
      </c>
      <c r="U982" t="str">
        <f t="shared" si="34"/>
        <v>Technology</v>
      </c>
      <c r="V982">
        <f t="shared" si="35"/>
        <v>2557.8000000000002</v>
      </c>
      <c r="W982" t="str">
        <f>IF(Sales[[#This Row],[Quantity]]&gt;=15, "Large","Small")</f>
        <v>Small</v>
      </c>
      <c r="X982" t="str">
        <f>IF(Sales[[#This Row],[Quantity]]&gt;=15,"Large",IF(Sales[[#This Row],[Quantity]]=14,"Medium","Small"))</f>
        <v>Small</v>
      </c>
      <c r="Y982" t="str">
        <f>IF(AND(Sales[[#This Row],[Unit Price (₦)]]&gt;68000,Sales[[#This Row],[Quantity]]&gt;15),"Offer Discount", "No Discount")</f>
        <v>No Discount</v>
      </c>
    </row>
    <row r="983" spans="1:25" ht="15" customHeight="1" x14ac:dyDescent="0.25">
      <c r="A983" t="s">
        <v>2382</v>
      </c>
      <c r="B983" s="8">
        <v>45528</v>
      </c>
      <c r="C983" s="8">
        <v>45531</v>
      </c>
      <c r="D983" t="s">
        <v>20</v>
      </c>
      <c r="E983" t="s">
        <v>3073</v>
      </c>
      <c r="F983" t="s">
        <v>3054</v>
      </c>
      <c r="G983" t="s">
        <v>2383</v>
      </c>
      <c r="H983">
        <v>7036938019</v>
      </c>
      <c r="I983" t="s">
        <v>35</v>
      </c>
      <c r="J983" t="s">
        <v>69</v>
      </c>
      <c r="K983" t="s">
        <v>144</v>
      </c>
      <c r="L983" t="s">
        <v>63</v>
      </c>
      <c r="M983" t="s">
        <v>64</v>
      </c>
      <c r="N983" t="s">
        <v>65</v>
      </c>
      <c r="O983">
        <v>13</v>
      </c>
      <c r="P983">
        <v>10919.8</v>
      </c>
      <c r="Q983">
        <v>15</v>
      </c>
      <c r="R983" s="39">
        <v>21293.61</v>
      </c>
      <c r="S983" s="39">
        <v>120663.79</v>
      </c>
      <c r="T983" s="39">
        <v>-17688.89</v>
      </c>
      <c r="U983" t="str">
        <f t="shared" si="34"/>
        <v>Office Supplies</v>
      </c>
      <c r="V983">
        <f t="shared" si="35"/>
        <v>17688.89</v>
      </c>
      <c r="W983" t="str">
        <f>IF(Sales[[#This Row],[Quantity]]&gt;=15, "Large","Small")</f>
        <v>Small</v>
      </c>
      <c r="X983" t="str">
        <f>IF(Sales[[#This Row],[Quantity]]&gt;=15,"Large",IF(Sales[[#This Row],[Quantity]]=14,"Medium","Small"))</f>
        <v>Small</v>
      </c>
      <c r="Y983" t="str">
        <f>IF(AND(Sales[[#This Row],[Unit Price (₦)]]&gt;68000,Sales[[#This Row],[Quantity]]&gt;15),"Offer Discount", "No Discount")</f>
        <v>No Discount</v>
      </c>
    </row>
    <row r="984" spans="1:25" ht="15" customHeight="1" x14ac:dyDescent="0.25">
      <c r="A984" t="s">
        <v>1936</v>
      </c>
      <c r="B984" s="8">
        <v>45532</v>
      </c>
      <c r="C984" s="8">
        <v>45534</v>
      </c>
      <c r="D984" t="s">
        <v>20</v>
      </c>
      <c r="E984" t="s">
        <v>3056</v>
      </c>
      <c r="F984" t="s">
        <v>3090</v>
      </c>
      <c r="G984" t="s">
        <v>1394</v>
      </c>
      <c r="H984">
        <v>7033337892</v>
      </c>
      <c r="I984" t="s">
        <v>35</v>
      </c>
      <c r="J984" t="s">
        <v>25</v>
      </c>
      <c r="K984" t="s">
        <v>126</v>
      </c>
      <c r="L984" t="s">
        <v>63</v>
      </c>
      <c r="M984" t="s">
        <v>64</v>
      </c>
      <c r="N984" t="s">
        <v>501</v>
      </c>
      <c r="O984">
        <v>18</v>
      </c>
      <c r="P984">
        <v>20963.68</v>
      </c>
      <c r="Q984">
        <v>15</v>
      </c>
      <c r="R984" s="39">
        <v>56601.94</v>
      </c>
      <c r="S984" s="39">
        <v>320744.3</v>
      </c>
      <c r="T984" s="39">
        <v>-1443.85</v>
      </c>
      <c r="U984" t="str">
        <f t="shared" si="34"/>
        <v>Office Supplies</v>
      </c>
      <c r="V984">
        <f t="shared" si="35"/>
        <v>1443.85</v>
      </c>
      <c r="W984" t="str">
        <f>IF(Sales[[#This Row],[Quantity]]&gt;=15, "Large","Small")</f>
        <v>Large</v>
      </c>
      <c r="X984" t="str">
        <f>IF(Sales[[#This Row],[Quantity]]&gt;=15,"Large",IF(Sales[[#This Row],[Quantity]]=14,"Medium","Small"))</f>
        <v>Large</v>
      </c>
      <c r="Y984" t="str">
        <f>IF(AND(Sales[[#This Row],[Unit Price (₦)]]&gt;68000,Sales[[#This Row],[Quantity]]&gt;15),"Offer Discount", "No Discount")</f>
        <v>No Discount</v>
      </c>
    </row>
    <row r="985" spans="1:25" ht="15" customHeight="1" x14ac:dyDescent="0.25">
      <c r="A985" t="s">
        <v>524</v>
      </c>
      <c r="B985" s="8">
        <v>45532</v>
      </c>
      <c r="C985" s="8">
        <v>45535</v>
      </c>
      <c r="D985" t="s">
        <v>20</v>
      </c>
      <c r="E985" t="s">
        <v>3084</v>
      </c>
      <c r="F985" t="s">
        <v>3088</v>
      </c>
      <c r="G985" t="s">
        <v>526</v>
      </c>
      <c r="H985">
        <v>7036344047</v>
      </c>
      <c r="I985" t="s">
        <v>35</v>
      </c>
      <c r="J985" t="s">
        <v>25</v>
      </c>
      <c r="K985" t="s">
        <v>26</v>
      </c>
      <c r="L985" t="s">
        <v>85</v>
      </c>
      <c r="M985" t="s">
        <v>486</v>
      </c>
      <c r="N985" t="s">
        <v>527</v>
      </c>
      <c r="O985">
        <v>10</v>
      </c>
      <c r="P985">
        <v>135162.93</v>
      </c>
      <c r="Q985">
        <v>10</v>
      </c>
      <c r="R985" s="39">
        <v>135162.93</v>
      </c>
      <c r="S985" s="39">
        <v>1216466.3700000001</v>
      </c>
      <c r="T985" s="39">
        <v>187809.02</v>
      </c>
      <c r="U985" t="str">
        <f t="shared" si="34"/>
        <v>Furniture</v>
      </c>
      <c r="V985">
        <f t="shared" si="35"/>
        <v>187809.02</v>
      </c>
      <c r="W985" t="str">
        <f>IF(Sales[[#This Row],[Quantity]]&gt;=15, "Large","Small")</f>
        <v>Small</v>
      </c>
      <c r="X985" t="str">
        <f>IF(Sales[[#This Row],[Quantity]]&gt;=15,"Large",IF(Sales[[#This Row],[Quantity]]=14,"Medium","Small"))</f>
        <v>Small</v>
      </c>
      <c r="Y985" t="str">
        <f>IF(AND(Sales[[#This Row],[Unit Price (₦)]]&gt;68000,Sales[[#This Row],[Quantity]]&gt;15),"Offer Discount", "No Discount")</f>
        <v>No Discount</v>
      </c>
    </row>
    <row r="986" spans="1:25" ht="15" customHeight="1" x14ac:dyDescent="0.25">
      <c r="A986" t="s">
        <v>1075</v>
      </c>
      <c r="B986" s="8">
        <v>45537</v>
      </c>
      <c r="C986" s="8">
        <v>45539</v>
      </c>
      <c r="D986" t="s">
        <v>20</v>
      </c>
      <c r="E986" t="s">
        <v>3053</v>
      </c>
      <c r="F986" t="s">
        <v>3034</v>
      </c>
      <c r="G986" t="s">
        <v>3126</v>
      </c>
      <c r="H986">
        <v>8167055937</v>
      </c>
      <c r="I986" t="s">
        <v>35</v>
      </c>
      <c r="J986" t="s">
        <v>61</v>
      </c>
      <c r="K986" t="s">
        <v>95</v>
      </c>
      <c r="L986" t="s">
        <v>63</v>
      </c>
      <c r="M986" t="s">
        <v>312</v>
      </c>
      <c r="N986" t="s">
        <v>686</v>
      </c>
      <c r="O986">
        <v>9</v>
      </c>
      <c r="P986">
        <v>23330.19</v>
      </c>
      <c r="Q986">
        <v>10</v>
      </c>
      <c r="R986" s="39">
        <v>20997.17</v>
      </c>
      <c r="S986" s="39">
        <v>188974.54</v>
      </c>
      <c r="T986" s="39">
        <v>-26097.16</v>
      </c>
      <c r="U986" t="str">
        <f t="shared" si="34"/>
        <v>Office Supplies</v>
      </c>
      <c r="V986">
        <f t="shared" si="35"/>
        <v>26097.16</v>
      </c>
      <c r="W986" t="str">
        <f>IF(Sales[[#This Row],[Quantity]]&gt;=15, "Large","Small")</f>
        <v>Small</v>
      </c>
      <c r="X986" t="str">
        <f>IF(Sales[[#This Row],[Quantity]]&gt;=15,"Large",IF(Sales[[#This Row],[Quantity]]=14,"Medium","Small"))</f>
        <v>Small</v>
      </c>
      <c r="Y986" t="str">
        <f>IF(AND(Sales[[#This Row],[Unit Price (₦)]]&gt;68000,Sales[[#This Row],[Quantity]]&gt;15),"Offer Discount", "No Discount")</f>
        <v>No Discount</v>
      </c>
    </row>
    <row r="987" spans="1:25" ht="15" customHeight="1" x14ac:dyDescent="0.25">
      <c r="A987" t="s">
        <v>2607</v>
      </c>
      <c r="B987" s="8">
        <v>45539</v>
      </c>
      <c r="C987" s="8">
        <v>45542</v>
      </c>
      <c r="D987" t="s">
        <v>20</v>
      </c>
      <c r="E987" t="s">
        <v>3084</v>
      </c>
      <c r="F987" t="s">
        <v>3074</v>
      </c>
      <c r="G987" t="s">
        <v>2609</v>
      </c>
      <c r="H987">
        <v>8151427236</v>
      </c>
      <c r="I987" t="s">
        <v>35</v>
      </c>
      <c r="J987" t="s">
        <v>25</v>
      </c>
      <c r="K987" t="s">
        <v>26</v>
      </c>
      <c r="L987" t="s">
        <v>108</v>
      </c>
      <c r="M987" t="s">
        <v>38</v>
      </c>
      <c r="N987" t="s">
        <v>213</v>
      </c>
      <c r="O987">
        <v>20</v>
      </c>
      <c r="P987">
        <v>9653.93</v>
      </c>
      <c r="Q987">
        <v>0</v>
      </c>
      <c r="R987" s="39">
        <v>0</v>
      </c>
      <c r="S987" s="39">
        <v>193078.6</v>
      </c>
      <c r="T987" s="39">
        <v>45599.87</v>
      </c>
      <c r="U987" t="str">
        <f t="shared" si="34"/>
        <v>Clothing</v>
      </c>
      <c r="V987">
        <f t="shared" si="35"/>
        <v>45599.87</v>
      </c>
      <c r="W987" t="str">
        <f>IF(Sales[[#This Row],[Quantity]]&gt;=15, "Large","Small")</f>
        <v>Large</v>
      </c>
      <c r="X987" t="str">
        <f>IF(Sales[[#This Row],[Quantity]]&gt;=15,"Large",IF(Sales[[#This Row],[Quantity]]=14,"Medium","Small"))</f>
        <v>Large</v>
      </c>
      <c r="Y987" t="str">
        <f>IF(AND(Sales[[#This Row],[Unit Price (₦)]]&gt;68000,Sales[[#This Row],[Quantity]]&gt;15),"Offer Discount", "No Discount")</f>
        <v>No Discount</v>
      </c>
    </row>
    <row r="988" spans="1:25" ht="15" customHeight="1" x14ac:dyDescent="0.25">
      <c r="A988" t="s">
        <v>1924</v>
      </c>
      <c r="B988" s="8">
        <v>45542</v>
      </c>
      <c r="C988" s="8">
        <v>45544</v>
      </c>
      <c r="D988" t="s">
        <v>20</v>
      </c>
      <c r="E988" t="s">
        <v>3059</v>
      </c>
      <c r="F988" t="s">
        <v>3090</v>
      </c>
      <c r="G988" t="s">
        <v>1925</v>
      </c>
      <c r="H988">
        <v>9073064864</v>
      </c>
      <c r="I988" t="s">
        <v>43</v>
      </c>
      <c r="J988" t="s">
        <v>69</v>
      </c>
      <c r="K988" t="s">
        <v>119</v>
      </c>
      <c r="L988" t="s">
        <v>96</v>
      </c>
      <c r="M988" t="s">
        <v>120</v>
      </c>
      <c r="N988" t="s">
        <v>1307</v>
      </c>
      <c r="O988">
        <v>4</v>
      </c>
      <c r="P988">
        <v>251919.31</v>
      </c>
      <c r="Q988">
        <v>25</v>
      </c>
      <c r="R988" s="39">
        <v>251919.31</v>
      </c>
      <c r="S988" s="39">
        <v>755757.93</v>
      </c>
      <c r="T988" s="39">
        <v>288604.40000000002</v>
      </c>
      <c r="U988" t="str">
        <f t="shared" si="34"/>
        <v>Technology</v>
      </c>
      <c r="V988">
        <f t="shared" si="35"/>
        <v>288604.40000000002</v>
      </c>
      <c r="W988" t="str">
        <f>IF(Sales[[#This Row],[Quantity]]&gt;=15, "Large","Small")</f>
        <v>Small</v>
      </c>
      <c r="X988" t="str">
        <f>IF(Sales[[#This Row],[Quantity]]&gt;=15,"Large",IF(Sales[[#This Row],[Quantity]]=14,"Medium","Small"))</f>
        <v>Small</v>
      </c>
      <c r="Y988" t="str">
        <f>IF(AND(Sales[[#This Row],[Unit Price (₦)]]&gt;68000,Sales[[#This Row],[Quantity]]&gt;15),"Offer Discount", "No Discount")</f>
        <v>No Discount</v>
      </c>
    </row>
    <row r="989" spans="1:25" ht="15" customHeight="1" x14ac:dyDescent="0.25">
      <c r="A989" t="s">
        <v>1412</v>
      </c>
      <c r="B989" s="8">
        <v>45546</v>
      </c>
      <c r="C989" s="8">
        <v>45549</v>
      </c>
      <c r="D989" t="s">
        <v>20</v>
      </c>
      <c r="E989" t="s">
        <v>3061</v>
      </c>
      <c r="F989" t="s">
        <v>3040</v>
      </c>
      <c r="G989" t="s">
        <v>1414</v>
      </c>
      <c r="H989">
        <v>9013006281</v>
      </c>
      <c r="I989" t="s">
        <v>35</v>
      </c>
      <c r="J989" t="s">
        <v>69</v>
      </c>
      <c r="K989" t="s">
        <v>316</v>
      </c>
      <c r="L989" t="s">
        <v>63</v>
      </c>
      <c r="M989" t="s">
        <v>312</v>
      </c>
      <c r="N989" t="s">
        <v>686</v>
      </c>
      <c r="O989">
        <v>9</v>
      </c>
      <c r="P989">
        <v>929.85</v>
      </c>
      <c r="Q989">
        <v>0</v>
      </c>
      <c r="R989" s="39">
        <v>0</v>
      </c>
      <c r="S989" s="39">
        <v>8368.65</v>
      </c>
      <c r="T989" s="39">
        <v>1665.3</v>
      </c>
      <c r="U989" t="str">
        <f t="shared" si="34"/>
        <v>Office Supplies</v>
      </c>
      <c r="V989">
        <f t="shared" si="35"/>
        <v>1665.3</v>
      </c>
      <c r="W989" t="str">
        <f>IF(Sales[[#This Row],[Quantity]]&gt;=15, "Large","Small")</f>
        <v>Small</v>
      </c>
      <c r="X989" t="str">
        <f>IF(Sales[[#This Row],[Quantity]]&gt;=15,"Large",IF(Sales[[#This Row],[Quantity]]=14,"Medium","Small"))</f>
        <v>Small</v>
      </c>
      <c r="Y989" t="str">
        <f>IF(AND(Sales[[#This Row],[Unit Price (₦)]]&gt;68000,Sales[[#This Row],[Quantity]]&gt;15),"Offer Discount", "No Discount")</f>
        <v>No Discount</v>
      </c>
    </row>
    <row r="990" spans="1:25" ht="15" customHeight="1" x14ac:dyDescent="0.25">
      <c r="A990" t="s">
        <v>2599</v>
      </c>
      <c r="B990" s="8">
        <v>45550</v>
      </c>
      <c r="C990" s="8">
        <v>45552</v>
      </c>
      <c r="D990" t="s">
        <v>20</v>
      </c>
      <c r="E990" t="s">
        <v>3091</v>
      </c>
      <c r="F990" t="s">
        <v>3103</v>
      </c>
      <c r="G990" t="s">
        <v>2601</v>
      </c>
      <c r="H990">
        <v>7039997791</v>
      </c>
      <c r="I990" t="s">
        <v>43</v>
      </c>
      <c r="J990" t="s">
        <v>61</v>
      </c>
      <c r="K990" t="s">
        <v>95</v>
      </c>
      <c r="L990" t="s">
        <v>85</v>
      </c>
      <c r="M990" t="s">
        <v>218</v>
      </c>
      <c r="N990" t="s">
        <v>842</v>
      </c>
      <c r="O990">
        <v>10</v>
      </c>
      <c r="P990">
        <v>112074</v>
      </c>
      <c r="Q990">
        <v>0</v>
      </c>
      <c r="R990" s="39">
        <v>0</v>
      </c>
      <c r="S990" s="39">
        <v>1120740</v>
      </c>
      <c r="T990" s="39">
        <v>326468.12</v>
      </c>
      <c r="U990" t="str">
        <f t="shared" si="34"/>
        <v>Furniture</v>
      </c>
      <c r="V990">
        <f t="shared" si="35"/>
        <v>326468.12</v>
      </c>
      <c r="W990" t="str">
        <f>IF(Sales[[#This Row],[Quantity]]&gt;=15, "Large","Small")</f>
        <v>Small</v>
      </c>
      <c r="X990" t="str">
        <f>IF(Sales[[#This Row],[Quantity]]&gt;=15,"Large",IF(Sales[[#This Row],[Quantity]]=14,"Medium","Small"))</f>
        <v>Small</v>
      </c>
      <c r="Y990" t="str">
        <f>IF(AND(Sales[[#This Row],[Unit Price (₦)]]&gt;68000,Sales[[#This Row],[Quantity]]&gt;15),"Offer Discount", "No Discount")</f>
        <v>No Discount</v>
      </c>
    </row>
    <row r="991" spans="1:25" ht="15" customHeight="1" x14ac:dyDescent="0.25">
      <c r="A991" t="s">
        <v>1527</v>
      </c>
      <c r="B991" s="8">
        <v>45555</v>
      </c>
      <c r="C991" s="8">
        <v>45558</v>
      </c>
      <c r="D991" t="s">
        <v>20</v>
      </c>
      <c r="E991" t="str">
        <f>E992</f>
        <v>Olumide</v>
      </c>
      <c r="F991" t="str">
        <f>F990</f>
        <v>Osei!!</v>
      </c>
      <c r="G991" t="s">
        <v>1528</v>
      </c>
      <c r="H991">
        <v>8066865386</v>
      </c>
      <c r="I991" t="s">
        <v>43</v>
      </c>
      <c r="J991" t="s">
        <v>69</v>
      </c>
      <c r="K991" t="s">
        <v>307</v>
      </c>
      <c r="L991" t="s">
        <v>96</v>
      </c>
      <c r="M991" t="s">
        <v>385</v>
      </c>
      <c r="N991" t="s">
        <v>386</v>
      </c>
      <c r="O991">
        <v>6</v>
      </c>
      <c r="P991">
        <v>93584.91</v>
      </c>
      <c r="Q991">
        <v>25</v>
      </c>
      <c r="R991" s="39">
        <v>140377.35999999999</v>
      </c>
      <c r="S991" s="39">
        <v>421132.1</v>
      </c>
      <c r="T991" s="39">
        <v>144677.01</v>
      </c>
      <c r="U991" t="str">
        <f t="shared" si="34"/>
        <v>Technology</v>
      </c>
      <c r="V991">
        <f t="shared" si="35"/>
        <v>144677.01</v>
      </c>
      <c r="W991" t="str">
        <f>IF(Sales[[#This Row],[Quantity]]&gt;=15, "Large","Small")</f>
        <v>Small</v>
      </c>
      <c r="X991" t="str">
        <f>IF(Sales[[#This Row],[Quantity]]&gt;=15,"Large",IF(Sales[[#This Row],[Quantity]]=14,"Medium","Small"))</f>
        <v>Small</v>
      </c>
      <c r="Y991" t="str">
        <f>IF(AND(Sales[[#This Row],[Unit Price (₦)]]&gt;68000,Sales[[#This Row],[Quantity]]&gt;15),"Offer Discount", "No Discount")</f>
        <v>No Discount</v>
      </c>
    </row>
    <row r="992" spans="1:25" ht="15" customHeight="1" x14ac:dyDescent="0.25">
      <c r="A992" t="s">
        <v>1329</v>
      </c>
      <c r="B992" s="8">
        <v>45558</v>
      </c>
      <c r="C992" s="8">
        <v>45560</v>
      </c>
      <c r="D992" t="s">
        <v>20</v>
      </c>
      <c r="E992" t="s">
        <v>3053</v>
      </c>
      <c r="F992" t="s">
        <v>3034</v>
      </c>
      <c r="G992" t="s">
        <v>1330</v>
      </c>
      <c r="H992">
        <v>8101598917</v>
      </c>
      <c r="I992" t="s">
        <v>35</v>
      </c>
      <c r="J992" t="s">
        <v>51</v>
      </c>
      <c r="K992" t="s">
        <v>316</v>
      </c>
      <c r="L992" t="s">
        <v>85</v>
      </c>
      <c r="M992" t="s">
        <v>86</v>
      </c>
      <c r="N992" t="s">
        <v>238</v>
      </c>
      <c r="O992">
        <v>13</v>
      </c>
      <c r="P992">
        <v>49019.44</v>
      </c>
      <c r="Q992">
        <v>0</v>
      </c>
      <c r="R992" s="39">
        <v>0</v>
      </c>
      <c r="S992" s="39">
        <v>637252.72</v>
      </c>
      <c r="T992" s="39">
        <v>207517.21</v>
      </c>
      <c r="U992" t="str">
        <f t="shared" si="34"/>
        <v>Furniture</v>
      </c>
      <c r="V992">
        <f t="shared" si="35"/>
        <v>207517.21</v>
      </c>
      <c r="W992" t="str">
        <f>IF(Sales[[#This Row],[Quantity]]&gt;=15, "Large","Small")</f>
        <v>Small</v>
      </c>
      <c r="X992" t="str">
        <f>IF(Sales[[#This Row],[Quantity]]&gt;=15,"Large",IF(Sales[[#This Row],[Quantity]]=14,"Medium","Small"))</f>
        <v>Small</v>
      </c>
      <c r="Y992" t="str">
        <f>IF(AND(Sales[[#This Row],[Unit Price (₦)]]&gt;68000,Sales[[#This Row],[Quantity]]&gt;15),"Offer Discount", "No Discount")</f>
        <v>No Discount</v>
      </c>
    </row>
    <row r="993" spans="1:25" ht="15" customHeight="1" x14ac:dyDescent="0.25">
      <c r="A993" t="s">
        <v>2647</v>
      </c>
      <c r="B993" s="8">
        <v>45563</v>
      </c>
      <c r="C993" s="8">
        <v>45565</v>
      </c>
      <c r="D993" t="s">
        <v>20</v>
      </c>
      <c r="E993" t="s">
        <v>3041</v>
      </c>
      <c r="F993" t="s">
        <v>3034</v>
      </c>
      <c r="G993" t="s">
        <v>2643</v>
      </c>
      <c r="H993">
        <v>8157626337</v>
      </c>
      <c r="I993" t="s">
        <v>24</v>
      </c>
      <c r="J993" t="s">
        <v>61</v>
      </c>
      <c r="K993" t="s">
        <v>62</v>
      </c>
      <c r="L993" t="s">
        <v>27</v>
      </c>
      <c r="M993" t="s">
        <v>28</v>
      </c>
      <c r="N993" t="s">
        <v>508</v>
      </c>
      <c r="O993">
        <v>14</v>
      </c>
      <c r="P993">
        <v>4743.05</v>
      </c>
      <c r="Q993">
        <v>0</v>
      </c>
      <c r="R993" s="39">
        <v>0</v>
      </c>
      <c r="S993" s="39">
        <v>66402.7</v>
      </c>
      <c r="T993" s="39">
        <v>-963.58</v>
      </c>
      <c r="U993" t="str">
        <f t="shared" si="34"/>
        <v>Food &amp; Beverages</v>
      </c>
      <c r="V993">
        <f t="shared" si="35"/>
        <v>963.58</v>
      </c>
      <c r="W993" t="str">
        <f>IF(Sales[[#This Row],[Quantity]]&gt;=15, "Large","Small")</f>
        <v>Small</v>
      </c>
      <c r="X993" t="str">
        <f>IF(Sales[[#This Row],[Quantity]]&gt;=15,"Large",IF(Sales[[#This Row],[Quantity]]=14,"Medium","Small"))</f>
        <v>Medium</v>
      </c>
      <c r="Y993" t="str">
        <f>IF(AND(Sales[[#This Row],[Unit Price (₦)]]&gt;68000,Sales[[#This Row],[Quantity]]&gt;15),"Offer Discount", "No Discount")</f>
        <v>No Discount</v>
      </c>
    </row>
    <row r="994" spans="1:25" ht="15" customHeight="1" x14ac:dyDescent="0.25">
      <c r="A994" t="s">
        <v>927</v>
      </c>
      <c r="B994" s="8">
        <v>45564</v>
      </c>
      <c r="C994" s="8">
        <v>45566</v>
      </c>
      <c r="D994" t="s">
        <v>20</v>
      </c>
      <c r="E994" t="s">
        <v>3070</v>
      </c>
      <c r="F994" t="s">
        <v>3039</v>
      </c>
      <c r="G994" t="s">
        <v>929</v>
      </c>
      <c r="H994">
        <v>8155547530</v>
      </c>
      <c r="I994" t="s">
        <v>35</v>
      </c>
      <c r="J994" t="s">
        <v>25</v>
      </c>
      <c r="K994" t="s">
        <v>26</v>
      </c>
      <c r="L994" t="s">
        <v>27</v>
      </c>
      <c r="M994" t="s">
        <v>79</v>
      </c>
      <c r="N994" t="s">
        <v>145</v>
      </c>
      <c r="O994">
        <v>13</v>
      </c>
      <c r="P994">
        <v>1614.76</v>
      </c>
      <c r="Q994">
        <v>0</v>
      </c>
      <c r="R994" s="39">
        <v>0</v>
      </c>
      <c r="S994" s="39">
        <v>20991.88</v>
      </c>
      <c r="T994" s="39">
        <v>1198.71</v>
      </c>
      <c r="U994" t="str">
        <f t="shared" si="34"/>
        <v>Food &amp; Beverages</v>
      </c>
      <c r="V994">
        <f t="shared" si="35"/>
        <v>1198.71</v>
      </c>
      <c r="W994" t="str">
        <f>IF(Sales[[#This Row],[Quantity]]&gt;=15, "Large","Small")</f>
        <v>Small</v>
      </c>
      <c r="X994" t="str">
        <f>IF(Sales[[#This Row],[Quantity]]&gt;=15,"Large",IF(Sales[[#This Row],[Quantity]]=14,"Medium","Small"))</f>
        <v>Small</v>
      </c>
      <c r="Y994" t="str">
        <f>IF(AND(Sales[[#This Row],[Unit Price (₦)]]&gt;68000,Sales[[#This Row],[Quantity]]&gt;15),"Offer Discount", "No Discount")</f>
        <v>No Discount</v>
      </c>
    </row>
    <row r="995" spans="1:25" ht="15" customHeight="1" x14ac:dyDescent="0.25">
      <c r="A995" t="s">
        <v>2584</v>
      </c>
      <c r="B995" s="8">
        <v>45563</v>
      </c>
      <c r="C995" s="8">
        <v>45566</v>
      </c>
      <c r="D995" t="s">
        <v>20</v>
      </c>
      <c r="E995" t="s">
        <v>3037</v>
      </c>
      <c r="F995" t="s">
        <v>3034</v>
      </c>
      <c r="G995" t="s">
        <v>3126</v>
      </c>
      <c r="H995">
        <v>8133861403</v>
      </c>
      <c r="I995" t="s">
        <v>43</v>
      </c>
      <c r="J995" t="s">
        <v>69</v>
      </c>
      <c r="K995" t="s">
        <v>144</v>
      </c>
      <c r="L995" t="s">
        <v>96</v>
      </c>
      <c r="M995" t="s">
        <v>97</v>
      </c>
      <c r="N995" t="s">
        <v>230</v>
      </c>
      <c r="O995">
        <v>15</v>
      </c>
      <c r="P995">
        <v>217251</v>
      </c>
      <c r="Q995">
        <v>10</v>
      </c>
      <c r="R995" s="39">
        <v>325876.5</v>
      </c>
      <c r="S995" s="39">
        <v>2932888.5</v>
      </c>
      <c r="T995" s="39">
        <v>1185085.25</v>
      </c>
      <c r="U995" t="str">
        <f t="shared" si="34"/>
        <v>Technology</v>
      </c>
      <c r="V995">
        <f t="shared" si="35"/>
        <v>1185085.25</v>
      </c>
      <c r="W995" t="str">
        <f>IF(Sales[[#This Row],[Quantity]]&gt;=15, "Large","Small")</f>
        <v>Large</v>
      </c>
      <c r="X995" t="str">
        <f>IF(Sales[[#This Row],[Quantity]]&gt;=15,"Large",IF(Sales[[#This Row],[Quantity]]=14,"Medium","Small"))</f>
        <v>Large</v>
      </c>
      <c r="Y995" t="str">
        <f>IF(AND(Sales[[#This Row],[Unit Price (₦)]]&gt;68000,Sales[[#This Row],[Quantity]]&gt;15),"Offer Discount", "No Discount")</f>
        <v>No Discount</v>
      </c>
    </row>
    <row r="996" spans="1:25" ht="15" customHeight="1" x14ac:dyDescent="0.25">
      <c r="A996" t="s">
        <v>479</v>
      </c>
      <c r="B996" s="8">
        <v>45567</v>
      </c>
      <c r="C996" s="8">
        <v>45569</v>
      </c>
      <c r="D996" t="s">
        <v>20</v>
      </c>
      <c r="E996" t="s">
        <v>3056</v>
      </c>
      <c r="F996" t="s">
        <v>3054</v>
      </c>
      <c r="G996" t="s">
        <v>481</v>
      </c>
      <c r="H996">
        <v>8143896693</v>
      </c>
      <c r="I996" t="s">
        <v>24</v>
      </c>
      <c r="J996" t="s">
        <v>69</v>
      </c>
      <c r="K996" t="s">
        <v>119</v>
      </c>
      <c r="L996" t="s">
        <v>108</v>
      </c>
      <c r="M996" t="s">
        <v>114</v>
      </c>
      <c r="N996" t="s">
        <v>482</v>
      </c>
      <c r="O996">
        <v>3</v>
      </c>
      <c r="P996">
        <v>30717.11</v>
      </c>
      <c r="Q996">
        <v>25</v>
      </c>
      <c r="R996" s="39">
        <v>23037.83</v>
      </c>
      <c r="S996" s="39">
        <v>69113.5</v>
      </c>
      <c r="T996" s="39">
        <v>12115.79</v>
      </c>
      <c r="U996" t="str">
        <f t="shared" si="34"/>
        <v>Clothing</v>
      </c>
      <c r="V996">
        <f t="shared" si="35"/>
        <v>12115.79</v>
      </c>
      <c r="W996" t="str">
        <f>IF(Sales[[#This Row],[Quantity]]&gt;=15, "Large","Small")</f>
        <v>Small</v>
      </c>
      <c r="X996" t="str">
        <f>IF(Sales[[#This Row],[Quantity]]&gt;=15,"Large",IF(Sales[[#This Row],[Quantity]]=14,"Medium","Small"))</f>
        <v>Small</v>
      </c>
      <c r="Y996" t="str">
        <f>IF(AND(Sales[[#This Row],[Unit Price (₦)]]&gt;68000,Sales[[#This Row],[Quantity]]&gt;15),"Offer Discount", "No Discount")</f>
        <v>No Discount</v>
      </c>
    </row>
    <row r="997" spans="1:25" ht="15" customHeight="1" x14ac:dyDescent="0.25">
      <c r="A997" t="s">
        <v>1534</v>
      </c>
      <c r="B997" s="8">
        <v>45332</v>
      </c>
      <c r="C997" s="8">
        <v>45570</v>
      </c>
      <c r="D997" t="s">
        <v>20</v>
      </c>
      <c r="E997" t="s">
        <v>3093</v>
      </c>
      <c r="F997" t="s">
        <v>3069</v>
      </c>
      <c r="G997" t="s">
        <v>1537</v>
      </c>
      <c r="H997">
        <v>7032612483</v>
      </c>
      <c r="I997" t="s">
        <v>35</v>
      </c>
      <c r="J997" t="s">
        <v>51</v>
      </c>
      <c r="K997" t="s">
        <v>131</v>
      </c>
      <c r="L997" t="s">
        <v>63</v>
      </c>
      <c r="M997" t="s">
        <v>312</v>
      </c>
      <c r="N997" t="s">
        <v>736</v>
      </c>
      <c r="O997">
        <v>13</v>
      </c>
      <c r="P997">
        <v>12495.76</v>
      </c>
      <c r="Q997">
        <v>20</v>
      </c>
      <c r="R997" s="39">
        <v>32488.98</v>
      </c>
      <c r="S997" s="39">
        <v>129955.9</v>
      </c>
      <c r="T997" s="39">
        <v>1440.9</v>
      </c>
      <c r="U997" t="str">
        <f t="shared" si="34"/>
        <v>Office Supplies</v>
      </c>
      <c r="V997">
        <f t="shared" si="35"/>
        <v>1440.9</v>
      </c>
      <c r="W997" t="str">
        <f>IF(Sales[[#This Row],[Quantity]]&gt;=15, "Large","Small")</f>
        <v>Small</v>
      </c>
      <c r="X997" t="str">
        <f>IF(Sales[[#This Row],[Quantity]]&gt;=15,"Large",IF(Sales[[#This Row],[Quantity]]=14,"Medium","Small"))</f>
        <v>Small</v>
      </c>
      <c r="Y997" t="str">
        <f>IF(AND(Sales[[#This Row],[Unit Price (₦)]]&gt;68000,Sales[[#This Row],[Quantity]]&gt;15),"Offer Discount", "No Discount")</f>
        <v>No Discount</v>
      </c>
    </row>
    <row r="998" spans="1:25" ht="15" customHeight="1" x14ac:dyDescent="0.25">
      <c r="A998" t="s">
        <v>2616</v>
      </c>
      <c r="B998" s="8">
        <v>45570</v>
      </c>
      <c r="C998" s="8">
        <v>45572</v>
      </c>
      <c r="D998" t="s">
        <v>20</v>
      </c>
      <c r="E998" t="s">
        <v>3051</v>
      </c>
      <c r="F998" t="s">
        <v>3077</v>
      </c>
      <c r="G998" t="s">
        <v>2618</v>
      </c>
      <c r="H998">
        <v>8034357530</v>
      </c>
      <c r="I998" t="s">
        <v>24</v>
      </c>
      <c r="J998" t="s">
        <v>69</v>
      </c>
      <c r="K998" t="s">
        <v>307</v>
      </c>
      <c r="L998" t="s">
        <v>27</v>
      </c>
      <c r="M998" t="s">
        <v>79</v>
      </c>
      <c r="N998" t="s">
        <v>490</v>
      </c>
      <c r="O998">
        <v>16</v>
      </c>
      <c r="P998">
        <v>2067.1999999999998</v>
      </c>
      <c r="Q998">
        <v>0</v>
      </c>
      <c r="R998" s="39">
        <v>0</v>
      </c>
      <c r="S998" s="39">
        <v>33075.199999999997</v>
      </c>
      <c r="T998" s="39">
        <v>1972.24</v>
      </c>
      <c r="U998" t="str">
        <f t="shared" si="34"/>
        <v>Food &amp; Beverages</v>
      </c>
      <c r="V998">
        <f t="shared" si="35"/>
        <v>1972.24</v>
      </c>
      <c r="W998" t="str">
        <f>IF(Sales[[#This Row],[Quantity]]&gt;=15, "Large","Small")</f>
        <v>Large</v>
      </c>
      <c r="X998" t="str">
        <f>IF(Sales[[#This Row],[Quantity]]&gt;=15,"Large",IF(Sales[[#This Row],[Quantity]]=14,"Medium","Small"))</f>
        <v>Large</v>
      </c>
      <c r="Y998" t="str">
        <f>IF(AND(Sales[[#This Row],[Unit Price (₦)]]&gt;68000,Sales[[#This Row],[Quantity]]&gt;15),"Offer Discount", "No Discount")</f>
        <v>No Discount</v>
      </c>
    </row>
    <row r="999" spans="1:25" ht="15" customHeight="1" x14ac:dyDescent="0.25">
      <c r="A999" t="s">
        <v>2063</v>
      </c>
      <c r="B999" s="8">
        <v>45576</v>
      </c>
      <c r="C999" s="8">
        <v>45578</v>
      </c>
      <c r="D999" t="s">
        <v>20</v>
      </c>
      <c r="E999" t="s">
        <v>3048</v>
      </c>
      <c r="F999" t="s">
        <v>3079</v>
      </c>
      <c r="G999" t="s">
        <v>2064</v>
      </c>
      <c r="H999">
        <v>7035831713</v>
      </c>
      <c r="I999" t="s">
        <v>24</v>
      </c>
      <c r="J999" t="s">
        <v>25</v>
      </c>
      <c r="K999" t="s">
        <v>126</v>
      </c>
      <c r="L999" t="s">
        <v>27</v>
      </c>
      <c r="M999" t="s">
        <v>45</v>
      </c>
      <c r="N999" t="s">
        <v>308</v>
      </c>
      <c r="O999">
        <v>17</v>
      </c>
      <c r="P999">
        <v>1025.67</v>
      </c>
      <c r="Q999">
        <v>20</v>
      </c>
      <c r="R999" s="39">
        <v>3487.28</v>
      </c>
      <c r="S999" s="39">
        <v>13949.11</v>
      </c>
      <c r="T999" s="39">
        <v>4093.43</v>
      </c>
      <c r="U999" t="str">
        <f t="shared" si="34"/>
        <v>Food &amp; Beverages</v>
      </c>
      <c r="V999">
        <f t="shared" si="35"/>
        <v>4093.43</v>
      </c>
      <c r="W999" t="str">
        <f>IF(Sales[[#This Row],[Quantity]]&gt;=15, "Large","Small")</f>
        <v>Large</v>
      </c>
      <c r="X999" t="str">
        <f>IF(Sales[[#This Row],[Quantity]]&gt;=15,"Large",IF(Sales[[#This Row],[Quantity]]=14,"Medium","Small"))</f>
        <v>Large</v>
      </c>
      <c r="Y999" t="str">
        <f>IF(AND(Sales[[#This Row],[Unit Price (₦)]]&gt;68000,Sales[[#This Row],[Quantity]]&gt;15),"Offer Discount", "No Discount")</f>
        <v>No Discount</v>
      </c>
    </row>
    <row r="1000" spans="1:25" ht="15" customHeight="1" x14ac:dyDescent="0.25">
      <c r="A1000" t="s">
        <v>1988</v>
      </c>
      <c r="B1000" s="8">
        <v>45590</v>
      </c>
      <c r="C1000" s="8">
        <v>45592</v>
      </c>
      <c r="D1000" t="s">
        <v>20</v>
      </c>
      <c r="E1000" t="s">
        <v>3089</v>
      </c>
      <c r="F1000" t="s">
        <v>3040</v>
      </c>
      <c r="G1000" t="s">
        <v>1989</v>
      </c>
      <c r="H1000">
        <v>7067885148</v>
      </c>
      <c r="I1000" t="s">
        <v>43</v>
      </c>
      <c r="J1000" t="s">
        <v>51</v>
      </c>
      <c r="K1000" t="s">
        <v>52</v>
      </c>
      <c r="L1000" t="s">
        <v>63</v>
      </c>
      <c r="M1000" t="s">
        <v>558</v>
      </c>
      <c r="N1000" t="s">
        <v>1990</v>
      </c>
      <c r="O1000">
        <v>11</v>
      </c>
      <c r="P1000">
        <v>10933.31</v>
      </c>
      <c r="Q1000">
        <v>0</v>
      </c>
      <c r="R1000" s="39">
        <v>0</v>
      </c>
      <c r="S1000" s="39">
        <v>120266.41</v>
      </c>
      <c r="T1000" s="39">
        <v>48805.23</v>
      </c>
      <c r="U1000" t="str">
        <f t="shared" si="34"/>
        <v>Office Supplies</v>
      </c>
      <c r="V1000">
        <f t="shared" si="35"/>
        <v>48805.23</v>
      </c>
      <c r="W1000" t="str">
        <f>IF(Sales[[#This Row],[Quantity]]&gt;=15, "Large","Small")</f>
        <v>Small</v>
      </c>
      <c r="X1000" t="str">
        <f>IF(Sales[[#This Row],[Quantity]]&gt;=15,"Large",IF(Sales[[#This Row],[Quantity]]=14,"Medium","Small"))</f>
        <v>Small</v>
      </c>
      <c r="Y1000" t="str">
        <f>IF(AND(Sales[[#This Row],[Unit Price (₦)]]&gt;68000,Sales[[#This Row],[Quantity]]&gt;15),"Offer Discount", "No Discount")</f>
        <v>No Discount</v>
      </c>
    </row>
    <row r="1001" spans="1:25" ht="15" customHeight="1" x14ac:dyDescent="0.25">
      <c r="A1001" t="s">
        <v>936</v>
      </c>
      <c r="B1001" s="8">
        <v>45594</v>
      </c>
      <c r="C1001" s="8">
        <v>45597</v>
      </c>
      <c r="D1001" t="s">
        <v>20</v>
      </c>
      <c r="E1001" t="s">
        <v>3051</v>
      </c>
      <c r="F1001" t="s">
        <v>3088</v>
      </c>
      <c r="G1001" t="s">
        <v>689</v>
      </c>
      <c r="H1001">
        <v>8167675150</v>
      </c>
      <c r="I1001" t="s">
        <v>43</v>
      </c>
      <c r="J1001" t="s">
        <v>61</v>
      </c>
      <c r="K1001" t="s">
        <v>95</v>
      </c>
      <c r="L1001" t="s">
        <v>63</v>
      </c>
      <c r="M1001" t="s">
        <v>558</v>
      </c>
      <c r="N1001" t="s">
        <v>559</v>
      </c>
      <c r="O1001">
        <v>5</v>
      </c>
      <c r="P1001">
        <v>20217.52</v>
      </c>
      <c r="Q1001">
        <v>15</v>
      </c>
      <c r="R1001" s="39">
        <v>15163.14</v>
      </c>
      <c r="S1001" s="39">
        <v>85924.46</v>
      </c>
      <c r="T1001" s="39">
        <v>18174.28</v>
      </c>
      <c r="U1001" t="str">
        <f t="shared" si="34"/>
        <v>Office Supplies</v>
      </c>
      <c r="V1001">
        <f t="shared" si="35"/>
        <v>18174.28</v>
      </c>
      <c r="W1001" t="str">
        <f>IF(Sales[[#This Row],[Quantity]]&gt;=15, "Large","Small")</f>
        <v>Small</v>
      </c>
      <c r="X1001" t="str">
        <f>IF(Sales[[#This Row],[Quantity]]&gt;=15,"Large",IF(Sales[[#This Row],[Quantity]]=14,"Medium","Small"))</f>
        <v>Small</v>
      </c>
      <c r="Y1001" t="str">
        <f>IF(AND(Sales[[#This Row],[Unit Price (₦)]]&gt;68000,Sales[[#This Row],[Quantity]]&gt;15),"Offer Discount", "No Discount")</f>
        <v>No Discount</v>
      </c>
    </row>
    <row r="1002" spans="1:25" x14ac:dyDescent="0.25">
      <c r="A1002" t="s">
        <v>2176</v>
      </c>
      <c r="B1002" s="8">
        <v>45597</v>
      </c>
      <c r="C1002" s="8">
        <v>45599</v>
      </c>
      <c r="D1002" t="s">
        <v>20</v>
      </c>
      <c r="E1002" t="s">
        <v>3073</v>
      </c>
      <c r="F1002" t="s">
        <v>3040</v>
      </c>
      <c r="G1002" t="s">
        <v>2178</v>
      </c>
      <c r="H1002">
        <v>9054864628</v>
      </c>
      <c r="I1002" t="s">
        <v>35</v>
      </c>
      <c r="J1002" t="s">
        <v>69</v>
      </c>
      <c r="K1002" t="s">
        <v>144</v>
      </c>
      <c r="L1002" t="s">
        <v>108</v>
      </c>
      <c r="M1002" t="s">
        <v>183</v>
      </c>
      <c r="N1002" t="s">
        <v>372</v>
      </c>
      <c r="O1002">
        <v>5</v>
      </c>
      <c r="P1002">
        <v>26481.72</v>
      </c>
      <c r="Q1002">
        <v>25</v>
      </c>
      <c r="R1002" s="39">
        <v>33102.15</v>
      </c>
      <c r="S1002" s="39">
        <v>99306.45</v>
      </c>
      <c r="T1002" s="39">
        <v>-301.26</v>
      </c>
      <c r="U1002" t="str">
        <f t="shared" si="34"/>
        <v>Clothing</v>
      </c>
      <c r="V1002">
        <f t="shared" si="35"/>
        <v>301.26</v>
      </c>
      <c r="W1002" t="str">
        <f>IF(Sales[[#This Row],[Quantity]]&gt;=15, "Large","Small")</f>
        <v>Small</v>
      </c>
      <c r="X1002" t="str">
        <f>IF(Sales[[#This Row],[Quantity]]&gt;=15,"Large",IF(Sales[[#This Row],[Quantity]]=14,"Medium","Small"))</f>
        <v>Small</v>
      </c>
      <c r="Y1002" t="str">
        <f>IF(AND(Sales[[#This Row],[Unit Price (₦)]]&gt;68000,Sales[[#This Row],[Quantity]]&gt;15),"Offer Discount", "No Discount")</f>
        <v>No Discount</v>
      </c>
    </row>
    <row r="1003" spans="1:25" x14ac:dyDescent="0.25">
      <c r="A1003" t="s">
        <v>2572</v>
      </c>
      <c r="B1003" s="8">
        <v>45611</v>
      </c>
      <c r="C1003" s="8">
        <v>45614</v>
      </c>
      <c r="D1003" t="s">
        <v>20</v>
      </c>
      <c r="E1003" t="s">
        <v>3051</v>
      </c>
      <c r="F1003" t="s">
        <v>3078</v>
      </c>
      <c r="G1003" t="s">
        <v>2573</v>
      </c>
      <c r="H1003">
        <v>8106808928</v>
      </c>
      <c r="I1003" t="s">
        <v>43</v>
      </c>
      <c r="J1003" t="s">
        <v>51</v>
      </c>
      <c r="K1003" t="s">
        <v>316</v>
      </c>
      <c r="L1003" t="s">
        <v>63</v>
      </c>
      <c r="M1003" t="s">
        <v>312</v>
      </c>
      <c r="N1003" t="s">
        <v>736</v>
      </c>
      <c r="O1003">
        <v>9</v>
      </c>
      <c r="P1003">
        <v>12476.35</v>
      </c>
      <c r="Q1003">
        <v>0</v>
      </c>
      <c r="R1003" s="39">
        <v>0</v>
      </c>
      <c r="S1003" s="39">
        <v>112287.15</v>
      </c>
      <c r="T1003" s="39">
        <v>44691.9</v>
      </c>
      <c r="U1003" t="str">
        <f t="shared" si="34"/>
        <v>Office Supplies</v>
      </c>
      <c r="V1003">
        <f t="shared" si="35"/>
        <v>44691.9</v>
      </c>
      <c r="W1003" t="str">
        <f>IF(Sales[[#This Row],[Quantity]]&gt;=15, "Large","Small")</f>
        <v>Small</v>
      </c>
      <c r="X1003" t="str">
        <f>IF(Sales[[#This Row],[Quantity]]&gt;=15,"Large",IF(Sales[[#This Row],[Quantity]]=14,"Medium","Small"))</f>
        <v>Small</v>
      </c>
      <c r="Y1003" t="str">
        <f>IF(AND(Sales[[#This Row],[Unit Price (₦)]]&gt;68000,Sales[[#This Row],[Quantity]]&gt;15),"Offer Discount", "No Discount")</f>
        <v>No Discount</v>
      </c>
    </row>
    <row r="1004" spans="1:25" x14ac:dyDescent="0.25">
      <c r="A1004" t="s">
        <v>2316</v>
      </c>
      <c r="B1004" s="8">
        <v>45614</v>
      </c>
      <c r="C1004" s="8">
        <v>45616</v>
      </c>
      <c r="D1004" t="s">
        <v>20</v>
      </c>
      <c r="E1004" t="s">
        <v>3087</v>
      </c>
      <c r="F1004" t="s">
        <v>3039</v>
      </c>
      <c r="G1004" t="s">
        <v>2318</v>
      </c>
      <c r="H1004">
        <v>8138330731</v>
      </c>
      <c r="I1004" t="s">
        <v>43</v>
      </c>
      <c r="J1004" t="s">
        <v>61</v>
      </c>
      <c r="K1004" t="s">
        <v>84</v>
      </c>
      <c r="L1004" t="s">
        <v>63</v>
      </c>
      <c r="M1004" t="s">
        <v>469</v>
      </c>
      <c r="N1004" t="s">
        <v>1595</v>
      </c>
      <c r="O1004">
        <v>2</v>
      </c>
      <c r="P1004">
        <v>7282.92</v>
      </c>
      <c r="Q1004">
        <v>15</v>
      </c>
      <c r="R1004" s="39">
        <v>2184.88</v>
      </c>
      <c r="S1004" s="39">
        <v>12380.96</v>
      </c>
      <c r="T1004" s="39">
        <v>4900.9799999999996</v>
      </c>
      <c r="U1004" t="str">
        <f t="shared" si="34"/>
        <v>Office Supplies</v>
      </c>
      <c r="V1004">
        <f t="shared" si="35"/>
        <v>4900.9799999999996</v>
      </c>
      <c r="W1004" t="str">
        <f>IF(Sales[[#This Row],[Quantity]]&gt;=15, "Large","Small")</f>
        <v>Small</v>
      </c>
      <c r="X1004" t="str">
        <f>IF(Sales[[#This Row],[Quantity]]&gt;=15,"Large",IF(Sales[[#This Row],[Quantity]]=14,"Medium","Small"))</f>
        <v>Small</v>
      </c>
      <c r="Y1004" t="str">
        <f>IF(AND(Sales[[#This Row],[Unit Price (₦)]]&gt;68000,Sales[[#This Row],[Quantity]]&gt;15),"Offer Discount", "No Discount")</f>
        <v>No Discount</v>
      </c>
    </row>
    <row r="1005" spans="1:25" x14ac:dyDescent="0.25">
      <c r="A1005" t="s">
        <v>705</v>
      </c>
      <c r="B1005" s="8">
        <v>45615</v>
      </c>
      <c r="C1005" s="8">
        <v>45617</v>
      </c>
      <c r="D1005" t="s">
        <v>20</v>
      </c>
      <c r="E1005" t="s">
        <v>3033</v>
      </c>
      <c r="F1005" t="s">
        <v>3096</v>
      </c>
      <c r="G1005" t="s">
        <v>707</v>
      </c>
      <c r="H1005">
        <v>8035652716</v>
      </c>
      <c r="I1005" t="s">
        <v>24</v>
      </c>
      <c r="J1005" t="s">
        <v>51</v>
      </c>
      <c r="K1005" t="s">
        <v>223</v>
      </c>
      <c r="L1005" t="s">
        <v>85</v>
      </c>
      <c r="M1005" t="s">
        <v>218</v>
      </c>
      <c r="N1005" t="s">
        <v>708</v>
      </c>
      <c r="O1005">
        <v>11</v>
      </c>
      <c r="P1005">
        <v>33153.870000000003</v>
      </c>
      <c r="Q1005">
        <v>5</v>
      </c>
      <c r="R1005" s="39">
        <v>18234.63</v>
      </c>
      <c r="S1005" s="39">
        <v>346457.94</v>
      </c>
      <c r="T1005" s="39">
        <v>106322.45</v>
      </c>
      <c r="U1005" t="str">
        <f t="shared" si="34"/>
        <v>Furniture</v>
      </c>
      <c r="V1005">
        <f t="shared" si="35"/>
        <v>106322.45</v>
      </c>
      <c r="W1005" t="str">
        <f>IF(Sales[[#This Row],[Quantity]]&gt;=15, "Large","Small")</f>
        <v>Small</v>
      </c>
      <c r="X1005" t="str">
        <f>IF(Sales[[#This Row],[Quantity]]&gt;=15,"Large",IF(Sales[[#This Row],[Quantity]]=14,"Medium","Small"))</f>
        <v>Small</v>
      </c>
      <c r="Y1005" t="str">
        <f>IF(AND(Sales[[#This Row],[Unit Price (₦)]]&gt;68000,Sales[[#This Row],[Quantity]]&gt;15),"Offer Discount", "No Discount")</f>
        <v>No Discount</v>
      </c>
    </row>
    <row r="1006" spans="1:25" x14ac:dyDescent="0.25">
      <c r="A1006" t="s">
        <v>839</v>
      </c>
      <c r="B1006" s="8">
        <v>45626</v>
      </c>
      <c r="C1006" s="8">
        <v>45629</v>
      </c>
      <c r="D1006" t="s">
        <v>20</v>
      </c>
      <c r="E1006" t="s">
        <v>3049</v>
      </c>
      <c r="F1006" t="s">
        <v>3079</v>
      </c>
      <c r="G1006" t="s">
        <v>324</v>
      </c>
      <c r="H1006">
        <v>8067953189</v>
      </c>
      <c r="I1006" t="s">
        <v>43</v>
      </c>
      <c r="J1006" t="s">
        <v>69</v>
      </c>
      <c r="K1006" t="s">
        <v>155</v>
      </c>
      <c r="L1006" t="s">
        <v>841</v>
      </c>
      <c r="M1006" t="s">
        <v>218</v>
      </c>
      <c r="N1006" t="s">
        <v>842</v>
      </c>
      <c r="O1006">
        <v>4</v>
      </c>
      <c r="P1006">
        <v>109124.67</v>
      </c>
      <c r="Q1006">
        <v>0</v>
      </c>
      <c r="R1006" s="39">
        <v>0</v>
      </c>
      <c r="S1006" s="39">
        <v>436498.68</v>
      </c>
      <c r="T1006" s="39">
        <v>81891.63</v>
      </c>
      <c r="U1006" t="str">
        <f t="shared" si="34"/>
        <v>Furniture</v>
      </c>
      <c r="V1006">
        <f t="shared" si="35"/>
        <v>81891.63</v>
      </c>
      <c r="W1006" t="str">
        <f>IF(Sales[[#This Row],[Quantity]]&gt;=15, "Large","Small")</f>
        <v>Small</v>
      </c>
      <c r="X1006" t="str">
        <f>IF(Sales[[#This Row],[Quantity]]&gt;=15,"Large",IF(Sales[[#This Row],[Quantity]]=14,"Medium","Small"))</f>
        <v>Small</v>
      </c>
      <c r="Y1006" t="str">
        <f>IF(AND(Sales[[#This Row],[Unit Price (₦)]]&gt;68000,Sales[[#This Row],[Quantity]]&gt;15),"Offer Discount", "No Discount")</f>
        <v>No Discount</v>
      </c>
    </row>
    <row r="1007" spans="1:25" x14ac:dyDescent="0.25">
      <c r="A1007" t="s">
        <v>1147</v>
      </c>
      <c r="B1007" s="8">
        <v>45635</v>
      </c>
      <c r="C1007" s="8">
        <v>45637</v>
      </c>
      <c r="D1007" t="s">
        <v>20</v>
      </c>
      <c r="E1007" t="s">
        <v>3041</v>
      </c>
      <c r="F1007" t="s">
        <v>3077</v>
      </c>
      <c r="G1007" t="s">
        <v>1149</v>
      </c>
      <c r="H1007">
        <v>7039428900</v>
      </c>
      <c r="I1007" t="s">
        <v>35</v>
      </c>
      <c r="J1007" t="s">
        <v>25</v>
      </c>
      <c r="K1007" t="s">
        <v>168</v>
      </c>
      <c r="L1007" t="s">
        <v>85</v>
      </c>
      <c r="M1007" t="s">
        <v>218</v>
      </c>
      <c r="N1007" t="s">
        <v>321</v>
      </c>
      <c r="O1007">
        <v>13</v>
      </c>
      <c r="P1007">
        <v>123865.26</v>
      </c>
      <c r="Q1007">
        <v>20</v>
      </c>
      <c r="R1007" s="39">
        <v>322049.68</v>
      </c>
      <c r="S1007" s="39">
        <v>1288198.7</v>
      </c>
      <c r="T1007" s="39">
        <v>388654.86</v>
      </c>
      <c r="U1007" t="str">
        <f t="shared" si="34"/>
        <v>Furniture</v>
      </c>
      <c r="V1007">
        <f t="shared" si="35"/>
        <v>388654.86</v>
      </c>
      <c r="W1007" t="str">
        <f>IF(Sales[[#This Row],[Quantity]]&gt;=15, "Large","Small")</f>
        <v>Small</v>
      </c>
      <c r="X1007" t="str">
        <f>IF(Sales[[#This Row],[Quantity]]&gt;=15,"Large",IF(Sales[[#This Row],[Quantity]]=14,"Medium","Small"))</f>
        <v>Small</v>
      </c>
      <c r="Y1007" t="str">
        <f>IF(AND(Sales[[#This Row],[Unit Price (₦)]]&gt;68000,Sales[[#This Row],[Quantity]]&gt;15),"Offer Discount", "No Discount")</f>
        <v>No Discount</v>
      </c>
    </row>
    <row r="1008" spans="1:25" x14ac:dyDescent="0.25">
      <c r="A1008" t="s">
        <v>2285</v>
      </c>
      <c r="B1008" s="8">
        <v>45635</v>
      </c>
      <c r="C1008" s="8">
        <v>45637</v>
      </c>
      <c r="D1008" t="s">
        <v>20</v>
      </c>
      <c r="E1008" t="s">
        <v>3094</v>
      </c>
      <c r="F1008" t="s">
        <v>3096</v>
      </c>
      <c r="G1008" t="s">
        <v>1407</v>
      </c>
      <c r="H1008">
        <v>8106589281</v>
      </c>
      <c r="I1008" t="s">
        <v>35</v>
      </c>
      <c r="J1008" t="s">
        <v>61</v>
      </c>
      <c r="K1008" t="s">
        <v>84</v>
      </c>
      <c r="L1008" t="s">
        <v>96</v>
      </c>
      <c r="M1008" t="s">
        <v>120</v>
      </c>
      <c r="N1008" t="s">
        <v>367</v>
      </c>
      <c r="O1008">
        <v>5</v>
      </c>
      <c r="P1008">
        <v>359895.6</v>
      </c>
      <c r="Q1008">
        <v>10</v>
      </c>
      <c r="R1008" s="39">
        <v>179947.8</v>
      </c>
      <c r="S1008" s="39">
        <v>1619530.2</v>
      </c>
      <c r="T1008" s="39">
        <v>202810.71</v>
      </c>
      <c r="U1008" t="str">
        <f t="shared" si="34"/>
        <v>Technology</v>
      </c>
      <c r="V1008">
        <f t="shared" si="35"/>
        <v>202810.71</v>
      </c>
      <c r="W1008" t="str">
        <f>IF(Sales[[#This Row],[Quantity]]&gt;=15, "Large","Small")</f>
        <v>Small</v>
      </c>
      <c r="X1008" t="str">
        <f>IF(Sales[[#This Row],[Quantity]]&gt;=15,"Large",IF(Sales[[#This Row],[Quantity]]=14,"Medium","Small"))</f>
        <v>Small</v>
      </c>
      <c r="Y1008" t="str">
        <f>IF(AND(Sales[[#This Row],[Unit Price (₦)]]&gt;68000,Sales[[#This Row],[Quantity]]&gt;15),"Offer Discount", "No Discount")</f>
        <v>No Discount</v>
      </c>
    </row>
    <row r="1009" spans="1:25" x14ac:dyDescent="0.25">
      <c r="A1009" t="s">
        <v>1302</v>
      </c>
      <c r="B1009" s="8">
        <v>45647</v>
      </c>
      <c r="C1009" s="8">
        <v>45649</v>
      </c>
      <c r="D1009" t="s">
        <v>20</v>
      </c>
      <c r="E1009" t="s">
        <v>3072</v>
      </c>
      <c r="F1009" t="s">
        <v>3077</v>
      </c>
      <c r="G1009" t="s">
        <v>1304</v>
      </c>
      <c r="H1009">
        <v>8038244164</v>
      </c>
      <c r="I1009" t="s">
        <v>24</v>
      </c>
      <c r="J1009" t="s">
        <v>69</v>
      </c>
      <c r="K1009" t="s">
        <v>70</v>
      </c>
      <c r="L1009" t="s">
        <v>27</v>
      </c>
      <c r="M1009" t="s">
        <v>45</v>
      </c>
      <c r="N1009" t="s">
        <v>838</v>
      </c>
      <c r="O1009">
        <v>4</v>
      </c>
      <c r="P1009">
        <v>2381.5100000000002</v>
      </c>
      <c r="Q1009">
        <v>10</v>
      </c>
      <c r="R1009" s="39">
        <v>952.6</v>
      </c>
      <c r="S1009" s="39">
        <v>8573.44</v>
      </c>
      <c r="T1009" s="39">
        <v>2079.9699999999998</v>
      </c>
      <c r="U1009" t="str">
        <f t="shared" si="34"/>
        <v>Food &amp; Beverages</v>
      </c>
      <c r="V1009">
        <f t="shared" si="35"/>
        <v>2079.9699999999998</v>
      </c>
      <c r="W1009" t="str">
        <f>IF(Sales[[#This Row],[Quantity]]&gt;=15, "Large","Small")</f>
        <v>Small</v>
      </c>
      <c r="X1009" t="str">
        <f>IF(Sales[[#This Row],[Quantity]]&gt;=15,"Large",IF(Sales[[#This Row],[Quantity]]=14,"Medium","Small"))</f>
        <v>Small</v>
      </c>
      <c r="Y1009" t="str">
        <f>IF(AND(Sales[[#This Row],[Unit Price (₦)]]&gt;68000,Sales[[#This Row],[Quantity]]&gt;15),"Offer Discount", "No Discount")</f>
        <v>No Discount</v>
      </c>
    </row>
    <row r="1010" spans="1:25" x14ac:dyDescent="0.25">
      <c r="A1010" t="s">
        <v>1286</v>
      </c>
      <c r="B1010" s="8">
        <v>45657</v>
      </c>
      <c r="C1010" s="8">
        <v>45659</v>
      </c>
      <c r="D1010" t="s">
        <v>20</v>
      </c>
      <c r="E1010" t="s">
        <v>3055</v>
      </c>
      <c r="F1010" t="s">
        <v>3071</v>
      </c>
      <c r="G1010" t="s">
        <v>1288</v>
      </c>
      <c r="H1010">
        <v>9056561881</v>
      </c>
      <c r="I1010" t="s">
        <v>35</v>
      </c>
      <c r="J1010" t="s">
        <v>51</v>
      </c>
      <c r="K1010" t="s">
        <v>227</v>
      </c>
      <c r="L1010" t="s">
        <v>108</v>
      </c>
      <c r="M1010" t="s">
        <v>38</v>
      </c>
      <c r="N1010" t="s">
        <v>39</v>
      </c>
      <c r="O1010">
        <v>2</v>
      </c>
      <c r="P1010">
        <v>14435.96</v>
      </c>
      <c r="Q1010">
        <v>10</v>
      </c>
      <c r="R1010" s="39">
        <v>2887.19</v>
      </c>
      <c r="S1010" s="39">
        <v>25984.73</v>
      </c>
      <c r="T1010" s="39">
        <v>7436.39</v>
      </c>
      <c r="U1010" t="str">
        <f t="shared" si="34"/>
        <v>Clothing</v>
      </c>
      <c r="V1010">
        <f t="shared" si="35"/>
        <v>7436.39</v>
      </c>
      <c r="W1010" t="str">
        <f>IF(Sales[[#This Row],[Quantity]]&gt;=15, "Large","Small")</f>
        <v>Small</v>
      </c>
      <c r="X1010" t="str">
        <f>IF(Sales[[#This Row],[Quantity]]&gt;=15,"Large",IF(Sales[[#This Row],[Quantity]]=14,"Medium","Small"))</f>
        <v>Small</v>
      </c>
      <c r="Y1010" t="str">
        <f>IF(AND(Sales[[#This Row],[Unit Price (₦)]]&gt;68000,Sales[[#This Row],[Quantity]]&gt;15),"Offer Discount", "No Discount")</f>
        <v>No Discount</v>
      </c>
    </row>
    <row r="1011" spans="1:25" x14ac:dyDescent="0.25">
      <c r="R1011" s="40"/>
      <c r="S1011" s="40"/>
      <c r="T1011" s="40"/>
    </row>
  </sheetData>
  <sortState xmlns:xlrd2="http://schemas.microsoft.com/office/spreadsheetml/2017/richdata2" ref="A2:T1010">
    <sortCondition descending="1" ref="D2:D1010"/>
    <sortCondition ref="C2:C1010"/>
  </sortState>
  <phoneticPr fontId="13" type="noConversion"/>
  <hyperlinks>
    <hyperlink ref="G9" r:id="rId1" xr:uid="{4BDD35BA-8614-457B-AB8F-C1D32589390D}"/>
  </hyperlinks>
  <pageMargins left="0.75" right="0.75" top="1" bottom="1" header="0.511811023622047" footer="0.511811023622047"/>
  <pageSetup paperSize="9" orientation="portrait" horizontalDpi="300" verticalDpi="300"/>
  <tableParts count="1">
    <tablePart r:id="rId2"/>
  </tableParts>
  <extLst>
    <ext xmlns:x14="http://schemas.microsoft.com/office/spreadsheetml/2009/9/main" uri="{78C0D931-6437-407d-A8EE-F0AAD7539E65}">
      <x14:conditionalFormattings>
        <x14:conditionalFormatting xmlns:xm="http://schemas.microsoft.com/office/excel/2006/main">
          <x14:cfRule type="iconSet" priority="4" id="{A61DD383-B82E-464B-92C0-3F310791DEFF}">
            <x14:iconSet iconSet="3Arrows" custom="1">
              <x14:cfvo type="percent">
                <xm:f>0</xm:f>
              </x14:cfvo>
              <x14:cfvo type="num">
                <xm:f>10</xm:f>
              </x14:cfvo>
              <x14:cfvo type="num">
                <xm:f>15</xm:f>
              </x14:cfvo>
              <x14:cfIcon iconSet="3Arrows" iconId="0"/>
              <x14:cfIcon iconSet="3Arrows" iconId="1"/>
              <x14:cfIcon iconSet="3Arrows" iconId="2"/>
            </x14:iconSet>
          </x14:cfRule>
          <xm:sqref>O1:O1048576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FE7D0-6E47-48D2-8F2B-483F369D843E}">
  <dimension ref="A1"/>
  <sheetViews>
    <sheetView showGridLines="0" tabSelected="1" topLeftCell="A30" zoomScale="70" zoomScaleNormal="70" workbookViewId="0">
      <selection sqref="A1:A104857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7E201-CFA6-4C53-A8F2-229B5C9F625D}">
  <dimension ref="A2:C117"/>
  <sheetViews>
    <sheetView workbookViewId="0">
      <selection activeCell="B6" sqref="B6"/>
    </sheetView>
  </sheetViews>
  <sheetFormatPr defaultRowHeight="15" x14ac:dyDescent="0.25"/>
  <cols>
    <col min="1" max="1" width="11.28515625" bestFit="1" customWidth="1"/>
    <col min="2" max="2" width="15.28515625" bestFit="1" customWidth="1"/>
    <col min="3" max="3" width="14.28515625" bestFit="1" customWidth="1"/>
  </cols>
  <sheetData>
    <row r="2" spans="1:3" x14ac:dyDescent="0.25">
      <c r="A2" s="37" t="s">
        <v>8</v>
      </c>
      <c r="B2" t="s">
        <v>3230</v>
      </c>
      <c r="C2" t="s">
        <v>3240</v>
      </c>
    </row>
    <row r="3" spans="1:3" x14ac:dyDescent="0.25">
      <c r="A3" s="38" t="s">
        <v>51</v>
      </c>
      <c r="B3" s="40">
        <v>136638586.09999999</v>
      </c>
      <c r="C3" s="40">
        <v>17563180.379999995</v>
      </c>
    </row>
    <row r="4" spans="1:3" x14ac:dyDescent="0.25">
      <c r="A4" s="38" t="s">
        <v>25</v>
      </c>
      <c r="B4" s="40">
        <v>158175117.25999999</v>
      </c>
      <c r="C4" s="40">
        <v>25803411.889999982</v>
      </c>
    </row>
    <row r="5" spans="1:3" x14ac:dyDescent="0.25">
      <c r="A5" s="38" t="s">
        <v>61</v>
      </c>
      <c r="B5" s="40">
        <v>156020814.31999996</v>
      </c>
      <c r="C5" s="40">
        <v>23823355.770000003</v>
      </c>
    </row>
    <row r="6" spans="1:3" x14ac:dyDescent="0.25">
      <c r="A6" s="38" t="s">
        <v>69</v>
      </c>
      <c r="B6" s="40">
        <v>180807544.95999992</v>
      </c>
      <c r="C6" s="40">
        <v>25524221.169999991</v>
      </c>
    </row>
    <row r="7" spans="1:3" x14ac:dyDescent="0.25">
      <c r="A7" s="38" t="s">
        <v>3227</v>
      </c>
      <c r="B7" s="40">
        <v>631642062.63999987</v>
      </c>
      <c r="C7" s="40">
        <v>92714169.209999979</v>
      </c>
    </row>
    <row r="11" spans="1:3" x14ac:dyDescent="0.25">
      <c r="A11" s="37" t="s">
        <v>7</v>
      </c>
      <c r="B11" t="s">
        <v>3230</v>
      </c>
    </row>
    <row r="12" spans="1:3" x14ac:dyDescent="0.25">
      <c r="A12" s="38" t="s">
        <v>35</v>
      </c>
      <c r="B12" s="40">
        <v>210199383.34999967</v>
      </c>
    </row>
    <row r="13" spans="1:3" x14ac:dyDescent="0.25">
      <c r="A13" s="38" t="s">
        <v>43</v>
      </c>
      <c r="B13" s="40">
        <v>211055885.11000004</v>
      </c>
    </row>
    <row r="14" spans="1:3" x14ac:dyDescent="0.25">
      <c r="A14" s="38" t="s">
        <v>24</v>
      </c>
      <c r="B14" s="40">
        <v>210386794.17999992</v>
      </c>
    </row>
    <row r="15" spans="1:3" x14ac:dyDescent="0.25">
      <c r="A15" s="38" t="s">
        <v>3227</v>
      </c>
      <c r="B15" s="40">
        <v>631642062.63999963</v>
      </c>
    </row>
    <row r="18" spans="1:2" x14ac:dyDescent="0.25">
      <c r="A18" s="37" t="s">
        <v>7</v>
      </c>
      <c r="B18" t="s">
        <v>3240</v>
      </c>
    </row>
    <row r="19" spans="1:2" x14ac:dyDescent="0.25">
      <c r="A19" s="38" t="s">
        <v>35</v>
      </c>
      <c r="B19" s="54">
        <v>0.32881071598613731</v>
      </c>
    </row>
    <row r="20" spans="1:2" x14ac:dyDescent="0.25">
      <c r="A20" s="38" t="s">
        <v>43</v>
      </c>
      <c r="B20" s="54">
        <v>0.39656556504023921</v>
      </c>
    </row>
    <row r="21" spans="1:2" x14ac:dyDescent="0.25">
      <c r="A21" s="38" t="s">
        <v>24</v>
      </c>
      <c r="B21" s="54">
        <v>0.27462371897362348</v>
      </c>
    </row>
    <row r="22" spans="1:2" x14ac:dyDescent="0.25">
      <c r="A22" s="38" t="s">
        <v>3227</v>
      </c>
      <c r="B22" s="54">
        <v>1</v>
      </c>
    </row>
    <row r="26" spans="1:2" x14ac:dyDescent="0.25">
      <c r="A26" s="37" t="s">
        <v>7</v>
      </c>
      <c r="B26" t="s">
        <v>3230</v>
      </c>
    </row>
    <row r="27" spans="1:2" x14ac:dyDescent="0.25">
      <c r="A27" s="38" t="s">
        <v>1416</v>
      </c>
      <c r="B27" s="40">
        <v>16227714.93</v>
      </c>
    </row>
    <row r="28" spans="1:2" x14ac:dyDescent="0.25">
      <c r="A28" s="38" t="s">
        <v>455</v>
      </c>
      <c r="B28" s="40">
        <v>17780907.419999994</v>
      </c>
    </row>
    <row r="29" spans="1:2" x14ac:dyDescent="0.25">
      <c r="A29" s="38" t="s">
        <v>386</v>
      </c>
      <c r="B29" s="40">
        <v>17800951.23</v>
      </c>
    </row>
    <row r="30" spans="1:2" x14ac:dyDescent="0.25">
      <c r="A30" s="38" t="s">
        <v>478</v>
      </c>
      <c r="B30" s="40">
        <v>17823077.749999996</v>
      </c>
    </row>
    <row r="31" spans="1:2" x14ac:dyDescent="0.25">
      <c r="A31" s="38" t="s">
        <v>452</v>
      </c>
      <c r="B31" s="40">
        <v>18345487.810000002</v>
      </c>
    </row>
    <row r="32" spans="1:2" x14ac:dyDescent="0.25">
      <c r="A32" s="38" t="s">
        <v>367</v>
      </c>
      <c r="B32" s="40">
        <v>18349678.800000001</v>
      </c>
    </row>
    <row r="33" spans="1:2" x14ac:dyDescent="0.25">
      <c r="A33" s="38" t="s">
        <v>98</v>
      </c>
      <c r="B33" s="40">
        <v>18973364.990000002</v>
      </c>
    </row>
    <row r="34" spans="1:2" x14ac:dyDescent="0.25">
      <c r="A34" s="38" t="s">
        <v>942</v>
      </c>
      <c r="B34" s="40">
        <v>21390307.990000002</v>
      </c>
    </row>
    <row r="35" spans="1:2" x14ac:dyDescent="0.25">
      <c r="A35" s="38" t="s">
        <v>1010</v>
      </c>
      <c r="B35" s="40">
        <v>23949166.469999999</v>
      </c>
    </row>
    <row r="36" spans="1:2" x14ac:dyDescent="0.25">
      <c r="A36" s="38" t="s">
        <v>359</v>
      </c>
      <c r="B36" s="40">
        <v>30402493.289999999</v>
      </c>
    </row>
    <row r="37" spans="1:2" x14ac:dyDescent="0.25">
      <c r="A37" s="38" t="s">
        <v>3227</v>
      </c>
      <c r="B37" s="40">
        <v>201043150.68000001</v>
      </c>
    </row>
    <row r="40" spans="1:2" x14ac:dyDescent="0.25">
      <c r="A40" s="37" t="s">
        <v>7</v>
      </c>
      <c r="B40" t="s">
        <v>3240</v>
      </c>
    </row>
    <row r="41" spans="1:2" x14ac:dyDescent="0.25">
      <c r="A41" s="38" t="s">
        <v>455</v>
      </c>
      <c r="B41" s="40">
        <v>2494964.62</v>
      </c>
    </row>
    <row r="42" spans="1:2" x14ac:dyDescent="0.25">
      <c r="A42" s="38" t="s">
        <v>287</v>
      </c>
      <c r="B42" s="40">
        <v>2698327.1799999997</v>
      </c>
    </row>
    <row r="43" spans="1:2" x14ac:dyDescent="0.25">
      <c r="A43" s="38" t="s">
        <v>255</v>
      </c>
      <c r="B43" s="40">
        <v>2916771.34</v>
      </c>
    </row>
    <row r="44" spans="1:2" x14ac:dyDescent="0.25">
      <c r="A44" s="38" t="s">
        <v>443</v>
      </c>
      <c r="B44" s="40">
        <v>2996877.6300000004</v>
      </c>
    </row>
    <row r="45" spans="1:2" x14ac:dyDescent="0.25">
      <c r="A45" s="38" t="s">
        <v>325</v>
      </c>
      <c r="B45" s="40">
        <v>3370942.5300000003</v>
      </c>
    </row>
    <row r="46" spans="1:2" x14ac:dyDescent="0.25">
      <c r="A46" s="38" t="s">
        <v>190</v>
      </c>
      <c r="B46" s="40">
        <v>3741308.44</v>
      </c>
    </row>
    <row r="47" spans="1:2" x14ac:dyDescent="0.25">
      <c r="A47" s="38" t="s">
        <v>530</v>
      </c>
      <c r="B47" s="40">
        <v>3750595.56</v>
      </c>
    </row>
    <row r="48" spans="1:2" x14ac:dyDescent="0.25">
      <c r="A48" s="38" t="s">
        <v>478</v>
      </c>
      <c r="B48" s="40">
        <v>3794707.0999999996</v>
      </c>
    </row>
    <row r="49" spans="1:2" x14ac:dyDescent="0.25">
      <c r="A49" s="38" t="s">
        <v>205</v>
      </c>
      <c r="B49" s="40">
        <v>4263666.7</v>
      </c>
    </row>
    <row r="50" spans="1:2" x14ac:dyDescent="0.25">
      <c r="A50" s="38" t="s">
        <v>359</v>
      </c>
      <c r="B50" s="40">
        <v>5234113.78</v>
      </c>
    </row>
    <row r="51" spans="1:2" x14ac:dyDescent="0.25">
      <c r="A51" s="38" t="s">
        <v>3227</v>
      </c>
      <c r="B51" s="40">
        <v>35262274.880000003</v>
      </c>
    </row>
    <row r="55" spans="1:2" x14ac:dyDescent="0.25">
      <c r="A55" s="37" t="s">
        <v>3239</v>
      </c>
      <c r="B55" t="s">
        <v>3230</v>
      </c>
    </row>
    <row r="56" spans="1:2" x14ac:dyDescent="0.25">
      <c r="A56" s="38" t="s">
        <v>44</v>
      </c>
      <c r="B56" s="40">
        <v>29430777.70000001</v>
      </c>
    </row>
    <row r="57" spans="1:2" x14ac:dyDescent="0.25">
      <c r="A57" s="38" t="s">
        <v>227</v>
      </c>
      <c r="B57" s="40">
        <v>31418383.180000015</v>
      </c>
    </row>
    <row r="58" spans="1:2" x14ac:dyDescent="0.25">
      <c r="A58" s="38" t="s">
        <v>155</v>
      </c>
      <c r="B58" s="40">
        <v>31636825.170000009</v>
      </c>
    </row>
    <row r="59" spans="1:2" x14ac:dyDescent="0.25">
      <c r="A59" s="38" t="s">
        <v>144</v>
      </c>
      <c r="B59" s="40">
        <v>37891362.93</v>
      </c>
    </row>
    <row r="60" spans="1:2" x14ac:dyDescent="0.25">
      <c r="A60" s="38" t="s">
        <v>126</v>
      </c>
      <c r="B60" s="40">
        <v>39122901.179999985</v>
      </c>
    </row>
    <row r="61" spans="1:2" x14ac:dyDescent="0.25">
      <c r="A61" s="38" t="s">
        <v>168</v>
      </c>
      <c r="B61" s="40">
        <v>39312242.730000012</v>
      </c>
    </row>
    <row r="62" spans="1:2" x14ac:dyDescent="0.25">
      <c r="A62" s="38" t="s">
        <v>119</v>
      </c>
      <c r="B62" s="40">
        <v>40699028.489999995</v>
      </c>
    </row>
    <row r="63" spans="1:2" x14ac:dyDescent="0.25">
      <c r="A63" s="38" t="s">
        <v>70</v>
      </c>
      <c r="B63" s="40">
        <v>40865108.449999996</v>
      </c>
    </row>
    <row r="64" spans="1:2" x14ac:dyDescent="0.25">
      <c r="A64" s="38" t="s">
        <v>182</v>
      </c>
      <c r="B64" s="40">
        <v>42376983.229999997</v>
      </c>
    </row>
    <row r="65" spans="1:3" x14ac:dyDescent="0.25">
      <c r="A65" s="38" t="s">
        <v>131</v>
      </c>
      <c r="B65" s="40">
        <v>45282027.219999991</v>
      </c>
    </row>
    <row r="66" spans="1:3" x14ac:dyDescent="0.25">
      <c r="A66" s="38" t="s">
        <v>3227</v>
      </c>
      <c r="B66" s="40">
        <v>378035640.28000003</v>
      </c>
    </row>
    <row r="70" spans="1:3" x14ac:dyDescent="0.25">
      <c r="A70" s="37" t="s">
        <v>3233</v>
      </c>
      <c r="B70" t="s">
        <v>3156</v>
      </c>
      <c r="C70" t="s">
        <v>3166</v>
      </c>
    </row>
    <row r="71" spans="1:3" x14ac:dyDescent="0.25">
      <c r="A71" s="38" t="s">
        <v>3228</v>
      </c>
      <c r="B71" s="40">
        <v>212258700.18999985</v>
      </c>
      <c r="C71" s="40">
        <v>31235026.049999986</v>
      </c>
    </row>
    <row r="72" spans="1:3" x14ac:dyDescent="0.25">
      <c r="A72" s="38" t="s">
        <v>3241</v>
      </c>
      <c r="B72" s="40">
        <v>243863274.69999993</v>
      </c>
      <c r="C72" s="40">
        <v>34648153.729999982</v>
      </c>
    </row>
    <row r="73" spans="1:3" x14ac:dyDescent="0.25">
      <c r="A73" s="38" t="s">
        <v>3242</v>
      </c>
      <c r="B73" s="40">
        <v>175520087.74999991</v>
      </c>
      <c r="C73" s="40">
        <v>26830989.429999992</v>
      </c>
    </row>
    <row r="74" spans="1:3" x14ac:dyDescent="0.25">
      <c r="A74" s="38" t="s">
        <v>3227</v>
      </c>
      <c r="B74" s="40">
        <v>631642062.63999963</v>
      </c>
      <c r="C74" s="40">
        <v>92714169.209999964</v>
      </c>
    </row>
    <row r="77" spans="1:3" x14ac:dyDescent="0.25">
      <c r="A77" s="37" t="s">
        <v>3233</v>
      </c>
      <c r="B77" t="s">
        <v>3156</v>
      </c>
    </row>
    <row r="78" spans="1:3" x14ac:dyDescent="0.25">
      <c r="A78" s="38" t="s">
        <v>3228</v>
      </c>
      <c r="B78" s="40"/>
    </row>
    <row r="79" spans="1:3" x14ac:dyDescent="0.25">
      <c r="A79" s="55" t="s">
        <v>3243</v>
      </c>
      <c r="B79" s="40">
        <v>21317448.68</v>
      </c>
    </row>
    <row r="80" spans="1:3" x14ac:dyDescent="0.25">
      <c r="A80" s="55" t="s">
        <v>3244</v>
      </c>
      <c r="B80" s="40">
        <v>11003258.909999996</v>
      </c>
    </row>
    <row r="81" spans="1:2" x14ac:dyDescent="0.25">
      <c r="A81" s="55" t="s">
        <v>3245</v>
      </c>
      <c r="B81" s="40">
        <v>17494629.940000001</v>
      </c>
    </row>
    <row r="82" spans="1:2" x14ac:dyDescent="0.25">
      <c r="A82" s="55" t="s">
        <v>3246</v>
      </c>
      <c r="B82" s="40">
        <v>19856214.34</v>
      </c>
    </row>
    <row r="83" spans="1:2" x14ac:dyDescent="0.25">
      <c r="A83" s="55" t="s">
        <v>3247</v>
      </c>
      <c r="B83" s="40">
        <v>22724581.57</v>
      </c>
    </row>
    <row r="84" spans="1:2" x14ac:dyDescent="0.25">
      <c r="A84" s="55" t="s">
        <v>3248</v>
      </c>
      <c r="B84" s="40">
        <v>12254962.550000001</v>
      </c>
    </row>
    <row r="85" spans="1:2" x14ac:dyDescent="0.25">
      <c r="A85" s="55" t="s">
        <v>3249</v>
      </c>
      <c r="B85" s="40">
        <v>20289987.520000003</v>
      </c>
    </row>
    <row r="86" spans="1:2" x14ac:dyDescent="0.25">
      <c r="A86" s="55" t="s">
        <v>3250</v>
      </c>
      <c r="B86" s="40">
        <v>10051073.280000001</v>
      </c>
    </row>
    <row r="87" spans="1:2" x14ac:dyDescent="0.25">
      <c r="A87" s="55" t="s">
        <v>3251</v>
      </c>
      <c r="B87" s="40">
        <v>15121861.460000001</v>
      </c>
    </row>
    <row r="88" spans="1:2" x14ac:dyDescent="0.25">
      <c r="A88" s="55" t="s">
        <v>3252</v>
      </c>
      <c r="B88" s="40">
        <v>24503636.140000001</v>
      </c>
    </row>
    <row r="89" spans="1:2" x14ac:dyDescent="0.25">
      <c r="A89" s="55" t="s">
        <v>3253</v>
      </c>
      <c r="B89" s="40">
        <v>25069209.600000009</v>
      </c>
    </row>
    <row r="90" spans="1:2" x14ac:dyDescent="0.25">
      <c r="A90" s="55" t="s">
        <v>3254</v>
      </c>
      <c r="B90" s="40">
        <v>12571836.200000001</v>
      </c>
    </row>
    <row r="91" spans="1:2" x14ac:dyDescent="0.25">
      <c r="A91" s="38" t="s">
        <v>3241</v>
      </c>
      <c r="B91" s="40"/>
    </row>
    <row r="92" spans="1:2" x14ac:dyDescent="0.25">
      <c r="A92" s="55" t="s">
        <v>3243</v>
      </c>
      <c r="B92" s="40">
        <v>18481577.329999998</v>
      </c>
    </row>
    <row r="93" spans="1:2" x14ac:dyDescent="0.25">
      <c r="A93" s="55" t="s">
        <v>3244</v>
      </c>
      <c r="B93" s="40">
        <v>19432827.959999993</v>
      </c>
    </row>
    <row r="94" spans="1:2" x14ac:dyDescent="0.25">
      <c r="A94" s="55" t="s">
        <v>3245</v>
      </c>
      <c r="B94" s="40">
        <v>24032915.68</v>
      </c>
    </row>
    <row r="95" spans="1:2" x14ac:dyDescent="0.25">
      <c r="A95" s="55" t="s">
        <v>3246</v>
      </c>
      <c r="B95" s="40">
        <v>17747149.18</v>
      </c>
    </row>
    <row r="96" spans="1:2" x14ac:dyDescent="0.25">
      <c r="A96" s="55" t="s">
        <v>3247</v>
      </c>
      <c r="B96" s="40">
        <v>18888651.070000004</v>
      </c>
    </row>
    <row r="97" spans="1:2" x14ac:dyDescent="0.25">
      <c r="A97" s="55" t="s">
        <v>3248</v>
      </c>
      <c r="B97" s="40">
        <v>13450579.299999999</v>
      </c>
    </row>
    <row r="98" spans="1:2" x14ac:dyDescent="0.25">
      <c r="A98" s="55" t="s">
        <v>3249</v>
      </c>
      <c r="B98" s="40">
        <v>29834522.68</v>
      </c>
    </row>
    <row r="99" spans="1:2" x14ac:dyDescent="0.25">
      <c r="A99" s="55" t="s">
        <v>3250</v>
      </c>
      <c r="B99" s="40">
        <v>22317900.930000003</v>
      </c>
    </row>
    <row r="100" spans="1:2" x14ac:dyDescent="0.25">
      <c r="A100" s="55" t="s">
        <v>3251</v>
      </c>
      <c r="B100" s="40">
        <v>20481222.220000003</v>
      </c>
    </row>
    <row r="101" spans="1:2" x14ac:dyDescent="0.25">
      <c r="A101" s="55" t="s">
        <v>3252</v>
      </c>
      <c r="B101" s="40">
        <v>14378859.33</v>
      </c>
    </row>
    <row r="102" spans="1:2" x14ac:dyDescent="0.25">
      <c r="A102" s="55" t="s">
        <v>3253</v>
      </c>
      <c r="B102" s="40">
        <v>25224601.749999996</v>
      </c>
    </row>
    <row r="103" spans="1:2" x14ac:dyDescent="0.25">
      <c r="A103" s="55" t="s">
        <v>3254</v>
      </c>
      <c r="B103" s="40">
        <v>19592467.270000007</v>
      </c>
    </row>
    <row r="104" spans="1:2" x14ac:dyDescent="0.25">
      <c r="A104" s="38" t="s">
        <v>3242</v>
      </c>
      <c r="B104" s="40"/>
    </row>
    <row r="105" spans="1:2" x14ac:dyDescent="0.25">
      <c r="A105" s="55" t="s">
        <v>3243</v>
      </c>
      <c r="B105" s="40">
        <v>13545064.529999999</v>
      </c>
    </row>
    <row r="106" spans="1:2" x14ac:dyDescent="0.25">
      <c r="A106" s="55" t="s">
        <v>3244</v>
      </c>
      <c r="B106" s="40">
        <v>20880963.66</v>
      </c>
    </row>
    <row r="107" spans="1:2" x14ac:dyDescent="0.25">
      <c r="A107" s="55" t="s">
        <v>3245</v>
      </c>
      <c r="B107" s="40">
        <v>16042460.279999999</v>
      </c>
    </row>
    <row r="108" spans="1:2" x14ac:dyDescent="0.25">
      <c r="A108" s="55" t="s">
        <v>3246</v>
      </c>
      <c r="B108" s="40">
        <v>24825941.760000002</v>
      </c>
    </row>
    <row r="109" spans="1:2" x14ac:dyDescent="0.25">
      <c r="A109" s="55" t="s">
        <v>3247</v>
      </c>
      <c r="B109" s="40">
        <v>21385248.500000004</v>
      </c>
    </row>
    <row r="110" spans="1:2" x14ac:dyDescent="0.25">
      <c r="A110" s="55" t="s">
        <v>3248</v>
      </c>
      <c r="B110" s="40">
        <v>8972923.8399999999</v>
      </c>
    </row>
    <row r="111" spans="1:2" x14ac:dyDescent="0.25">
      <c r="A111" s="55" t="s">
        <v>3249</v>
      </c>
      <c r="B111" s="40">
        <v>19054101.680000003</v>
      </c>
    </row>
    <row r="112" spans="1:2" x14ac:dyDescent="0.25">
      <c r="A112" s="55" t="s">
        <v>3250</v>
      </c>
      <c r="B112" s="40">
        <v>11576786.469999999</v>
      </c>
    </row>
    <row r="113" spans="1:2" x14ac:dyDescent="0.25">
      <c r="A113" s="55" t="s">
        <v>3251</v>
      </c>
      <c r="B113" s="40">
        <v>15800322.549999999</v>
      </c>
    </row>
    <row r="114" spans="1:2" x14ac:dyDescent="0.25">
      <c r="A114" s="55" t="s">
        <v>3252</v>
      </c>
      <c r="B114" s="40">
        <v>7207009.1800000006</v>
      </c>
    </row>
    <row r="115" spans="1:2" x14ac:dyDescent="0.25">
      <c r="A115" s="55" t="s">
        <v>3253</v>
      </c>
      <c r="B115" s="40">
        <v>8118647.6700000009</v>
      </c>
    </row>
    <row r="116" spans="1:2" x14ac:dyDescent="0.25">
      <c r="A116" s="55" t="s">
        <v>3254</v>
      </c>
      <c r="B116" s="40">
        <v>8110617.6299999999</v>
      </c>
    </row>
    <row r="117" spans="1:2" x14ac:dyDescent="0.25">
      <c r="A117" s="38" t="s">
        <v>3227</v>
      </c>
      <c r="B117" s="40">
        <v>631642062.63999987</v>
      </c>
    </row>
  </sheetData>
  <pageMargins left="0.7" right="0.7" top="0.75" bottom="0.75" header="0.3" footer="0.3"/>
  <drawing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72A26-7385-4C03-A8FD-D23F2F5E0ED2}">
  <dimension ref="B2:G48"/>
  <sheetViews>
    <sheetView zoomScale="90" zoomScaleNormal="90" workbookViewId="0">
      <selection activeCell="O20" sqref="O20"/>
    </sheetView>
  </sheetViews>
  <sheetFormatPr defaultRowHeight="15" x14ac:dyDescent="0.25"/>
  <cols>
    <col min="2" max="2" width="15.5703125" bestFit="1" customWidth="1"/>
    <col min="3" max="3" width="16.28515625" bestFit="1" customWidth="1"/>
    <col min="4" max="7" width="16.140625" bestFit="1" customWidth="1"/>
  </cols>
  <sheetData>
    <row r="2" spans="2:7" x14ac:dyDescent="0.25">
      <c r="B2" s="37" t="s">
        <v>8</v>
      </c>
      <c r="C2" t="s">
        <v>3237</v>
      </c>
      <c r="D2" t="s">
        <v>3238</v>
      </c>
    </row>
    <row r="3" spans="2:7" x14ac:dyDescent="0.25">
      <c r="B3" s="38" t="s">
        <v>69</v>
      </c>
      <c r="C3" s="41">
        <v>180807544.95999992</v>
      </c>
      <c r="D3" s="42">
        <v>25524221.169999991</v>
      </c>
    </row>
    <row r="4" spans="2:7" x14ac:dyDescent="0.25">
      <c r="B4" s="38" t="s">
        <v>25</v>
      </c>
      <c r="C4" s="41">
        <v>158175117.25999999</v>
      </c>
      <c r="D4" s="42">
        <v>25803411.889999982</v>
      </c>
    </row>
    <row r="5" spans="2:7" x14ac:dyDescent="0.25">
      <c r="B5" s="38" t="s">
        <v>61</v>
      </c>
      <c r="C5" s="41">
        <v>156020814.31999996</v>
      </c>
      <c r="D5" s="42">
        <v>23823355.770000003</v>
      </c>
    </row>
    <row r="6" spans="2:7" x14ac:dyDescent="0.25">
      <c r="B6" s="38" t="s">
        <v>51</v>
      </c>
      <c r="C6" s="41">
        <v>136638586.09999999</v>
      </c>
      <c r="D6" s="42">
        <v>17563180.379999995</v>
      </c>
    </row>
    <row r="7" spans="2:7" x14ac:dyDescent="0.25">
      <c r="B7" s="38" t="s">
        <v>3227</v>
      </c>
      <c r="C7" s="41">
        <v>631642062.63999987</v>
      </c>
      <c r="D7" s="42">
        <v>92714169.209999979</v>
      </c>
    </row>
    <row r="11" spans="2:7" x14ac:dyDescent="0.25">
      <c r="B11" s="37" t="s">
        <v>3230</v>
      </c>
      <c r="C11" s="37" t="s">
        <v>3231</v>
      </c>
    </row>
    <row r="12" spans="2:7" x14ac:dyDescent="0.25">
      <c r="B12" s="37" t="s">
        <v>7</v>
      </c>
      <c r="C12" t="s">
        <v>51</v>
      </c>
      <c r="D12" t="s">
        <v>25</v>
      </c>
      <c r="E12" t="s">
        <v>61</v>
      </c>
      <c r="F12" t="s">
        <v>69</v>
      </c>
      <c r="G12" t="s">
        <v>3227</v>
      </c>
    </row>
    <row r="13" spans="2:7" x14ac:dyDescent="0.25">
      <c r="B13" s="38" t="s">
        <v>35</v>
      </c>
      <c r="C13" s="40">
        <v>33572062.050000004</v>
      </c>
      <c r="D13" s="40">
        <v>79501042.38000004</v>
      </c>
      <c r="E13" s="40">
        <v>49303177.729999989</v>
      </c>
      <c r="F13" s="40">
        <v>47823101.190000027</v>
      </c>
      <c r="G13" s="40">
        <v>210199383.35000005</v>
      </c>
    </row>
    <row r="14" spans="2:7" x14ac:dyDescent="0.25">
      <c r="B14" s="38" t="s">
        <v>43</v>
      </c>
      <c r="C14" s="40">
        <v>55802235.020000003</v>
      </c>
      <c r="D14" s="40">
        <v>37780041.980000004</v>
      </c>
      <c r="E14" s="40">
        <v>44428500.650000021</v>
      </c>
      <c r="F14" s="40">
        <v>73045107.460000008</v>
      </c>
      <c r="G14" s="40">
        <v>211055885.11000004</v>
      </c>
    </row>
    <row r="15" spans="2:7" x14ac:dyDescent="0.25">
      <c r="B15" s="38" t="s">
        <v>24</v>
      </c>
      <c r="C15" s="40">
        <v>47264289.030000001</v>
      </c>
      <c r="D15" s="40">
        <v>40894032.900000006</v>
      </c>
      <c r="E15" s="40">
        <v>62289135.939999983</v>
      </c>
      <c r="F15" s="40">
        <v>59939336.309999995</v>
      </c>
      <c r="G15" s="40">
        <v>210386794.18000001</v>
      </c>
    </row>
    <row r="16" spans="2:7" x14ac:dyDescent="0.25">
      <c r="B16" s="38" t="s">
        <v>3227</v>
      </c>
      <c r="C16" s="40">
        <v>136638586.10000002</v>
      </c>
      <c r="D16" s="40">
        <v>158175117.26000005</v>
      </c>
      <c r="E16" s="40">
        <v>156020814.31999999</v>
      </c>
      <c r="F16" s="40">
        <v>180807544.96000004</v>
      </c>
      <c r="G16" s="40">
        <v>631642062.6400001</v>
      </c>
    </row>
    <row r="20" spans="2:4" x14ac:dyDescent="0.25">
      <c r="B20" s="37" t="s">
        <v>8</v>
      </c>
      <c r="C20" t="s">
        <v>3232</v>
      </c>
    </row>
    <row r="22" spans="2:4" x14ac:dyDescent="0.25">
      <c r="B22" s="37" t="s">
        <v>3233</v>
      </c>
      <c r="C22" t="s">
        <v>3230</v>
      </c>
    </row>
    <row r="23" spans="2:4" x14ac:dyDescent="0.25">
      <c r="B23" s="38" t="s">
        <v>3228</v>
      </c>
      <c r="C23" s="40">
        <v>212258700.18999985</v>
      </c>
    </row>
    <row r="24" spans="2:4" x14ac:dyDescent="0.25">
      <c r="B24" s="38" t="s">
        <v>3241</v>
      </c>
      <c r="C24" s="40">
        <v>243863274.69999993</v>
      </c>
    </row>
    <row r="25" spans="2:4" x14ac:dyDescent="0.25">
      <c r="B25" s="38" t="s">
        <v>3242</v>
      </c>
      <c r="C25" s="40">
        <v>175520087.74999991</v>
      </c>
    </row>
    <row r="26" spans="2:4" x14ac:dyDescent="0.25">
      <c r="B26" s="38" t="s">
        <v>3227</v>
      </c>
      <c r="C26" s="40">
        <v>631642062.63999963</v>
      </c>
    </row>
    <row r="29" spans="2:4" x14ac:dyDescent="0.25">
      <c r="B29" s="37" t="s">
        <v>7</v>
      </c>
      <c r="C29" s="37" t="s">
        <v>10</v>
      </c>
      <c r="D29" t="s">
        <v>3230</v>
      </c>
    </row>
    <row r="30" spans="2:4" x14ac:dyDescent="0.25">
      <c r="B30" t="s">
        <v>35</v>
      </c>
      <c r="C30" t="s">
        <v>108</v>
      </c>
      <c r="D30" s="40">
        <v>18516085.019999996</v>
      </c>
    </row>
    <row r="31" spans="2:4" x14ac:dyDescent="0.25">
      <c r="B31" t="s">
        <v>35</v>
      </c>
      <c r="C31" t="s">
        <v>27</v>
      </c>
      <c r="D31" s="40">
        <v>4509040.83</v>
      </c>
    </row>
    <row r="32" spans="2:4" x14ac:dyDescent="0.25">
      <c r="B32" t="s">
        <v>35</v>
      </c>
      <c r="C32" t="s">
        <v>85</v>
      </c>
      <c r="D32" s="40">
        <v>57404281.519999988</v>
      </c>
    </row>
    <row r="33" spans="2:4" x14ac:dyDescent="0.25">
      <c r="B33" t="s">
        <v>35</v>
      </c>
      <c r="C33" t="s">
        <v>63</v>
      </c>
      <c r="D33" s="40">
        <v>10418373.810000001</v>
      </c>
    </row>
    <row r="34" spans="2:4" x14ac:dyDescent="0.25">
      <c r="B34" t="s">
        <v>35</v>
      </c>
      <c r="C34" t="s">
        <v>1887</v>
      </c>
      <c r="D34" s="40">
        <v>31699.51</v>
      </c>
    </row>
    <row r="35" spans="2:4" x14ac:dyDescent="0.25">
      <c r="B35" t="s">
        <v>35</v>
      </c>
      <c r="C35" t="s">
        <v>96</v>
      </c>
      <c r="D35" s="40">
        <v>119319902.66000001</v>
      </c>
    </row>
    <row r="36" spans="2:4" x14ac:dyDescent="0.25">
      <c r="B36" t="s">
        <v>3234</v>
      </c>
      <c r="D36" s="40">
        <v>210199383.34999999</v>
      </c>
    </row>
    <row r="37" spans="2:4" x14ac:dyDescent="0.25">
      <c r="B37" t="s">
        <v>43</v>
      </c>
      <c r="C37" t="s">
        <v>108</v>
      </c>
      <c r="D37" s="40">
        <v>13158929.920000002</v>
      </c>
    </row>
    <row r="38" spans="2:4" x14ac:dyDescent="0.25">
      <c r="B38" t="s">
        <v>43</v>
      </c>
      <c r="C38" t="s">
        <v>27</v>
      </c>
      <c r="D38" s="40">
        <v>2733263.3799999994</v>
      </c>
    </row>
    <row r="39" spans="2:4" x14ac:dyDescent="0.25">
      <c r="B39" t="s">
        <v>43</v>
      </c>
      <c r="C39" t="s">
        <v>85</v>
      </c>
      <c r="D39" s="40">
        <v>56285677.780000009</v>
      </c>
    </row>
    <row r="40" spans="2:4" x14ac:dyDescent="0.25">
      <c r="B40" t="s">
        <v>43</v>
      </c>
      <c r="C40" t="s">
        <v>63</v>
      </c>
      <c r="D40" s="40">
        <v>7924002.8800000027</v>
      </c>
    </row>
    <row r="41" spans="2:4" x14ac:dyDescent="0.25">
      <c r="B41" t="s">
        <v>43</v>
      </c>
      <c r="C41" t="s">
        <v>96</v>
      </c>
      <c r="D41" s="40">
        <v>130954011.15000002</v>
      </c>
    </row>
    <row r="42" spans="2:4" x14ac:dyDescent="0.25">
      <c r="B42" t="s">
        <v>3235</v>
      </c>
      <c r="D42" s="40">
        <v>211055885.11000001</v>
      </c>
    </row>
    <row r="43" spans="2:4" x14ac:dyDescent="0.25">
      <c r="B43" t="s">
        <v>24</v>
      </c>
      <c r="C43" t="s">
        <v>108</v>
      </c>
      <c r="D43" s="40">
        <v>19604096.469999995</v>
      </c>
    </row>
    <row r="44" spans="2:4" x14ac:dyDescent="0.25">
      <c r="B44" t="s">
        <v>24</v>
      </c>
      <c r="C44" t="s">
        <v>27</v>
      </c>
      <c r="D44" s="40">
        <v>8991697.799999997</v>
      </c>
    </row>
    <row r="45" spans="2:4" x14ac:dyDescent="0.25">
      <c r="B45" t="s">
        <v>24</v>
      </c>
      <c r="C45" t="s">
        <v>85</v>
      </c>
      <c r="D45" s="40">
        <v>57580266.849999994</v>
      </c>
    </row>
    <row r="46" spans="2:4" x14ac:dyDescent="0.25">
      <c r="B46" t="s">
        <v>24</v>
      </c>
      <c r="C46" t="s">
        <v>63</v>
      </c>
      <c r="D46" s="40">
        <v>7182681.7500000019</v>
      </c>
    </row>
    <row r="47" spans="2:4" x14ac:dyDescent="0.25">
      <c r="B47" t="s">
        <v>24</v>
      </c>
      <c r="C47" t="s">
        <v>96</v>
      </c>
      <c r="D47" s="40">
        <v>117028051.31000002</v>
      </c>
    </row>
    <row r="48" spans="2:4" x14ac:dyDescent="0.25">
      <c r="B48" t="s">
        <v>3236</v>
      </c>
      <c r="D48" s="40">
        <v>210386794.18000001</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D3C21-16F2-4EA3-A226-DF4F474980E1}">
  <dimension ref="A2:Y164"/>
  <sheetViews>
    <sheetView topLeftCell="A28" zoomScale="115" zoomScaleNormal="115" workbookViewId="0">
      <selection activeCell="C40" sqref="C40"/>
    </sheetView>
  </sheetViews>
  <sheetFormatPr defaultRowHeight="15" x14ac:dyDescent="0.25"/>
  <cols>
    <col min="1" max="1" width="14.7109375" bestFit="1" customWidth="1"/>
    <col min="2" max="2" width="18.7109375" customWidth="1"/>
    <col min="3" max="3" width="21.85546875" customWidth="1"/>
    <col min="4" max="4" width="16.42578125" customWidth="1"/>
    <col min="5" max="5" width="15.28515625" customWidth="1"/>
    <col min="6" max="6" width="18.5703125" bestFit="1" customWidth="1"/>
    <col min="7" max="7" width="25.140625" customWidth="1"/>
  </cols>
  <sheetData>
    <row r="2" spans="1:8" x14ac:dyDescent="0.25">
      <c r="A2" s="50" t="s">
        <v>3215</v>
      </c>
      <c r="B2" s="50"/>
      <c r="E2" t="s">
        <v>0</v>
      </c>
      <c r="F2" s="13" t="s">
        <v>3216</v>
      </c>
      <c r="G2" s="13" t="s">
        <v>3217</v>
      </c>
      <c r="H2" t="s">
        <v>3229</v>
      </c>
    </row>
    <row r="3" spans="1:8" x14ac:dyDescent="0.25">
      <c r="E3" s="29" t="s">
        <v>31</v>
      </c>
      <c r="F3" s="13" t="str">
        <f>VLOOKUP(A24,Sales[],14,FALSE)</f>
        <v>Vegetable Oil 5L</v>
      </c>
      <c r="G3" s="13">
        <f>VLOOKUP(A24,Sales[],19,0)</f>
        <v>3520.78</v>
      </c>
      <c r="H3">
        <f>VLOOKUP(E3,Sales[],17,FALSE)</f>
        <v>0</v>
      </c>
    </row>
    <row r="4" spans="1:8" x14ac:dyDescent="0.25">
      <c r="A4" s="28" t="s">
        <v>3212</v>
      </c>
      <c r="B4" s="29" t="s">
        <v>19</v>
      </c>
      <c r="C4" s="29" t="s">
        <v>31</v>
      </c>
      <c r="E4" s="29" t="s">
        <v>40</v>
      </c>
      <c r="F4" s="13" t="str">
        <f>VLOOKUP(A25,Sales[],14,FALSE)</f>
        <v>Padded Envelopes</v>
      </c>
      <c r="G4" s="13">
        <f>VLOOKUP(A25,Sales[],19,0)</f>
        <v>36279.699999999997</v>
      </c>
      <c r="H4">
        <f>VLOOKUP(E4,Sales[],17,FALSE)</f>
        <v>0</v>
      </c>
    </row>
    <row r="5" spans="1:8" x14ac:dyDescent="0.25">
      <c r="A5" s="30" t="s">
        <v>3104</v>
      </c>
      <c r="B5" s="31" t="str">
        <f>VLOOKUP(B4,'Raw Data'!1:1048576,5,FALSE)</f>
        <v>Kemi</v>
      </c>
      <c r="C5" t="str">
        <f>VLOOKUP(C4,'Raw Data'!1:1048576,5,FALSE)</f>
        <v>Lanre</v>
      </c>
      <c r="E5" s="29" t="s">
        <v>47</v>
      </c>
      <c r="F5" s="13" t="str">
        <f>VLOOKUP(A26,Sales[],14,FALSE)</f>
        <v>Beans 5kg</v>
      </c>
      <c r="G5" s="13">
        <f>VLOOKUP(A26,Sales[],19,0)</f>
        <v>6928</v>
      </c>
      <c r="H5">
        <f>VLOOKUP(E5,Sales[],17,FALSE)</f>
        <v>0</v>
      </c>
    </row>
    <row r="6" spans="1:8" x14ac:dyDescent="0.25">
      <c r="A6" s="32" t="s">
        <v>8</v>
      </c>
      <c r="B6" s="31" t="str">
        <f>VLOOKUP(B4,Sales[],9,FALSE)</f>
        <v>Home Office</v>
      </c>
      <c r="E6" s="29" t="s">
        <v>56</v>
      </c>
      <c r="F6" s="13" t="str">
        <f>VLOOKUP(A27,Sales[],14,FALSE)</f>
        <v>Brother HL-L2350DW</v>
      </c>
      <c r="G6" s="13">
        <f>VLOOKUP(A27,Sales[],19,0)</f>
        <v>1739828.45</v>
      </c>
      <c r="H6">
        <f>VLOOKUP(E6,Sales[],17,FALSE)</f>
        <v>10</v>
      </c>
    </row>
    <row r="7" spans="1:8" x14ac:dyDescent="0.25">
      <c r="A7" s="30" t="s">
        <v>10</v>
      </c>
      <c r="B7" s="31" t="str">
        <f>VLOOKUP(B4,Sales[],12,0)</f>
        <v>Food &amp; Beverages</v>
      </c>
      <c r="E7" s="29" t="s">
        <v>66</v>
      </c>
      <c r="F7" s="13" t="str">
        <f>VLOOKUP(A28,Sales[],14,FALSE)</f>
        <v>Filing Cabinet</v>
      </c>
      <c r="G7" s="13">
        <f>VLOOKUP(A28,Sales[],19,0)</f>
        <v>1622405.25</v>
      </c>
      <c r="H7">
        <f>VLOOKUP(E7,Sales[],17,FALSE)</f>
        <v>25</v>
      </c>
    </row>
    <row r="8" spans="1:8" x14ac:dyDescent="0.25">
      <c r="A8" s="32" t="s">
        <v>12</v>
      </c>
      <c r="B8" s="31" t="str">
        <f>VLOOKUP(B4,Sales[],14,0)</f>
        <v>Vegetable Oil 5L</v>
      </c>
    </row>
    <row r="9" spans="1:8" x14ac:dyDescent="0.25">
      <c r="A9" s="30" t="s">
        <v>3213</v>
      </c>
      <c r="B9" s="33">
        <f>VLOOKUP(B4,Sales[],19,0)</f>
        <v>3520.78</v>
      </c>
    </row>
    <row r="10" spans="1:8" x14ac:dyDescent="0.25">
      <c r="A10" s="32" t="s">
        <v>18</v>
      </c>
      <c r="B10" s="33"/>
    </row>
    <row r="11" spans="1:8" x14ac:dyDescent="0.25">
      <c r="A11" s="30" t="s">
        <v>3</v>
      </c>
      <c r="B11" s="31"/>
    </row>
    <row r="12" spans="1:8" x14ac:dyDescent="0.25">
      <c r="A12" s="32" t="s">
        <v>1</v>
      </c>
      <c r="B12" s="34"/>
    </row>
    <row r="15" spans="1:8" x14ac:dyDescent="0.25">
      <c r="A15" s="50" t="s">
        <v>3218</v>
      </c>
      <c r="B15" s="50"/>
    </row>
    <row r="16" spans="1:8" x14ac:dyDescent="0.25">
      <c r="A16" s="28" t="s">
        <v>3212</v>
      </c>
      <c r="B16" s="36" t="s">
        <v>2523</v>
      </c>
      <c r="C16" s="36" t="s">
        <v>2530</v>
      </c>
    </row>
    <row r="17" spans="1:5" x14ac:dyDescent="0.25">
      <c r="A17" s="30" t="s">
        <v>4</v>
      </c>
      <c r="B17" s="31" t="str">
        <f>HLOOKUP('LOOKUP FUNCTIONS'!B16,'hlookup data'!1:1048576,5,0)</f>
        <v>Yemi</v>
      </c>
      <c r="C17" t="str">
        <f>HLOOKUP(C16,'hlookup data'!1:1048576,5,0)</f>
        <v>Seun</v>
      </c>
    </row>
    <row r="18" spans="1:5" x14ac:dyDescent="0.25">
      <c r="A18" s="32" t="s">
        <v>3</v>
      </c>
      <c r="B18" s="31" t="str">
        <f>HLOOKUP(B16,'hlookup data'!1:1048576,4,0)</f>
        <v>First Class</v>
      </c>
    </row>
    <row r="19" spans="1:5" x14ac:dyDescent="0.25">
      <c r="A19" s="30" t="s">
        <v>10</v>
      </c>
      <c r="B19" s="31"/>
    </row>
    <row r="22" spans="1:5" x14ac:dyDescent="0.25">
      <c r="A22" s="50" t="s">
        <v>3219</v>
      </c>
      <c r="B22" s="50"/>
    </row>
    <row r="23" spans="1:5" x14ac:dyDescent="0.25">
      <c r="A23" s="13" t="s">
        <v>0</v>
      </c>
      <c r="B23" s="24" t="s">
        <v>3104</v>
      </c>
      <c r="C23" s="24" t="s">
        <v>3220</v>
      </c>
      <c r="D23" s="24" t="s">
        <v>10</v>
      </c>
      <c r="E23" s="24" t="s">
        <v>14</v>
      </c>
    </row>
    <row r="24" spans="1:5" x14ac:dyDescent="0.25">
      <c r="A24" s="35" t="s">
        <v>19</v>
      </c>
      <c r="B24" t="str">
        <f>_xlfn.XLOOKUP(A24,'Raw Data'!A:A,'Raw Data'!E:E,"Not found",0)</f>
        <v>Kemi</v>
      </c>
      <c r="C24" t="str">
        <f>_xlfn.XLOOKUP(A24,'Raw Data'!A:A,'Raw Data'!D:D)</f>
        <v>First Class</v>
      </c>
      <c r="D24" t="str">
        <f>_xlfn.XLOOKUP(A24,'Raw Data'!A:A,'Raw Data'!L:L,"Not Found",0)</f>
        <v>Food &amp; Beverages</v>
      </c>
      <c r="E24" s="27">
        <f>_xlfn.XLOOKUP(A24,'Raw Data'!A:A,'Raw Data'!P:P)</f>
        <v>529.44000000000005</v>
      </c>
    </row>
    <row r="25" spans="1:5" x14ac:dyDescent="0.25">
      <c r="A25" s="35" t="s">
        <v>56</v>
      </c>
      <c r="B25" t="str">
        <f>_xlfn.XLOOKUP(A25,'Raw Data'!A:A,'Raw Data'!E:E,"Not found",0)</f>
        <v>Chisom</v>
      </c>
      <c r="C25" t="str">
        <f>_xlfn.XLOOKUP(A25,'Raw Data'!A:A,'Raw Data'!D:D)</f>
        <v>Same Day</v>
      </c>
      <c r="D25" t="str">
        <f>_xlfn.XLOOKUP(A25,'Raw Data'!A:A,'Raw Data'!L:L,"Not Found",0)</f>
        <v>Office Supplies</v>
      </c>
      <c r="E25" s="27">
        <f>_xlfn.XLOOKUP(A25,'Raw Data'!A:A,'Raw Data'!P:P)</f>
        <v>2121.62</v>
      </c>
    </row>
    <row r="26" spans="1:5" x14ac:dyDescent="0.25">
      <c r="A26" s="35" t="s">
        <v>72</v>
      </c>
      <c r="B26" t="str">
        <f>_xlfn.XLOOKUP(A26,'Raw Data'!A:A,'Raw Data'!E:E,"Not found",0)</f>
        <v>Tunde</v>
      </c>
      <c r="C26" t="str">
        <f>_xlfn.XLOOKUP(A26,'Raw Data'!A:A,'Raw Data'!D:D)</f>
        <v>Second Class</v>
      </c>
      <c r="D26" t="str">
        <f>_xlfn.XLOOKUP(A26,'Raw Data'!A:A,'Raw Data'!L:L,"Not Found",0)</f>
        <v>Food &amp; Beverages</v>
      </c>
      <c r="E26" s="27">
        <f>_xlfn.XLOOKUP(A26,'Raw Data'!A:A,'Raw Data'!P:P)</f>
        <v>6928</v>
      </c>
    </row>
    <row r="27" spans="1:5" x14ac:dyDescent="0.25">
      <c r="A27" s="36" t="s">
        <v>2523</v>
      </c>
      <c r="B27" t="str">
        <f>_xlfn.XLOOKUP(A27,'Raw Data'!A:A,'Raw Data'!E:E,"Not found",0)</f>
        <v>Yemi</v>
      </c>
      <c r="C27" t="str">
        <f>_xlfn.XLOOKUP(A27,'Raw Data'!A:A,'Raw Data'!D:D)</f>
        <v>First Class</v>
      </c>
      <c r="D27" t="str">
        <f>_xlfn.XLOOKUP(A27,'Raw Data'!A:A,'Raw Data'!L:L,"Not Found",0)</f>
        <v>Technology</v>
      </c>
      <c r="E27" s="27">
        <f>_xlfn.XLOOKUP(A27,'Raw Data'!A:A,'Raw Data'!P:P)</f>
        <v>102342.85</v>
      </c>
    </row>
    <row r="28" spans="1:5" x14ac:dyDescent="0.25">
      <c r="A28" s="36" t="s">
        <v>2735</v>
      </c>
      <c r="B28" t="str">
        <f>_xlfn.XLOOKUP(A28,'Raw Data'!A:A,'Raw Data'!E:E,"Not found",0)</f>
        <v>Chisom</v>
      </c>
      <c r="C28" t="str">
        <f>_xlfn.XLOOKUP(A28,'Raw Data'!A:A,'Raw Data'!D:D)</f>
        <v>First Class</v>
      </c>
      <c r="D28" t="str">
        <f>_xlfn.XLOOKUP(A28,'Raw Data'!A:A,'Raw Data'!L:L,"Not Found",0)</f>
        <v>Furniture</v>
      </c>
      <c r="E28" s="27">
        <f>_xlfn.XLOOKUP(A28,'Raw Data'!A:A,'Raw Data'!P:P)</f>
        <v>85389.75</v>
      </c>
    </row>
    <row r="32" spans="1:5" x14ac:dyDescent="0.25">
      <c r="A32" s="47" t="s">
        <v>3221</v>
      </c>
      <c r="B32" s="47"/>
      <c r="D32" s="47" t="s">
        <v>3222</v>
      </c>
      <c r="E32" s="47"/>
    </row>
    <row r="33" spans="1:5" x14ac:dyDescent="0.25">
      <c r="A33" s="13" t="str">
        <f>INDEX('Raw Data'!I:I,20)</f>
        <v>Home Office</v>
      </c>
      <c r="B33" s="13" t="str">
        <f>INDEX('Raw Data'!E:E,10)</f>
        <v>Wale</v>
      </c>
      <c r="D33" s="13" t="s">
        <v>3089</v>
      </c>
      <c r="E33" s="13">
        <f>MATCH(D33,'Raw Data'!E:E,0)</f>
        <v>10</v>
      </c>
    </row>
    <row r="34" spans="1:5" x14ac:dyDescent="0.25">
      <c r="A34" s="13" t="str">
        <f>INDEX('Raw Data'!1:1048576,20,4)</f>
        <v>Standard Class</v>
      </c>
      <c r="B34" s="13" t="str">
        <f>INDEX('Raw Data'!1:1048576,7,4)</f>
        <v>Standard Class</v>
      </c>
      <c r="D34" s="13" t="s">
        <v>3041</v>
      </c>
      <c r="E34" s="13">
        <f>MATCH(D34,'Raw Data'!E:E,0)</f>
        <v>8</v>
      </c>
    </row>
    <row r="35" spans="1:5" x14ac:dyDescent="0.25">
      <c r="D35" s="13" t="s">
        <v>3044</v>
      </c>
      <c r="E35" s="13">
        <f>MATCH(D35,'Raw Data'!E:E,0)</f>
        <v>28</v>
      </c>
    </row>
    <row r="38" spans="1:5" x14ac:dyDescent="0.25">
      <c r="A38" s="47" t="s">
        <v>3225</v>
      </c>
      <c r="B38" s="47"/>
      <c r="C38" s="47"/>
    </row>
    <row r="39" spans="1:5" x14ac:dyDescent="0.25">
      <c r="A39" s="13" t="s">
        <v>0</v>
      </c>
      <c r="B39" s="13" t="s">
        <v>3223</v>
      </c>
      <c r="C39" s="13" t="s">
        <v>3224</v>
      </c>
    </row>
    <row r="40" spans="1:5" x14ac:dyDescent="0.25">
      <c r="A40" s="35" t="s">
        <v>19</v>
      </c>
      <c r="B40" s="13">
        <f>INDEX('Raw Data'!S:S,MATCH('LOOKUP FUNCTIONS'!A40,'Raw Data'!A:A,0))</f>
        <v>3520.78</v>
      </c>
      <c r="C40" s="13">
        <f>INDEX('Raw Data'!R:R,MATCH(A40,'Raw Data'!A:A,0))</f>
        <v>185.3</v>
      </c>
    </row>
    <row r="41" spans="1:5" x14ac:dyDescent="0.25">
      <c r="A41" s="35" t="s">
        <v>56</v>
      </c>
      <c r="B41" s="13">
        <f>INDEX('Raw Data'!S:S,MATCH('LOOKUP FUNCTIONS'!A41,'Raw Data'!A:A,0))</f>
        <v>36279.699999999997</v>
      </c>
      <c r="C41" s="13">
        <f>INDEX('Raw Data'!R:R,MATCH(A41,'Raw Data'!A:A,0))</f>
        <v>4031.08</v>
      </c>
    </row>
    <row r="42" spans="1:5" x14ac:dyDescent="0.25">
      <c r="A42" s="35" t="s">
        <v>72</v>
      </c>
      <c r="B42" s="13">
        <f>INDEX('Raw Data'!S:S,MATCH('LOOKUP FUNCTIONS'!A42,'Raw Data'!A:A,0))</f>
        <v>6928</v>
      </c>
      <c r="C42" s="13">
        <f>INDEX('Raw Data'!R:R,MATCH(A42,'Raw Data'!A:A,0))</f>
        <v>0</v>
      </c>
    </row>
    <row r="43" spans="1:5" x14ac:dyDescent="0.25">
      <c r="A43" s="36" t="s">
        <v>2523</v>
      </c>
      <c r="B43" s="13">
        <f>INDEX('Raw Data'!S:S,MATCH('LOOKUP FUNCTIONS'!A43,'Raw Data'!A:A,0))</f>
        <v>1739828.45</v>
      </c>
      <c r="C43" s="13">
        <f>INDEX('Raw Data'!R:R,MATCH(A43,'Raw Data'!A:A,0))</f>
        <v>0</v>
      </c>
    </row>
    <row r="44" spans="1:5" x14ac:dyDescent="0.25">
      <c r="A44" s="36" t="s">
        <v>2735</v>
      </c>
      <c r="B44" s="13">
        <f>INDEX('Raw Data'!S:S,MATCH('LOOKUP FUNCTIONS'!A44,'Raw Data'!A:A,0))</f>
        <v>1622405.25</v>
      </c>
      <c r="C44" s="13">
        <f>INDEX('Raw Data'!R:R,MATCH(A44,'Raw Data'!A:A,0))</f>
        <v>0</v>
      </c>
    </row>
    <row r="48" spans="1:5" x14ac:dyDescent="0.25">
      <c r="A48" s="50" t="s">
        <v>3226</v>
      </c>
      <c r="B48" s="50"/>
    </row>
    <row r="50" spans="1:25" x14ac:dyDescent="0.25">
      <c r="A50" t="str" cm="1">
        <f t="array" ref="A50:Y164">_xlfn._xlws.FILTER(Sales[#All],(Sales[[#All],[Region]]="East")*(Sales[[#All],[Quantity]]&gt;10))</f>
        <v>ORD-10852</v>
      </c>
      <c r="B50">
        <v>44611</v>
      </c>
      <c r="C50">
        <v>44616</v>
      </c>
      <c r="D50" t="str">
        <v>Standard Class</v>
      </c>
      <c r="E50" t="str">
        <v>Zainab</v>
      </c>
      <c r="F50" t="str">
        <v>Sanusi</v>
      </c>
      <c r="G50" t="str">
        <v>zainab.sanusi@gmail.com</v>
      </c>
      <c r="H50">
        <v>8034674225</v>
      </c>
      <c r="I50" t="str">
        <v>Consumer</v>
      </c>
      <c r="J50" t="str">
        <v>East</v>
      </c>
      <c r="K50" t="str">
        <v>Onitsha</v>
      </c>
      <c r="L50" t="str">
        <v>Furniture</v>
      </c>
      <c r="M50" t="str">
        <v>Tables</v>
      </c>
      <c r="N50" t="str">
        <v>Conference Table</v>
      </c>
      <c r="O50">
        <v>11</v>
      </c>
      <c r="P50">
        <v>94100.43</v>
      </c>
      <c r="Q50">
        <v>15</v>
      </c>
      <c r="R50">
        <v>155265.71</v>
      </c>
      <c r="S50">
        <v>879839.02</v>
      </c>
      <c r="T50">
        <v>267099.63</v>
      </c>
      <c r="U50" t="str">
        <v>Furniture</v>
      </c>
      <c r="V50">
        <v>267099.63</v>
      </c>
      <c r="W50" t="str">
        <v>Small</v>
      </c>
      <c r="X50" t="str">
        <v>Small</v>
      </c>
      <c r="Y50" t="str">
        <v>No Discount</v>
      </c>
    </row>
    <row r="51" spans="1:25" x14ac:dyDescent="0.25">
      <c r="A51" t="str">
        <v>ORD-10092</v>
      </c>
      <c r="B51">
        <v>44659</v>
      </c>
      <c r="C51">
        <v>44665</v>
      </c>
      <c r="D51" t="str">
        <v>Standard Class</v>
      </c>
      <c r="E51" t="str">
        <v>Amara</v>
      </c>
      <c r="F51" t="str">
        <v>Okonkwo</v>
      </c>
      <c r="G51" t="str">
        <v>chibundo.tinubu@hotmail.com</v>
      </c>
      <c r="H51">
        <v>8062859886</v>
      </c>
      <c r="I51" t="str">
        <v>Corporate</v>
      </c>
      <c r="J51" t="str">
        <v>East</v>
      </c>
      <c r="K51" t="str">
        <v>Onitsha</v>
      </c>
      <c r="L51" t="str">
        <v>Clothing</v>
      </c>
      <c r="M51" t="str">
        <v>Accessories</v>
      </c>
      <c r="N51" t="str">
        <v>Wallet Genuine Leather</v>
      </c>
      <c r="O51">
        <v>17</v>
      </c>
      <c r="P51">
        <v>2706.72</v>
      </c>
      <c r="Q51">
        <v>5</v>
      </c>
      <c r="R51">
        <v>2300.71</v>
      </c>
      <c r="S51">
        <v>43713.53</v>
      </c>
      <c r="T51">
        <v>12289.04</v>
      </c>
      <c r="U51" t="str">
        <v>Clothing</v>
      </c>
      <c r="V51">
        <v>12289.04</v>
      </c>
      <c r="W51" t="str">
        <v>Large</v>
      </c>
      <c r="X51" t="str">
        <v>Large</v>
      </c>
      <c r="Y51" t="str">
        <v>No Discount</v>
      </c>
    </row>
    <row r="52" spans="1:25" x14ac:dyDescent="0.25">
      <c r="A52" t="str">
        <v>ORD-10587</v>
      </c>
      <c r="B52">
        <v>44695</v>
      </c>
      <c r="C52">
        <v>44701</v>
      </c>
      <c r="D52" t="str">
        <v>Standard Class</v>
      </c>
      <c r="E52" t="str">
        <v>Deola</v>
      </c>
      <c r="F52" t="str">
        <v>Okonkwo</v>
      </c>
      <c r="G52" t="str">
        <v>deola.okonkwo@outlook.com</v>
      </c>
      <c r="H52">
        <v>8134384399</v>
      </c>
      <c r="I52" t="str">
        <v>Home Office</v>
      </c>
      <c r="J52" t="str">
        <v>East</v>
      </c>
      <c r="K52" t="str">
        <v>Onitsha</v>
      </c>
      <c r="L52" t="str">
        <v>Technology</v>
      </c>
      <c r="M52" t="str">
        <v>Phones</v>
      </c>
      <c r="N52" t="str">
        <v>Tecno Spark 10</v>
      </c>
      <c r="O52">
        <v>19</v>
      </c>
      <c r="P52">
        <v>51992.12</v>
      </c>
      <c r="Q52">
        <v>0</v>
      </c>
      <c r="R52">
        <v>0</v>
      </c>
      <c r="S52">
        <v>987850.28</v>
      </c>
      <c r="T52">
        <v>185956.49</v>
      </c>
      <c r="U52" t="str">
        <v>Technology</v>
      </c>
      <c r="V52">
        <v>185956.49</v>
      </c>
      <c r="W52" t="str">
        <v>Large</v>
      </c>
      <c r="X52" t="str">
        <v>Large</v>
      </c>
      <c r="Y52" t="str">
        <v>No Discount</v>
      </c>
    </row>
    <row r="53" spans="1:25" x14ac:dyDescent="0.25">
      <c r="A53" t="str">
        <v>ORD-10273</v>
      </c>
      <c r="B53">
        <v>44722</v>
      </c>
      <c r="C53">
        <v>44730</v>
      </c>
      <c r="D53" t="str">
        <v>Standard Class</v>
      </c>
      <c r="E53" t="str">
        <v>Ayo</v>
      </c>
      <c r="F53" t="str">
        <v>Okonkwo</v>
      </c>
      <c r="G53" t="str">
        <v>ayo.okonkwo@gmail.com</v>
      </c>
      <c r="H53">
        <v>8039091518</v>
      </c>
      <c r="I53" t="str">
        <v>Consumer</v>
      </c>
      <c r="J53" t="str">
        <v>East</v>
      </c>
      <c r="K53" t="str">
        <v>Onitsha</v>
      </c>
      <c r="L53" t="str">
        <v>Office Supplies</v>
      </c>
      <c r="M53" t="str">
        <v>Labels</v>
      </c>
      <c r="N53" t="str">
        <v>Price Tag Labels</v>
      </c>
      <c r="O53">
        <v>19</v>
      </c>
      <c r="P53">
        <v>12562.34</v>
      </c>
      <c r="Q53">
        <v>10</v>
      </c>
      <c r="R53">
        <v>23868.45</v>
      </c>
      <c r="S53">
        <v>214816.01</v>
      </c>
      <c r="T53">
        <v>31037.31</v>
      </c>
      <c r="U53" t="str">
        <v>Office Supplies</v>
      </c>
      <c r="V53">
        <v>31037.31</v>
      </c>
      <c r="W53" t="str">
        <v>Large</v>
      </c>
      <c r="X53" t="str">
        <v>Large</v>
      </c>
      <c r="Y53" t="str">
        <v>No Discount</v>
      </c>
    </row>
    <row r="54" spans="1:25" x14ac:dyDescent="0.25">
      <c r="A54" t="str">
        <v>ORD-10936</v>
      </c>
      <c r="B54">
        <v>44755</v>
      </c>
      <c r="C54">
        <v>44760</v>
      </c>
      <c r="D54" t="str">
        <v>Standard Class</v>
      </c>
      <c r="E54" t="str">
        <v>Yemi</v>
      </c>
      <c r="F54" t="str">
        <v>Sanusi</v>
      </c>
      <c r="G54" t="str">
        <v>yemi.sanusi@gmail.com</v>
      </c>
      <c r="H54">
        <v>8147058725</v>
      </c>
      <c r="I54" t="str">
        <v>Consumer</v>
      </c>
      <c r="J54" t="str">
        <v>East</v>
      </c>
      <c r="K54" t="str">
        <v>Enugu</v>
      </c>
      <c r="L54" t="str">
        <v>Clothing</v>
      </c>
      <c r="M54" t="str">
        <v>Accessories</v>
      </c>
      <c r="N54" t="str">
        <v>Belt Leather</v>
      </c>
      <c r="O54">
        <v>19</v>
      </c>
      <c r="P54">
        <v>13364.14</v>
      </c>
      <c r="Q54">
        <v>25</v>
      </c>
      <c r="R54">
        <v>63479.66</v>
      </c>
      <c r="S54">
        <v>190439</v>
      </c>
      <c r="T54">
        <v>73702.69</v>
      </c>
      <c r="U54" t="str">
        <v>Clothing</v>
      </c>
      <c r="V54">
        <v>73702.69</v>
      </c>
      <c r="W54" t="str">
        <v>Large</v>
      </c>
      <c r="X54" t="str">
        <v>Large</v>
      </c>
      <c r="Y54" t="str">
        <v>No Discount</v>
      </c>
    </row>
    <row r="55" spans="1:25" x14ac:dyDescent="0.25">
      <c r="A55" t="str">
        <v>ORD-10609</v>
      </c>
      <c r="B55">
        <v>44773</v>
      </c>
      <c r="C55">
        <v>44778</v>
      </c>
      <c r="D55" t="str">
        <v>Standard Class</v>
      </c>
      <c r="E55" t="str">
        <v>Adebayo</v>
      </c>
      <c r="F55" t="str">
        <v>Alakija</v>
      </c>
      <c r="G55" t="str">
        <v>adebayo.alakija@gmail.com</v>
      </c>
      <c r="H55">
        <v>8063379602</v>
      </c>
      <c r="I55" t="str">
        <v>Consumer</v>
      </c>
      <c r="J55" t="str">
        <v>East</v>
      </c>
      <c r="K55" t="str">
        <v>Enugu</v>
      </c>
      <c r="L55" t="str">
        <v>Office Supplies</v>
      </c>
      <c r="M55" t="str">
        <v>Pens &amp; Pencils</v>
      </c>
      <c r="N55" t="str">
        <v>Staedtler HB Pencils</v>
      </c>
      <c r="O55">
        <v>16</v>
      </c>
      <c r="P55">
        <v>2773.04</v>
      </c>
      <c r="Q55">
        <v>10</v>
      </c>
      <c r="R55">
        <v>4436.8599999999997</v>
      </c>
      <c r="S55">
        <v>39931.78</v>
      </c>
      <c r="T55">
        <v>15878.13</v>
      </c>
      <c r="U55" t="str">
        <v>Office Supplies</v>
      </c>
      <c r="V55">
        <v>15878.13</v>
      </c>
      <c r="W55" t="str">
        <v>Large</v>
      </c>
      <c r="X55" t="str">
        <v>Large</v>
      </c>
      <c r="Y55" t="str">
        <v>No Discount</v>
      </c>
    </row>
    <row r="56" spans="1:25" x14ac:dyDescent="0.25">
      <c r="A56" t="str">
        <v>ORD-10980</v>
      </c>
      <c r="B56">
        <v>44799</v>
      </c>
      <c r="C56">
        <v>44805</v>
      </c>
      <c r="D56" t="str">
        <v>Standard Class</v>
      </c>
      <c r="E56" t="str">
        <v>Gbenga</v>
      </c>
      <c r="F56" t="str">
        <v>Otedola</v>
      </c>
      <c r="G56" t="str">
        <v>gbenga.otedola@gmail.com</v>
      </c>
      <c r="H56">
        <v>9029855180</v>
      </c>
      <c r="I56" t="str">
        <v>Home Office</v>
      </c>
      <c r="J56" t="str">
        <v>East</v>
      </c>
      <c r="K56" t="str">
        <v>Aba</v>
      </c>
      <c r="L56" t="str">
        <v>Clothing</v>
      </c>
      <c r="M56" t="str">
        <v>Trousers</v>
      </c>
      <c r="N56" t="str">
        <v>Joggers</v>
      </c>
      <c r="O56">
        <v>16</v>
      </c>
      <c r="P56">
        <v>14832.93</v>
      </c>
      <c r="Q56">
        <v>25</v>
      </c>
      <c r="R56">
        <v>59331.72</v>
      </c>
      <c r="S56">
        <v>177995.16</v>
      </c>
      <c r="T56">
        <v>51973.67</v>
      </c>
      <c r="U56" t="str">
        <v>Clothing</v>
      </c>
      <c r="V56">
        <v>51973.67</v>
      </c>
      <c r="W56" t="str">
        <v>Large</v>
      </c>
      <c r="X56" t="str">
        <v>Large</v>
      </c>
      <c r="Y56" t="str">
        <v>No Discount</v>
      </c>
    </row>
    <row r="57" spans="1:25" x14ac:dyDescent="0.25">
      <c r="A57" t="str">
        <v>ORD-10492</v>
      </c>
      <c r="B57">
        <v>44837</v>
      </c>
      <c r="C57">
        <v>44842</v>
      </c>
      <c r="D57" t="str">
        <v>Standard Class</v>
      </c>
      <c r="E57" t="str">
        <v>Nike</v>
      </c>
      <c r="F57" t="str">
        <v>Fashola</v>
      </c>
      <c r="G57" t="str">
        <v>nike.fashola@outlook.com</v>
      </c>
      <c r="H57">
        <v>8131690263</v>
      </c>
      <c r="I57" t="str">
        <v>Home Office</v>
      </c>
      <c r="J57" t="str">
        <v>East</v>
      </c>
      <c r="K57" t="str">
        <v>Aba</v>
      </c>
      <c r="L57" t="str">
        <v>Clothing</v>
      </c>
      <c r="M57" t="str">
        <v>Accessories</v>
      </c>
      <c r="N57" t="str">
        <v>Wallet Genuine Leather</v>
      </c>
      <c r="O57">
        <v>15</v>
      </c>
      <c r="P57">
        <v>16464.080000000002</v>
      </c>
      <c r="Q57">
        <v>20</v>
      </c>
      <c r="R57">
        <v>49392.24</v>
      </c>
      <c r="S57">
        <v>197568.96</v>
      </c>
      <c r="T57">
        <v>21634.47</v>
      </c>
      <c r="U57" t="str">
        <v>Clothing</v>
      </c>
      <c r="V57">
        <v>21634.47</v>
      </c>
      <c r="W57" t="str">
        <v>Large</v>
      </c>
      <c r="X57" t="str">
        <v>Large</v>
      </c>
      <c r="Y57" t="str">
        <v>No Discount</v>
      </c>
    </row>
    <row r="58" spans="1:25" x14ac:dyDescent="0.25">
      <c r="A58" t="str">
        <v>ORD-10063</v>
      </c>
      <c r="B58">
        <v>44850</v>
      </c>
      <c r="C58">
        <v>44856</v>
      </c>
      <c r="D58" t="str">
        <v>Standard Class</v>
      </c>
      <c r="E58" t="str">
        <v>Ikenna</v>
      </c>
      <c r="F58" t="str">
        <v>Lawal</v>
      </c>
      <c r="G58" t="str">
        <v>ikenna.lawal@outlook.com</v>
      </c>
      <c r="H58">
        <v>8067619862</v>
      </c>
      <c r="I58" t="str">
        <v>Corporate</v>
      </c>
      <c r="J58" t="str">
        <v>East</v>
      </c>
      <c r="K58" t="str">
        <v>Enugu</v>
      </c>
      <c r="L58" t="str">
        <v>Technology</v>
      </c>
      <c r="M58" t="str">
        <v>Tablets</v>
      </c>
      <c r="N58" t="str">
        <v>Amazon Fire HD 10</v>
      </c>
      <c r="O58">
        <v>14</v>
      </c>
      <c r="P58">
        <v>68761.100000000006</v>
      </c>
      <c r="Q58">
        <v>10</v>
      </c>
      <c r="R58">
        <v>82513.320000000007</v>
      </c>
      <c r="S58">
        <v>742619.88</v>
      </c>
      <c r="T58">
        <v>149070.59</v>
      </c>
      <c r="U58" t="str">
        <v>Technology</v>
      </c>
      <c r="V58">
        <v>149070.59</v>
      </c>
      <c r="W58" t="str">
        <v>Small</v>
      </c>
      <c r="X58" t="str">
        <v>Medium</v>
      </c>
      <c r="Y58" t="str">
        <v>No Discount</v>
      </c>
    </row>
    <row r="59" spans="1:25" x14ac:dyDescent="0.25">
      <c r="A59" t="str">
        <v>ORD-10671</v>
      </c>
      <c r="B59">
        <v>44890</v>
      </c>
      <c r="C59">
        <v>44897</v>
      </c>
      <c r="D59" t="str">
        <v>Standard Class</v>
      </c>
      <c r="E59" t="str">
        <v>Emeka</v>
      </c>
      <c r="F59" t="str">
        <v>Eze</v>
      </c>
      <c r="G59" t="str">
        <v>emeka.eze@yahoo.com</v>
      </c>
      <c r="H59">
        <v>9051428411</v>
      </c>
      <c r="I59" t="str">
        <v>Corporate</v>
      </c>
      <c r="J59" t="str">
        <v>East</v>
      </c>
      <c r="K59" t="str">
        <v>Owerri</v>
      </c>
      <c r="L59" t="str">
        <v>Technology</v>
      </c>
      <c r="M59" t="str">
        <v>Printers</v>
      </c>
      <c r="N59" t="str">
        <v>Canon PIXMA G3411</v>
      </c>
      <c r="O59">
        <v>17</v>
      </c>
      <c r="P59">
        <v>366494.88</v>
      </c>
      <c r="Q59">
        <v>25</v>
      </c>
      <c r="R59">
        <v>1557603.24</v>
      </c>
      <c r="S59">
        <v>4672809.72</v>
      </c>
      <c r="T59">
        <v>1495674.28</v>
      </c>
      <c r="U59" t="str">
        <v>Technology</v>
      </c>
      <c r="V59">
        <v>1495674.28</v>
      </c>
      <c r="W59" t="str">
        <v>Large</v>
      </c>
      <c r="X59" t="str">
        <v>Large</v>
      </c>
      <c r="Y59" t="str">
        <v>Offer Discount</v>
      </c>
    </row>
    <row r="60" spans="1:25" x14ac:dyDescent="0.25">
      <c r="A60" t="str">
        <v>ORD-10150</v>
      </c>
      <c r="B60">
        <v>44971</v>
      </c>
      <c r="C60">
        <v>44977</v>
      </c>
      <c r="D60" t="str">
        <v>Standard Class</v>
      </c>
      <c r="E60" t="str">
        <v>Taiwo</v>
      </c>
      <c r="F60" t="str">
        <v>Okonkwo</v>
      </c>
      <c r="G60" t="str">
        <v>taiwo.okonkwo@hotmail.com</v>
      </c>
      <c r="H60">
        <v>9014517316</v>
      </c>
      <c r="I60" t="str">
        <v>Corporate</v>
      </c>
      <c r="J60" t="str">
        <v>East</v>
      </c>
      <c r="K60" t="str">
        <v>Owerri</v>
      </c>
      <c r="L60" t="str">
        <v>Clothing</v>
      </c>
      <c r="M60" t="str">
        <v>Shoes</v>
      </c>
      <c r="N60" t="str">
        <v>Men's Oxford Shoes</v>
      </c>
      <c r="O60">
        <v>14</v>
      </c>
      <c r="P60">
        <v>37215.519999999997</v>
      </c>
      <c r="Q60">
        <v>20</v>
      </c>
      <c r="R60">
        <v>104203.46</v>
      </c>
      <c r="S60">
        <v>416813.82</v>
      </c>
      <c r="T60">
        <v>-27715</v>
      </c>
      <c r="U60" t="str">
        <v>Clothing</v>
      </c>
      <c r="V60">
        <v>27715</v>
      </c>
      <c r="W60" t="str">
        <v>Small</v>
      </c>
      <c r="X60" t="str">
        <v>Medium</v>
      </c>
      <c r="Y60" t="str">
        <v>No Discount</v>
      </c>
    </row>
    <row r="61" spans="1:25" x14ac:dyDescent="0.25">
      <c r="A61" t="str">
        <v>ORD-10680</v>
      </c>
      <c r="B61">
        <v>44993</v>
      </c>
      <c r="C61">
        <v>45001</v>
      </c>
      <c r="D61" t="str">
        <v>Standard Class</v>
      </c>
      <c r="E61" t="str">
        <v>Ronke</v>
      </c>
      <c r="F61" t="str">
        <v>Chukwu</v>
      </c>
      <c r="G61" t="str">
        <v>ronke.chukwu@outlook.com</v>
      </c>
      <c r="H61">
        <v>8066827492</v>
      </c>
      <c r="I61" t="str">
        <v>Consumer</v>
      </c>
      <c r="J61" t="str">
        <v>East</v>
      </c>
      <c r="K61" t="str">
        <v>Onitsha</v>
      </c>
      <c r="L61" t="str">
        <v>Office Supplies</v>
      </c>
      <c r="M61" t="str">
        <v>Binders</v>
      </c>
      <c r="N61" t="str">
        <v>Ring Binder A4</v>
      </c>
      <c r="O61">
        <v>16</v>
      </c>
      <c r="P61">
        <v>7552.16</v>
      </c>
      <c r="Q61">
        <v>20</v>
      </c>
      <c r="R61">
        <v>24166.91</v>
      </c>
      <c r="S61">
        <v>96667.65</v>
      </c>
      <c r="T61">
        <v>-1529.28</v>
      </c>
      <c r="U61" t="str">
        <v>Office Supplies</v>
      </c>
      <c r="V61">
        <v>1529.28</v>
      </c>
      <c r="W61" t="str">
        <v>Large</v>
      </c>
      <c r="X61" t="str">
        <v>Large</v>
      </c>
      <c r="Y61" t="str">
        <v>No Discount</v>
      </c>
    </row>
    <row r="62" spans="1:25" x14ac:dyDescent="0.25">
      <c r="A62" t="str">
        <v>ORD-10584</v>
      </c>
      <c r="B62">
        <v>45149</v>
      </c>
      <c r="C62">
        <v>45154</v>
      </c>
      <c r="D62" t="str">
        <v>Standard Class</v>
      </c>
      <c r="E62" t="str">
        <v>Seun</v>
      </c>
      <c r="F62" t="str">
        <v>Adeleke</v>
      </c>
      <c r="G62" t="str">
        <v>seun.adeleke@gmail.com</v>
      </c>
      <c r="H62">
        <v>9053912192</v>
      </c>
      <c r="I62" t="str">
        <v>Home Office</v>
      </c>
      <c r="J62" t="str">
        <v>East</v>
      </c>
      <c r="K62" t="str">
        <v>Owerri</v>
      </c>
      <c r="L62" t="str">
        <v>Food &amp; Beverages</v>
      </c>
      <c r="M62" t="str">
        <v>Snacks</v>
      </c>
      <c r="N62" t="str">
        <v>Digestive Biscuits</v>
      </c>
      <c r="O62">
        <v>14</v>
      </c>
      <c r="P62">
        <v>3352.21</v>
      </c>
      <c r="Q62">
        <v>20</v>
      </c>
      <c r="R62">
        <v>9386.19</v>
      </c>
      <c r="S62">
        <v>37544.75</v>
      </c>
      <c r="T62">
        <v>6851.67</v>
      </c>
      <c r="U62" t="str">
        <v>Food &amp; Beverages</v>
      </c>
      <c r="V62">
        <v>6851.67</v>
      </c>
      <c r="W62" t="str">
        <v>Small</v>
      </c>
      <c r="X62" t="str">
        <v>Medium</v>
      </c>
      <c r="Y62" t="str">
        <v>No Discount</v>
      </c>
    </row>
    <row r="63" spans="1:25" x14ac:dyDescent="0.25">
      <c r="A63" t="str">
        <v>ORD-10636</v>
      </c>
      <c r="B63">
        <v>45165</v>
      </c>
      <c r="C63">
        <v>45170</v>
      </c>
      <c r="D63" t="str">
        <v>Standard Class</v>
      </c>
      <c r="E63" t="str">
        <v>Adebayo</v>
      </c>
      <c r="F63" t="str">
        <v>Adeleke</v>
      </c>
      <c r="G63" t="str">
        <v>adebayo.adeleke@yahoo.com</v>
      </c>
      <c r="H63">
        <v>8163070908</v>
      </c>
      <c r="I63" t="str">
        <v>Corporate</v>
      </c>
      <c r="J63" t="str">
        <v>East</v>
      </c>
      <c r="K63" t="str">
        <v>Owerri</v>
      </c>
      <c r="L63" t="str">
        <v>Technology</v>
      </c>
      <c r="M63" t="str">
        <v>Accessories</v>
      </c>
      <c r="N63" t="str">
        <v>Wristwatch</v>
      </c>
      <c r="O63">
        <v>12</v>
      </c>
      <c r="P63">
        <v>17214.259999999998</v>
      </c>
      <c r="Q63">
        <v>0</v>
      </c>
      <c r="R63">
        <v>0</v>
      </c>
      <c r="S63">
        <v>206571.12</v>
      </c>
      <c r="T63">
        <v>-24800.68</v>
      </c>
      <c r="U63" t="str">
        <v>Technology</v>
      </c>
      <c r="V63">
        <v>24800.68</v>
      </c>
      <c r="W63" t="str">
        <v>Small</v>
      </c>
      <c r="X63" t="str">
        <v>Small</v>
      </c>
      <c r="Y63" t="str">
        <v>No Discount</v>
      </c>
    </row>
    <row r="64" spans="1:25" x14ac:dyDescent="0.25">
      <c r="A64" t="str">
        <v>ORD-10193</v>
      </c>
      <c r="B64">
        <v>45251</v>
      </c>
      <c r="C64">
        <v>45258</v>
      </c>
      <c r="D64" t="str">
        <v>Standard Class</v>
      </c>
      <c r="E64" t="str">
        <v>Chisom</v>
      </c>
      <c r="F64" t="str">
        <v>Okafor</v>
      </c>
      <c r="G64" t="str">
        <v>chisom.okafor@yahoo.com</v>
      </c>
      <c r="H64">
        <v>9018329435</v>
      </c>
      <c r="I64" t="str">
        <v>Home Office</v>
      </c>
      <c r="J64" t="str">
        <v>East</v>
      </c>
      <c r="K64" t="str">
        <v>Owerri</v>
      </c>
      <c r="L64" t="str">
        <v>Food &amp; Beverages</v>
      </c>
      <c r="M64" t="str">
        <v>Shoes</v>
      </c>
      <c r="N64" t="str">
        <v>Women's Heels</v>
      </c>
      <c r="O64">
        <v>18</v>
      </c>
      <c r="P64">
        <v>32408.87</v>
      </c>
      <c r="Q64">
        <v>10</v>
      </c>
      <c r="R64">
        <v>58335.97</v>
      </c>
      <c r="S64">
        <v>525023.68999999994</v>
      </c>
      <c r="T64">
        <v>-8430.66</v>
      </c>
      <c r="U64" t="str">
        <v>Food &amp; Beverages</v>
      </c>
      <c r="V64">
        <v>8430.66</v>
      </c>
      <c r="W64" t="str">
        <v>Large</v>
      </c>
      <c r="X64" t="str">
        <v>Large</v>
      </c>
      <c r="Y64" t="str">
        <v>No Discount</v>
      </c>
    </row>
    <row r="65" spans="1:25" x14ac:dyDescent="0.25">
      <c r="A65" t="str">
        <v>ORD-10037</v>
      </c>
      <c r="B65">
        <v>45273</v>
      </c>
      <c r="C65">
        <v>45281</v>
      </c>
      <c r="D65" t="str">
        <v>Standard Class</v>
      </c>
      <c r="E65" t="str">
        <v>Uchenna</v>
      </c>
      <c r="F65" t="str">
        <v>Musa</v>
      </c>
      <c r="G65" t="str">
        <v>uchenna.musa@outlook.com</v>
      </c>
      <c r="H65">
        <v>8038047416</v>
      </c>
      <c r="I65" t="str">
        <v>Consumer</v>
      </c>
      <c r="J65" t="str">
        <v>East</v>
      </c>
      <c r="K65" t="str">
        <v>Awka</v>
      </c>
      <c r="L65" t="str">
        <v>Clothing</v>
      </c>
      <c r="M65" t="str">
        <v>Shirts</v>
      </c>
      <c r="N65" t="str">
        <v>T-Shirt 3-Pack</v>
      </c>
      <c r="O65">
        <v>15</v>
      </c>
      <c r="P65">
        <v>43313.87</v>
      </c>
      <c r="Q65">
        <v>0</v>
      </c>
      <c r="R65">
        <v>0</v>
      </c>
      <c r="S65">
        <v>649708.05000000005</v>
      </c>
      <c r="T65">
        <v>72307.490000000005</v>
      </c>
      <c r="U65" t="str">
        <v>Clothing</v>
      </c>
      <c r="V65">
        <v>72307.490000000005</v>
      </c>
      <c r="W65" t="str">
        <v>Large</v>
      </c>
      <c r="X65" t="str">
        <v>Large</v>
      </c>
      <c r="Y65" t="str">
        <v>No Discount</v>
      </c>
    </row>
    <row r="66" spans="1:25" x14ac:dyDescent="0.25">
      <c r="A66" t="str">
        <v>ORD-10919</v>
      </c>
      <c r="B66">
        <v>45307</v>
      </c>
      <c r="C66">
        <v>45313</v>
      </c>
      <c r="D66" t="str">
        <v>Standard Class</v>
      </c>
      <c r="E66" t="str">
        <v>Ikenna</v>
      </c>
      <c r="F66" t="str">
        <v>Nwosu</v>
      </c>
      <c r="G66" t="str">
        <v>ikenna.nwosu@outlook.com</v>
      </c>
      <c r="H66">
        <v>8061820610</v>
      </c>
      <c r="I66" t="str">
        <v>Corporate</v>
      </c>
      <c r="J66" t="str">
        <v>East</v>
      </c>
      <c r="K66" t="str">
        <v>Onitsha</v>
      </c>
      <c r="L66" t="str">
        <v>Technology</v>
      </c>
      <c r="M66" t="str">
        <v>Tablets</v>
      </c>
      <c r="N66" t="str">
        <v>Huawei MatePad</v>
      </c>
      <c r="O66">
        <v>16</v>
      </c>
      <c r="P66">
        <v>96154.68</v>
      </c>
      <c r="Q66">
        <v>20</v>
      </c>
      <c r="R66">
        <v>307694.98</v>
      </c>
      <c r="S66">
        <v>1230779.8999999999</v>
      </c>
      <c r="T66">
        <v>301538.21000000002</v>
      </c>
      <c r="U66" t="str">
        <v>Technology</v>
      </c>
      <c r="V66">
        <v>301538.21000000002</v>
      </c>
      <c r="W66" t="str">
        <v>Large</v>
      </c>
      <c r="X66" t="str">
        <v>Large</v>
      </c>
      <c r="Y66" t="str">
        <v>Offer Discount</v>
      </c>
    </row>
    <row r="67" spans="1:25" x14ac:dyDescent="0.25">
      <c r="A67" t="str">
        <v>ORD-10219</v>
      </c>
      <c r="B67">
        <v>45347</v>
      </c>
      <c r="C67">
        <v>45354</v>
      </c>
      <c r="D67" t="str">
        <v>Standard Class</v>
      </c>
      <c r="E67" t="str">
        <v>Aisha</v>
      </c>
      <c r="F67" t="str">
        <v>Musa</v>
      </c>
      <c r="G67" t="str">
        <v>aisha.musa@gmail.com</v>
      </c>
      <c r="H67">
        <v>8165879280</v>
      </c>
      <c r="I67" t="str">
        <v>Consumer</v>
      </c>
      <c r="J67" t="str">
        <v>East</v>
      </c>
      <c r="K67" t="str">
        <v>Aba</v>
      </c>
      <c r="L67" t="str">
        <v>Clothing</v>
      </c>
      <c r="M67" t="str">
        <v>Accessories</v>
      </c>
      <c r="N67" t="str">
        <v>Wallet Genuine Leather</v>
      </c>
      <c r="O67">
        <v>14</v>
      </c>
      <c r="P67">
        <v>24537.06</v>
      </c>
      <c r="Q67">
        <v>0</v>
      </c>
      <c r="R67">
        <v>0</v>
      </c>
      <c r="S67">
        <v>343518.84</v>
      </c>
      <c r="T67">
        <v>19113.29</v>
      </c>
      <c r="U67" t="str">
        <v>Clothing</v>
      </c>
      <c r="V67">
        <v>19113.29</v>
      </c>
      <c r="W67" t="str">
        <v>Small</v>
      </c>
      <c r="X67" t="str">
        <v>Medium</v>
      </c>
      <c r="Y67" t="str">
        <v>No Discount</v>
      </c>
    </row>
    <row r="68" spans="1:25" x14ac:dyDescent="0.25">
      <c r="A68" t="str">
        <v>ORD-10776</v>
      </c>
      <c r="B68">
        <v>45350</v>
      </c>
      <c r="C68">
        <v>45355</v>
      </c>
      <c r="D68" t="str">
        <v>Standard Class</v>
      </c>
      <c r="E68" t="str">
        <v>Musa</v>
      </c>
      <c r="F68" t="str">
        <v>Adeyemi</v>
      </c>
      <c r="G68" t="str">
        <v>musa.adeyemi@gmail.com</v>
      </c>
      <c r="H68">
        <v>8101572338</v>
      </c>
      <c r="I68" t="str">
        <v>Home Office</v>
      </c>
      <c r="J68" t="str">
        <v>East</v>
      </c>
      <c r="K68" t="str">
        <v>Onitsha</v>
      </c>
      <c r="L68" t="str">
        <v>Furniture</v>
      </c>
      <c r="M68" t="str">
        <v>Tables</v>
      </c>
      <c r="N68" t="str">
        <v>Dining Table 6-Seater</v>
      </c>
      <c r="O68">
        <v>19</v>
      </c>
      <c r="P68">
        <v>63475.57</v>
      </c>
      <c r="Q68">
        <v>20</v>
      </c>
      <c r="R68">
        <v>241207.17</v>
      </c>
      <c r="S68">
        <v>964828.66</v>
      </c>
      <c r="T68">
        <v>135372.13</v>
      </c>
      <c r="U68" t="str">
        <v>Furniture</v>
      </c>
      <c r="V68">
        <v>135372.13</v>
      </c>
      <c r="W68" t="str">
        <v>Large</v>
      </c>
      <c r="X68" t="str">
        <v>Large</v>
      </c>
      <c r="Y68" t="str">
        <v>No Discount</v>
      </c>
    </row>
    <row r="69" spans="1:25" x14ac:dyDescent="0.25">
      <c r="A69" t="str">
        <v>ORD-10939</v>
      </c>
      <c r="B69">
        <v>45422</v>
      </c>
      <c r="C69">
        <v>45429</v>
      </c>
      <c r="D69" t="str">
        <v>Standard Class</v>
      </c>
      <c r="E69" t="str">
        <v>Deola</v>
      </c>
      <c r="F69" t="str">
        <v>Sanusi</v>
      </c>
      <c r="G69" t="str">
        <v>deola.sanusi@gmail.com</v>
      </c>
      <c r="H69">
        <v>8067803915</v>
      </c>
      <c r="I69" t="str">
        <v>Consumer</v>
      </c>
      <c r="J69" t="str">
        <v>East</v>
      </c>
      <c r="K69" t="str">
        <v>Aba</v>
      </c>
      <c r="L69" t="str">
        <v>Food &amp; Beverages</v>
      </c>
      <c r="M69" t="str">
        <v>Snacks</v>
      </c>
      <c r="N69" t="str">
        <v>Chin Chin 500g</v>
      </c>
      <c r="O69">
        <v>19</v>
      </c>
      <c r="P69">
        <v>5623.01</v>
      </c>
      <c r="Q69">
        <v>0</v>
      </c>
      <c r="R69">
        <v>0</v>
      </c>
      <c r="S69">
        <v>106837.19</v>
      </c>
      <c r="T69">
        <v>36182.31</v>
      </c>
      <c r="U69" t="str">
        <v>Food &amp; Beverages</v>
      </c>
      <c r="V69">
        <v>36182.31</v>
      </c>
      <c r="W69" t="str">
        <v>Large</v>
      </c>
      <c r="X69" t="str">
        <v>Large</v>
      </c>
      <c r="Y69" t="str">
        <v>No Discount</v>
      </c>
    </row>
    <row r="70" spans="1:25" x14ac:dyDescent="0.25">
      <c r="A70" t="str">
        <v>ORD-10543</v>
      </c>
      <c r="B70">
        <v>45598</v>
      </c>
      <c r="C70">
        <v>45605</v>
      </c>
      <c r="D70" t="str">
        <v>Standard Class</v>
      </c>
      <c r="E70" t="str">
        <v>Uchenna</v>
      </c>
      <c r="F70" t="str">
        <v>Otedola</v>
      </c>
      <c r="G70" t="str">
        <v>uchenna.otedola@yahoo.com</v>
      </c>
      <c r="H70">
        <v>7061001435</v>
      </c>
      <c r="I70" t="str">
        <v>Consumer</v>
      </c>
      <c r="J70" t="str">
        <v>East</v>
      </c>
      <c r="K70" t="str">
        <v>Enugu</v>
      </c>
      <c r="L70" t="str">
        <v>Furniture</v>
      </c>
      <c r="M70" t="str">
        <v>Bookcases</v>
      </c>
      <c r="N70" t="str">
        <v>5-Shelf Bookcase</v>
      </c>
      <c r="O70">
        <v>17</v>
      </c>
      <c r="P70">
        <v>170748.91</v>
      </c>
      <c r="Q70">
        <v>10</v>
      </c>
      <c r="R70">
        <v>290273.15000000002</v>
      </c>
      <c r="S70">
        <v>2612458.3199999998</v>
      </c>
      <c r="T70">
        <v>641344.27</v>
      </c>
      <c r="U70" t="str">
        <v>Furniture</v>
      </c>
      <c r="V70">
        <v>641344.27</v>
      </c>
      <c r="W70" t="str">
        <v>Large</v>
      </c>
      <c r="X70" t="str">
        <v>Large</v>
      </c>
      <c r="Y70" t="str">
        <v>Offer Discount</v>
      </c>
    </row>
    <row r="71" spans="1:25" x14ac:dyDescent="0.25">
      <c r="A71" t="str">
        <v>ORD-10476</v>
      </c>
      <c r="B71">
        <v>45653</v>
      </c>
      <c r="C71">
        <v>45660</v>
      </c>
      <c r="D71" t="str">
        <v>Standard Class</v>
      </c>
      <c r="E71" t="str">
        <v>Taiwo</v>
      </c>
      <c r="F71" t="str">
        <v>Fashola</v>
      </c>
      <c r="G71" t="str">
        <v>taiwo.fashola@gmail.com</v>
      </c>
      <c r="H71">
        <v>7061870113</v>
      </c>
      <c r="I71" t="str">
        <v>Home Office</v>
      </c>
      <c r="J71" t="str">
        <v>East</v>
      </c>
      <c r="K71" t="str">
        <v>Onitsha</v>
      </c>
      <c r="L71" t="str">
        <v>Office Supplies</v>
      </c>
      <c r="M71" t="str">
        <v>Envelopes</v>
      </c>
      <c r="N71" t="str">
        <v>Brown Kraft Envelopes</v>
      </c>
      <c r="O71">
        <v>17</v>
      </c>
      <c r="P71">
        <v>7213.87</v>
      </c>
      <c r="Q71">
        <v>20</v>
      </c>
      <c r="R71">
        <v>24527.16</v>
      </c>
      <c r="S71">
        <v>98108.63</v>
      </c>
      <c r="T71">
        <v>14455.8</v>
      </c>
      <c r="U71" t="str">
        <v>Office Supplies</v>
      </c>
      <c r="V71">
        <v>14455.8</v>
      </c>
      <c r="W71" t="str">
        <v>Large</v>
      </c>
      <c r="X71" t="str">
        <v>Large</v>
      </c>
      <c r="Y71" t="str">
        <v>No Discount</v>
      </c>
    </row>
    <row r="72" spans="1:25" x14ac:dyDescent="0.25">
      <c r="A72" t="str">
        <v>ORD-10905</v>
      </c>
      <c r="B72">
        <v>44584</v>
      </c>
      <c r="C72">
        <v>44587</v>
      </c>
      <c r="D72" t="str">
        <v>Second Class</v>
      </c>
      <c r="E72" t="str">
        <v>Seun</v>
      </c>
      <c r="F72" t="str">
        <v>Atiku</v>
      </c>
      <c r="G72" t="str">
        <v>unknown</v>
      </c>
      <c r="H72">
        <v>8031414120</v>
      </c>
      <c r="I72" t="str">
        <v>Corporate</v>
      </c>
      <c r="J72" t="str">
        <v>East</v>
      </c>
      <c r="K72" t="str">
        <v>Onitsha</v>
      </c>
      <c r="L72" t="str">
        <v>Food &amp; Beverages</v>
      </c>
      <c r="M72" t="str">
        <v>Snacks</v>
      </c>
      <c r="N72" t="str">
        <v>Plantain Chips 200g</v>
      </c>
      <c r="O72">
        <v>15</v>
      </c>
      <c r="P72">
        <v>3158.75</v>
      </c>
      <c r="Q72">
        <v>15</v>
      </c>
      <c r="R72">
        <v>7107.19</v>
      </c>
      <c r="S72">
        <v>40274.06</v>
      </c>
      <c r="T72">
        <v>2030.8</v>
      </c>
      <c r="U72" t="str">
        <v>Food &amp; Beverages</v>
      </c>
      <c r="V72">
        <v>2030.8</v>
      </c>
      <c r="W72" t="str">
        <v>Large</v>
      </c>
      <c r="X72" t="str">
        <v>Large</v>
      </c>
      <c r="Y72" t="str">
        <v>No Discount</v>
      </c>
    </row>
    <row r="73" spans="1:25" x14ac:dyDescent="0.25">
      <c r="A73" t="str">
        <v>ORD-10903</v>
      </c>
      <c r="B73">
        <v>44595</v>
      </c>
      <c r="C73">
        <v>44598</v>
      </c>
      <c r="D73" t="str">
        <v>Second Class</v>
      </c>
      <c r="E73" t="str">
        <v>Olumide</v>
      </c>
      <c r="F73" t="str">
        <v>Chukwu</v>
      </c>
      <c r="G73" t="str">
        <v>olumide.chukwu@hotmail.com</v>
      </c>
      <c r="H73">
        <v>7068824038</v>
      </c>
      <c r="I73" t="str">
        <v>Consumer</v>
      </c>
      <c r="J73" t="str">
        <v>East</v>
      </c>
      <c r="K73" t="str">
        <v>Owerri</v>
      </c>
      <c r="L73" t="str">
        <v>Clothing</v>
      </c>
      <c r="M73" t="str">
        <v>Shoes</v>
      </c>
      <c r="N73" t="str">
        <v>Women's Heels</v>
      </c>
      <c r="O73">
        <v>14</v>
      </c>
      <c r="P73">
        <v>21921.87</v>
      </c>
      <c r="Q73">
        <v>0</v>
      </c>
      <c r="R73">
        <v>0</v>
      </c>
      <c r="S73">
        <v>306906.18</v>
      </c>
      <c r="T73">
        <v>-853.32</v>
      </c>
      <c r="U73" t="str">
        <v>Clothing</v>
      </c>
      <c r="V73">
        <v>853.32</v>
      </c>
      <c r="W73" t="str">
        <v>Small</v>
      </c>
      <c r="X73" t="str">
        <v>Medium</v>
      </c>
      <c r="Y73" t="str">
        <v>No Discount</v>
      </c>
    </row>
    <row r="74" spans="1:25" x14ac:dyDescent="0.25">
      <c r="A74" t="str">
        <v>ORD-10618</v>
      </c>
      <c r="B74">
        <v>44605</v>
      </c>
      <c r="C74">
        <v>44609</v>
      </c>
      <c r="D74" t="str">
        <v>Second Class</v>
      </c>
      <c r="E74" t="str">
        <v>Amara</v>
      </c>
      <c r="F74" t="str">
        <v>Tinubu</v>
      </c>
      <c r="G74" t="str">
        <v>amara.tinubu@gmail.com</v>
      </c>
      <c r="H74">
        <v>8145770866</v>
      </c>
      <c r="I74" t="str">
        <v>Corporate</v>
      </c>
      <c r="J74" t="str">
        <v>East</v>
      </c>
      <c r="K74" t="str">
        <v>Awka</v>
      </c>
      <c r="L74" t="str">
        <v>Furniture</v>
      </c>
      <c r="M74" t="str">
        <v>Storage</v>
      </c>
      <c r="N74" t="str">
        <v>4-Drawer Cabinet</v>
      </c>
      <c r="O74">
        <v>17</v>
      </c>
      <c r="P74">
        <v>162082.68</v>
      </c>
      <c r="Q74">
        <v>0</v>
      </c>
      <c r="R74">
        <v>0</v>
      </c>
      <c r="S74">
        <v>2755405.56</v>
      </c>
      <c r="T74">
        <v>144476.72</v>
      </c>
      <c r="U74" t="str">
        <v>Furniture</v>
      </c>
      <c r="V74">
        <v>144476.72</v>
      </c>
      <c r="W74" t="str">
        <v>Large</v>
      </c>
      <c r="X74" t="str">
        <v>Large</v>
      </c>
      <c r="Y74" t="str">
        <v>Offer Discount</v>
      </c>
    </row>
    <row r="75" spans="1:25" x14ac:dyDescent="0.25">
      <c r="A75" t="str">
        <v>ORD-10243</v>
      </c>
      <c r="B75">
        <v>44643</v>
      </c>
      <c r="C75">
        <v>44648</v>
      </c>
      <c r="D75" t="str">
        <v>Second Class</v>
      </c>
      <c r="E75" t="str">
        <v>Chisom</v>
      </c>
      <c r="F75" t="str">
        <v>Olawale</v>
      </c>
      <c r="G75" t="str">
        <v>chisom.olawale@gmail.com</v>
      </c>
      <c r="H75">
        <v>7065304875</v>
      </c>
      <c r="I75" t="str">
        <v>Consumer</v>
      </c>
      <c r="J75" t="str">
        <v>East</v>
      </c>
      <c r="K75" t="str">
        <v>Owerri</v>
      </c>
      <c r="L75" t="str">
        <v>Food &amp; Beverages</v>
      </c>
      <c r="M75" t="str">
        <v>Grains</v>
      </c>
      <c r="N75" t="str">
        <v>Rice 25kg Bag</v>
      </c>
      <c r="O75">
        <v>12</v>
      </c>
      <c r="P75">
        <v>7317.29</v>
      </c>
      <c r="Q75">
        <v>25</v>
      </c>
      <c r="R75">
        <v>21951.87</v>
      </c>
      <c r="S75">
        <v>65855.61</v>
      </c>
      <c r="T75">
        <v>21843.65</v>
      </c>
      <c r="U75" t="str">
        <v>Food &amp; Beverages</v>
      </c>
      <c r="V75">
        <v>21843.65</v>
      </c>
      <c r="W75" t="str">
        <v>Small</v>
      </c>
      <c r="X75" t="str">
        <v>Small</v>
      </c>
      <c r="Y75" t="str">
        <v>No Discount</v>
      </c>
    </row>
    <row r="76" spans="1:25" x14ac:dyDescent="0.25">
      <c r="A76" t="str">
        <v>ORD-10274</v>
      </c>
      <c r="B76">
        <v>44672</v>
      </c>
      <c r="C76">
        <v>44677</v>
      </c>
      <c r="D76" t="str">
        <v>Second Class</v>
      </c>
      <c r="E76" t="str">
        <v>Oluwaseun</v>
      </c>
      <c r="F76" t="str">
        <v>Sanusi</v>
      </c>
      <c r="G76" t="str">
        <v>oluwaseun.sanusi@gmail.com</v>
      </c>
      <c r="H76">
        <v>8156826541</v>
      </c>
      <c r="I76" t="str">
        <v>Consumer</v>
      </c>
      <c r="J76" t="str">
        <v>East</v>
      </c>
      <c r="K76" t="str">
        <v>Owerri</v>
      </c>
      <c r="L76" t="str">
        <v>Clothing</v>
      </c>
      <c r="M76" t="str">
        <v>Trousers</v>
      </c>
      <c r="N76" t="str">
        <v>Formal Trousers</v>
      </c>
      <c r="O76">
        <v>17</v>
      </c>
      <c r="P76">
        <v>43989.81</v>
      </c>
      <c r="Q76">
        <v>20</v>
      </c>
      <c r="R76">
        <v>149565.35</v>
      </c>
      <c r="S76">
        <v>598261.42000000004</v>
      </c>
      <c r="T76">
        <v>23565.97</v>
      </c>
      <c r="U76" t="str">
        <v>Clothing</v>
      </c>
      <c r="V76">
        <v>23565.97</v>
      </c>
      <c r="W76" t="str">
        <v>Large</v>
      </c>
      <c r="X76" t="str">
        <v>Large</v>
      </c>
      <c r="Y76" t="str">
        <v>No Discount</v>
      </c>
    </row>
    <row r="77" spans="1:25" x14ac:dyDescent="0.25">
      <c r="A77" t="str">
        <v>ORD-10297</v>
      </c>
      <c r="B77">
        <v>44707</v>
      </c>
      <c r="C77">
        <v>44710</v>
      </c>
      <c r="D77" t="str">
        <v>Second Class</v>
      </c>
      <c r="E77" t="str">
        <v>Ibrahim</v>
      </c>
      <c r="F77" t="str">
        <v>Tinubu</v>
      </c>
      <c r="G77" t="str">
        <v>ibrahim.tinubu@hotmail.com</v>
      </c>
      <c r="H77">
        <v>8032341452</v>
      </c>
      <c r="I77" t="str">
        <v>Corporate</v>
      </c>
      <c r="J77" t="str">
        <v>East</v>
      </c>
      <c r="K77" t="str">
        <v>Enugu</v>
      </c>
      <c r="L77" t="str">
        <v>Clothing</v>
      </c>
      <c r="M77" t="str">
        <v>Shirts</v>
      </c>
      <c r="N77" t="str">
        <v>Corporate Shirt</v>
      </c>
      <c r="O77">
        <v>14</v>
      </c>
      <c r="P77">
        <v>25994.86</v>
      </c>
      <c r="Q77">
        <v>10</v>
      </c>
      <c r="R77">
        <v>36392.800000000003</v>
      </c>
      <c r="S77">
        <v>327535.24</v>
      </c>
      <c r="T77">
        <v>106956.55</v>
      </c>
      <c r="U77" t="str">
        <v>Clothing</v>
      </c>
      <c r="V77">
        <v>106956.55</v>
      </c>
      <c r="W77" t="str">
        <v>Small</v>
      </c>
      <c r="X77" t="str">
        <v>Medium</v>
      </c>
      <c r="Y77" t="str">
        <v>No Discount</v>
      </c>
    </row>
    <row r="78" spans="1:25" x14ac:dyDescent="0.25">
      <c r="A78" t="str">
        <v>ORD-10081</v>
      </c>
      <c r="B78">
        <v>44716</v>
      </c>
      <c r="C78">
        <v>44719</v>
      </c>
      <c r="D78" t="str">
        <v>Second Class</v>
      </c>
      <c r="E78" t="str">
        <v>Wale</v>
      </c>
      <c r="F78" t="str">
        <v>Fashola</v>
      </c>
      <c r="G78" t="str">
        <v>wale.fashola@hotmail.com</v>
      </c>
      <c r="H78">
        <v>9076422534</v>
      </c>
      <c r="I78" t="str">
        <v>Consumer</v>
      </c>
      <c r="J78" t="str">
        <v>East</v>
      </c>
      <c r="K78" t="str">
        <v>Onitsha</v>
      </c>
      <c r="L78" t="str">
        <v>Office Supplies</v>
      </c>
      <c r="M78" t="str">
        <v>Binders</v>
      </c>
      <c r="N78" t="str">
        <v>Document Folder</v>
      </c>
      <c r="O78">
        <v>15</v>
      </c>
      <c r="P78">
        <v>2173.0100000000002</v>
      </c>
      <c r="Q78">
        <v>10</v>
      </c>
      <c r="R78">
        <v>3259.51</v>
      </c>
      <c r="S78">
        <v>29335.64</v>
      </c>
      <c r="T78">
        <v>9616.16</v>
      </c>
      <c r="U78" t="str">
        <v>Office Supplies</v>
      </c>
      <c r="V78">
        <v>9616.16</v>
      </c>
      <c r="W78" t="str">
        <v>Large</v>
      </c>
      <c r="X78" t="str">
        <v>Large</v>
      </c>
      <c r="Y78" t="str">
        <v>No Discount</v>
      </c>
    </row>
    <row r="79" spans="1:25" x14ac:dyDescent="0.25">
      <c r="A79" t="str">
        <v>ORD-10844</v>
      </c>
      <c r="B79">
        <v>44822</v>
      </c>
      <c r="C79">
        <v>44826</v>
      </c>
      <c r="D79" t="str">
        <v>Second Class</v>
      </c>
      <c r="E79" t="str">
        <v>Kehinde</v>
      </c>
      <c r="F79" t="str">
        <v>Abubakar</v>
      </c>
      <c r="G79" t="str">
        <v>kehinde.abubakar@yahoo.com</v>
      </c>
      <c r="H79">
        <v>8035179188</v>
      </c>
      <c r="I79" t="str">
        <v>Corporate</v>
      </c>
      <c r="J79" t="str">
        <v>East</v>
      </c>
      <c r="K79" t="str">
        <v>Awka</v>
      </c>
      <c r="L79" t="str">
        <v>Clothing</v>
      </c>
      <c r="M79" t="str">
        <v>Accessories</v>
      </c>
      <c r="N79" t="str">
        <v>Silk Scarf</v>
      </c>
      <c r="O79">
        <v>11</v>
      </c>
      <c r="P79">
        <v>40293.949999999997</v>
      </c>
      <c r="Q79">
        <v>25</v>
      </c>
      <c r="R79">
        <v>110808.36</v>
      </c>
      <c r="S79">
        <v>332425.09000000003</v>
      </c>
      <c r="T79">
        <v>125801.92</v>
      </c>
      <c r="U79" t="str">
        <v>Clothing</v>
      </c>
      <c r="V79">
        <v>125801.92</v>
      </c>
      <c r="W79" t="str">
        <v>Small</v>
      </c>
      <c r="X79" t="str">
        <v>Small</v>
      </c>
      <c r="Y79" t="str">
        <v>No Discount</v>
      </c>
    </row>
    <row r="80" spans="1:25" x14ac:dyDescent="0.25">
      <c r="A80" t="str">
        <v>ORD-10104</v>
      </c>
      <c r="B80">
        <v>44826</v>
      </c>
      <c r="C80">
        <v>44830</v>
      </c>
      <c r="D80" t="str">
        <v>Second Class</v>
      </c>
      <c r="E80" t="str">
        <v>Dayo</v>
      </c>
      <c r="F80" t="str">
        <v>Lawal</v>
      </c>
      <c r="G80" t="str">
        <v>dayo.lawal@gmail.com</v>
      </c>
      <c r="H80">
        <v>8033083077</v>
      </c>
      <c r="I80" t="str">
        <v>Home Office</v>
      </c>
      <c r="J80" t="str">
        <v>East</v>
      </c>
      <c r="K80" t="str">
        <v>Onitsha</v>
      </c>
      <c r="L80" t="str">
        <v>Food &amp; Beverages</v>
      </c>
      <c r="M80" t="str">
        <v>Snacks</v>
      </c>
      <c r="N80" t="str">
        <v>Chin Chin 500g</v>
      </c>
      <c r="O80">
        <v>11</v>
      </c>
      <c r="P80">
        <v>1567.86</v>
      </c>
      <c r="Q80">
        <v>5</v>
      </c>
      <c r="R80">
        <v>862.32</v>
      </c>
      <c r="S80">
        <v>16384.14</v>
      </c>
      <c r="T80">
        <v>943.95</v>
      </c>
      <c r="U80" t="str">
        <v>Food &amp; Beverages</v>
      </c>
      <c r="V80">
        <v>943.95</v>
      </c>
      <c r="W80" t="str">
        <v>Small</v>
      </c>
      <c r="X80" t="str">
        <v>Small</v>
      </c>
      <c r="Y80" t="str">
        <v>No Discount</v>
      </c>
    </row>
    <row r="81" spans="1:25" x14ac:dyDescent="0.25">
      <c r="A81" t="str">
        <v>ORD-10746</v>
      </c>
      <c r="B81">
        <v>44862</v>
      </c>
      <c r="C81">
        <v>44867</v>
      </c>
      <c r="D81" t="str">
        <v>Second Class</v>
      </c>
      <c r="E81" t="str">
        <v>Nike</v>
      </c>
      <c r="F81" t="str">
        <v>Lawal</v>
      </c>
      <c r="G81" t="str">
        <v>nike.lawal@hotmail.com</v>
      </c>
      <c r="H81">
        <v>8164823830</v>
      </c>
      <c r="I81" t="str">
        <v>Home Office</v>
      </c>
      <c r="J81" t="str">
        <v>East</v>
      </c>
      <c r="K81" t="str">
        <v>Onitsha</v>
      </c>
      <c r="L81" t="str">
        <v>Technology</v>
      </c>
      <c r="M81" t="str">
        <v>Phones</v>
      </c>
      <c r="N81" t="str">
        <v>Xiaomi Redmi 12</v>
      </c>
      <c r="O81">
        <v>19</v>
      </c>
      <c r="P81">
        <v>146786.10999999999</v>
      </c>
      <c r="Q81">
        <v>0</v>
      </c>
      <c r="R81">
        <v>0</v>
      </c>
      <c r="S81">
        <v>2788936.09</v>
      </c>
      <c r="T81">
        <v>15765.03</v>
      </c>
      <c r="U81" t="str">
        <v>Technology</v>
      </c>
      <c r="V81">
        <v>15765.03</v>
      </c>
      <c r="W81" t="str">
        <v>Large</v>
      </c>
      <c r="X81" t="str">
        <v>Large</v>
      </c>
      <c r="Y81" t="str">
        <v>Offer Discount</v>
      </c>
    </row>
    <row r="82" spans="1:25" x14ac:dyDescent="0.25">
      <c r="A82" t="str">
        <v>ORD-10249</v>
      </c>
      <c r="B82">
        <v>44891</v>
      </c>
      <c r="C82">
        <v>44894</v>
      </c>
      <c r="D82" t="str">
        <v>Second Class</v>
      </c>
      <c r="E82" t="str">
        <v>Zainab</v>
      </c>
      <c r="F82" t="str">
        <v>Alakija</v>
      </c>
      <c r="G82" t="str">
        <v>zainab.alakija@outlook.com</v>
      </c>
      <c r="H82">
        <v>8132923047</v>
      </c>
      <c r="I82" t="str">
        <v>Corporate</v>
      </c>
      <c r="J82" t="str">
        <v>East</v>
      </c>
      <c r="K82" t="str">
        <v>Onitsha</v>
      </c>
      <c r="L82" t="str">
        <v>Furniture</v>
      </c>
      <c r="M82" t="str">
        <v>Sofas</v>
      </c>
      <c r="N82" t="str">
        <v>3-Seater Sofa</v>
      </c>
      <c r="O82">
        <v>18</v>
      </c>
      <c r="P82">
        <v>154438.69</v>
      </c>
      <c r="Q82">
        <v>20</v>
      </c>
      <c r="R82">
        <v>555979.28</v>
      </c>
      <c r="S82">
        <v>2223917.14</v>
      </c>
      <c r="T82">
        <v>526634.05000000005</v>
      </c>
      <c r="U82" t="str">
        <v>Furniture</v>
      </c>
      <c r="V82">
        <v>526634.05000000005</v>
      </c>
      <c r="W82" t="str">
        <v>Large</v>
      </c>
      <c r="X82" t="str">
        <v>Large</v>
      </c>
      <c r="Y82" t="str">
        <v>Offer Discount</v>
      </c>
    </row>
    <row r="83" spans="1:25" x14ac:dyDescent="0.25">
      <c r="A83" t="str">
        <v>ORD-10384</v>
      </c>
      <c r="B83">
        <v>44892</v>
      </c>
      <c r="C83">
        <v>44895</v>
      </c>
      <c r="D83" t="str">
        <v>Second Class</v>
      </c>
      <c r="E83" t="str">
        <v>Bola</v>
      </c>
      <c r="F83" t="str">
        <v>Adeleke</v>
      </c>
      <c r="G83" t="str">
        <v>bola.adeleke@outlook.com</v>
      </c>
      <c r="H83">
        <v>9053121873</v>
      </c>
      <c r="I83" t="str">
        <v>consumer</v>
      </c>
      <c r="J83" t="str">
        <v>East</v>
      </c>
      <c r="K83" t="str">
        <v>Onitsha</v>
      </c>
      <c r="L83" t="str">
        <v>Clothing</v>
      </c>
      <c r="M83" t="str">
        <v>Shoes</v>
      </c>
      <c r="N83" t="str">
        <v>Sneakers Unisex</v>
      </c>
      <c r="O83">
        <v>18</v>
      </c>
      <c r="P83">
        <v>9933.35</v>
      </c>
      <c r="Q83">
        <v>0</v>
      </c>
      <c r="R83">
        <v>0</v>
      </c>
      <c r="S83">
        <v>178800.3</v>
      </c>
      <c r="T83">
        <v>44580.63</v>
      </c>
      <c r="U83" t="str">
        <v>Clothing</v>
      </c>
      <c r="V83">
        <v>44580.63</v>
      </c>
      <c r="W83" t="str">
        <v>Large</v>
      </c>
      <c r="X83" t="str">
        <v>Large</v>
      </c>
      <c r="Y83" t="str">
        <v>No Discount</v>
      </c>
    </row>
    <row r="84" spans="1:25" x14ac:dyDescent="0.25">
      <c r="A84" t="str">
        <v>ORD-10013</v>
      </c>
      <c r="B84">
        <v>44951</v>
      </c>
      <c r="C84">
        <v>44956</v>
      </c>
      <c r="D84" t="str">
        <v>Second Class</v>
      </c>
      <c r="E84" t="str">
        <v>Olumide</v>
      </c>
      <c r="F84" t="str">
        <v>Okafor</v>
      </c>
      <c r="G84" t="str">
        <v>olumide.okafor@hotmail.com</v>
      </c>
      <c r="H84">
        <v>8105673212</v>
      </c>
      <c r="I84" t="str">
        <v>Consumer</v>
      </c>
      <c r="J84" t="str">
        <v>East</v>
      </c>
      <c r="K84" t="str">
        <v>Enugu</v>
      </c>
      <c r="L84" t="str">
        <v>Clothing</v>
      </c>
      <c r="M84" t="str">
        <v>Trousers</v>
      </c>
      <c r="N84" t="str">
        <v>Men's Chinos</v>
      </c>
      <c r="O84">
        <v>18</v>
      </c>
      <c r="P84">
        <v>21054.62</v>
      </c>
      <c r="Q84">
        <v>0</v>
      </c>
      <c r="R84">
        <v>0</v>
      </c>
      <c r="S84">
        <v>378983.16</v>
      </c>
      <c r="T84">
        <v>-45344.2</v>
      </c>
      <c r="U84" t="str">
        <v>Clothing</v>
      </c>
      <c r="V84">
        <v>45344.2</v>
      </c>
      <c r="W84" t="str">
        <v>Large</v>
      </c>
      <c r="X84" t="str">
        <v>Large</v>
      </c>
      <c r="Y84" t="str">
        <v>No Discount</v>
      </c>
    </row>
    <row r="85" spans="1:25" x14ac:dyDescent="0.25">
      <c r="A85" t="str">
        <v>ORD-10269</v>
      </c>
      <c r="B85">
        <v>44960</v>
      </c>
      <c r="C85">
        <v>44964</v>
      </c>
      <c r="D85" t="str">
        <v>Second Class</v>
      </c>
      <c r="E85" t="str">
        <v>Ikenna</v>
      </c>
      <c r="F85" t="str">
        <v>Danjuma</v>
      </c>
      <c r="G85" t="str">
        <v>ikenna.danjuma@gmail.com</v>
      </c>
      <c r="H85">
        <v>8163936596</v>
      </c>
      <c r="I85" t="str">
        <v>Corporate</v>
      </c>
      <c r="J85" t="str">
        <v>East</v>
      </c>
      <c r="K85" t="str">
        <v>Aba</v>
      </c>
      <c r="L85" t="str">
        <v>Clothing</v>
      </c>
      <c r="M85" t="str">
        <v>Accessories</v>
      </c>
      <c r="N85" t="str">
        <v>Belt Leather</v>
      </c>
      <c r="O85">
        <v>17</v>
      </c>
      <c r="P85">
        <v>26021.119999999999</v>
      </c>
      <c r="Q85">
        <v>10</v>
      </c>
      <c r="R85">
        <v>44235.9</v>
      </c>
      <c r="S85">
        <v>398123.14</v>
      </c>
      <c r="T85">
        <v>21490.5</v>
      </c>
      <c r="U85" t="str">
        <v>Clothing</v>
      </c>
      <c r="V85">
        <v>21490.5</v>
      </c>
      <c r="W85" t="str">
        <v>Large</v>
      </c>
      <c r="X85" t="str">
        <v>Large</v>
      </c>
      <c r="Y85" t="str">
        <v>No Discount</v>
      </c>
    </row>
    <row r="86" spans="1:25" x14ac:dyDescent="0.25">
      <c r="A86" t="str">
        <v>ORD-10236</v>
      </c>
      <c r="B86">
        <v>44973</v>
      </c>
      <c r="C86">
        <v>44976</v>
      </c>
      <c r="D86" t="str">
        <v>Second Class</v>
      </c>
      <c r="E86" t="str">
        <v>Gbenga</v>
      </c>
      <c r="F86" t="str">
        <v>Eze</v>
      </c>
      <c r="G86" t="str">
        <v>ayo.obi@outlook.com</v>
      </c>
      <c r="H86">
        <v>9076793064</v>
      </c>
      <c r="I86" t="str">
        <v>Corporate</v>
      </c>
      <c r="J86" t="str">
        <v>East</v>
      </c>
      <c r="K86" t="str">
        <v>Awka</v>
      </c>
      <c r="L86" t="str">
        <v>Furniture</v>
      </c>
      <c r="M86" t="str">
        <v>Tables</v>
      </c>
      <c r="N86" t="str">
        <v>Standing Desk</v>
      </c>
      <c r="O86">
        <v>11</v>
      </c>
      <c r="P86">
        <v>101308.53</v>
      </c>
      <c r="Q86">
        <v>0</v>
      </c>
      <c r="R86">
        <v>0</v>
      </c>
      <c r="S86">
        <v>1114393.83</v>
      </c>
      <c r="T86">
        <v>341522.72</v>
      </c>
      <c r="U86" t="str">
        <v>Furniture</v>
      </c>
      <c r="V86">
        <v>341522.72</v>
      </c>
      <c r="W86" t="str">
        <v>Small</v>
      </c>
      <c r="X86" t="str">
        <v>Small</v>
      </c>
      <c r="Y86" t="str">
        <v>No Discount</v>
      </c>
    </row>
    <row r="87" spans="1:25" x14ac:dyDescent="0.25">
      <c r="A87" t="str">
        <v>ORD-10509</v>
      </c>
      <c r="B87">
        <v>44986</v>
      </c>
      <c r="C87">
        <v>44991</v>
      </c>
      <c r="D87" t="str">
        <v>Second Class</v>
      </c>
      <c r="E87" t="str">
        <v>Ikenna</v>
      </c>
      <c r="F87" t="str">
        <v>Ogundipe</v>
      </c>
      <c r="G87" t="str">
        <v>ikenna.ogundipe@gmail.com</v>
      </c>
      <c r="H87">
        <v>8134586633</v>
      </c>
      <c r="I87" t="str">
        <v>Home Office</v>
      </c>
      <c r="J87" t="str">
        <v>East</v>
      </c>
      <c r="K87" t="str">
        <v>Aba</v>
      </c>
      <c r="L87" t="str">
        <v>Technology</v>
      </c>
      <c r="M87" t="str">
        <v>Tablets</v>
      </c>
      <c r="N87" t="str">
        <v>Lenovo Tab M10</v>
      </c>
      <c r="O87">
        <v>13</v>
      </c>
      <c r="P87">
        <v>90525.38</v>
      </c>
      <c r="Q87">
        <v>10</v>
      </c>
      <c r="R87">
        <v>117682.99</v>
      </c>
      <c r="S87">
        <v>1059146.95</v>
      </c>
      <c r="T87">
        <v>-151258.01999999999</v>
      </c>
      <c r="U87" t="str">
        <v>Technology</v>
      </c>
      <c r="V87">
        <v>151258.01999999999</v>
      </c>
      <c r="W87" t="str">
        <v>Small</v>
      </c>
      <c r="X87" t="str">
        <v>Small</v>
      </c>
      <c r="Y87" t="str">
        <v>No Discount</v>
      </c>
    </row>
    <row r="88" spans="1:25" x14ac:dyDescent="0.25">
      <c r="A88" t="str">
        <v>ORD-10116</v>
      </c>
      <c r="B88">
        <v>45066</v>
      </c>
      <c r="C88">
        <v>45070</v>
      </c>
      <c r="D88" t="str">
        <v>Second Class</v>
      </c>
      <c r="E88" t="str">
        <v>Taiwo</v>
      </c>
      <c r="F88" t="str">
        <v>Eze</v>
      </c>
      <c r="G88" t="str">
        <v>taiwo.eze@yahoo.com</v>
      </c>
      <c r="H88">
        <v>8165848684</v>
      </c>
      <c r="I88" t="str">
        <v>Corporate</v>
      </c>
      <c r="J88" t="str">
        <v>East</v>
      </c>
      <c r="K88" t="str">
        <v>Awka</v>
      </c>
      <c r="L88" t="str">
        <v>Furniture</v>
      </c>
      <c r="M88" t="str">
        <v>Storage</v>
      </c>
      <c r="N88" t="str">
        <v>Plastic Drawers</v>
      </c>
      <c r="O88">
        <v>18</v>
      </c>
      <c r="P88">
        <v>90526.19</v>
      </c>
      <c r="Q88">
        <v>10</v>
      </c>
      <c r="R88">
        <v>162947.14000000001</v>
      </c>
      <c r="S88">
        <v>1466524.28</v>
      </c>
      <c r="T88">
        <v>33251.42</v>
      </c>
      <c r="U88" t="str">
        <v>Furniture</v>
      </c>
      <c r="V88">
        <v>33251.42</v>
      </c>
      <c r="W88" t="str">
        <v>Large</v>
      </c>
      <c r="X88" t="str">
        <v>Large</v>
      </c>
      <c r="Y88" t="str">
        <v>Offer Discount</v>
      </c>
    </row>
    <row r="89" spans="1:25" x14ac:dyDescent="0.25">
      <c r="A89" t="str">
        <v>ORD-10105</v>
      </c>
      <c r="B89">
        <v>45124</v>
      </c>
      <c r="C89">
        <v>45127</v>
      </c>
      <c r="D89" t="str">
        <v>Second Class</v>
      </c>
      <c r="E89" t="str">
        <v>Gbenga</v>
      </c>
      <c r="F89" t="str">
        <v>Alakija</v>
      </c>
      <c r="G89" t="str">
        <v>gbenga.alakija@gmail.com</v>
      </c>
      <c r="H89">
        <v>8153829240</v>
      </c>
      <c r="I89" t="str">
        <v>Corporate</v>
      </c>
      <c r="J89" t="str">
        <v>East</v>
      </c>
      <c r="K89" t="str">
        <v>Enugu</v>
      </c>
      <c r="L89" t="str">
        <v>Food &amp; Beverages</v>
      </c>
      <c r="M89" t="str">
        <v>Condiments</v>
      </c>
      <c r="N89" t="str">
        <v>Maggi Cubes 100pk</v>
      </c>
      <c r="O89">
        <v>20</v>
      </c>
      <c r="P89">
        <v>1618.24</v>
      </c>
      <c r="Q89">
        <v>10</v>
      </c>
      <c r="R89">
        <v>3236.48</v>
      </c>
      <c r="S89">
        <v>29128.32</v>
      </c>
      <c r="T89">
        <v>10355.64</v>
      </c>
      <c r="U89" t="str">
        <v>Food &amp; Beverages</v>
      </c>
      <c r="V89">
        <v>10355.64</v>
      </c>
      <c r="W89" t="str">
        <v>Large</v>
      </c>
      <c r="X89" t="str">
        <v>Large</v>
      </c>
      <c r="Y89" t="str">
        <v>No Discount</v>
      </c>
    </row>
    <row r="90" spans="1:25" x14ac:dyDescent="0.25">
      <c r="A90" t="str">
        <v>ORD-10677</v>
      </c>
      <c r="B90">
        <v>45162</v>
      </c>
      <c r="C90">
        <v>45165</v>
      </c>
      <c r="D90" t="str">
        <v>Second Class</v>
      </c>
      <c r="E90" t="str">
        <v>Adaeze</v>
      </c>
      <c r="F90" t="str">
        <v>Gambo</v>
      </c>
      <c r="G90" t="str">
        <v>adaeze.gambo@outlook.com</v>
      </c>
      <c r="H90">
        <v>9052808110</v>
      </c>
      <c r="I90" t="str">
        <v>Corporate</v>
      </c>
      <c r="J90" t="str">
        <v>East</v>
      </c>
      <c r="K90" t="str">
        <v>Onitsha</v>
      </c>
      <c r="L90" t="str">
        <v>Technology</v>
      </c>
      <c r="M90" t="str">
        <v>Laptops</v>
      </c>
      <c r="N90" t="str">
        <v>Dell Inspiron 15</v>
      </c>
      <c r="O90">
        <v>14</v>
      </c>
      <c r="P90">
        <v>428214.79</v>
      </c>
      <c r="Q90">
        <v>20</v>
      </c>
      <c r="R90">
        <v>1199001.4099999999</v>
      </c>
      <c r="S90">
        <v>4796005.6500000004</v>
      </c>
      <c r="T90">
        <v>1412032.73</v>
      </c>
      <c r="U90" t="str">
        <v>Technology</v>
      </c>
      <c r="V90">
        <v>1412032.73</v>
      </c>
      <c r="W90" t="str">
        <v>Small</v>
      </c>
      <c r="X90" t="str">
        <v>Medium</v>
      </c>
      <c r="Y90" t="str">
        <v>No Discount</v>
      </c>
    </row>
    <row r="91" spans="1:25" x14ac:dyDescent="0.25">
      <c r="A91" t="str">
        <v>ORD-10755</v>
      </c>
      <c r="B91">
        <v>45225</v>
      </c>
      <c r="C91">
        <v>45228</v>
      </c>
      <c r="D91" t="str">
        <v>Second Class</v>
      </c>
      <c r="E91" t="str">
        <v>Musa</v>
      </c>
      <c r="F91" t="str">
        <v>Buhari</v>
      </c>
      <c r="G91" t="str">
        <v>musa.buhari@hotmail.com</v>
      </c>
      <c r="H91">
        <v>9023881944</v>
      </c>
      <c r="I91" t="str">
        <v>Consumer</v>
      </c>
      <c r="J91" t="str">
        <v>East</v>
      </c>
      <c r="K91" t="str">
        <v>Awka</v>
      </c>
      <c r="L91" t="str">
        <v>Furniture</v>
      </c>
      <c r="M91" t="str">
        <v>Sofas</v>
      </c>
      <c r="N91" t="str">
        <v>L-Shaped Sectional</v>
      </c>
      <c r="O91">
        <v>17</v>
      </c>
      <c r="P91">
        <v>64017.18</v>
      </c>
      <c r="Q91">
        <v>20</v>
      </c>
      <c r="R91">
        <v>217658.41</v>
      </c>
      <c r="S91">
        <v>870633.65</v>
      </c>
      <c r="T91">
        <v>210775.51</v>
      </c>
      <c r="U91" t="str">
        <v>Furniture</v>
      </c>
      <c r="V91">
        <v>210775.51</v>
      </c>
      <c r="W91" t="str">
        <v>Large</v>
      </c>
      <c r="X91" t="str">
        <v>Large</v>
      </c>
      <c r="Y91" t="str">
        <v>No Discount</v>
      </c>
    </row>
    <row r="92" spans="1:25" x14ac:dyDescent="0.25">
      <c r="A92" t="str">
        <v>ORD-10228</v>
      </c>
      <c r="B92">
        <v>45254</v>
      </c>
      <c r="C92">
        <v>45259</v>
      </c>
      <c r="D92" t="str">
        <v>Second Class</v>
      </c>
      <c r="E92" t="str">
        <v>Ronke</v>
      </c>
      <c r="F92" t="str">
        <v>Obi</v>
      </c>
      <c r="G92" t="str">
        <v>ronke.obi@gmail.com</v>
      </c>
      <c r="H92">
        <v>7065170429</v>
      </c>
      <c r="I92" t="str">
        <v>Home Office</v>
      </c>
      <c r="J92" t="str">
        <v>East</v>
      </c>
      <c r="K92" t="str">
        <v>Enugu</v>
      </c>
      <c r="L92" t="str">
        <v>Clothing</v>
      </c>
      <c r="M92" t="str">
        <v>Shoes</v>
      </c>
      <c r="N92" t="str">
        <v>Leather Loafers</v>
      </c>
      <c r="O92">
        <v>18</v>
      </c>
      <c r="P92">
        <v>8392.14</v>
      </c>
      <c r="Q92">
        <v>0</v>
      </c>
      <c r="R92">
        <v>0</v>
      </c>
      <c r="S92">
        <v>151058.51999999999</v>
      </c>
      <c r="T92">
        <v>-21603.34</v>
      </c>
      <c r="U92" t="str">
        <v>Clothing</v>
      </c>
      <c r="V92">
        <v>21603.34</v>
      </c>
      <c r="W92" t="str">
        <v>Large</v>
      </c>
      <c r="X92" t="str">
        <v>Large</v>
      </c>
      <c r="Y92" t="str">
        <v>No Discount</v>
      </c>
    </row>
    <row r="93" spans="1:25" x14ac:dyDescent="0.25">
      <c r="A93" t="str">
        <v>ORD-10753</v>
      </c>
      <c r="B93">
        <v>45260</v>
      </c>
      <c r="C93">
        <v>45264</v>
      </c>
      <c r="D93" t="str">
        <v>Second Class</v>
      </c>
      <c r="E93" t="str">
        <v>Taiwo</v>
      </c>
      <c r="F93" t="str">
        <v>Dangote</v>
      </c>
      <c r="G93" t="str">
        <v>taiwo.dangote@outlook.com</v>
      </c>
      <c r="H93">
        <v>9078382709</v>
      </c>
      <c r="I93" t="str">
        <v>Corporate</v>
      </c>
      <c r="J93" t="str">
        <v>East</v>
      </c>
      <c r="K93" t="str">
        <v>Aba</v>
      </c>
      <c r="L93" t="str">
        <v>Technology</v>
      </c>
      <c r="M93" t="str">
        <v>Phones</v>
      </c>
      <c r="N93" t="str">
        <v>Infinix Note 30</v>
      </c>
      <c r="O93">
        <v>17</v>
      </c>
      <c r="P93">
        <v>17835.02</v>
      </c>
      <c r="Q93">
        <v>20</v>
      </c>
      <c r="R93">
        <v>60639.07</v>
      </c>
      <c r="S93">
        <v>242556.27</v>
      </c>
      <c r="T93">
        <v>35770.44</v>
      </c>
      <c r="U93" t="str">
        <v>Technology</v>
      </c>
      <c r="V93">
        <v>35770.44</v>
      </c>
      <c r="W93" t="str">
        <v>Large</v>
      </c>
      <c r="X93" t="str">
        <v>Large</v>
      </c>
      <c r="Y93" t="str">
        <v>No Discount</v>
      </c>
    </row>
    <row r="94" spans="1:25" x14ac:dyDescent="0.25">
      <c r="A94" t="str">
        <v>ORD-10102</v>
      </c>
      <c r="B94">
        <v>45302</v>
      </c>
      <c r="C94">
        <v>45307</v>
      </c>
      <c r="D94" t="str">
        <v>Second Class</v>
      </c>
      <c r="E94" t="str">
        <v>Zainab</v>
      </c>
      <c r="F94" t="str">
        <v>Bello</v>
      </c>
      <c r="G94" t="str">
        <v>zainab.bello@yahoo.com</v>
      </c>
      <c r="H94">
        <v>9023329967</v>
      </c>
      <c r="I94" t="str">
        <v>Home Office</v>
      </c>
      <c r="J94" t="str">
        <v>East</v>
      </c>
      <c r="K94" t="str">
        <v>Onitsha</v>
      </c>
      <c r="L94" t="str">
        <v>Furniture</v>
      </c>
      <c r="M94" t="str">
        <v>Storage</v>
      </c>
      <c r="N94" t="str">
        <v>4-Drawer Cabinet</v>
      </c>
      <c r="O94">
        <v>19</v>
      </c>
      <c r="P94">
        <v>70074.2</v>
      </c>
      <c r="Q94">
        <v>10</v>
      </c>
      <c r="R94">
        <v>133140.98000000001</v>
      </c>
      <c r="S94">
        <v>1198268.82</v>
      </c>
      <c r="T94">
        <v>156306.38</v>
      </c>
      <c r="U94" t="str">
        <v>Furniture</v>
      </c>
      <c r="V94">
        <v>156306.38</v>
      </c>
      <c r="W94" t="str">
        <v>Large</v>
      </c>
      <c r="X94" t="str">
        <v>Large</v>
      </c>
      <c r="Y94" t="str">
        <v>Offer Discount</v>
      </c>
    </row>
    <row r="95" spans="1:25" x14ac:dyDescent="0.25">
      <c r="A95" t="str">
        <v>ORD-10256</v>
      </c>
      <c r="B95">
        <v>45333</v>
      </c>
      <c r="C95">
        <v>45338</v>
      </c>
      <c r="D95" t="str">
        <v>Second Class</v>
      </c>
      <c r="E95" t="str">
        <v>Chidinma_Adebayo</v>
      </c>
      <c r="F95" t="str">
        <v>Bello</v>
      </c>
      <c r="G95" t="str">
        <v>chidinma.adebayo@gmail.com</v>
      </c>
      <c r="H95">
        <v>8155220919</v>
      </c>
      <c r="I95" t="str">
        <v>Home Office</v>
      </c>
      <c r="J95" t="str">
        <v>East</v>
      </c>
      <c r="K95" t="str">
        <v>Aba</v>
      </c>
      <c r="L95" t="str">
        <v>Clothing</v>
      </c>
      <c r="M95" t="str">
        <v>Trousers</v>
      </c>
      <c r="N95" t="str">
        <v>Jeans Straight Cut</v>
      </c>
      <c r="O95">
        <v>12</v>
      </c>
      <c r="P95">
        <v>19451.21</v>
      </c>
      <c r="Q95">
        <v>20</v>
      </c>
      <c r="R95">
        <v>46682.9</v>
      </c>
      <c r="S95">
        <v>186731.62</v>
      </c>
      <c r="T95">
        <v>60798.78</v>
      </c>
      <c r="U95" t="str">
        <v>Clothing</v>
      </c>
      <c r="V95">
        <v>60798.78</v>
      </c>
      <c r="W95" t="str">
        <v>Small</v>
      </c>
      <c r="X95" t="str">
        <v>Small</v>
      </c>
      <c r="Y95" t="str">
        <v>No Discount</v>
      </c>
    </row>
    <row r="96" spans="1:25" x14ac:dyDescent="0.25">
      <c r="A96" t="str">
        <v>ORD-10427</v>
      </c>
      <c r="B96">
        <v>45398</v>
      </c>
      <c r="C96">
        <v>45401</v>
      </c>
      <c r="D96" t="str">
        <v>Second Class</v>
      </c>
      <c r="E96" t="str">
        <v>Amara</v>
      </c>
      <c r="F96" t="str">
        <v>Eze</v>
      </c>
      <c r="G96" t="str">
        <v>amara.eze@outlook.com</v>
      </c>
      <c r="H96">
        <v>0</v>
      </c>
      <c r="I96" t="str">
        <v>Corporate</v>
      </c>
      <c r="J96" t="str">
        <v>East</v>
      </c>
      <c r="K96" t="str">
        <v>Onitsha</v>
      </c>
      <c r="L96" t="str">
        <v>Furniture</v>
      </c>
      <c r="M96" t="str">
        <v>Bookcases</v>
      </c>
      <c r="N96" t="str">
        <v>Metal Bookcase</v>
      </c>
      <c r="O96">
        <v>15</v>
      </c>
      <c r="P96">
        <v>125693.94</v>
      </c>
      <c r="Q96">
        <v>0</v>
      </c>
      <c r="R96">
        <v>0</v>
      </c>
      <c r="S96">
        <v>1885409.1</v>
      </c>
      <c r="T96">
        <v>-271136.64000000001</v>
      </c>
      <c r="U96" t="str">
        <v>Furniture</v>
      </c>
      <c r="V96">
        <v>271136.64000000001</v>
      </c>
      <c r="W96" t="str">
        <v>Large</v>
      </c>
      <c r="X96" t="str">
        <v>Large</v>
      </c>
      <c r="Y96" t="str">
        <v>No Discount</v>
      </c>
    </row>
    <row r="97" spans="1:25" x14ac:dyDescent="0.25">
      <c r="A97" t="str">
        <v>ORD-10151</v>
      </c>
      <c r="B97">
        <v>45428</v>
      </c>
      <c r="C97">
        <v>45432</v>
      </c>
      <c r="D97" t="str">
        <v>Second Class</v>
      </c>
      <c r="E97" t="str">
        <v>Tunde</v>
      </c>
      <c r="F97" t="str">
        <v>Fashola</v>
      </c>
      <c r="G97" t="str">
        <v>tunde.fashola@hotmail.com</v>
      </c>
      <c r="H97">
        <v>9057724393</v>
      </c>
      <c r="I97" t="str">
        <v>Corporate</v>
      </c>
      <c r="J97" t="str">
        <v>East</v>
      </c>
      <c r="K97" t="str">
        <v>Onitsha</v>
      </c>
      <c r="L97" t="str">
        <v>Food &amp; Beverages</v>
      </c>
      <c r="M97" t="str">
        <v>Condiments</v>
      </c>
      <c r="N97" t="str">
        <v>Pepper Mix 200g</v>
      </c>
      <c r="O97">
        <v>12</v>
      </c>
      <c r="P97">
        <v>4486.07</v>
      </c>
      <c r="Q97">
        <v>25</v>
      </c>
      <c r="R97">
        <v>13458.21</v>
      </c>
      <c r="S97">
        <v>40374.629999999997</v>
      </c>
      <c r="T97">
        <v>8328.9599999999991</v>
      </c>
      <c r="U97" t="str">
        <v>Food &amp; Beverages</v>
      </c>
      <c r="V97">
        <v>8328.9599999999991</v>
      </c>
      <c r="W97" t="str">
        <v>Small</v>
      </c>
      <c r="X97" t="str">
        <v>Small</v>
      </c>
      <c r="Y97" t="str">
        <v>No Discount</v>
      </c>
    </row>
    <row r="98" spans="1:25" x14ac:dyDescent="0.25">
      <c r="A98" t="str">
        <v>ORD-10458</v>
      </c>
      <c r="B98">
        <v>45433</v>
      </c>
      <c r="C98">
        <v>45437</v>
      </c>
      <c r="D98" t="str">
        <v>Second Class</v>
      </c>
      <c r="E98" t="str">
        <v>Sade</v>
      </c>
      <c r="F98" t="str">
        <v>Musa</v>
      </c>
      <c r="G98" t="str">
        <v>sade.musa@gmail.com</v>
      </c>
      <c r="H98">
        <v>7063182100</v>
      </c>
      <c r="I98" t="str">
        <v>Consumer</v>
      </c>
      <c r="J98" t="str">
        <v>East</v>
      </c>
      <c r="K98" t="str">
        <v>Owerri</v>
      </c>
      <c r="L98" t="str">
        <v>Clothing</v>
      </c>
      <c r="M98" t="str">
        <v>Trousers</v>
      </c>
      <c r="N98" t="str">
        <v>Formal Trousers</v>
      </c>
      <c r="O98">
        <v>17</v>
      </c>
      <c r="P98">
        <v>5357.13</v>
      </c>
      <c r="Q98">
        <v>15</v>
      </c>
      <c r="R98">
        <v>13660.68</v>
      </c>
      <c r="S98">
        <v>77410.53</v>
      </c>
      <c r="T98">
        <v>15709.98</v>
      </c>
      <c r="U98" t="str">
        <v>Clothing</v>
      </c>
      <c r="V98">
        <v>15709.98</v>
      </c>
      <c r="W98" t="str">
        <v>Large</v>
      </c>
      <c r="X98" t="str">
        <v>Large</v>
      </c>
      <c r="Y98" t="str">
        <v>No Discount</v>
      </c>
    </row>
    <row r="99" spans="1:25" x14ac:dyDescent="0.25">
      <c r="A99" t="str">
        <v>ORD-10386</v>
      </c>
      <c r="B99">
        <v>45467</v>
      </c>
      <c r="C99">
        <v>45471</v>
      </c>
      <c r="D99" t="str">
        <v>Second Class</v>
      </c>
      <c r="E99" t="str">
        <v>Bola</v>
      </c>
      <c r="F99" t="str">
        <v>Atiku</v>
      </c>
      <c r="G99" t="str">
        <v>bola.atiku@hotmail.com</v>
      </c>
      <c r="H99">
        <v>8033339134</v>
      </c>
      <c r="I99" t="str">
        <v>Corporate</v>
      </c>
      <c r="J99" t="str">
        <v>East</v>
      </c>
      <c r="K99" t="str">
        <v>Abia</v>
      </c>
      <c r="L99" t="str">
        <v>Food &amp; Beverages</v>
      </c>
      <c r="M99" t="str">
        <v>Drinks</v>
      </c>
      <c r="N99" t="str">
        <v>Water 5L x6</v>
      </c>
      <c r="O99">
        <v>20</v>
      </c>
      <c r="P99">
        <v>490.93</v>
      </c>
      <c r="Q99">
        <v>5</v>
      </c>
      <c r="R99">
        <v>490.93</v>
      </c>
      <c r="S99">
        <v>9327.67</v>
      </c>
      <c r="T99">
        <v>1096.78</v>
      </c>
      <c r="U99" t="str">
        <v>Food &amp; Beverages</v>
      </c>
      <c r="V99">
        <v>1096.78</v>
      </c>
      <c r="W99" t="str">
        <v>Large</v>
      </c>
      <c r="X99" t="str">
        <v>Large</v>
      </c>
      <c r="Y99" t="str">
        <v>No Discount</v>
      </c>
    </row>
    <row r="100" spans="1:25" x14ac:dyDescent="0.25">
      <c r="A100" t="str">
        <v>ORD-10231</v>
      </c>
      <c r="B100">
        <v>45496</v>
      </c>
      <c r="C100">
        <v>45500</v>
      </c>
      <c r="D100" t="str">
        <v>Second Class</v>
      </c>
      <c r="E100" t="str">
        <v>Uchenna</v>
      </c>
      <c r="F100" t="str">
        <v>Gambo</v>
      </c>
      <c r="G100" t="str">
        <v>uchenna.gambo@gmail.com</v>
      </c>
      <c r="H100">
        <v>8034739945</v>
      </c>
      <c r="I100" t="str">
        <v>Home Office</v>
      </c>
      <c r="J100" t="str">
        <v>East</v>
      </c>
      <c r="K100" t="str">
        <v>Awka</v>
      </c>
      <c r="L100" t="str">
        <v>Clothing</v>
      </c>
      <c r="M100" t="str">
        <v>Shoes</v>
      </c>
      <c r="N100" t="str">
        <v>Sandals</v>
      </c>
      <c r="O100">
        <v>20</v>
      </c>
      <c r="P100">
        <v>34998.910000000003</v>
      </c>
      <c r="Q100">
        <v>20</v>
      </c>
      <c r="R100">
        <v>139995.64000000001</v>
      </c>
      <c r="S100">
        <v>559982.56000000006</v>
      </c>
      <c r="T100">
        <v>156792.23000000001</v>
      </c>
      <c r="U100" t="str">
        <v>Clothing</v>
      </c>
      <c r="V100">
        <v>156792.23000000001</v>
      </c>
      <c r="W100" t="str">
        <v>Large</v>
      </c>
      <c r="X100" t="str">
        <v>Large</v>
      </c>
      <c r="Y100" t="str">
        <v>No Discount</v>
      </c>
    </row>
    <row r="101" spans="1:25" x14ac:dyDescent="0.25">
      <c r="A101" t="str">
        <v>ORD-10716</v>
      </c>
      <c r="B101">
        <v>45535</v>
      </c>
      <c r="C101">
        <v>45538</v>
      </c>
      <c r="D101" t="str">
        <v>Second Class</v>
      </c>
      <c r="E101" t="str">
        <v>Adebayo</v>
      </c>
      <c r="F101" t="str">
        <v>Danjuma</v>
      </c>
      <c r="G101" t="str">
        <v>adebayo.danjuma@outlook.com</v>
      </c>
      <c r="H101">
        <v>7037340280</v>
      </c>
      <c r="I101" t="str">
        <v>Consumer</v>
      </c>
      <c r="J101" t="str">
        <v>East</v>
      </c>
      <c r="K101" t="str">
        <v>Enugu</v>
      </c>
      <c r="L101" t="str">
        <v>Food &amp; Beverages</v>
      </c>
      <c r="M101" t="str">
        <v>Drinks</v>
      </c>
      <c r="N101" t="str">
        <v>Water 5L x6</v>
      </c>
      <c r="O101">
        <v>12</v>
      </c>
      <c r="P101">
        <v>5699.92</v>
      </c>
      <c r="Q101">
        <v>0</v>
      </c>
      <c r="R101">
        <v>0</v>
      </c>
      <c r="S101">
        <v>68399.039999999994</v>
      </c>
      <c r="T101">
        <v>-3744.83</v>
      </c>
      <c r="U101" t="str">
        <v>Food &amp; Beverages</v>
      </c>
      <c r="V101">
        <v>3744.83</v>
      </c>
      <c r="W101" t="str">
        <v>Small</v>
      </c>
      <c r="X101" t="str">
        <v>Small</v>
      </c>
      <c r="Y101" t="str">
        <v>No Discount</v>
      </c>
    </row>
    <row r="102" spans="1:25" x14ac:dyDescent="0.25">
      <c r="A102" t="str">
        <v>ORD-10790</v>
      </c>
      <c r="B102">
        <v>45585</v>
      </c>
      <c r="C102">
        <v>45588</v>
      </c>
      <c r="D102" t="str">
        <v>Second Class</v>
      </c>
      <c r="E102" t="str">
        <v>Adaeze</v>
      </c>
      <c r="F102" t="str">
        <v>Adebayo</v>
      </c>
      <c r="G102" t="str">
        <v>adaeze.adebayo@yahoo.com</v>
      </c>
      <c r="H102" t="str">
        <v>1234567890</v>
      </c>
      <c r="I102" t="str">
        <v>Corporate</v>
      </c>
      <c r="J102" t="str">
        <v>East</v>
      </c>
      <c r="K102" t="str">
        <v>Owerri</v>
      </c>
      <c r="L102" t="str">
        <v>Technology</v>
      </c>
      <c r="M102" t="str">
        <v>Laptops</v>
      </c>
      <c r="N102" t="str">
        <v>Asus VivoBook 14</v>
      </c>
      <c r="O102">
        <v>16</v>
      </c>
      <c r="P102">
        <v>151122.09</v>
      </c>
      <c r="Q102">
        <v>0</v>
      </c>
      <c r="R102">
        <v>0</v>
      </c>
      <c r="S102">
        <v>2417953.44</v>
      </c>
      <c r="T102">
        <v>734909.59</v>
      </c>
      <c r="U102" t="str">
        <v>Technology</v>
      </c>
      <c r="V102">
        <v>734909.59</v>
      </c>
      <c r="W102" t="str">
        <v>Large</v>
      </c>
      <c r="X102" t="str">
        <v>Large</v>
      </c>
      <c r="Y102" t="str">
        <v>Offer Discount</v>
      </c>
    </row>
    <row r="103" spans="1:25" x14ac:dyDescent="0.25">
      <c r="A103" t="str">
        <v>ORD-10131</v>
      </c>
      <c r="B103">
        <v>45629</v>
      </c>
      <c r="C103">
        <v>45632</v>
      </c>
      <c r="D103" t="str">
        <v>Second Class</v>
      </c>
      <c r="E103" t="str">
        <v>Chibundo</v>
      </c>
      <c r="F103" t="str">
        <v>Eze</v>
      </c>
      <c r="G103" t="str">
        <v>chibundo.eze@outlook.com</v>
      </c>
      <c r="H103">
        <v>8033938247</v>
      </c>
      <c r="I103" t="str">
        <v>Corporate</v>
      </c>
      <c r="J103" t="str">
        <v>East</v>
      </c>
      <c r="K103" t="str">
        <v>Onitsha</v>
      </c>
      <c r="L103" t="str">
        <v>Clothing</v>
      </c>
      <c r="M103" t="str">
        <v>Accessories</v>
      </c>
      <c r="N103" t="str">
        <v>Silk Scarf</v>
      </c>
      <c r="O103">
        <v>12</v>
      </c>
      <c r="P103">
        <v>4016.02</v>
      </c>
      <c r="Q103">
        <v>15</v>
      </c>
      <c r="R103">
        <v>7228.84</v>
      </c>
      <c r="S103">
        <v>40963.4</v>
      </c>
      <c r="T103">
        <v>13169.03</v>
      </c>
      <c r="U103" t="str">
        <v>Clothing</v>
      </c>
      <c r="V103">
        <v>13169.03</v>
      </c>
      <c r="W103" t="str">
        <v>Small</v>
      </c>
      <c r="X103" t="str">
        <v>Small</v>
      </c>
      <c r="Y103" t="str">
        <v>No Discount</v>
      </c>
    </row>
    <row r="104" spans="1:25" x14ac:dyDescent="0.25">
      <c r="A104" t="str">
        <v>ORD-10455</v>
      </c>
      <c r="B104">
        <v>45627</v>
      </c>
      <c r="C104">
        <v>45632</v>
      </c>
      <c r="D104" t="str">
        <v>Second Class</v>
      </c>
      <c r="E104" t="str">
        <v>Nike</v>
      </c>
      <c r="F104" t="str">
        <v>Nwosu</v>
      </c>
      <c r="G104" t="str">
        <v>nike.nwosu@gmail.com</v>
      </c>
      <c r="H104">
        <v>8156238726</v>
      </c>
      <c r="I104" t="str">
        <v>Home Office</v>
      </c>
      <c r="J104" t="str">
        <v>East</v>
      </c>
      <c r="K104" t="str">
        <v>Owerri</v>
      </c>
      <c r="L104" t="str">
        <v>Food &amp; Beverages</v>
      </c>
      <c r="M104" t="str">
        <v>Grains</v>
      </c>
      <c r="N104" t="str">
        <v>Semolina 5kg</v>
      </c>
      <c r="O104">
        <v>18</v>
      </c>
      <c r="P104">
        <v>480.35</v>
      </c>
      <c r="Q104">
        <v>10</v>
      </c>
      <c r="R104">
        <v>864.63</v>
      </c>
      <c r="S104">
        <v>7781.67</v>
      </c>
      <c r="T104">
        <v>-40.43</v>
      </c>
      <c r="U104" t="str">
        <v>Food &amp; Beverages</v>
      </c>
      <c r="V104">
        <v>40.43</v>
      </c>
      <c r="W104" t="str">
        <v>Large</v>
      </c>
      <c r="X104" t="str">
        <v>Large</v>
      </c>
      <c r="Y104" t="str">
        <v>No Discount</v>
      </c>
    </row>
    <row r="105" spans="1:25" x14ac:dyDescent="0.25">
      <c r="A105" t="str">
        <v>ORD-10862</v>
      </c>
      <c r="B105">
        <v>44565</v>
      </c>
      <c r="C105">
        <v>44565</v>
      </c>
      <c r="D105" t="str">
        <v>Same Day</v>
      </c>
      <c r="E105" t="str">
        <v>Kehinde</v>
      </c>
      <c r="F105" t="str">
        <v>Gambo</v>
      </c>
      <c r="G105" t="str">
        <v>kehinde.gambo@hotmail.com</v>
      </c>
      <c r="H105">
        <v>8159196133</v>
      </c>
      <c r="I105" t="str">
        <v>Consumer</v>
      </c>
      <c r="J105" t="str">
        <v>East</v>
      </c>
      <c r="K105" t="str">
        <v>Onitsha</v>
      </c>
      <c r="L105" t="str">
        <v>Furniture</v>
      </c>
      <c r="M105" t="str">
        <v>Chairs</v>
      </c>
      <c r="N105" t="str">
        <v>Visitor Chair</v>
      </c>
      <c r="O105">
        <v>20</v>
      </c>
      <c r="P105">
        <v>70613.98</v>
      </c>
      <c r="Q105">
        <v>10</v>
      </c>
      <c r="R105">
        <v>141227.96</v>
      </c>
      <c r="S105">
        <v>1271051.6399999999</v>
      </c>
      <c r="T105">
        <v>157298.35</v>
      </c>
      <c r="U105" t="str">
        <v>Furniture</v>
      </c>
      <c r="V105">
        <v>157298.35</v>
      </c>
      <c r="W105" t="str">
        <v>Large</v>
      </c>
      <c r="X105" t="str">
        <v>Large</v>
      </c>
      <c r="Y105" t="str">
        <v>Offer Discount</v>
      </c>
    </row>
    <row r="106" spans="1:25" x14ac:dyDescent="0.25">
      <c r="A106" t="str">
        <v>ORD-10288</v>
      </c>
      <c r="B106">
        <v>44578</v>
      </c>
      <c r="C106">
        <v>44578</v>
      </c>
      <c r="D106" t="str">
        <v>Same Day</v>
      </c>
      <c r="E106" t="str">
        <v>Sade</v>
      </c>
      <c r="F106" t="str">
        <v>Okafor</v>
      </c>
      <c r="G106" t="str">
        <v>sade.okafor@gmail.com</v>
      </c>
      <c r="H106">
        <v>8144643811</v>
      </c>
      <c r="I106" t="str">
        <v>Consumer</v>
      </c>
      <c r="J106" t="str">
        <v>East</v>
      </c>
      <c r="K106" t="str">
        <v>Aba</v>
      </c>
      <c r="L106" t="str">
        <v>Office Supplies</v>
      </c>
      <c r="M106" t="str">
        <v>Envelopes</v>
      </c>
      <c r="N106" t="str">
        <v>Padded Envelopes</v>
      </c>
      <c r="O106">
        <v>16</v>
      </c>
      <c r="P106">
        <v>19750.27</v>
      </c>
      <c r="Q106">
        <v>10</v>
      </c>
      <c r="R106">
        <v>31600.43</v>
      </c>
      <c r="S106">
        <v>284403.89</v>
      </c>
      <c r="T106">
        <v>36463.620000000003</v>
      </c>
      <c r="U106" t="str">
        <v>Office Supplies</v>
      </c>
      <c r="V106">
        <v>36463.620000000003</v>
      </c>
      <c r="W106" t="str">
        <v>Large</v>
      </c>
      <c r="X106" t="str">
        <v>Large</v>
      </c>
      <c r="Y106" t="str">
        <v>No Discount</v>
      </c>
    </row>
    <row r="107" spans="1:25" x14ac:dyDescent="0.25">
      <c r="A107" t="str">
        <v>ORD-10363</v>
      </c>
      <c r="B107">
        <v>44595</v>
      </c>
      <c r="C107">
        <v>44595</v>
      </c>
      <c r="D107" t="str">
        <v>Same Day</v>
      </c>
      <c r="E107" t="str">
        <v>Adaeze</v>
      </c>
      <c r="F107" t="str">
        <v>Adeleke</v>
      </c>
      <c r="G107" t="str">
        <v>adaeze.adeleke@outlook.com</v>
      </c>
      <c r="H107">
        <v>9021718308</v>
      </c>
      <c r="I107" t="str">
        <v>Home Office</v>
      </c>
      <c r="J107" t="str">
        <v>East</v>
      </c>
      <c r="K107" t="str">
        <v>Owerri</v>
      </c>
      <c r="L107" t="str">
        <v>Clothing</v>
      </c>
      <c r="M107" t="str">
        <v>Shirts</v>
      </c>
      <c r="N107" t="str">
        <v>Women's Blouse</v>
      </c>
      <c r="O107">
        <v>17</v>
      </c>
      <c r="P107">
        <v>36705.46</v>
      </c>
      <c r="Q107">
        <v>20</v>
      </c>
      <c r="R107">
        <v>124798.56</v>
      </c>
      <c r="S107">
        <v>499194.26</v>
      </c>
      <c r="T107">
        <v>206693.32</v>
      </c>
      <c r="U107" t="str">
        <v>Clothing</v>
      </c>
      <c r="V107">
        <v>206693.32</v>
      </c>
      <c r="W107" t="str">
        <v>Large</v>
      </c>
      <c r="X107" t="str">
        <v>Large</v>
      </c>
      <c r="Y107" t="str">
        <v>No Discount</v>
      </c>
    </row>
    <row r="108" spans="1:25" x14ac:dyDescent="0.25">
      <c r="A108" t="str">
        <v>ORD-10881</v>
      </c>
      <c r="B108">
        <v>44625</v>
      </c>
      <c r="C108">
        <v>44626</v>
      </c>
      <c r="D108" t="str">
        <v>Same Day</v>
      </c>
      <c r="E108" t="str">
        <v>Tunde</v>
      </c>
      <c r="F108" t="str">
        <v>Otedola</v>
      </c>
      <c r="G108" t="str">
        <v>tunde.otedola@gmail.com</v>
      </c>
      <c r="H108">
        <v>9013442155</v>
      </c>
      <c r="I108" t="str">
        <v>Consumer</v>
      </c>
      <c r="J108" t="str">
        <v>East</v>
      </c>
      <c r="K108" t="str">
        <v>Owerri</v>
      </c>
      <c r="L108" t="str">
        <v>Technology</v>
      </c>
      <c r="M108" t="str">
        <v>Tablets</v>
      </c>
      <c r="N108" t="str">
        <v>Lenovo Tab M10</v>
      </c>
      <c r="O108">
        <v>15</v>
      </c>
      <c r="P108">
        <v>186071.29</v>
      </c>
      <c r="Q108">
        <v>10</v>
      </c>
      <c r="R108">
        <v>279106.93</v>
      </c>
      <c r="S108">
        <v>2511962.42</v>
      </c>
      <c r="T108">
        <v>80629.3</v>
      </c>
      <c r="U108" t="str">
        <v>Technology</v>
      </c>
      <c r="V108">
        <v>80629.3</v>
      </c>
      <c r="W108" t="str">
        <v>Large</v>
      </c>
      <c r="X108" t="str">
        <v>Large</v>
      </c>
      <c r="Y108" t="str">
        <v>No Discount</v>
      </c>
    </row>
    <row r="109" spans="1:25" x14ac:dyDescent="0.25">
      <c r="A109" t="str">
        <v>ORD-10280</v>
      </c>
      <c r="B109">
        <v>44708</v>
      </c>
      <c r="C109">
        <v>44708</v>
      </c>
      <c r="D109" t="str">
        <v>Same Day</v>
      </c>
      <c r="E109" t="str">
        <v>Aisha</v>
      </c>
      <c r="F109" t="str">
        <v>Osei</v>
      </c>
      <c r="G109" t="str">
        <v>aisha.osei@yahoo.com</v>
      </c>
      <c r="H109">
        <v>7036316334</v>
      </c>
      <c r="I109" t="str">
        <v>Home Office</v>
      </c>
      <c r="J109" t="str">
        <v>East</v>
      </c>
      <c r="K109" t="str">
        <v>Owerri</v>
      </c>
      <c r="L109" t="str">
        <v>Office Supplies</v>
      </c>
      <c r="M109" t="str">
        <v>Fasteners</v>
      </c>
      <c r="N109" t="str">
        <v>Binder Clips Asst.</v>
      </c>
      <c r="O109">
        <v>13</v>
      </c>
      <c r="P109">
        <v>15331.93</v>
      </c>
      <c r="Q109">
        <v>10</v>
      </c>
      <c r="R109">
        <v>19931.509999999998</v>
      </c>
      <c r="S109">
        <v>179383.58</v>
      </c>
      <c r="T109">
        <v>68634.86</v>
      </c>
      <c r="U109" t="str">
        <v>Office Supplies</v>
      </c>
      <c r="V109">
        <v>68634.86</v>
      </c>
      <c r="W109" t="str">
        <v>Small</v>
      </c>
      <c r="X109" t="str">
        <v>Small</v>
      </c>
      <c r="Y109" t="str">
        <v>No Discount</v>
      </c>
    </row>
    <row r="110" spans="1:25" x14ac:dyDescent="0.25">
      <c r="A110" t="str">
        <v>ORD-10052</v>
      </c>
      <c r="B110">
        <v>44752</v>
      </c>
      <c r="C110">
        <v>44752</v>
      </c>
      <c r="D110" t="str">
        <v>Same Day</v>
      </c>
      <c r="E110" t="str">
        <v>Bola</v>
      </c>
      <c r="F110" t="str">
        <v>Fashola</v>
      </c>
      <c r="G110" t="str">
        <v>bola.fashola@gmail.com</v>
      </c>
      <c r="H110">
        <v>9073583206</v>
      </c>
      <c r="I110" t="str">
        <v>Consumer</v>
      </c>
      <c r="J110" t="str">
        <v>East</v>
      </c>
      <c r="K110" t="str">
        <v>Awka</v>
      </c>
      <c r="L110" t="str">
        <v>Clothing</v>
      </c>
      <c r="M110" t="str">
        <v>Shoes</v>
      </c>
      <c r="N110" t="str">
        <v>Sandals</v>
      </c>
      <c r="O110">
        <v>14</v>
      </c>
      <c r="P110">
        <v>32332.7</v>
      </c>
      <c r="Q110">
        <v>20</v>
      </c>
      <c r="R110">
        <v>90531.56</v>
      </c>
      <c r="S110">
        <v>362126.24</v>
      </c>
      <c r="T110">
        <v>158664.45000000001</v>
      </c>
      <c r="U110" t="str">
        <v>Clothing</v>
      </c>
      <c r="V110">
        <v>158664.45000000001</v>
      </c>
      <c r="W110" t="str">
        <v>Small</v>
      </c>
      <c r="X110" t="str">
        <v>Medium</v>
      </c>
      <c r="Y110" t="str">
        <v>No Discount</v>
      </c>
    </row>
    <row r="111" spans="1:25" x14ac:dyDescent="0.25">
      <c r="A111" t="str">
        <v>ORD-10149</v>
      </c>
      <c r="B111">
        <v>44840</v>
      </c>
      <c r="C111">
        <v>44841</v>
      </c>
      <c r="D111" t="str">
        <v>Same Day</v>
      </c>
      <c r="E111" t="str">
        <v>Chisom</v>
      </c>
      <c r="F111" t="str">
        <v>Alakija</v>
      </c>
      <c r="G111" t="str">
        <v>chisom.alakija@yahoo.com</v>
      </c>
      <c r="H111">
        <v>8146271120</v>
      </c>
      <c r="I111" t="str">
        <v>Corporate</v>
      </c>
      <c r="J111" t="str">
        <v>East</v>
      </c>
      <c r="K111" t="str">
        <v>Owerri</v>
      </c>
      <c r="L111" t="str">
        <v>Furniture</v>
      </c>
      <c r="M111" t="str">
        <v>Storage</v>
      </c>
      <c r="N111" t="str">
        <v>Plastic Drawers</v>
      </c>
      <c r="O111">
        <v>16</v>
      </c>
      <c r="P111">
        <v>58129.08</v>
      </c>
      <c r="Q111">
        <v>5</v>
      </c>
      <c r="R111">
        <v>46503.26</v>
      </c>
      <c r="S111">
        <v>883562.02</v>
      </c>
      <c r="T111">
        <v>40230.120000000003</v>
      </c>
      <c r="U111" t="str">
        <v>Furniture</v>
      </c>
      <c r="V111">
        <v>40230.120000000003</v>
      </c>
      <c r="W111" t="str">
        <v>Large</v>
      </c>
      <c r="X111" t="str">
        <v>Large</v>
      </c>
      <c r="Y111" t="str">
        <v>No Discount</v>
      </c>
    </row>
    <row r="112" spans="1:25" x14ac:dyDescent="0.25">
      <c r="A112" t="str">
        <v>ORD-10385</v>
      </c>
      <c r="B112">
        <v>44894</v>
      </c>
      <c r="C112">
        <v>44895</v>
      </c>
      <c r="D112" t="str">
        <v>Same Day</v>
      </c>
      <c r="E112" t="str">
        <v>Bola</v>
      </c>
      <c r="F112" t="str">
        <v>Okonkwo</v>
      </c>
      <c r="G112" t="str">
        <v>bola.okonkwo@hotmail.com</v>
      </c>
      <c r="H112">
        <v>8143439136</v>
      </c>
      <c r="I112" t="str">
        <v>Corporate</v>
      </c>
      <c r="J112" t="str">
        <v>East</v>
      </c>
      <c r="K112" t="str">
        <v>Onitsha</v>
      </c>
      <c r="L112" t="str">
        <v>Clothing</v>
      </c>
      <c r="M112" t="str">
        <v>Shoes</v>
      </c>
      <c r="N112" t="str">
        <v>Women's Heels</v>
      </c>
      <c r="O112">
        <v>18</v>
      </c>
      <c r="P112">
        <v>2184.66</v>
      </c>
      <c r="Q112">
        <v>25</v>
      </c>
      <c r="R112">
        <v>9830.9699999999993</v>
      </c>
      <c r="S112">
        <v>29492.91</v>
      </c>
      <c r="T112">
        <v>1438.32</v>
      </c>
      <c r="U112" t="str">
        <v>Clothing</v>
      </c>
      <c r="V112">
        <v>1438.32</v>
      </c>
      <c r="W112" t="str">
        <v>Large</v>
      </c>
      <c r="X112" t="str">
        <v>Large</v>
      </c>
      <c r="Y112" t="str">
        <v>No Discount</v>
      </c>
    </row>
    <row r="113" spans="1:25" x14ac:dyDescent="0.25">
      <c r="A113" t="str">
        <v>ORD-10062</v>
      </c>
      <c r="B113">
        <v>44921</v>
      </c>
      <c r="C113">
        <v>44921</v>
      </c>
      <c r="D113" t="str">
        <v>Same Day</v>
      </c>
      <c r="E113" t="str">
        <v>Kemi</v>
      </c>
      <c r="F113" t="str">
        <v>Sule</v>
      </c>
      <c r="G113" t="str">
        <v>kemi.sule@outlook.com</v>
      </c>
      <c r="H113">
        <v>8159418719</v>
      </c>
      <c r="I113" t="str">
        <v>Home Office</v>
      </c>
      <c r="J113" t="str">
        <v>East</v>
      </c>
      <c r="K113" t="str">
        <v>Aba</v>
      </c>
      <c r="L113" t="str">
        <v>Office Supplies</v>
      </c>
      <c r="M113" t="str">
        <v>Art Supplies</v>
      </c>
      <c r="N113" t="str">
        <v>Acrylic Paint Kit</v>
      </c>
      <c r="O113">
        <v>16</v>
      </c>
      <c r="P113">
        <v>6795.77</v>
      </c>
      <c r="Q113">
        <v>10</v>
      </c>
      <c r="R113">
        <v>10873.23</v>
      </c>
      <c r="S113">
        <v>97859.09</v>
      </c>
      <c r="T113">
        <v>29155.71</v>
      </c>
      <c r="U113" t="str">
        <v>Office Supplies</v>
      </c>
      <c r="V113">
        <v>29155.71</v>
      </c>
      <c r="W113" t="str">
        <v>Large</v>
      </c>
      <c r="X113" t="str">
        <v>Large</v>
      </c>
      <c r="Y113" t="str">
        <v>No Discount</v>
      </c>
    </row>
    <row r="114" spans="1:25" x14ac:dyDescent="0.25">
      <c r="A114" t="str">
        <v>ORD-10206</v>
      </c>
      <c r="B114">
        <v>45112</v>
      </c>
      <c r="C114">
        <v>45113</v>
      </c>
      <c r="D114" t="str">
        <v>Same Day</v>
      </c>
      <c r="E114" t="str">
        <v>Amara</v>
      </c>
      <c r="F114" t="str">
        <v>Osei</v>
      </c>
      <c r="G114" t="str">
        <v>amara.osei@outlook.com</v>
      </c>
      <c r="H114">
        <v>8165703436</v>
      </c>
      <c r="I114" t="str">
        <v>Consumer</v>
      </c>
      <c r="J114" t="str">
        <v>East</v>
      </c>
      <c r="K114" t="str">
        <v>Onitsha</v>
      </c>
      <c r="L114" t="str">
        <v>CLOTHING</v>
      </c>
      <c r="M114" t="str">
        <v>Shirts</v>
      </c>
      <c r="N114" t="str">
        <v>Women's Blouse</v>
      </c>
      <c r="O114">
        <v>15</v>
      </c>
      <c r="P114">
        <v>7778.58</v>
      </c>
      <c r="Q114">
        <v>10</v>
      </c>
      <c r="R114">
        <v>11667.87</v>
      </c>
      <c r="S114">
        <v>105010.83</v>
      </c>
      <c r="T114">
        <v>1223.58</v>
      </c>
      <c r="U114" t="str">
        <v>Clothing</v>
      </c>
      <c r="V114">
        <v>1223.58</v>
      </c>
      <c r="W114" t="str">
        <v>Large</v>
      </c>
      <c r="X114" t="str">
        <v>Large</v>
      </c>
      <c r="Y114" t="str">
        <v>No Discount</v>
      </c>
    </row>
    <row r="115" spans="1:25" x14ac:dyDescent="0.25">
      <c r="A115" t="str">
        <v>ORD-10111</v>
      </c>
      <c r="B115">
        <v>45134</v>
      </c>
      <c r="C115">
        <v>45134</v>
      </c>
      <c r="D115" t="str">
        <v>Same Day</v>
      </c>
      <c r="E115" t="str">
        <v>Kemi</v>
      </c>
      <c r="F115" t="str">
        <v>Bello</v>
      </c>
      <c r="G115" t="str">
        <v>kemi.bello@hotmail.com</v>
      </c>
      <c r="H115">
        <v>7036688907</v>
      </c>
      <c r="I115" t="str">
        <v>Corporate</v>
      </c>
      <c r="J115" t="str">
        <v>East</v>
      </c>
      <c r="K115" t="str">
        <v>Enugu</v>
      </c>
      <c r="L115" t="str">
        <v>Food &amp; Beverages</v>
      </c>
      <c r="M115" t="str">
        <v>Grains</v>
      </c>
      <c r="N115" t="str">
        <v>Semolina 5kg</v>
      </c>
      <c r="O115">
        <v>17</v>
      </c>
      <c r="P115">
        <v>1832.75</v>
      </c>
      <c r="Q115">
        <v>15</v>
      </c>
      <c r="R115">
        <v>4673.51</v>
      </c>
      <c r="S115">
        <v>26483.24</v>
      </c>
      <c r="T115">
        <v>3973.72</v>
      </c>
      <c r="U115" t="str">
        <v>Food &amp; Beverages</v>
      </c>
      <c r="V115">
        <v>3973.72</v>
      </c>
      <c r="W115" t="str">
        <v>Large</v>
      </c>
      <c r="X115" t="str">
        <v>Large</v>
      </c>
      <c r="Y115" t="str">
        <v>No Discount</v>
      </c>
    </row>
    <row r="116" spans="1:25" x14ac:dyDescent="0.25">
      <c r="A116" t="str">
        <v>ORD-10110</v>
      </c>
      <c r="B116">
        <v>45147</v>
      </c>
      <c r="C116">
        <v>45147</v>
      </c>
      <c r="D116" t="str">
        <v>Same Day</v>
      </c>
      <c r="E116" t="str">
        <v>Yemi</v>
      </c>
      <c r="F116" t="str">
        <v>Ogundipe</v>
      </c>
      <c r="G116" t="str">
        <v>yemi.ogundipe@yahoo.com</v>
      </c>
      <c r="H116">
        <v>8167136730</v>
      </c>
      <c r="I116" t="str">
        <v>Home Office</v>
      </c>
      <c r="J116" t="str">
        <v>East</v>
      </c>
      <c r="K116" t="str">
        <v>Owerri</v>
      </c>
      <c r="L116" t="str">
        <v>Clothing</v>
      </c>
      <c r="M116" t="str">
        <v>Shoes</v>
      </c>
      <c r="N116" t="str">
        <v>Men's Oxford Shoes</v>
      </c>
      <c r="O116">
        <v>19</v>
      </c>
      <c r="P116">
        <v>19225.009999999998</v>
      </c>
      <c r="Q116">
        <v>25</v>
      </c>
      <c r="R116">
        <v>91318.8</v>
      </c>
      <c r="S116">
        <v>273956.39</v>
      </c>
      <c r="T116">
        <v>-9097.2199999999993</v>
      </c>
      <c r="U116" t="str">
        <v>Clothing</v>
      </c>
      <c r="V116">
        <v>9097.2199999999993</v>
      </c>
      <c r="W116" t="str">
        <v>Large</v>
      </c>
      <c r="X116" t="str">
        <v>Large</v>
      </c>
      <c r="Y116" t="str">
        <v>No Discount</v>
      </c>
    </row>
    <row r="117" spans="1:25" x14ac:dyDescent="0.25">
      <c r="A117" t="str">
        <v>ORD-10402</v>
      </c>
      <c r="B117">
        <v>45157</v>
      </c>
      <c r="C117">
        <v>45158</v>
      </c>
      <c r="D117" t="str">
        <v>Same Day</v>
      </c>
      <c r="E117" t="str">
        <v>Musa</v>
      </c>
      <c r="F117" t="str">
        <v>Lawal</v>
      </c>
      <c r="G117" t="str">
        <v>musa.lawal@gmail.com</v>
      </c>
      <c r="H117" t="str">
        <v>0803-123-4567</v>
      </c>
      <c r="I117" t="str">
        <v>Consumer</v>
      </c>
      <c r="J117" t="str">
        <v>East</v>
      </c>
      <c r="K117" t="str">
        <v>Owerri</v>
      </c>
      <c r="L117" t="str">
        <v>OFFICE SUPPLIES</v>
      </c>
      <c r="M117" t="str">
        <v>Binders</v>
      </c>
      <c r="N117" t="str">
        <v>Ring Binder A4</v>
      </c>
      <c r="O117">
        <v>16</v>
      </c>
      <c r="P117">
        <v>24968.720000000001</v>
      </c>
      <c r="Q117">
        <v>0</v>
      </c>
      <c r="R117">
        <v>0</v>
      </c>
      <c r="S117">
        <v>399499.52000000002</v>
      </c>
      <c r="T117">
        <v>35084.79</v>
      </c>
      <c r="U117" t="str">
        <v>Office Supplies</v>
      </c>
      <c r="V117">
        <v>35084.79</v>
      </c>
      <c r="W117" t="str">
        <v>Large</v>
      </c>
      <c r="X117" t="str">
        <v>Large</v>
      </c>
      <c r="Y117" t="str">
        <v>No Discount</v>
      </c>
    </row>
    <row r="118" spans="1:25" x14ac:dyDescent="0.25">
      <c r="A118" t="str">
        <v>ORD-10472</v>
      </c>
      <c r="B118">
        <v>45234</v>
      </c>
      <c r="C118">
        <v>45234</v>
      </c>
      <c r="D118" t="str">
        <v>Same Day</v>
      </c>
      <c r="E118" t="str">
        <v>Kemi</v>
      </c>
      <c r="F118" t="str">
        <v>Tinubu</v>
      </c>
      <c r="G118" t="str">
        <v>kemi.tinubu@gmail.com</v>
      </c>
      <c r="H118">
        <v>9058994829</v>
      </c>
      <c r="I118" t="str">
        <v>Consumer</v>
      </c>
      <c r="J118" t="str">
        <v>East</v>
      </c>
      <c r="K118" t="str">
        <v>Aba</v>
      </c>
      <c r="L118" t="str">
        <v>Technology</v>
      </c>
      <c r="M118" t="str">
        <v>Laptops</v>
      </c>
      <c r="N118" t="str">
        <v>Lenovo IdeaPad 3</v>
      </c>
      <c r="O118">
        <v>16</v>
      </c>
      <c r="P118">
        <v>194725.92</v>
      </c>
      <c r="Q118">
        <v>15</v>
      </c>
      <c r="R118">
        <v>467342.21</v>
      </c>
      <c r="S118">
        <v>2648272.5099999998</v>
      </c>
      <c r="T118">
        <v>457830.36</v>
      </c>
      <c r="U118" t="str">
        <v>Technology</v>
      </c>
      <c r="V118">
        <v>457830.36</v>
      </c>
      <c r="W118" t="str">
        <v>Large</v>
      </c>
      <c r="X118" t="str">
        <v>Large</v>
      </c>
      <c r="Y118" t="str">
        <v>Offer Discount</v>
      </c>
    </row>
    <row r="119" spans="1:25" x14ac:dyDescent="0.25">
      <c r="A119" t="str">
        <v>ORD-10928</v>
      </c>
      <c r="B119">
        <v>45253</v>
      </c>
      <c r="C119">
        <v>45253</v>
      </c>
      <c r="D119" t="str">
        <v>Same Day</v>
      </c>
      <c r="E119" t="str">
        <v>Dayo</v>
      </c>
      <c r="F119" t="str">
        <v>Buhari</v>
      </c>
      <c r="G119" t="str">
        <v>dayo.buhari@hotmail.com</v>
      </c>
      <c r="H119">
        <v>8153048456</v>
      </c>
      <c r="I119" t="str">
        <v>Consumer</v>
      </c>
      <c r="J119" t="str">
        <v>East</v>
      </c>
      <c r="K119" t="str">
        <v>Onitsha</v>
      </c>
      <c r="L119" t="str">
        <v>Clothing</v>
      </c>
      <c r="M119" t="str">
        <v>Accessories</v>
      </c>
      <c r="N119" t="str">
        <v>Wristwatch</v>
      </c>
      <c r="O119">
        <v>12</v>
      </c>
      <c r="P119">
        <v>35776.370000000003</v>
      </c>
      <c r="Q119">
        <v>0</v>
      </c>
      <c r="R119">
        <v>0</v>
      </c>
      <c r="S119">
        <v>429316.44</v>
      </c>
      <c r="T119">
        <v>26593.62</v>
      </c>
      <c r="U119" t="str">
        <v>Clothing</v>
      </c>
      <c r="V119">
        <v>26593.62</v>
      </c>
      <c r="W119" t="str">
        <v>Small</v>
      </c>
      <c r="X119" t="str">
        <v>Small</v>
      </c>
      <c r="Y119" t="str">
        <v>No Discount</v>
      </c>
    </row>
    <row r="120" spans="1:25" x14ac:dyDescent="0.25">
      <c r="A120" t="str">
        <v>ORD-10388</v>
      </c>
      <c r="B120">
        <v>45319</v>
      </c>
      <c r="C120">
        <v>45320</v>
      </c>
      <c r="D120" t="str">
        <v>Same Day</v>
      </c>
      <c r="E120" t="str">
        <v>Uchenna</v>
      </c>
      <c r="F120" t="str">
        <v>Okonkwo</v>
      </c>
      <c r="G120" t="str">
        <v>uchenna.okonkwo@outlook.com</v>
      </c>
      <c r="H120">
        <v>7036894759</v>
      </c>
      <c r="I120" t="str">
        <v>Consumer</v>
      </c>
      <c r="J120" t="str">
        <v>East</v>
      </c>
      <c r="K120" t="str">
        <v>Owerri</v>
      </c>
      <c r="L120" t="str">
        <v>Office Supplies</v>
      </c>
      <c r="M120" t="str">
        <v>Envelopes</v>
      </c>
      <c r="N120" t="str">
        <v>C5 Envelopes</v>
      </c>
      <c r="O120">
        <v>15</v>
      </c>
      <c r="P120">
        <v>2646.17</v>
      </c>
      <c r="Q120">
        <v>15</v>
      </c>
      <c r="R120">
        <v>5953.88</v>
      </c>
      <c r="S120">
        <v>33738.67</v>
      </c>
      <c r="T120">
        <v>11208.37</v>
      </c>
      <c r="U120" t="str">
        <v>Office Supplies</v>
      </c>
      <c r="V120">
        <v>11208.37</v>
      </c>
      <c r="W120" t="str">
        <v>Large</v>
      </c>
      <c r="X120" t="str">
        <v>Large</v>
      </c>
      <c r="Y120" t="str">
        <v>No Discount</v>
      </c>
    </row>
    <row r="121" spans="1:25" x14ac:dyDescent="0.25">
      <c r="A121" t="str">
        <v>ORD-10822</v>
      </c>
      <c r="B121">
        <v>45329</v>
      </c>
      <c r="C121">
        <v>45330</v>
      </c>
      <c r="D121" t="str">
        <v>Same Day</v>
      </c>
      <c r="E121" t="str">
        <v>Ibrahim</v>
      </c>
      <c r="F121" t="str">
        <v>Olawale</v>
      </c>
      <c r="G121" t="str">
        <v>ibrahim.olawale@yahoo.com</v>
      </c>
      <c r="H121">
        <v>8142822847</v>
      </c>
      <c r="I121" t="str">
        <v>Home Office</v>
      </c>
      <c r="J121" t="str">
        <v>East</v>
      </c>
      <c r="K121" t="str">
        <v>Owerri</v>
      </c>
      <c r="L121" t="str">
        <v>Food &amp; Beverages</v>
      </c>
      <c r="M121" t="str">
        <v>Cooking Oil</v>
      </c>
      <c r="N121" t="str">
        <v>Groundnut Oil 3L</v>
      </c>
      <c r="O121">
        <v>20</v>
      </c>
      <c r="P121">
        <v>7266.01</v>
      </c>
      <c r="Q121">
        <v>15</v>
      </c>
      <c r="R121">
        <v>21798.03</v>
      </c>
      <c r="S121">
        <v>123522.17</v>
      </c>
      <c r="T121">
        <v>-14757.02</v>
      </c>
      <c r="U121" t="str">
        <v>Food &amp; Beverages</v>
      </c>
      <c r="V121">
        <v>14757.02</v>
      </c>
      <c r="W121" t="str">
        <v>Large</v>
      </c>
      <c r="X121" t="str">
        <v>Large</v>
      </c>
      <c r="Y121" t="str">
        <v>No Discount</v>
      </c>
    </row>
    <row r="122" spans="1:25" x14ac:dyDescent="0.25">
      <c r="A122" t="str">
        <v>ORD-10281</v>
      </c>
      <c r="B122">
        <v>45409</v>
      </c>
      <c r="C122">
        <v>45409</v>
      </c>
      <c r="D122" t="str">
        <v>Same Day</v>
      </c>
      <c r="E122" t="str">
        <v>Fatima</v>
      </c>
      <c r="F122" t="str">
        <v>Lawal</v>
      </c>
      <c r="G122" t="str">
        <v>fatima.lawal@gmail.com</v>
      </c>
      <c r="H122">
        <v>8104936391</v>
      </c>
      <c r="I122" t="str">
        <v>Home Office</v>
      </c>
      <c r="J122" t="str">
        <v>East</v>
      </c>
      <c r="K122" t="str">
        <v>Awka</v>
      </c>
      <c r="L122" t="str">
        <v>Office Supplies</v>
      </c>
      <c r="M122" t="str">
        <v>Fasteners</v>
      </c>
      <c r="N122" t="str">
        <v>Stapler + Staples</v>
      </c>
      <c r="O122">
        <v>13</v>
      </c>
      <c r="P122">
        <v>5659</v>
      </c>
      <c r="Q122">
        <v>0</v>
      </c>
      <c r="R122">
        <v>0</v>
      </c>
      <c r="S122">
        <v>73567</v>
      </c>
      <c r="T122">
        <v>-6817.29</v>
      </c>
      <c r="U122" t="str">
        <v>Office Supplies</v>
      </c>
      <c r="V122">
        <v>6817.29</v>
      </c>
      <c r="W122" t="str">
        <v>Small</v>
      </c>
      <c r="X122" t="str">
        <v>Small</v>
      </c>
      <c r="Y122" t="str">
        <v>No Discount</v>
      </c>
    </row>
    <row r="123" spans="1:25" x14ac:dyDescent="0.25">
      <c r="A123" t="str">
        <v>ORD-10239</v>
      </c>
      <c r="B123">
        <v>45415</v>
      </c>
      <c r="C123">
        <v>45416</v>
      </c>
      <c r="D123" t="str">
        <v>Same Day</v>
      </c>
      <c r="E123" t="str">
        <v>Taiwo</v>
      </c>
      <c r="F123" t="str">
        <v>Adeleke</v>
      </c>
      <c r="G123" t="str">
        <v>taiwo.adeleke@gmail.com</v>
      </c>
      <c r="H123">
        <v>9015216804</v>
      </c>
      <c r="I123" t="str">
        <v>Corporate</v>
      </c>
      <c r="J123" t="str">
        <v>East</v>
      </c>
      <c r="K123" t="str">
        <v>Enugu</v>
      </c>
      <c r="L123" t="str">
        <v>Furniture</v>
      </c>
      <c r="M123" t="str">
        <v>Sofas</v>
      </c>
      <c r="N123" t="str">
        <v>Ottoman Footstool</v>
      </c>
      <c r="O123">
        <v>12</v>
      </c>
      <c r="P123">
        <v>150757.16</v>
      </c>
      <c r="Q123">
        <v>25</v>
      </c>
      <c r="R123">
        <v>452271.48</v>
      </c>
      <c r="S123">
        <v>1356814.44</v>
      </c>
      <c r="T123">
        <v>397641.63</v>
      </c>
      <c r="U123" t="str">
        <v>Furniture</v>
      </c>
      <c r="V123">
        <v>397641.63</v>
      </c>
      <c r="W123" t="str">
        <v>Small</v>
      </c>
      <c r="X123" t="str">
        <v>Small</v>
      </c>
      <c r="Y123" t="str">
        <v>No Discount</v>
      </c>
    </row>
    <row r="124" spans="1:25" x14ac:dyDescent="0.25">
      <c r="A124" t="str">
        <v>ORD-10613</v>
      </c>
      <c r="B124">
        <v>45455</v>
      </c>
      <c r="C124">
        <v>45456</v>
      </c>
      <c r="D124" t="str">
        <v>Same Day</v>
      </c>
      <c r="E124" t="str">
        <v>Musa</v>
      </c>
      <c r="F124" t="str">
        <v>Chukwu</v>
      </c>
      <c r="G124" t="str">
        <v>musa.chukwu@yahoo.com</v>
      </c>
      <c r="H124">
        <v>8135715786</v>
      </c>
      <c r="I124" t="str">
        <v>Home Office</v>
      </c>
      <c r="J124" t="str">
        <v>East</v>
      </c>
      <c r="K124" t="str">
        <v>Owerri</v>
      </c>
      <c r="L124" t="str">
        <v>Clothing</v>
      </c>
      <c r="M124" t="str">
        <v>Shirts</v>
      </c>
      <c r="N124" t="str">
        <v>Ankara Print Shirt</v>
      </c>
      <c r="O124">
        <v>19</v>
      </c>
      <c r="P124">
        <v>36105.589999999997</v>
      </c>
      <c r="Q124">
        <v>10</v>
      </c>
      <c r="R124">
        <v>68600.62</v>
      </c>
      <c r="S124">
        <v>617405.59</v>
      </c>
      <c r="T124">
        <v>-31245.74</v>
      </c>
      <c r="U124" t="str">
        <v>Clothing</v>
      </c>
      <c r="V124">
        <v>31245.74</v>
      </c>
      <c r="W124" t="str">
        <v>Large</v>
      </c>
      <c r="X124" t="str">
        <v>Large</v>
      </c>
      <c r="Y124" t="str">
        <v>No Discount</v>
      </c>
    </row>
    <row r="125" spans="1:25" x14ac:dyDescent="0.25">
      <c r="A125" t="str">
        <v>ORD-10805</v>
      </c>
      <c r="B125">
        <v>45479</v>
      </c>
      <c r="C125">
        <v>45479</v>
      </c>
      <c r="D125" t="str">
        <v>Same Day</v>
      </c>
      <c r="E125" t="str">
        <v>Taiwo</v>
      </c>
      <c r="F125" t="str">
        <v>Musa</v>
      </c>
      <c r="G125" t="str">
        <v>taiwo.musa@outlook.com</v>
      </c>
      <c r="H125">
        <v>8137135319</v>
      </c>
      <c r="I125" t="str">
        <v>Home Office</v>
      </c>
      <c r="J125" t="str">
        <v>East</v>
      </c>
      <c r="K125" t="str">
        <v xml:space="preserve">  Owerri</v>
      </c>
      <c r="L125" t="str">
        <v>Furniture</v>
      </c>
      <c r="M125" t="str">
        <v>Tables</v>
      </c>
      <c r="N125" t="str">
        <v>Dining Table 6-Seater</v>
      </c>
      <c r="O125">
        <v>13</v>
      </c>
      <c r="P125">
        <v>40394.51</v>
      </c>
      <c r="Q125">
        <v>0</v>
      </c>
      <c r="R125">
        <v>0</v>
      </c>
      <c r="S125">
        <v>525128.63</v>
      </c>
      <c r="T125">
        <v>34129.599999999999</v>
      </c>
      <c r="U125" t="str">
        <v>Furniture</v>
      </c>
      <c r="V125">
        <v>34129.599999999999</v>
      </c>
      <c r="W125" t="str">
        <v>Small</v>
      </c>
      <c r="X125" t="str">
        <v>Small</v>
      </c>
      <c r="Y125" t="str">
        <v>No Discount</v>
      </c>
    </row>
    <row r="126" spans="1:25" x14ac:dyDescent="0.25">
      <c r="A126" t="str">
        <v>ORD-10777</v>
      </c>
      <c r="B126">
        <v>45487</v>
      </c>
      <c r="C126">
        <v>45487</v>
      </c>
      <c r="D126" t="str">
        <v>Same Day</v>
      </c>
      <c r="E126" t="str">
        <v>Adebayo</v>
      </c>
      <c r="F126" t="str">
        <v>Alakija</v>
      </c>
      <c r="G126" t="str">
        <v>adebayo.alakija@outlook.com</v>
      </c>
      <c r="H126">
        <v>8158379676</v>
      </c>
      <c r="I126" t="str">
        <v>Home Office</v>
      </c>
      <c r="J126" t="str">
        <v>East</v>
      </c>
      <c r="K126" t="str">
        <v>Onitsha</v>
      </c>
      <c r="L126" t="str">
        <v>Technology</v>
      </c>
      <c r="M126" t="str">
        <v>Tablets</v>
      </c>
      <c r="N126" t="str">
        <v>Amazon Fire HD 10</v>
      </c>
      <c r="O126">
        <v>11</v>
      </c>
      <c r="P126">
        <v>416890.25</v>
      </c>
      <c r="Q126">
        <v>0</v>
      </c>
      <c r="R126">
        <v>0</v>
      </c>
      <c r="S126">
        <v>4585792.75</v>
      </c>
      <c r="T126">
        <v>14539.96</v>
      </c>
      <c r="U126" t="str">
        <v>Technology</v>
      </c>
      <c r="V126">
        <v>14539.96</v>
      </c>
      <c r="W126" t="str">
        <v>Small</v>
      </c>
      <c r="X126" t="str">
        <v>Small</v>
      </c>
      <c r="Y126" t="str">
        <v>No Discount</v>
      </c>
    </row>
    <row r="127" spans="1:25" x14ac:dyDescent="0.25">
      <c r="A127" t="str">
        <v>ORD-10635</v>
      </c>
      <c r="B127">
        <v>45493</v>
      </c>
      <c r="C127">
        <v>45494</v>
      </c>
      <c r="D127" t="str">
        <v>Same Day</v>
      </c>
      <c r="E127" t="str">
        <v>Nike</v>
      </c>
      <c r="F127" t="str">
        <v>Bello</v>
      </c>
      <c r="G127" t="str">
        <v>nike.bello@gmail.com</v>
      </c>
      <c r="H127">
        <v>8143468450</v>
      </c>
      <c r="I127" t="str">
        <v>Consumer</v>
      </c>
      <c r="J127" t="str">
        <v>East</v>
      </c>
      <c r="K127" t="str">
        <v>Awka</v>
      </c>
      <c r="L127" t="str">
        <v>Clothing</v>
      </c>
      <c r="M127" t="str">
        <v>Trousers</v>
      </c>
      <c r="N127" t="str">
        <v>Jeans Straight Cut</v>
      </c>
      <c r="O127">
        <v>20</v>
      </c>
      <c r="P127">
        <v>43566.87</v>
      </c>
      <c r="Q127">
        <v>25</v>
      </c>
      <c r="R127">
        <v>217834.35</v>
      </c>
      <c r="S127">
        <v>653503.05000000005</v>
      </c>
      <c r="T127">
        <v>162455.76</v>
      </c>
      <c r="U127" t="str">
        <v>Clothing</v>
      </c>
      <c r="V127">
        <v>162455.76</v>
      </c>
      <c r="W127" t="str">
        <v>Large</v>
      </c>
      <c r="X127" t="str">
        <v>Large</v>
      </c>
      <c r="Y127" t="str">
        <v>No Discount</v>
      </c>
    </row>
    <row r="128" spans="1:25" x14ac:dyDescent="0.25">
      <c r="A128" t="str">
        <v>ORD-10038</v>
      </c>
      <c r="B128">
        <v>45514</v>
      </c>
      <c r="C128">
        <v>45515</v>
      </c>
      <c r="D128" t="str">
        <v>Same Day</v>
      </c>
      <c r="E128" t="str">
        <v>Lanre</v>
      </c>
      <c r="F128" t="str">
        <v>Chukwu</v>
      </c>
      <c r="G128" t="str">
        <v>lanre.chukwu@outlook.com</v>
      </c>
      <c r="H128">
        <v>8035118725</v>
      </c>
      <c r="I128" t="str">
        <v>Home Office</v>
      </c>
      <c r="J128" t="str">
        <v>East</v>
      </c>
      <c r="K128" t="str">
        <v>Awka</v>
      </c>
      <c r="L128" t="str">
        <v>Technology</v>
      </c>
      <c r="M128" t="str">
        <v>Tablets</v>
      </c>
      <c r="N128" t="str">
        <v>Huawei MatePad</v>
      </c>
      <c r="O128">
        <v>15</v>
      </c>
      <c r="P128">
        <v>121080.6</v>
      </c>
      <c r="Q128">
        <v>15</v>
      </c>
      <c r="R128">
        <v>272431.34999999998</v>
      </c>
      <c r="S128">
        <v>1543777.65</v>
      </c>
      <c r="T128">
        <v>80026.3</v>
      </c>
      <c r="U128" t="str">
        <v>Technology</v>
      </c>
      <c r="V128">
        <v>80026.3</v>
      </c>
      <c r="W128" t="str">
        <v>Large</v>
      </c>
      <c r="X128" t="str">
        <v>Large</v>
      </c>
      <c r="Y128" t="str">
        <v>No Discount</v>
      </c>
    </row>
    <row r="129" spans="1:25" x14ac:dyDescent="0.25">
      <c r="A129" t="str">
        <v>ORD-10518</v>
      </c>
      <c r="B129">
        <v>45546</v>
      </c>
      <c r="C129">
        <v>45546</v>
      </c>
      <c r="D129" t="str">
        <v>Same Day</v>
      </c>
      <c r="E129" t="str">
        <v>Adaeze</v>
      </c>
      <c r="F129" t="str">
        <v>Okafor</v>
      </c>
      <c r="G129" t="str">
        <v>adaeze.okafor@hotmail.com</v>
      </c>
      <c r="H129">
        <v>8133595845</v>
      </c>
      <c r="I129" t="str">
        <v>Corporate</v>
      </c>
      <c r="J129" t="str">
        <v>East</v>
      </c>
      <c r="K129" t="str">
        <v>Owerri</v>
      </c>
      <c r="L129" t="str">
        <v>Furniture</v>
      </c>
      <c r="M129" t="str">
        <v>Chairs</v>
      </c>
      <c r="N129" t="str">
        <v>Executive Chair</v>
      </c>
      <c r="O129">
        <v>12</v>
      </c>
      <c r="P129">
        <v>156204.68</v>
      </c>
      <c r="Q129">
        <v>20</v>
      </c>
      <c r="R129">
        <v>374891.23</v>
      </c>
      <c r="S129">
        <v>1499564.93</v>
      </c>
      <c r="T129">
        <v>139059.39000000001</v>
      </c>
      <c r="U129" t="str">
        <v>Furniture</v>
      </c>
      <c r="V129">
        <v>139059.39000000001</v>
      </c>
      <c r="W129" t="str">
        <v>Small</v>
      </c>
      <c r="X129" t="str">
        <v>Small</v>
      </c>
      <c r="Y129" t="str">
        <v>No Discount</v>
      </c>
    </row>
    <row r="130" spans="1:25" x14ac:dyDescent="0.25">
      <c r="A130" t="str">
        <v>ORD-10462</v>
      </c>
      <c r="B130">
        <v>45547</v>
      </c>
      <c r="C130">
        <v>45548</v>
      </c>
      <c r="D130" t="str">
        <v>Same Day</v>
      </c>
      <c r="E130" t="str">
        <v>Kehinde</v>
      </c>
      <c r="F130" t="str">
        <v>Fashola</v>
      </c>
      <c r="G130" t="str">
        <v>kehinde.fashola@outlook.com</v>
      </c>
      <c r="H130">
        <v>9027330138</v>
      </c>
      <c r="I130" t="str">
        <v>Consumer</v>
      </c>
      <c r="J130" t="str">
        <v>East</v>
      </c>
      <c r="K130" t="str">
        <v>Enugu</v>
      </c>
      <c r="L130" t="str">
        <v>Clothing</v>
      </c>
      <c r="M130" t="str">
        <v>Accessories</v>
      </c>
      <c r="N130" t="str">
        <v>Sunglasses UV400</v>
      </c>
      <c r="O130">
        <v>17</v>
      </c>
      <c r="P130">
        <v>34763.9</v>
      </c>
      <c r="Q130">
        <v>20</v>
      </c>
      <c r="R130">
        <v>118197.26</v>
      </c>
      <c r="S130">
        <v>472789.04</v>
      </c>
      <c r="T130">
        <v>145149.67000000001</v>
      </c>
      <c r="U130" t="str">
        <v>Clothing</v>
      </c>
      <c r="V130">
        <v>145149.67000000001</v>
      </c>
      <c r="W130" t="str">
        <v>Large</v>
      </c>
      <c r="X130" t="str">
        <v>Large</v>
      </c>
      <c r="Y130" t="str">
        <v>No Discount</v>
      </c>
    </row>
    <row r="131" spans="1:25" x14ac:dyDescent="0.25">
      <c r="A131" t="str">
        <v>ORD-10841</v>
      </c>
      <c r="B131">
        <v>45584</v>
      </c>
      <c r="C131">
        <v>45585</v>
      </c>
      <c r="D131" t="str">
        <v>Same Day</v>
      </c>
      <c r="E131" t="str">
        <v>Oluwaseun</v>
      </c>
      <c r="F131" t="str">
        <v>Lawal</v>
      </c>
      <c r="G131" t="str">
        <v>oluwaseun.lawal@yahoo.com</v>
      </c>
      <c r="H131">
        <v>8142002613</v>
      </c>
      <c r="I131" t="str">
        <v>Consumer</v>
      </c>
      <c r="J131" t="str">
        <v>East</v>
      </c>
      <c r="K131" t="str">
        <v>Onitsha</v>
      </c>
      <c r="L131" t="str">
        <v>Office Supplies</v>
      </c>
      <c r="M131" t="str">
        <v>Paper</v>
      </c>
      <c r="N131" t="str">
        <v>A4 Paper 500 Sheets</v>
      </c>
      <c r="O131">
        <v>16</v>
      </c>
      <c r="P131">
        <v>23847.279999999999</v>
      </c>
      <c r="Q131">
        <v>10</v>
      </c>
      <c r="R131">
        <v>38155.65</v>
      </c>
      <c r="S131">
        <v>343400.83</v>
      </c>
      <c r="T131">
        <v>-22359.97</v>
      </c>
      <c r="U131" t="str">
        <v>Office Supplies</v>
      </c>
      <c r="V131">
        <v>22359.97</v>
      </c>
      <c r="W131" t="str">
        <v>Large</v>
      </c>
      <c r="X131" t="str">
        <v>Large</v>
      </c>
      <c r="Y131" t="str">
        <v>No Discount</v>
      </c>
    </row>
    <row r="132" spans="1:25" x14ac:dyDescent="0.25">
      <c r="A132" t="str">
        <v>ORD-10380</v>
      </c>
      <c r="B132">
        <v>45588</v>
      </c>
      <c r="C132">
        <v>45588</v>
      </c>
      <c r="D132" t="str">
        <v>Same Day</v>
      </c>
      <c r="E132" t="str">
        <v>Kunle</v>
      </c>
      <c r="F132" t="str">
        <v>Obi</v>
      </c>
      <c r="G132" t="str">
        <v>kunle.obi@outlook.com</v>
      </c>
      <c r="H132">
        <v>8147176462</v>
      </c>
      <c r="I132" t="str">
        <v>Corporate</v>
      </c>
      <c r="J132" t="str">
        <v>East</v>
      </c>
      <c r="K132" t="str">
        <v>Aba</v>
      </c>
      <c r="L132" t="str">
        <v>Technology</v>
      </c>
      <c r="M132" t="str">
        <v>Phones</v>
      </c>
      <c r="N132" t="str">
        <v>Infinix Note 30</v>
      </c>
      <c r="O132">
        <v>13</v>
      </c>
      <c r="P132">
        <v>52979.31</v>
      </c>
      <c r="Q132">
        <v>0</v>
      </c>
      <c r="R132">
        <v>0</v>
      </c>
      <c r="S132">
        <v>688731.03</v>
      </c>
      <c r="T132">
        <v>15857.08</v>
      </c>
      <c r="U132" t="str">
        <v>Technology</v>
      </c>
      <c r="V132">
        <v>15857.08</v>
      </c>
      <c r="W132" t="str">
        <v>Small</v>
      </c>
      <c r="X132" t="str">
        <v>Small</v>
      </c>
      <c r="Y132" t="str">
        <v>No Discount</v>
      </c>
    </row>
    <row r="133" spans="1:25" x14ac:dyDescent="0.25">
      <c r="A133" t="str">
        <v>ORD-10135</v>
      </c>
      <c r="B133">
        <v>45654</v>
      </c>
      <c r="C133">
        <v>45655</v>
      </c>
      <c r="D133" t="str">
        <v>Same Day</v>
      </c>
      <c r="E133" t="str">
        <v>Gbenga</v>
      </c>
      <c r="F133" t="str">
        <v>Chukwu</v>
      </c>
      <c r="G133" t="str">
        <v>gbenga.chukwu@outlook.com</v>
      </c>
      <c r="H133">
        <v>8159342928</v>
      </c>
      <c r="I133" t="str">
        <v>Corporate</v>
      </c>
      <c r="J133" t="str">
        <v>East</v>
      </c>
      <c r="K133" t="str">
        <v>Aba</v>
      </c>
      <c r="L133" t="str">
        <v>Clothing</v>
      </c>
      <c r="M133" t="str">
        <v>Shirts</v>
      </c>
      <c r="N133" t="str">
        <v>T-Shirt 3-Pack</v>
      </c>
      <c r="O133">
        <v>11</v>
      </c>
      <c r="P133">
        <v>34750.050000000003</v>
      </c>
      <c r="Q133">
        <v>5</v>
      </c>
      <c r="R133">
        <v>19112.53</v>
      </c>
      <c r="S133">
        <v>363138.02</v>
      </c>
      <c r="T133">
        <v>26299.53</v>
      </c>
      <c r="U133" t="str">
        <v>Clothing</v>
      </c>
      <c r="V133">
        <v>26299.53</v>
      </c>
      <c r="W133" t="str">
        <v>Small</v>
      </c>
      <c r="X133" t="str">
        <v>Small</v>
      </c>
      <c r="Y133" t="str">
        <v>No Discount</v>
      </c>
    </row>
    <row r="134" spans="1:25" x14ac:dyDescent="0.25">
      <c r="A134" t="str">
        <v>ORD-10419</v>
      </c>
      <c r="B134">
        <v>45654</v>
      </c>
      <c r="C134">
        <v>45655</v>
      </c>
      <c r="D134" t="str">
        <v>Same Day</v>
      </c>
      <c r="E134" t="str">
        <v>Bola</v>
      </c>
      <c r="F134" t="str">
        <v>Osei</v>
      </c>
      <c r="G134" t="str">
        <v>bola.osei@hotmail.com</v>
      </c>
      <c r="H134">
        <v>8145133011</v>
      </c>
      <c r="I134" t="str">
        <v>Consumer</v>
      </c>
      <c r="J134" t="str">
        <v>East</v>
      </c>
      <c r="K134" t="str">
        <v>Awka</v>
      </c>
      <c r="L134" t="str">
        <v>Office Supplies</v>
      </c>
      <c r="M134" t="str">
        <v>Art Supplies</v>
      </c>
      <c r="N134" t="str">
        <v>Acrylic Paint Kit</v>
      </c>
      <c r="O134">
        <v>12</v>
      </c>
      <c r="P134">
        <v>9393.4500000000007</v>
      </c>
      <c r="Q134">
        <v>10</v>
      </c>
      <c r="R134">
        <v>11272.14</v>
      </c>
      <c r="S134">
        <v>101449.26</v>
      </c>
      <c r="T134">
        <v>-13934.61</v>
      </c>
      <c r="U134" t="str">
        <v>Office Supplies</v>
      </c>
      <c r="V134">
        <v>13934.61</v>
      </c>
      <c r="W134" t="str">
        <v>Small</v>
      </c>
      <c r="X134" t="str">
        <v>Small</v>
      </c>
      <c r="Y134" t="str">
        <v>No Discount</v>
      </c>
    </row>
    <row r="135" spans="1:25" x14ac:dyDescent="0.25">
      <c r="A135" t="str">
        <v>ORD-10772</v>
      </c>
      <c r="B135">
        <v>44620</v>
      </c>
      <c r="C135">
        <v>44622</v>
      </c>
      <c r="D135" t="str">
        <v>First Class</v>
      </c>
      <c r="E135" t="str">
        <v>Adaeze</v>
      </c>
      <c r="F135" t="str">
        <v>Okonkwo</v>
      </c>
      <c r="G135" t="str">
        <v>adaeze.okonkwo@hotmail.com</v>
      </c>
      <c r="H135">
        <v>8033421636</v>
      </c>
      <c r="I135" t="str">
        <v>Home Office</v>
      </c>
      <c r="J135" t="str">
        <v>East</v>
      </c>
      <c r="K135" t="str">
        <v>Aba</v>
      </c>
      <c r="L135" t="str">
        <v>cLOTHING</v>
      </c>
      <c r="M135" t="str">
        <v>Shirts</v>
      </c>
      <c r="N135" t="str">
        <v>Ankara Print Shirt</v>
      </c>
      <c r="O135">
        <v>20</v>
      </c>
      <c r="P135">
        <v>18212.580000000002</v>
      </c>
      <c r="Q135">
        <v>25</v>
      </c>
      <c r="R135">
        <v>91062.9</v>
      </c>
      <c r="S135">
        <v>273188.7</v>
      </c>
      <c r="T135">
        <v>-13155.64</v>
      </c>
      <c r="U135" t="str">
        <v>Clothing</v>
      </c>
      <c r="V135">
        <v>13155.64</v>
      </c>
      <c r="W135" t="str">
        <v>Large</v>
      </c>
      <c r="X135" t="str">
        <v>Large</v>
      </c>
      <c r="Y135" t="str">
        <v>No Discount</v>
      </c>
    </row>
    <row r="136" spans="1:25" x14ac:dyDescent="0.25">
      <c r="A136" t="str">
        <v>ORD-10642</v>
      </c>
      <c r="B136">
        <v>44686</v>
      </c>
      <c r="C136">
        <v>44688</v>
      </c>
      <c r="D136" t="str">
        <v>First Class</v>
      </c>
      <c r="E136" t="str">
        <v>Lanre</v>
      </c>
      <c r="F136" t="str">
        <v>Sowore</v>
      </c>
      <c r="G136" t="str">
        <v>lanre.sowore@gmail.com</v>
      </c>
      <c r="H136">
        <v>9014440410</v>
      </c>
      <c r="I136" t="str">
        <v>Corporate</v>
      </c>
      <c r="J136" t="str">
        <v>East</v>
      </c>
      <c r="K136" t="str">
        <v>Awka</v>
      </c>
      <c r="L136" t="str">
        <v>Food &amp; Beverages</v>
      </c>
      <c r="M136" t="str">
        <v>Snacks</v>
      </c>
      <c r="N136" t="str">
        <v>Plantain Chips 200g</v>
      </c>
      <c r="O136">
        <v>16</v>
      </c>
      <c r="P136">
        <v>6001.27</v>
      </c>
      <c r="Q136">
        <v>0</v>
      </c>
      <c r="R136">
        <v>0</v>
      </c>
      <c r="S136">
        <v>96020.32</v>
      </c>
      <c r="T136">
        <v>-1524.21</v>
      </c>
      <c r="U136" t="str">
        <v>Food &amp; Beverages</v>
      </c>
      <c r="V136">
        <v>1524.21</v>
      </c>
      <c r="W136" t="str">
        <v>Large</v>
      </c>
      <c r="X136" t="str">
        <v>Large</v>
      </c>
      <c r="Y136" t="str">
        <v>No Discount</v>
      </c>
    </row>
    <row r="137" spans="1:25" x14ac:dyDescent="0.25">
      <c r="A137" t="str">
        <v>ORD-10578</v>
      </c>
      <c r="B137">
        <v>44774</v>
      </c>
      <c r="C137">
        <v>44777</v>
      </c>
      <c r="D137" t="str">
        <v>First Class</v>
      </c>
      <c r="E137" t="str">
        <v>Wale</v>
      </c>
      <c r="F137" t="str">
        <v>Sowore</v>
      </c>
      <c r="G137" t="str">
        <v>wale.sowore@outlook.com</v>
      </c>
      <c r="H137">
        <v>8162281267</v>
      </c>
      <c r="I137" t="str">
        <v>Corporate</v>
      </c>
      <c r="J137" t="str">
        <v>East</v>
      </c>
      <c r="K137" t="str">
        <v>Awka</v>
      </c>
      <c r="L137" t="str">
        <v>Technology</v>
      </c>
      <c r="M137" t="str">
        <v>Phones</v>
      </c>
      <c r="N137" t="str">
        <v>iPhone 13</v>
      </c>
      <c r="O137">
        <v>13</v>
      </c>
      <c r="P137">
        <v>154311.35999999999</v>
      </c>
      <c r="Q137">
        <v>20</v>
      </c>
      <c r="R137">
        <v>401209.54</v>
      </c>
      <c r="S137">
        <v>1604838.14</v>
      </c>
      <c r="T137">
        <v>453857.98</v>
      </c>
      <c r="U137" t="str">
        <v>Technology</v>
      </c>
      <c r="V137">
        <v>453857.98</v>
      </c>
      <c r="W137" t="str">
        <v>Small</v>
      </c>
      <c r="X137" t="str">
        <v>Small</v>
      </c>
      <c r="Y137" t="str">
        <v>No Discount</v>
      </c>
    </row>
    <row r="138" spans="1:25" x14ac:dyDescent="0.25">
      <c r="A138" t="str">
        <v>ORD-10577</v>
      </c>
      <c r="B138">
        <v>44804</v>
      </c>
      <c r="C138">
        <v>44807</v>
      </c>
      <c r="D138" t="str">
        <v>First Class</v>
      </c>
      <c r="E138" t="str">
        <v>Sade</v>
      </c>
      <c r="F138" t="str">
        <v>Adeleke</v>
      </c>
      <c r="G138" t="str">
        <v>sade.adeleke@yahoo.com</v>
      </c>
      <c r="H138" t="str">
        <v>803 1234567</v>
      </c>
      <c r="I138" t="str">
        <v>CONSUMER</v>
      </c>
      <c r="J138" t="str">
        <v>East</v>
      </c>
      <c r="K138" t="str">
        <v>Aba</v>
      </c>
      <c r="L138" t="str">
        <v>Food &amp; Beverages</v>
      </c>
      <c r="M138" t="str">
        <v>Grains</v>
      </c>
      <c r="N138" t="str">
        <v>Beans 5kg</v>
      </c>
      <c r="O138">
        <v>14</v>
      </c>
      <c r="P138">
        <v>1696.51</v>
      </c>
      <c r="Q138">
        <v>0</v>
      </c>
      <c r="R138">
        <v>0</v>
      </c>
      <c r="S138">
        <v>23751.14</v>
      </c>
      <c r="T138">
        <v>9164.8700000000008</v>
      </c>
      <c r="U138" t="str">
        <v>Food &amp; Beverages</v>
      </c>
      <c r="V138">
        <v>9164.8700000000008</v>
      </c>
      <c r="W138" t="str">
        <v>Small</v>
      </c>
      <c r="X138" t="str">
        <v>Medium</v>
      </c>
      <c r="Y138" t="str">
        <v>No Discount</v>
      </c>
    </row>
    <row r="139" spans="1:25" x14ac:dyDescent="0.25">
      <c r="A139" t="str">
        <v>ORD-10811</v>
      </c>
      <c r="B139">
        <v>44981</v>
      </c>
      <c r="C139">
        <v>44984</v>
      </c>
      <c r="D139" t="str">
        <v>First Class</v>
      </c>
      <c r="E139" t="str">
        <v>Chibundo</v>
      </c>
      <c r="F139" t="str">
        <v>Obi</v>
      </c>
      <c r="G139" t="str">
        <v>chibundo.obi@gmail.com</v>
      </c>
      <c r="H139">
        <v>7067939725</v>
      </c>
      <c r="I139" t="str">
        <v>Home Office</v>
      </c>
      <c r="J139" t="str">
        <v>East</v>
      </c>
      <c r="K139" t="str">
        <v>Owerri</v>
      </c>
      <c r="L139" t="str">
        <v>Clothing</v>
      </c>
      <c r="M139" t="str">
        <v>Shoes</v>
      </c>
      <c r="N139" t="str">
        <v>Women's Heels</v>
      </c>
      <c r="O139">
        <v>16</v>
      </c>
      <c r="P139">
        <v>37119.160000000003</v>
      </c>
      <c r="Q139">
        <v>10</v>
      </c>
      <c r="R139">
        <v>59390.66</v>
      </c>
      <c r="S139">
        <v>534515.9</v>
      </c>
      <c r="T139">
        <v>112289.91</v>
      </c>
      <c r="U139" t="str">
        <v>Clothing</v>
      </c>
      <c r="V139">
        <v>112289.91</v>
      </c>
      <c r="W139" t="str">
        <v>Large</v>
      </c>
      <c r="X139" t="str">
        <v>Large</v>
      </c>
      <c r="Y139" t="str">
        <v>No Discount</v>
      </c>
    </row>
    <row r="140" spans="1:25" x14ac:dyDescent="0.25">
      <c r="A140" t="str">
        <v>ORD-10215</v>
      </c>
      <c r="B140">
        <v>45019</v>
      </c>
      <c r="C140">
        <v>45022</v>
      </c>
      <c r="D140" t="str">
        <v>First Class</v>
      </c>
      <c r="E140" t="str">
        <v>Chibundo</v>
      </c>
      <c r="F140" t="str">
        <v>Sule</v>
      </c>
      <c r="G140" t="str">
        <v>chibundo.sule@outlook.com</v>
      </c>
      <c r="H140">
        <v>7035371458</v>
      </c>
      <c r="I140" t="str">
        <v>Consumer</v>
      </c>
      <c r="J140" t="str">
        <v>East</v>
      </c>
      <c r="K140" t="str">
        <v>Enugu</v>
      </c>
      <c r="L140" t="str">
        <v>Food &amp; Beverages</v>
      </c>
      <c r="M140" t="str">
        <v>Grains</v>
      </c>
      <c r="N140" t="str">
        <v>Oats 1kg</v>
      </c>
      <c r="O140">
        <v>16</v>
      </c>
      <c r="P140">
        <v>6854.35</v>
      </c>
      <c r="Q140">
        <v>0</v>
      </c>
      <c r="R140">
        <v>0</v>
      </c>
      <c r="S140">
        <v>109669.6</v>
      </c>
      <c r="T140">
        <v>40559.769999999997</v>
      </c>
      <c r="U140" t="str">
        <v>Food &amp; Beverages</v>
      </c>
      <c r="V140">
        <v>40559.769999999997</v>
      </c>
      <c r="W140" t="str">
        <v>Large</v>
      </c>
      <c r="X140" t="str">
        <v>Large</v>
      </c>
      <c r="Y140" t="str">
        <v>No Discount</v>
      </c>
    </row>
    <row r="141" spans="1:25" x14ac:dyDescent="0.25">
      <c r="A141" t="str">
        <v>ORD-10371</v>
      </c>
      <c r="B141">
        <v>45033</v>
      </c>
      <c r="C141">
        <v>45035</v>
      </c>
      <c r="D141" t="str">
        <v>First Class</v>
      </c>
      <c r="E141" t="str">
        <v>Chisom</v>
      </c>
      <c r="F141" t="str">
        <v>Abubakar</v>
      </c>
      <c r="G141" t="str">
        <v>chisom.abubakar@gmail.com</v>
      </c>
      <c r="H141">
        <v>8137922203</v>
      </c>
      <c r="I141" t="str">
        <v>Consumer</v>
      </c>
      <c r="J141" t="str">
        <v>East</v>
      </c>
      <c r="K141" t="str">
        <v>Owerri</v>
      </c>
      <c r="L141" t="str">
        <v>Furniture</v>
      </c>
      <c r="M141" t="str">
        <v>Storage</v>
      </c>
      <c r="N141" t="str">
        <v>Filing Cabinet</v>
      </c>
      <c r="O141">
        <v>19</v>
      </c>
      <c r="P141">
        <v>20647.11</v>
      </c>
      <c r="Q141">
        <v>20</v>
      </c>
      <c r="R141">
        <v>78459.02</v>
      </c>
      <c r="S141">
        <v>313836.07</v>
      </c>
      <c r="T141">
        <v>-30969</v>
      </c>
      <c r="U141" t="str">
        <v>Furniture</v>
      </c>
      <c r="V141">
        <v>30969</v>
      </c>
      <c r="W141" t="str">
        <v>Large</v>
      </c>
      <c r="X141" t="str">
        <v>Large</v>
      </c>
      <c r="Y141" t="str">
        <v>No Discount</v>
      </c>
    </row>
    <row r="142" spans="1:25" x14ac:dyDescent="0.25">
      <c r="A142" t="str">
        <v>ORD-10312</v>
      </c>
      <c r="B142">
        <v>45045</v>
      </c>
      <c r="C142">
        <v>45048</v>
      </c>
      <c r="D142" t="str">
        <v>First Class</v>
      </c>
      <c r="E142" t="str">
        <v>Ngozi</v>
      </c>
      <c r="F142" t="str">
        <v>Tinubu</v>
      </c>
      <c r="G142" t="str">
        <v>ngozi.tinubu@outlook.com</v>
      </c>
      <c r="H142">
        <v>7061494355</v>
      </c>
      <c r="I142" t="str">
        <v>Home Office</v>
      </c>
      <c r="J142" t="str">
        <v>East</v>
      </c>
      <c r="K142" t="str">
        <v>Aba</v>
      </c>
      <c r="L142" t="str">
        <v>Food &amp; Beverages</v>
      </c>
      <c r="M142" t="str">
        <v>Grains</v>
      </c>
      <c r="N142" t="str">
        <v>Semolina 5kg</v>
      </c>
      <c r="O142">
        <v>13</v>
      </c>
      <c r="P142">
        <v>1468.15</v>
      </c>
      <c r="Q142">
        <v>0</v>
      </c>
      <c r="R142">
        <v>0</v>
      </c>
      <c r="S142">
        <v>19085.95</v>
      </c>
      <c r="T142">
        <v>-1857.5</v>
      </c>
      <c r="U142" t="str">
        <v>Food &amp; Beverages</v>
      </c>
      <c r="V142">
        <v>1857.5</v>
      </c>
      <c r="W142" t="str">
        <v>Small</v>
      </c>
      <c r="X142" t="str">
        <v>Small</v>
      </c>
      <c r="Y142" t="str">
        <v>No Discount</v>
      </c>
    </row>
    <row r="143" spans="1:25" x14ac:dyDescent="0.25">
      <c r="A143" t="str">
        <v>ORD-10017</v>
      </c>
      <c r="B143">
        <v>45050</v>
      </c>
      <c r="C143">
        <v>45053</v>
      </c>
      <c r="D143" t="str">
        <v>First Class</v>
      </c>
      <c r="E143" t="str">
        <v>Ikenna</v>
      </c>
      <c r="F143" t="str">
        <v>Okafor</v>
      </c>
      <c r="G143" t="str">
        <v>ikenna.okafor@outlook.com</v>
      </c>
      <c r="H143">
        <v>8146304573</v>
      </c>
      <c r="I143" t="str">
        <v>Home Office</v>
      </c>
      <c r="J143" t="str">
        <v>East</v>
      </c>
      <c r="K143" t="str">
        <v>Onitsha</v>
      </c>
      <c r="L143" t="str">
        <v>Technology</v>
      </c>
      <c r="M143" t="str">
        <v>Laptops</v>
      </c>
      <c r="N143" t="str">
        <v>Asus VivoBook 14</v>
      </c>
      <c r="O143">
        <v>19</v>
      </c>
      <c r="P143">
        <v>285204.28000000003</v>
      </c>
      <c r="Q143">
        <v>0</v>
      </c>
      <c r="R143">
        <v>0</v>
      </c>
      <c r="S143">
        <v>5418881.3200000003</v>
      </c>
      <c r="T143">
        <v>-574637.51</v>
      </c>
      <c r="U143" t="str">
        <v>Technology</v>
      </c>
      <c r="V143">
        <v>574637.51</v>
      </c>
      <c r="W143" t="str">
        <v>Large</v>
      </c>
      <c r="X143" t="str">
        <v>Large</v>
      </c>
      <c r="Y143" t="str">
        <v>Offer Discount</v>
      </c>
    </row>
    <row r="144" spans="1:25" x14ac:dyDescent="0.25">
      <c r="A144" t="str">
        <v>ORD-10093</v>
      </c>
      <c r="B144">
        <v>45054</v>
      </c>
      <c r="C144">
        <v>45057</v>
      </c>
      <c r="D144" t="str">
        <v>First Class</v>
      </c>
      <c r="E144" t="str">
        <v>Fatima</v>
      </c>
      <c r="F144" t="str">
        <v>Sowore</v>
      </c>
      <c r="G144" t="str">
        <v>fatima.sowore@gmail.com</v>
      </c>
      <c r="H144">
        <v>8157049927</v>
      </c>
      <c r="I144" t="str">
        <v>Consumer</v>
      </c>
      <c r="J144" t="str">
        <v>East</v>
      </c>
      <c r="K144" t="str">
        <v>Abia</v>
      </c>
      <c r="L144" t="str">
        <v>Technology</v>
      </c>
      <c r="M144" t="str">
        <v>Printers</v>
      </c>
      <c r="N144" t="str">
        <v>HP LaserJet Pro</v>
      </c>
      <c r="O144">
        <v>17</v>
      </c>
      <c r="P144">
        <v>235687.55</v>
      </c>
      <c r="Q144">
        <v>25</v>
      </c>
      <c r="R144">
        <v>1001672.09</v>
      </c>
      <c r="S144">
        <v>3005016.26</v>
      </c>
      <c r="T144">
        <v>-414089.49</v>
      </c>
      <c r="U144" t="str">
        <v>Technology</v>
      </c>
      <c r="V144">
        <v>414089.49</v>
      </c>
      <c r="W144" t="str">
        <v>Large</v>
      </c>
      <c r="X144" t="str">
        <v>Large</v>
      </c>
      <c r="Y144" t="str">
        <v>Offer Discount</v>
      </c>
    </row>
    <row r="145" spans="1:25" x14ac:dyDescent="0.25">
      <c r="A145" t="str">
        <v>ORD-10356</v>
      </c>
      <c r="B145">
        <v>45077</v>
      </c>
      <c r="C145">
        <v>45079</v>
      </c>
      <c r="D145" t="str">
        <v>First Class</v>
      </c>
      <c r="E145" t="str">
        <v>Emeka</v>
      </c>
      <c r="F145" t="str">
        <v>Okonkwo</v>
      </c>
      <c r="G145" t="str">
        <v>emeka.okonkwo@gmail.com</v>
      </c>
      <c r="H145">
        <v>8034637715</v>
      </c>
      <c r="I145" t="str">
        <v>Home Office</v>
      </c>
      <c r="J145" t="str">
        <v>East</v>
      </c>
      <c r="K145" t="str">
        <v xml:space="preserve">  Onitsha</v>
      </c>
      <c r="L145" t="str">
        <v>Food &amp; Beverages</v>
      </c>
      <c r="M145" t="str">
        <v>Drinks</v>
      </c>
      <c r="N145" t="str">
        <v>Coca-Cola 24-Pack</v>
      </c>
      <c r="O145">
        <v>20</v>
      </c>
      <c r="P145">
        <v>965.18</v>
      </c>
      <c r="Q145">
        <v>0</v>
      </c>
      <c r="R145">
        <v>0</v>
      </c>
      <c r="S145">
        <v>19303.599999999999</v>
      </c>
      <c r="T145">
        <v>1458.87</v>
      </c>
      <c r="U145" t="str">
        <v>Food &amp; Beverages</v>
      </c>
      <c r="V145">
        <v>1458.87</v>
      </c>
      <c r="W145" t="str">
        <v>Large</v>
      </c>
      <c r="X145" t="str">
        <v>Large</v>
      </c>
      <c r="Y145" t="str">
        <v>No Discount</v>
      </c>
    </row>
    <row r="146" spans="1:25" x14ac:dyDescent="0.25">
      <c r="A146" t="str">
        <v>ORD-10461</v>
      </c>
      <c r="B146">
        <v>45164</v>
      </c>
      <c r="C146">
        <v>45167</v>
      </c>
      <c r="D146" t="str">
        <v>First Class</v>
      </c>
      <c r="E146" t="str">
        <v>Amara</v>
      </c>
      <c r="F146" t="str">
        <v>Sule</v>
      </c>
      <c r="G146" t="str">
        <v>amara.sule@yahoo.com</v>
      </c>
      <c r="H146">
        <v>8108075907</v>
      </c>
      <c r="I146" t="str">
        <v>Corporate</v>
      </c>
      <c r="J146" t="str">
        <v>East</v>
      </c>
      <c r="K146" t="str">
        <v>Aba</v>
      </c>
      <c r="L146" t="str">
        <v>Technology</v>
      </c>
      <c r="M146" t="str">
        <v>Tablets</v>
      </c>
      <c r="N146" t="str">
        <v>Lenovo Tab M10</v>
      </c>
      <c r="O146">
        <v>16</v>
      </c>
      <c r="P146">
        <v>108777.93</v>
      </c>
      <c r="Q146">
        <v>0</v>
      </c>
      <c r="R146">
        <v>0</v>
      </c>
      <c r="S146">
        <v>1740446.88</v>
      </c>
      <c r="T146">
        <v>-133323.9</v>
      </c>
      <c r="U146" t="str">
        <v>Technology</v>
      </c>
      <c r="V146">
        <v>133323.9</v>
      </c>
      <c r="W146" t="str">
        <v>Large</v>
      </c>
      <c r="X146" t="str">
        <v>Large</v>
      </c>
      <c r="Y146" t="str">
        <v>Offer Discount</v>
      </c>
    </row>
    <row r="147" spans="1:25" x14ac:dyDescent="0.25">
      <c r="A147" t="str">
        <v>ORD-10031</v>
      </c>
      <c r="B147">
        <v>45216</v>
      </c>
      <c r="C147">
        <v>45218</v>
      </c>
      <c r="D147" t="str">
        <v>First Class</v>
      </c>
      <c r="E147" t="str">
        <v>Kemi</v>
      </c>
      <c r="F147" t="str">
        <v>Okafor</v>
      </c>
      <c r="G147" t="str">
        <v>kemi.okafor@yahoo.com</v>
      </c>
      <c r="H147">
        <v>7063563646</v>
      </c>
      <c r="I147" t="str">
        <v>Corporate</v>
      </c>
      <c r="J147" t="str">
        <v>East</v>
      </c>
      <c r="K147" t="str">
        <v>Onitsha</v>
      </c>
      <c r="L147" t="str">
        <v>Furniture</v>
      </c>
      <c r="M147" t="str">
        <v>Chairs</v>
      </c>
      <c r="N147" t="str">
        <v>Bar Stool</v>
      </c>
      <c r="O147">
        <v>18</v>
      </c>
      <c r="P147">
        <v>78107.09</v>
      </c>
      <c r="Q147">
        <v>20</v>
      </c>
      <c r="R147">
        <v>281185.52</v>
      </c>
      <c r="S147">
        <v>1124742.1000000001</v>
      </c>
      <c r="T147">
        <v>111871.96</v>
      </c>
      <c r="U147" t="str">
        <v>Furniture</v>
      </c>
      <c r="V147">
        <v>111871.96</v>
      </c>
      <c r="W147" t="str">
        <v>Large</v>
      </c>
      <c r="X147" t="str">
        <v>Large</v>
      </c>
      <c r="Y147" t="str">
        <v>Offer Discount</v>
      </c>
    </row>
    <row r="148" spans="1:25" x14ac:dyDescent="0.25">
      <c r="A148" t="str">
        <v>ORD-10737</v>
      </c>
      <c r="B148">
        <v>45216</v>
      </c>
      <c r="C148">
        <v>45219</v>
      </c>
      <c r="D148" t="str">
        <v>First Class</v>
      </c>
      <c r="E148" t="str">
        <v>Yemi</v>
      </c>
      <c r="F148" t="str">
        <v>Sowore</v>
      </c>
      <c r="G148" t="str">
        <v>yemi.sowore@outlook.com</v>
      </c>
      <c r="H148">
        <v>8159986330</v>
      </c>
      <c r="I148" t="str">
        <v>Corporate</v>
      </c>
      <c r="J148" t="str">
        <v>East</v>
      </c>
      <c r="K148" t="str">
        <v>Onitsha</v>
      </c>
      <c r="L148" t="str">
        <v>Food &amp; Beverages</v>
      </c>
      <c r="M148" t="str">
        <v>Cooking Oil</v>
      </c>
      <c r="N148" t="str">
        <v>Palm Oil 4L</v>
      </c>
      <c r="O148">
        <v>16</v>
      </c>
      <c r="P148">
        <v>6914.74</v>
      </c>
      <c r="Q148">
        <v>20</v>
      </c>
      <c r="R148">
        <v>22127.17</v>
      </c>
      <c r="S148">
        <v>88508.67</v>
      </c>
      <c r="T148">
        <v>1926.84</v>
      </c>
      <c r="U148" t="str">
        <v>Food &amp; Beverages</v>
      </c>
      <c r="V148">
        <v>1926.84</v>
      </c>
      <c r="W148" t="str">
        <v>Large</v>
      </c>
      <c r="X148" t="str">
        <v>Large</v>
      </c>
      <c r="Y148" t="str">
        <v>No Discount</v>
      </c>
    </row>
    <row r="149" spans="1:25" x14ac:dyDescent="0.25">
      <c r="A149" t="str">
        <v>ORD-10570</v>
      </c>
      <c r="B149">
        <v>45226</v>
      </c>
      <c r="C149">
        <v>45228</v>
      </c>
      <c r="D149" t="str">
        <v>First Class</v>
      </c>
      <c r="E149" t="str">
        <v>Chidi</v>
      </c>
      <c r="F149" t="str">
        <v>Gambo</v>
      </c>
      <c r="G149" t="str">
        <v>chidi.gambo@outlook.com</v>
      </c>
      <c r="H149">
        <v>8135692416</v>
      </c>
      <c r="I149" t="str">
        <v>Corporate</v>
      </c>
      <c r="J149" t="str">
        <v>East</v>
      </c>
      <c r="K149" t="str">
        <v>Onitsha</v>
      </c>
      <c r="L149" t="str">
        <v>Furniture</v>
      </c>
      <c r="M149" t="str">
        <v>Bookcases</v>
      </c>
      <c r="N149" t="str">
        <v>5-Shelf Bookcase</v>
      </c>
      <c r="O149">
        <v>19</v>
      </c>
      <c r="P149">
        <v>100430.86</v>
      </c>
      <c r="Q149">
        <v>0</v>
      </c>
      <c r="R149">
        <v>0</v>
      </c>
      <c r="S149">
        <v>1908186.34</v>
      </c>
      <c r="T149">
        <v>541087.82999999996</v>
      </c>
      <c r="U149" t="str">
        <v>Furniture</v>
      </c>
      <c r="V149">
        <v>541087.82999999996</v>
      </c>
      <c r="W149" t="str">
        <v>Large</v>
      </c>
      <c r="X149" t="str">
        <v>Large</v>
      </c>
      <c r="Y149" t="str">
        <v>Offer Discount</v>
      </c>
    </row>
    <row r="150" spans="1:25" x14ac:dyDescent="0.25">
      <c r="A150" t="str">
        <v>ORD-10649</v>
      </c>
      <c r="B150">
        <v>45274</v>
      </c>
      <c r="C150">
        <v>45277</v>
      </c>
      <c r="D150" t="str">
        <v>First Class</v>
      </c>
      <c r="E150" t="str">
        <v>Tunde</v>
      </c>
      <c r="F150" t="str">
        <v>Adeleke</v>
      </c>
      <c r="G150" t="str">
        <v>tunde.adeleke@gmail.com</v>
      </c>
      <c r="H150">
        <v>8033670591</v>
      </c>
      <c r="I150" t="str">
        <v>Home Office</v>
      </c>
      <c r="J150" t="str">
        <v>East</v>
      </c>
      <c r="K150" t="str">
        <v>Onitsha</v>
      </c>
      <c r="L150" t="str">
        <v>Furniture</v>
      </c>
      <c r="M150" t="str">
        <v>Chairs</v>
      </c>
      <c r="N150" t="str">
        <v>Executive Chair</v>
      </c>
      <c r="O150">
        <v>16</v>
      </c>
      <c r="P150">
        <v>93902.63</v>
      </c>
      <c r="Q150">
        <v>10</v>
      </c>
      <c r="R150">
        <v>150244.21</v>
      </c>
      <c r="S150">
        <v>1352197.87</v>
      </c>
      <c r="T150">
        <v>413698.95</v>
      </c>
      <c r="U150" t="str">
        <v>Furniture</v>
      </c>
      <c r="V150">
        <v>413698.95</v>
      </c>
      <c r="W150" t="str">
        <v>Large</v>
      </c>
      <c r="X150" t="str">
        <v>Large</v>
      </c>
      <c r="Y150" t="str">
        <v>Offer Discount</v>
      </c>
    </row>
    <row r="151" spans="1:25" x14ac:dyDescent="0.25">
      <c r="A151" t="str">
        <v>ORD-10661</v>
      </c>
      <c r="B151">
        <v>45313</v>
      </c>
      <c r="C151">
        <v>45316</v>
      </c>
      <c r="D151" t="str">
        <v>First Class</v>
      </c>
      <c r="E151" t="str">
        <v>Hauwa</v>
      </c>
      <c r="F151" t="str">
        <v>Dangote</v>
      </c>
      <c r="G151" t="str">
        <v>hauwa.dangote@outlook.com</v>
      </c>
      <c r="H151">
        <v>7039446412</v>
      </c>
      <c r="I151" t="str">
        <v>Corporate</v>
      </c>
      <c r="J151" t="str">
        <v>East</v>
      </c>
      <c r="K151" t="str">
        <v>Onitsha</v>
      </c>
      <c r="L151" t="str">
        <v>Technology</v>
      </c>
      <c r="M151" t="str">
        <v>Laptops</v>
      </c>
      <c r="N151" t="str">
        <v>Dell Inspiron 15</v>
      </c>
      <c r="O151">
        <v>20</v>
      </c>
      <c r="P151">
        <v>406685.04</v>
      </c>
      <c r="Q151">
        <v>20</v>
      </c>
      <c r="R151">
        <v>1626740.16</v>
      </c>
      <c r="S151">
        <v>6506960.6399999997</v>
      </c>
      <c r="T151">
        <v>116281.39</v>
      </c>
      <c r="U151" t="str">
        <v>Technology</v>
      </c>
      <c r="V151">
        <v>116281.39</v>
      </c>
      <c r="W151" t="str">
        <v>Large</v>
      </c>
      <c r="X151" t="str">
        <v>Large</v>
      </c>
      <c r="Y151" t="str">
        <v>Offer Discount</v>
      </c>
    </row>
    <row r="152" spans="1:25" x14ac:dyDescent="0.25">
      <c r="A152" t="str">
        <v>ORD-10493</v>
      </c>
      <c r="B152">
        <v>45345</v>
      </c>
      <c r="C152">
        <v>45347</v>
      </c>
      <c r="D152" t="str">
        <v>First Class</v>
      </c>
      <c r="E152" t="str">
        <v>Fatima</v>
      </c>
      <c r="F152" t="str">
        <v>Fashola</v>
      </c>
      <c r="G152" t="str">
        <v>fatima.fashola@yahoo.com</v>
      </c>
      <c r="H152">
        <v>8162273196</v>
      </c>
      <c r="I152" t="str">
        <v>Corporate</v>
      </c>
      <c r="J152" t="str">
        <v>East</v>
      </c>
      <c r="K152" t="str">
        <v>Owerri</v>
      </c>
      <c r="L152" t="str">
        <v>Office Supplies</v>
      </c>
      <c r="M152" t="str">
        <v>Paper</v>
      </c>
      <c r="N152" t="str">
        <v>Sticky Notes Pack</v>
      </c>
      <c r="O152">
        <v>17</v>
      </c>
      <c r="P152">
        <v>21143.78</v>
      </c>
      <c r="Q152">
        <v>25</v>
      </c>
      <c r="R152">
        <v>89861.07</v>
      </c>
      <c r="S152">
        <v>269583.19</v>
      </c>
      <c r="T152">
        <v>63673.57</v>
      </c>
      <c r="U152" t="str">
        <v>Office Supplies</v>
      </c>
      <c r="V152">
        <v>63673.57</v>
      </c>
      <c r="W152" t="str">
        <v>Large</v>
      </c>
      <c r="X152" t="str">
        <v>Large</v>
      </c>
      <c r="Y152" t="str">
        <v>No Discount</v>
      </c>
    </row>
    <row r="153" spans="1:25" x14ac:dyDescent="0.25">
      <c r="A153" t="str">
        <v>ORD-10360</v>
      </c>
      <c r="B153">
        <v>45363</v>
      </c>
      <c r="C153">
        <v>45365</v>
      </c>
      <c r="D153" t="str">
        <v>First Class</v>
      </c>
      <c r="E153" t="str">
        <v>Dayo</v>
      </c>
      <c r="F153" t="str">
        <v>Obi</v>
      </c>
      <c r="G153" t="str">
        <v>dayo.obi@hotmail.com</v>
      </c>
      <c r="H153">
        <v>8148315833</v>
      </c>
      <c r="I153" t="str">
        <v>Home Office</v>
      </c>
      <c r="J153" t="str">
        <v>East</v>
      </c>
      <c r="K153" t="str">
        <v>Onitsha</v>
      </c>
      <c r="L153" t="str">
        <v>Clothing</v>
      </c>
      <c r="M153" t="str">
        <v>Shirts</v>
      </c>
      <c r="N153" t="str">
        <v>Ankara Print Shirt</v>
      </c>
      <c r="O153">
        <v>13</v>
      </c>
      <c r="P153">
        <v>11711.41</v>
      </c>
      <c r="Q153">
        <v>20</v>
      </c>
      <c r="R153">
        <v>30449.67</v>
      </c>
      <c r="S153">
        <v>121798.66</v>
      </c>
      <c r="T153">
        <v>-9412.33</v>
      </c>
      <c r="U153" t="str">
        <v>Clothing</v>
      </c>
      <c r="V153">
        <v>9412.33</v>
      </c>
      <c r="W153" t="str">
        <v>Small</v>
      </c>
      <c r="X153" t="str">
        <v>Small</v>
      </c>
      <c r="Y153" t="str">
        <v>No Discount</v>
      </c>
    </row>
    <row r="154" spans="1:25" x14ac:dyDescent="0.25">
      <c r="A154" t="str">
        <v>ORD-10300</v>
      </c>
      <c r="B154">
        <v>45406</v>
      </c>
      <c r="C154">
        <v>45409</v>
      </c>
      <c r="D154" t="str">
        <v>First Class</v>
      </c>
      <c r="E154" t="str">
        <v>Chisom</v>
      </c>
      <c r="F154" t="str">
        <v>Alakija</v>
      </c>
      <c r="G154" t="str">
        <v>chisom.alakija@yahoo.com</v>
      </c>
      <c r="H154">
        <v>9054589118</v>
      </c>
      <c r="I154" t="str">
        <v>Corporate</v>
      </c>
      <c r="J154" t="str">
        <v>East</v>
      </c>
      <c r="K154" t="str">
        <v>Awka</v>
      </c>
      <c r="L154" t="str">
        <v>Clothing</v>
      </c>
      <c r="M154" t="str">
        <v>Accessories</v>
      </c>
      <c r="N154" t="str">
        <v>Wristwatch</v>
      </c>
      <c r="O154">
        <v>20</v>
      </c>
      <c r="P154">
        <v>17480.37</v>
      </c>
      <c r="Q154">
        <v>20</v>
      </c>
      <c r="R154">
        <v>52441.11</v>
      </c>
      <c r="S154">
        <v>209764.44</v>
      </c>
      <c r="T154">
        <v>89337.55</v>
      </c>
      <c r="U154" t="str">
        <v>Clothing</v>
      </c>
      <c r="V154">
        <v>89337.55</v>
      </c>
      <c r="W154" t="str">
        <v>Large</v>
      </c>
      <c r="X154" t="str">
        <v>Large</v>
      </c>
      <c r="Y154" t="str">
        <v>No Discount</v>
      </c>
    </row>
    <row r="155" spans="1:25" x14ac:dyDescent="0.25">
      <c r="A155" t="str">
        <v>ORD-10786</v>
      </c>
      <c r="B155">
        <v>45421</v>
      </c>
      <c r="C155">
        <v>45424</v>
      </c>
      <c r="D155" t="str">
        <v>First Class</v>
      </c>
      <c r="E155" t="str">
        <v>Obinna</v>
      </c>
      <c r="F155" t="str">
        <v>Musa</v>
      </c>
      <c r="G155" t="str">
        <v>obinna.musa@gmail.com</v>
      </c>
      <c r="H155" t="str">
        <v>080312345678901</v>
      </c>
      <c r="I155" t="str">
        <v>Home Office</v>
      </c>
      <c r="J155" t="str">
        <v>East</v>
      </c>
      <c r="K155" t="str">
        <v>Aba</v>
      </c>
      <c r="L155" t="str">
        <v>Furniture</v>
      </c>
      <c r="M155" t="str">
        <v>Sofas</v>
      </c>
      <c r="N155" t="str">
        <v>Ottoman Footstool</v>
      </c>
      <c r="O155">
        <v>14</v>
      </c>
      <c r="P155">
        <v>46078.76</v>
      </c>
      <c r="Q155">
        <v>10</v>
      </c>
      <c r="R155">
        <v>64510.26</v>
      </c>
      <c r="S155">
        <v>580592.38</v>
      </c>
      <c r="T155">
        <v>-50871.93</v>
      </c>
      <c r="U155" t="str">
        <v>Furniture</v>
      </c>
      <c r="V155">
        <v>50871.93</v>
      </c>
      <c r="W155" t="str">
        <v>Small</v>
      </c>
      <c r="X155" t="str">
        <v>Medium</v>
      </c>
      <c r="Y155" t="str">
        <v>No Discount</v>
      </c>
    </row>
    <row r="156" spans="1:25" x14ac:dyDescent="0.25">
      <c r="A156" t="str">
        <v>ORD-10073</v>
      </c>
      <c r="B156">
        <v>45428</v>
      </c>
      <c r="C156">
        <v>45430</v>
      </c>
      <c r="D156" t="str">
        <v>First Class</v>
      </c>
      <c r="E156" t="str">
        <v>Nike</v>
      </c>
      <c r="F156" t="str">
        <v>Alakija</v>
      </c>
      <c r="G156" t="str">
        <v>nike.alakija@outlook.com</v>
      </c>
      <c r="H156">
        <v>7032738129</v>
      </c>
      <c r="I156" t="str">
        <v>Corporate</v>
      </c>
      <c r="J156" t="str">
        <v>East</v>
      </c>
      <c r="K156" t="str">
        <v>Enugu</v>
      </c>
      <c r="L156" t="str">
        <v>Food &amp; Beverages</v>
      </c>
      <c r="M156" t="str">
        <v>Condiments</v>
      </c>
      <c r="N156" t="str">
        <v>Maggi Cubes 100pk</v>
      </c>
      <c r="O156">
        <v>16</v>
      </c>
      <c r="P156">
        <v>1491.42</v>
      </c>
      <c r="Q156">
        <v>5</v>
      </c>
      <c r="R156">
        <v>1193.1400000000001</v>
      </c>
      <c r="S156">
        <v>22669.58</v>
      </c>
      <c r="T156">
        <v>8123.98</v>
      </c>
      <c r="U156" t="str">
        <v>Food &amp; Beverages</v>
      </c>
      <c r="V156">
        <v>8123.98</v>
      </c>
      <c r="W156" t="str">
        <v>Large</v>
      </c>
      <c r="X156" t="str">
        <v>Large</v>
      </c>
      <c r="Y156" t="str">
        <v>No Discount</v>
      </c>
    </row>
    <row r="157" spans="1:25" x14ac:dyDescent="0.25">
      <c r="A157" t="str">
        <v>ORD-10562</v>
      </c>
      <c r="B157">
        <v>45434</v>
      </c>
      <c r="C157">
        <v>45437</v>
      </c>
      <c r="D157" t="str">
        <v>First Class</v>
      </c>
      <c r="E157" t="str">
        <v>Ngozi</v>
      </c>
      <c r="F157" t="str">
        <v>Dangote</v>
      </c>
      <c r="G157" t="str">
        <v>ngozi.dangote@hotmail.com</v>
      </c>
      <c r="H157">
        <v>9071866635</v>
      </c>
      <c r="I157" t="str">
        <v>Consumer</v>
      </c>
      <c r="J157" t="str">
        <v>East</v>
      </c>
      <c r="K157" t="str">
        <v>Onitsha</v>
      </c>
      <c r="L157" t="str">
        <v>Office Supply</v>
      </c>
      <c r="M157" t="str">
        <v>Paper</v>
      </c>
      <c r="N157" t="str">
        <v>Sticky Notes Pack</v>
      </c>
      <c r="O157">
        <v>12</v>
      </c>
      <c r="P157">
        <v>9407.6200000000008</v>
      </c>
      <c r="Q157">
        <v>15</v>
      </c>
      <c r="R157">
        <v>16933.72</v>
      </c>
      <c r="S157">
        <v>31699.51</v>
      </c>
      <c r="T157">
        <v>-174.53</v>
      </c>
      <c r="U157" t="str">
        <v>Office Supply</v>
      </c>
      <c r="V157">
        <v>174.53</v>
      </c>
      <c r="W157" t="str">
        <v>Small</v>
      </c>
      <c r="X157" t="str">
        <v>Small</v>
      </c>
      <c r="Y157" t="str">
        <v>No Discount</v>
      </c>
    </row>
    <row r="158" spans="1:25" x14ac:dyDescent="0.25">
      <c r="A158" t="str">
        <v>ORD-10176</v>
      </c>
      <c r="B158">
        <v>45441</v>
      </c>
      <c r="C158">
        <v>45444</v>
      </c>
      <c r="D158" t="str">
        <v>First Class</v>
      </c>
      <c r="E158" t="str">
        <v>Ronke</v>
      </c>
      <c r="F158" t="str">
        <v>Musa</v>
      </c>
      <c r="G158" t="str">
        <v>ronke.musa@outlook.com</v>
      </c>
      <c r="H158">
        <v>9012293020</v>
      </c>
      <c r="I158" t="str">
        <v>Consumer</v>
      </c>
      <c r="J158" t="str">
        <v>East</v>
      </c>
      <c r="K158" t="str">
        <v>Enugu</v>
      </c>
      <c r="L158" t="str">
        <v>Clothing</v>
      </c>
      <c r="M158" t="str">
        <v>Bags</v>
      </c>
      <c r="N158" t="str">
        <v>Crossbody Bag</v>
      </c>
      <c r="O158">
        <v>16</v>
      </c>
      <c r="P158">
        <v>17485.330000000002</v>
      </c>
      <c r="Q158">
        <v>0</v>
      </c>
      <c r="R158">
        <v>0</v>
      </c>
      <c r="S158">
        <v>279765.28000000003</v>
      </c>
      <c r="T158">
        <v>19754.97</v>
      </c>
      <c r="U158" t="str">
        <v>Clothing</v>
      </c>
      <c r="V158">
        <v>19754.97</v>
      </c>
      <c r="W158" t="str">
        <v>Large</v>
      </c>
      <c r="X158" t="str">
        <v>Large</v>
      </c>
      <c r="Y158" t="str">
        <v>No Discount</v>
      </c>
    </row>
    <row r="159" spans="1:25" x14ac:dyDescent="0.25">
      <c r="A159" t="str">
        <v>ORD-10008</v>
      </c>
      <c r="B159">
        <v>45452</v>
      </c>
      <c r="C159">
        <v>45454</v>
      </c>
      <c r="D159" t="str">
        <v>First Class</v>
      </c>
      <c r="E159" t="str">
        <v>Adebayo</v>
      </c>
      <c r="F159" t="str">
        <v>Okonkwo</v>
      </c>
      <c r="G159" t="str">
        <v>adebayo.okonkwo@outlook.com</v>
      </c>
      <c r="H159">
        <v>8153997281</v>
      </c>
      <c r="I159" t="str">
        <v>Consumer</v>
      </c>
      <c r="J159" t="str">
        <v>East</v>
      </c>
      <c r="K159" t="str">
        <v>Abia</v>
      </c>
      <c r="L159" t="str">
        <v>Food &amp; Beverages</v>
      </c>
      <c r="M159" t="str">
        <v>Drinks</v>
      </c>
      <c r="N159" t="str">
        <v>Water 5L x6</v>
      </c>
      <c r="O159">
        <v>17</v>
      </c>
      <c r="P159">
        <v>6780.85</v>
      </c>
      <c r="Q159">
        <v>5</v>
      </c>
      <c r="R159">
        <v>5763.72</v>
      </c>
      <c r="S159">
        <v>109510.73</v>
      </c>
      <c r="T159">
        <v>-6384.09</v>
      </c>
      <c r="U159" t="str">
        <v>Food &amp; Beverages</v>
      </c>
      <c r="V159">
        <v>6384.09</v>
      </c>
      <c r="W159" t="str">
        <v>Large</v>
      </c>
      <c r="X159" t="str">
        <v>Large</v>
      </c>
      <c r="Y159" t="str">
        <v>No Discount</v>
      </c>
    </row>
    <row r="160" spans="1:25" x14ac:dyDescent="0.25">
      <c r="A160" t="str">
        <v>ORD-10071</v>
      </c>
      <c r="B160">
        <v>45491</v>
      </c>
      <c r="C160">
        <v>45494</v>
      </c>
      <c r="D160" t="str">
        <v>First Class</v>
      </c>
      <c r="E160" t="str">
        <v>Yemi</v>
      </c>
      <c r="F160" t="str">
        <v>Sule</v>
      </c>
      <c r="G160" t="str">
        <v>@nodomain.com</v>
      </c>
      <c r="H160">
        <v>8034607488</v>
      </c>
      <c r="I160" t="str">
        <v>Home Office</v>
      </c>
      <c r="J160" t="str">
        <v>East</v>
      </c>
      <c r="K160" t="str">
        <v>Owerri</v>
      </c>
      <c r="L160" t="str">
        <v>Clothing</v>
      </c>
      <c r="M160" t="str">
        <v>Bags</v>
      </c>
      <c r="N160" t="str">
        <v>Tote Bag</v>
      </c>
      <c r="O160">
        <v>15</v>
      </c>
      <c r="P160">
        <v>19793.98</v>
      </c>
      <c r="Q160">
        <v>15</v>
      </c>
      <c r="R160">
        <v>44536.46</v>
      </c>
      <c r="S160">
        <v>252373.24</v>
      </c>
      <c r="T160">
        <v>25134.81</v>
      </c>
      <c r="U160" t="str">
        <v>Clothing</v>
      </c>
      <c r="V160">
        <v>25134.81</v>
      </c>
      <c r="W160" t="str">
        <v>Large</v>
      </c>
      <c r="X160" t="str">
        <v>Large</v>
      </c>
      <c r="Y160" t="str">
        <v>No Discount</v>
      </c>
    </row>
    <row r="161" spans="1:25" x14ac:dyDescent="0.25">
      <c r="A161" t="str">
        <v>ORD-10362</v>
      </c>
      <c r="B161">
        <v>45558</v>
      </c>
      <c r="C161">
        <v>45560</v>
      </c>
      <c r="D161" t="str">
        <v>First Class</v>
      </c>
      <c r="E161" t="str">
        <v>Olumide</v>
      </c>
      <c r="F161" t="str">
        <v>Atiku</v>
      </c>
      <c r="G161" t="str">
        <v>olumide.atiku@yahoo.com</v>
      </c>
      <c r="H161">
        <v>8101598917</v>
      </c>
      <c r="I161" t="str">
        <v>Consumer</v>
      </c>
      <c r="J161" t="str">
        <v>East</v>
      </c>
      <c r="K161" t="str">
        <v>Owerri</v>
      </c>
      <c r="L161" t="str">
        <v>Furniture</v>
      </c>
      <c r="M161" t="str">
        <v>Chairs</v>
      </c>
      <c r="N161" t="str">
        <v>Gaming Chair</v>
      </c>
      <c r="O161">
        <v>13</v>
      </c>
      <c r="P161">
        <v>49019.44</v>
      </c>
      <c r="Q161">
        <v>0</v>
      </c>
      <c r="R161">
        <v>0</v>
      </c>
      <c r="S161">
        <v>637252.72</v>
      </c>
      <c r="T161">
        <v>207517.21</v>
      </c>
      <c r="U161" t="str">
        <v>Furniture</v>
      </c>
      <c r="V161">
        <v>207517.21</v>
      </c>
      <c r="W161" t="str">
        <v>Small</v>
      </c>
      <c r="X161" t="str">
        <v>Small</v>
      </c>
      <c r="Y161" t="str">
        <v>No Discount</v>
      </c>
    </row>
    <row r="162" spans="1:25" x14ac:dyDescent="0.25">
      <c r="A162" t="str">
        <v>ORD-10436</v>
      </c>
      <c r="B162">
        <v>45332</v>
      </c>
      <c r="C162">
        <v>45570</v>
      </c>
      <c r="D162" t="str">
        <v>First Class</v>
      </c>
      <c r="E162" t="str">
        <v>Gbenga</v>
      </c>
      <c r="F162" t="str">
        <v>Sowore</v>
      </c>
      <c r="G162" t="str">
        <v>gbenga.sowore@yahoo.com</v>
      </c>
      <c r="H162">
        <v>7032612483</v>
      </c>
      <c r="I162" t="str">
        <v>Consumer</v>
      </c>
      <c r="J162" t="str">
        <v>East</v>
      </c>
      <c r="K162" t="str">
        <v>Onitsha</v>
      </c>
      <c r="L162" t="str">
        <v>Office Supplies</v>
      </c>
      <c r="M162" t="str">
        <v>Labels</v>
      </c>
      <c r="N162" t="str">
        <v>Round Stickers</v>
      </c>
      <c r="O162">
        <v>13</v>
      </c>
      <c r="P162">
        <v>12495.76</v>
      </c>
      <c r="Q162">
        <v>20</v>
      </c>
      <c r="R162">
        <v>32488.98</v>
      </c>
      <c r="S162">
        <v>129955.9</v>
      </c>
      <c r="T162">
        <v>1440.9</v>
      </c>
      <c r="U162" t="str">
        <v>Office Supplies</v>
      </c>
      <c r="V162">
        <v>1440.9</v>
      </c>
      <c r="W162" t="str">
        <v>Small</v>
      </c>
      <c r="X162" t="str">
        <v>Small</v>
      </c>
      <c r="Y162" t="str">
        <v>No Discount</v>
      </c>
    </row>
    <row r="163" spans="1:25" x14ac:dyDescent="0.25">
      <c r="A163" t="str">
        <v>ORD-10601</v>
      </c>
      <c r="B163">
        <v>45590</v>
      </c>
      <c r="C163">
        <v>45592</v>
      </c>
      <c r="D163" t="str">
        <v>First Class</v>
      </c>
      <c r="E163" t="str">
        <v>Wale</v>
      </c>
      <c r="F163" t="str">
        <v>Tinubu</v>
      </c>
      <c r="G163" t="str">
        <v>wale.tinubu@hotmail.com</v>
      </c>
      <c r="H163">
        <v>7067885148</v>
      </c>
      <c r="I163" t="str">
        <v>Corporate</v>
      </c>
      <c r="J163" t="str">
        <v>East</v>
      </c>
      <c r="K163" t="str">
        <v>Enugu</v>
      </c>
      <c r="L163" t="str">
        <v>Office Supplies</v>
      </c>
      <c r="M163" t="str">
        <v>Pens &amp; Pencils</v>
      </c>
      <c r="N163" t="str">
        <v>Highlighters Set</v>
      </c>
      <c r="O163">
        <v>11</v>
      </c>
      <c r="P163">
        <v>10933.31</v>
      </c>
      <c r="Q163">
        <v>0</v>
      </c>
      <c r="R163">
        <v>0</v>
      </c>
      <c r="S163">
        <v>120266.41</v>
      </c>
      <c r="T163">
        <v>48805.23</v>
      </c>
      <c r="U163" t="str">
        <v>Office Supplies</v>
      </c>
      <c r="V163">
        <v>48805.23</v>
      </c>
      <c r="W163" t="str">
        <v>Small</v>
      </c>
      <c r="X163" t="str">
        <v>Small</v>
      </c>
      <c r="Y163" t="str">
        <v>No Discount</v>
      </c>
    </row>
    <row r="164" spans="1:25" x14ac:dyDescent="0.25">
      <c r="A164" t="str">
        <v>ORD-10163</v>
      </c>
      <c r="B164">
        <v>45615</v>
      </c>
      <c r="C164">
        <v>45617</v>
      </c>
      <c r="D164" t="str">
        <v>First Class</v>
      </c>
      <c r="E164" t="str">
        <v>Kemi</v>
      </c>
      <c r="F164" t="str">
        <v>Buhari</v>
      </c>
      <c r="G164" t="str">
        <v>kemi.buhari@hotmail.com</v>
      </c>
      <c r="H164">
        <v>8035652716</v>
      </c>
      <c r="I164" t="str">
        <v>Home Office</v>
      </c>
      <c r="J164" t="str">
        <v>East</v>
      </c>
      <c r="K164" t="str">
        <v>Aba</v>
      </c>
      <c r="L164" t="str">
        <v>Furniture</v>
      </c>
      <c r="M164" t="str">
        <v>Tables</v>
      </c>
      <c r="N164" t="str">
        <v>Conference Table</v>
      </c>
      <c r="O164">
        <v>11</v>
      </c>
      <c r="P164">
        <v>33153.870000000003</v>
      </c>
      <c r="Q164">
        <v>5</v>
      </c>
      <c r="R164">
        <v>18234.63</v>
      </c>
      <c r="S164">
        <v>346457.94</v>
      </c>
      <c r="T164">
        <v>106322.45</v>
      </c>
      <c r="U164" t="str">
        <v>Furniture</v>
      </c>
      <c r="V164">
        <v>106322.45</v>
      </c>
      <c r="W164" t="str">
        <v>Small</v>
      </c>
      <c r="X164" t="str">
        <v>Small</v>
      </c>
      <c r="Y164" t="str">
        <v>No Discount</v>
      </c>
    </row>
  </sheetData>
  <mergeCells count="7">
    <mergeCell ref="D32:E32"/>
    <mergeCell ref="A38:C38"/>
    <mergeCell ref="A48:B48"/>
    <mergeCell ref="A2:B2"/>
    <mergeCell ref="A15:B15"/>
    <mergeCell ref="A22:B22"/>
    <mergeCell ref="A32:B32"/>
  </mergeCells>
  <phoneticPr fontId="1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0F882-3F0C-41CE-8691-F60EDC41373C}">
  <dimension ref="A1:ALV7"/>
  <sheetViews>
    <sheetView workbookViewId="0">
      <selection sqref="A1:XFD1"/>
    </sheetView>
  </sheetViews>
  <sheetFormatPr defaultRowHeight="15" x14ac:dyDescent="0.25"/>
  <cols>
    <col min="1" max="1" width="22" customWidth="1"/>
    <col min="2" max="2" width="21.42578125" bestFit="1" customWidth="1"/>
    <col min="3" max="1010" width="10.5703125" bestFit="1" customWidth="1"/>
  </cols>
  <sheetData>
    <row r="1" spans="1:1010" x14ac:dyDescent="0.25">
      <c r="A1" s="13" t="s">
        <v>0</v>
      </c>
      <c r="B1" s="13" t="s">
        <v>2629</v>
      </c>
      <c r="C1" s="13" t="s">
        <v>1552</v>
      </c>
      <c r="D1" s="13" t="s">
        <v>1724</v>
      </c>
      <c r="E1" s="13" t="s">
        <v>1384</v>
      </c>
      <c r="F1" s="13" t="s">
        <v>1464</v>
      </c>
      <c r="G1" s="13" t="s">
        <v>2614</v>
      </c>
      <c r="H1" s="13" t="s">
        <v>2872</v>
      </c>
      <c r="I1" s="13" t="s">
        <v>693</v>
      </c>
      <c r="J1" s="13" t="s">
        <v>1334</v>
      </c>
      <c r="K1" s="13" t="s">
        <v>214</v>
      </c>
      <c r="L1" s="13" t="s">
        <v>1128</v>
      </c>
      <c r="M1" s="13" t="s">
        <v>717</v>
      </c>
      <c r="N1" s="13" t="s">
        <v>447</v>
      </c>
      <c r="O1" s="13" t="s">
        <v>889</v>
      </c>
      <c r="P1" s="13" t="s">
        <v>2900</v>
      </c>
      <c r="Q1" s="13" t="s">
        <v>1888</v>
      </c>
      <c r="R1" s="13" t="s">
        <v>2037</v>
      </c>
      <c r="S1" s="13" t="s">
        <v>578</v>
      </c>
      <c r="T1" s="13" t="s">
        <v>1596</v>
      </c>
      <c r="U1" s="13" t="s">
        <v>2446</v>
      </c>
      <c r="V1" s="13" t="s">
        <v>1901</v>
      </c>
      <c r="W1" s="13" t="s">
        <v>737</v>
      </c>
      <c r="X1" s="13" t="s">
        <v>364</v>
      </c>
      <c r="Y1" s="13" t="s">
        <v>1951</v>
      </c>
      <c r="Z1" s="13" t="s">
        <v>2696</v>
      </c>
      <c r="AA1" s="13" t="s">
        <v>314</v>
      </c>
      <c r="AB1" s="13" t="s">
        <v>1132</v>
      </c>
      <c r="AC1" s="13" t="s">
        <v>1777</v>
      </c>
      <c r="AD1" s="13" t="s">
        <v>1533</v>
      </c>
      <c r="AE1" s="13" t="s">
        <v>1699</v>
      </c>
      <c r="AF1" s="13" t="s">
        <v>1059</v>
      </c>
      <c r="AG1" s="13" t="s">
        <v>1484</v>
      </c>
      <c r="AH1" s="13" t="s">
        <v>2577</v>
      </c>
      <c r="AI1" s="13" t="s">
        <v>2766</v>
      </c>
      <c r="AJ1" s="13" t="s">
        <v>389</v>
      </c>
      <c r="AK1" s="13" t="s">
        <v>1532</v>
      </c>
      <c r="AL1" s="13" t="s">
        <v>2902</v>
      </c>
      <c r="AM1" s="13" t="s">
        <v>1033</v>
      </c>
      <c r="AN1" s="13" t="s">
        <v>1717</v>
      </c>
      <c r="AO1" s="13" t="s">
        <v>2817</v>
      </c>
      <c r="AP1" s="13" t="s">
        <v>902</v>
      </c>
      <c r="AQ1" s="13" t="s">
        <v>344</v>
      </c>
      <c r="AR1" s="13" t="s">
        <v>1727</v>
      </c>
      <c r="AS1" s="13" t="s">
        <v>899</v>
      </c>
      <c r="AT1" s="13" t="s">
        <v>2006</v>
      </c>
      <c r="AU1" s="13" t="s">
        <v>726</v>
      </c>
      <c r="AV1" s="13" t="s">
        <v>1558</v>
      </c>
      <c r="AW1" s="13" t="s">
        <v>1293</v>
      </c>
      <c r="AX1" s="13" t="s">
        <v>2130</v>
      </c>
      <c r="AY1" s="13" t="s">
        <v>2634</v>
      </c>
      <c r="AZ1" s="13" t="s">
        <v>2401</v>
      </c>
      <c r="BA1" s="13" t="s">
        <v>2866</v>
      </c>
      <c r="BB1" s="13" t="s">
        <v>162</v>
      </c>
      <c r="BC1" s="13" t="s">
        <v>2920</v>
      </c>
      <c r="BD1" s="13" t="s">
        <v>2010</v>
      </c>
      <c r="BE1" s="13" t="s">
        <v>2497</v>
      </c>
      <c r="BF1" s="13" t="s">
        <v>2310</v>
      </c>
      <c r="BG1" s="13" t="s">
        <v>2039</v>
      </c>
      <c r="BH1" s="13" t="s">
        <v>2407</v>
      </c>
      <c r="BI1" s="13" t="s">
        <v>1819</v>
      </c>
      <c r="BJ1" s="13" t="s">
        <v>2004</v>
      </c>
      <c r="BK1" s="13" t="s">
        <v>1695</v>
      </c>
      <c r="BL1" s="13" t="s">
        <v>2808</v>
      </c>
      <c r="BM1" s="13" t="s">
        <v>337</v>
      </c>
      <c r="BN1" s="13" t="s">
        <v>1752</v>
      </c>
      <c r="BO1" s="13" t="s">
        <v>766</v>
      </c>
      <c r="BP1" s="13" t="s">
        <v>2074</v>
      </c>
      <c r="BQ1" s="13" t="s">
        <v>2171</v>
      </c>
      <c r="BR1" s="13" t="s">
        <v>1408</v>
      </c>
      <c r="BS1" s="13" t="s">
        <v>2574</v>
      </c>
      <c r="BT1" s="13" t="s">
        <v>2860</v>
      </c>
      <c r="BU1" s="13" t="s">
        <v>2168</v>
      </c>
      <c r="BV1" s="13" t="s">
        <v>2411</v>
      </c>
      <c r="BW1" s="13" t="s">
        <v>220</v>
      </c>
      <c r="BX1" s="13" t="s">
        <v>2065</v>
      </c>
      <c r="BY1" s="13" t="s">
        <v>851</v>
      </c>
      <c r="BZ1" s="13" t="s">
        <v>1019</v>
      </c>
      <c r="CA1" s="13" t="s">
        <v>1448</v>
      </c>
      <c r="CB1" s="13" t="s">
        <v>1347</v>
      </c>
      <c r="CC1" s="13" t="s">
        <v>2930</v>
      </c>
      <c r="CD1" s="13" t="s">
        <v>1164</v>
      </c>
      <c r="CE1" s="13" t="s">
        <v>2279</v>
      </c>
      <c r="CF1" s="13" t="s">
        <v>849</v>
      </c>
      <c r="CG1" s="13" t="s">
        <v>1670</v>
      </c>
      <c r="CH1" s="13" t="s">
        <v>1994</v>
      </c>
      <c r="CI1" s="13" t="s">
        <v>2463</v>
      </c>
      <c r="CJ1" s="13" t="s">
        <v>656</v>
      </c>
      <c r="CK1" s="13" t="s">
        <v>1108</v>
      </c>
      <c r="CL1" s="13" t="s">
        <v>1576</v>
      </c>
      <c r="CM1" s="13" t="s">
        <v>1835</v>
      </c>
      <c r="CN1" s="13" t="s">
        <v>1250</v>
      </c>
      <c r="CO1" s="13" t="s">
        <v>263</v>
      </c>
      <c r="CP1" s="13" t="s">
        <v>351</v>
      </c>
      <c r="CQ1" s="13" t="s">
        <v>2193</v>
      </c>
      <c r="CR1" s="13" t="s">
        <v>2511</v>
      </c>
      <c r="CS1" s="13" t="s">
        <v>2014</v>
      </c>
      <c r="CT1" s="13" t="s">
        <v>924</v>
      </c>
      <c r="CU1" s="13" t="s">
        <v>2540</v>
      </c>
      <c r="CV1" s="13" t="s">
        <v>2162</v>
      </c>
      <c r="CW1" s="13" t="s">
        <v>751</v>
      </c>
      <c r="CX1" s="13" t="s">
        <v>2139</v>
      </c>
      <c r="CY1" s="13" t="s">
        <v>91</v>
      </c>
      <c r="CZ1" s="13" t="s">
        <v>2826</v>
      </c>
      <c r="DA1" s="13" t="s">
        <v>1742</v>
      </c>
      <c r="DB1" s="13" t="s">
        <v>2196</v>
      </c>
      <c r="DC1" s="13" t="s">
        <v>122</v>
      </c>
      <c r="DD1" s="13" t="s">
        <v>994</v>
      </c>
      <c r="DE1" s="13" t="s">
        <v>2869</v>
      </c>
      <c r="DF1" s="13" t="s">
        <v>854</v>
      </c>
      <c r="DG1" s="13" t="s">
        <v>2271</v>
      </c>
      <c r="DH1" s="13" t="s">
        <v>2708</v>
      </c>
      <c r="DI1" s="13" t="s">
        <v>984</v>
      </c>
      <c r="DJ1" s="13" t="s">
        <v>209</v>
      </c>
      <c r="DK1" s="13" t="s">
        <v>566</v>
      </c>
      <c r="DL1" s="13" t="s">
        <v>2090</v>
      </c>
      <c r="DM1" s="13" t="s">
        <v>2044</v>
      </c>
      <c r="DN1" s="13" t="s">
        <v>498</v>
      </c>
      <c r="DO1" s="13" t="s">
        <v>1845</v>
      </c>
      <c r="DP1" s="13" t="s">
        <v>2263</v>
      </c>
      <c r="DQ1" s="13" t="s">
        <v>1812</v>
      </c>
      <c r="DR1" s="13" t="s">
        <v>1976</v>
      </c>
      <c r="DS1" s="13" t="s">
        <v>2077</v>
      </c>
      <c r="DT1" s="13" t="s">
        <v>2414</v>
      </c>
      <c r="DU1" s="13" t="s">
        <v>2854</v>
      </c>
      <c r="DV1" s="13" t="s">
        <v>356</v>
      </c>
      <c r="DW1" s="13" t="s">
        <v>381</v>
      </c>
      <c r="DX1" s="13" t="s">
        <v>2948</v>
      </c>
      <c r="DY1" s="13" t="s">
        <v>1736</v>
      </c>
      <c r="DZ1" s="13" t="s">
        <v>1587</v>
      </c>
      <c r="EA1" s="13" t="s">
        <v>629</v>
      </c>
      <c r="EB1" s="13" t="s">
        <v>2668</v>
      </c>
      <c r="EC1" s="13" t="s">
        <v>256</v>
      </c>
      <c r="ED1" s="13" t="s">
        <v>1944</v>
      </c>
      <c r="EE1" s="13" t="s">
        <v>2209</v>
      </c>
      <c r="EF1" s="13" t="s">
        <v>2514</v>
      </c>
      <c r="EG1" s="13" t="s">
        <v>977</v>
      </c>
      <c r="EH1" s="13" t="s">
        <v>2083</v>
      </c>
      <c r="EI1" s="13" t="s">
        <v>2651</v>
      </c>
      <c r="EJ1" s="13" t="s">
        <v>2468</v>
      </c>
      <c r="EK1" s="13" t="s">
        <v>2092</v>
      </c>
      <c r="EL1" s="13" t="s">
        <v>1700</v>
      </c>
      <c r="EM1" s="13" t="s">
        <v>488</v>
      </c>
      <c r="EN1" s="13" t="s">
        <v>1804</v>
      </c>
      <c r="EO1" s="13" t="s">
        <v>410</v>
      </c>
      <c r="EP1" s="13" t="s">
        <v>2370</v>
      </c>
      <c r="EQ1" s="13" t="s">
        <v>819</v>
      </c>
      <c r="ER1" s="13" t="s">
        <v>1631</v>
      </c>
      <c r="ES1" s="13" t="s">
        <v>1628</v>
      </c>
      <c r="ET1" s="13" t="s">
        <v>2503</v>
      </c>
      <c r="EU1" s="13" t="s">
        <v>2466</v>
      </c>
      <c r="EV1" s="13" t="s">
        <v>81</v>
      </c>
      <c r="EW1" s="13" t="s">
        <v>141</v>
      </c>
      <c r="EX1" s="13" t="s">
        <v>2903</v>
      </c>
      <c r="EY1" s="13" t="s">
        <v>430</v>
      </c>
      <c r="EZ1" s="13" t="s">
        <v>805</v>
      </c>
      <c r="FA1" s="13" t="s">
        <v>1685</v>
      </c>
      <c r="FB1" s="13" t="s">
        <v>2435</v>
      </c>
      <c r="FC1" s="13" t="s">
        <v>2046</v>
      </c>
      <c r="FD1" s="13" t="s">
        <v>2828</v>
      </c>
      <c r="FE1" s="13" t="s">
        <v>2362</v>
      </c>
      <c r="FF1" s="13" t="s">
        <v>2389</v>
      </c>
      <c r="FG1" s="13" t="s">
        <v>224</v>
      </c>
      <c r="FH1" s="13" t="s">
        <v>2455</v>
      </c>
      <c r="FI1" s="13" t="s">
        <v>797</v>
      </c>
      <c r="FJ1" s="13" t="s">
        <v>2777</v>
      </c>
      <c r="FK1" s="13" t="s">
        <v>2881</v>
      </c>
      <c r="FL1" s="13" t="s">
        <v>2895</v>
      </c>
      <c r="FM1" s="13" t="s">
        <v>2034</v>
      </c>
      <c r="FN1" s="13" t="s">
        <v>1786</v>
      </c>
      <c r="FO1" s="13" t="s">
        <v>1783</v>
      </c>
      <c r="FP1" s="13" t="s">
        <v>2732</v>
      </c>
      <c r="FQ1" s="13" t="s">
        <v>47</v>
      </c>
      <c r="FR1" s="13" t="s">
        <v>2413</v>
      </c>
      <c r="FS1" s="13" t="s">
        <v>201</v>
      </c>
      <c r="FT1" s="13" t="s">
        <v>2313</v>
      </c>
      <c r="FU1" s="13" t="s">
        <v>876</v>
      </c>
      <c r="FV1" s="13" t="s">
        <v>1954</v>
      </c>
      <c r="FW1" s="13" t="s">
        <v>782</v>
      </c>
      <c r="FX1" s="13" t="s">
        <v>886</v>
      </c>
      <c r="FY1" s="13" t="s">
        <v>2430</v>
      </c>
      <c r="FZ1" s="13" t="s">
        <v>2527</v>
      </c>
      <c r="GA1" s="13" t="s">
        <v>2716</v>
      </c>
      <c r="GB1" s="13" t="s">
        <v>1457</v>
      </c>
      <c r="GC1" s="13" t="s">
        <v>1085</v>
      </c>
      <c r="GD1" s="13" t="s">
        <v>2365</v>
      </c>
      <c r="GE1" s="13" t="s">
        <v>2443</v>
      </c>
      <c r="GF1" s="13" t="s">
        <v>589</v>
      </c>
      <c r="GG1" s="13" t="s">
        <v>398</v>
      </c>
      <c r="GH1" s="13" t="s">
        <v>992</v>
      </c>
      <c r="GI1" s="13" t="s">
        <v>2348</v>
      </c>
      <c r="GJ1" s="13" t="s">
        <v>2537</v>
      </c>
      <c r="GK1" s="13" t="s">
        <v>1993</v>
      </c>
      <c r="GL1" s="13" t="s">
        <v>440</v>
      </c>
      <c r="GM1" s="13" t="s">
        <v>2031</v>
      </c>
      <c r="GN1" s="13" t="s">
        <v>2823</v>
      </c>
      <c r="GO1" s="13" t="s">
        <v>1732</v>
      </c>
      <c r="GP1" s="13" t="s">
        <v>427</v>
      </c>
      <c r="GQ1" s="13" t="s">
        <v>1919</v>
      </c>
      <c r="GR1" s="13" t="s">
        <v>2582</v>
      </c>
      <c r="GS1" s="13" t="s">
        <v>276</v>
      </c>
      <c r="GT1" s="13" t="s">
        <v>2545</v>
      </c>
      <c r="GU1" s="13" t="s">
        <v>769</v>
      </c>
      <c r="GV1" s="13" t="s">
        <v>2392</v>
      </c>
      <c r="GW1" s="13" t="s">
        <v>1319</v>
      </c>
      <c r="GX1" s="13" t="s">
        <v>2373</v>
      </c>
      <c r="GY1" s="13" t="s">
        <v>2230</v>
      </c>
      <c r="GZ1" s="13" t="s">
        <v>1677</v>
      </c>
      <c r="HA1" s="13" t="s">
        <v>1666</v>
      </c>
      <c r="HB1" s="13" t="s">
        <v>1100</v>
      </c>
      <c r="HC1" s="13" t="s">
        <v>1244</v>
      </c>
      <c r="HD1" s="13" t="s">
        <v>2753</v>
      </c>
      <c r="HE1" s="13" t="s">
        <v>1807</v>
      </c>
      <c r="HF1" s="13" t="s">
        <v>2958</v>
      </c>
      <c r="HG1" s="13" t="s">
        <v>2106</v>
      </c>
      <c r="HH1" s="13" t="s">
        <v>1424</v>
      </c>
      <c r="HI1" s="13" t="s">
        <v>1366</v>
      </c>
      <c r="HJ1" s="13" t="s">
        <v>1691</v>
      </c>
      <c r="HK1" s="13" t="s">
        <v>2053</v>
      </c>
      <c r="HL1" s="13" t="s">
        <v>2678</v>
      </c>
      <c r="HM1" s="13" t="s">
        <v>1387</v>
      </c>
      <c r="HN1" s="13" t="s">
        <v>1796</v>
      </c>
      <c r="HO1" s="13" t="s">
        <v>1706</v>
      </c>
      <c r="HP1" s="13" t="s">
        <v>1837</v>
      </c>
      <c r="HQ1" s="13" t="s">
        <v>2610</v>
      </c>
      <c r="HR1" s="13" t="s">
        <v>2870</v>
      </c>
      <c r="HS1" s="13" t="s">
        <v>1138</v>
      </c>
      <c r="HT1" s="13" t="s">
        <v>1434</v>
      </c>
      <c r="HU1" s="13" t="s">
        <v>1184</v>
      </c>
      <c r="HV1" s="13" t="s">
        <v>892</v>
      </c>
      <c r="HW1" s="13" t="s">
        <v>892</v>
      </c>
      <c r="HX1" s="13" t="s">
        <v>1731</v>
      </c>
      <c r="HY1" s="13" t="s">
        <v>2883</v>
      </c>
      <c r="HZ1" s="13" t="s">
        <v>733</v>
      </c>
      <c r="IA1" s="13" t="s">
        <v>1654</v>
      </c>
      <c r="IB1" s="13" t="s">
        <v>2440</v>
      </c>
      <c r="IC1" s="13" t="s">
        <v>1179</v>
      </c>
      <c r="ID1" s="13" t="s">
        <v>1040</v>
      </c>
      <c r="IE1" s="13" t="s">
        <v>1637</v>
      </c>
      <c r="IF1" s="13" t="s">
        <v>2649</v>
      </c>
      <c r="IG1" s="13" t="s">
        <v>1792</v>
      </c>
      <c r="IH1" s="13" t="s">
        <v>2122</v>
      </c>
      <c r="II1" s="13" t="s">
        <v>1680</v>
      </c>
      <c r="IJ1" s="13" t="s">
        <v>1822</v>
      </c>
      <c r="IK1" s="13" t="s">
        <v>1904</v>
      </c>
      <c r="IL1" s="13" t="s">
        <v>2744</v>
      </c>
      <c r="IM1" s="13" t="s">
        <v>1770</v>
      </c>
      <c r="IN1" s="13" t="s">
        <v>2792</v>
      </c>
      <c r="IO1" s="13" t="s">
        <v>2738</v>
      </c>
      <c r="IP1" s="13" t="s">
        <v>2925</v>
      </c>
      <c r="IQ1" s="13" t="s">
        <v>2029</v>
      </c>
      <c r="IR1" s="13" t="s">
        <v>2755</v>
      </c>
      <c r="IS1" s="13" t="s">
        <v>1926</v>
      </c>
      <c r="IT1" s="13" t="s">
        <v>2857</v>
      </c>
      <c r="IU1" s="13" t="s">
        <v>1745</v>
      </c>
      <c r="IV1" s="13" t="s">
        <v>964</v>
      </c>
      <c r="IW1" s="13" t="s">
        <v>835</v>
      </c>
      <c r="IX1" s="13" t="s">
        <v>2729</v>
      </c>
      <c r="IY1" s="13" t="s">
        <v>2763</v>
      </c>
      <c r="IZ1" s="13" t="s">
        <v>2950</v>
      </c>
      <c r="JA1" s="13" t="s">
        <v>1106</v>
      </c>
      <c r="JB1" s="13" t="s">
        <v>1619</v>
      </c>
      <c r="JC1" s="13" t="s">
        <v>1063</v>
      </c>
      <c r="JD1" s="13" t="s">
        <v>1214</v>
      </c>
      <c r="JE1" s="13" t="s">
        <v>1337</v>
      </c>
      <c r="JF1" s="13" t="s">
        <v>2125</v>
      </c>
      <c r="JG1" s="13" t="s">
        <v>616</v>
      </c>
      <c r="JH1" s="13" t="s">
        <v>1129</v>
      </c>
      <c r="JI1" s="13" t="s">
        <v>273</v>
      </c>
      <c r="JJ1" s="13" t="s">
        <v>1660</v>
      </c>
      <c r="JK1" s="13" t="s">
        <v>406</v>
      </c>
      <c r="JL1" s="13" t="s">
        <v>2252</v>
      </c>
      <c r="JM1" s="13" t="s">
        <v>1921</v>
      </c>
      <c r="JN1" s="13" t="s">
        <v>1865</v>
      </c>
      <c r="JO1" s="13" t="s">
        <v>2086</v>
      </c>
      <c r="JP1" s="13" t="s">
        <v>2671</v>
      </c>
      <c r="JQ1" s="13" t="s">
        <v>1091</v>
      </c>
      <c r="JR1" s="13" t="s">
        <v>1369</v>
      </c>
      <c r="JS1" s="13" t="s">
        <v>2423</v>
      </c>
      <c r="JT1" s="13" t="s">
        <v>2813</v>
      </c>
      <c r="JU1" s="13" t="s">
        <v>2224</v>
      </c>
      <c r="JV1" s="13" t="s">
        <v>2472</v>
      </c>
      <c r="JW1" s="13" t="s">
        <v>2710</v>
      </c>
      <c r="JX1" s="13" t="s">
        <v>1418</v>
      </c>
      <c r="JY1" s="13" t="s">
        <v>772</v>
      </c>
      <c r="JZ1" s="13" t="s">
        <v>2835</v>
      </c>
      <c r="KA1" s="13" t="s">
        <v>2061</v>
      </c>
      <c r="KB1" s="13" t="s">
        <v>1377</v>
      </c>
      <c r="KC1" s="13" t="s">
        <v>1860</v>
      </c>
      <c r="KD1" s="13" t="s">
        <v>1937</v>
      </c>
      <c r="KE1" s="13" t="s">
        <v>744</v>
      </c>
      <c r="KF1" s="13" t="s">
        <v>1487</v>
      </c>
      <c r="KG1" s="13" t="s">
        <v>2595</v>
      </c>
      <c r="KH1" s="13" t="s">
        <v>491</v>
      </c>
      <c r="KI1" s="13" t="s">
        <v>800</v>
      </c>
      <c r="KJ1" s="13" t="s">
        <v>1554</v>
      </c>
      <c r="KK1" s="13" t="s">
        <v>2565</v>
      </c>
      <c r="KL1" s="13" t="s">
        <v>2646</v>
      </c>
      <c r="KM1" s="13" t="s">
        <v>2667</v>
      </c>
      <c r="KN1" s="13" t="s">
        <v>2245</v>
      </c>
      <c r="KO1" s="13" t="s">
        <v>610</v>
      </c>
      <c r="KP1" s="13" t="s">
        <v>762</v>
      </c>
      <c r="KQ1" s="13" t="s">
        <v>179</v>
      </c>
      <c r="KR1" s="13" t="s">
        <v>2357</v>
      </c>
      <c r="KS1" s="13" t="s">
        <v>2783</v>
      </c>
      <c r="KT1" s="13" t="s">
        <v>2556</v>
      </c>
      <c r="KU1" s="13" t="s">
        <v>2705</v>
      </c>
      <c r="KV1" s="13" t="s">
        <v>1296</v>
      </c>
      <c r="KW1" s="13" t="s">
        <v>673</v>
      </c>
      <c r="KX1" s="13" t="s">
        <v>981</v>
      </c>
      <c r="KY1" s="13" t="s">
        <v>1392</v>
      </c>
      <c r="KZ1" s="13" t="s">
        <v>1991</v>
      </c>
      <c r="LA1" s="13" t="s">
        <v>2105</v>
      </c>
      <c r="LB1" s="13" t="s">
        <v>1275</v>
      </c>
      <c r="LC1" s="13" t="s">
        <v>1275</v>
      </c>
      <c r="LD1" s="13" t="s">
        <v>1077</v>
      </c>
      <c r="LE1" s="13" t="s">
        <v>2877</v>
      </c>
      <c r="LF1" s="13" t="s">
        <v>2627</v>
      </c>
      <c r="LG1" s="13" t="s">
        <v>2187</v>
      </c>
      <c r="LH1" s="13" t="s">
        <v>2395</v>
      </c>
      <c r="LI1" s="13" t="s">
        <v>1780</v>
      </c>
      <c r="LJ1" s="13" t="s">
        <v>1280</v>
      </c>
      <c r="LK1" s="13" t="s">
        <v>2818</v>
      </c>
      <c r="LL1" s="13" t="s">
        <v>930</v>
      </c>
      <c r="LM1" s="13" t="s">
        <v>105</v>
      </c>
      <c r="LN1" s="13" t="s">
        <v>1895</v>
      </c>
      <c r="LO1" s="13" t="s">
        <v>1043</v>
      </c>
      <c r="LP1" s="13" t="s">
        <v>1305</v>
      </c>
      <c r="LQ1" s="13" t="s">
        <v>2119</v>
      </c>
      <c r="LR1" s="13" t="s">
        <v>1979</v>
      </c>
      <c r="LS1" s="13" t="s">
        <v>1870</v>
      </c>
      <c r="LT1" s="13" t="s">
        <v>2286</v>
      </c>
      <c r="LU1" s="13" t="s">
        <v>937</v>
      </c>
      <c r="LV1" s="13" t="s">
        <v>2625</v>
      </c>
      <c r="LW1" s="13" t="s">
        <v>1674</v>
      </c>
      <c r="LX1" s="13" t="s">
        <v>2166</v>
      </c>
      <c r="LY1" s="13" t="s">
        <v>1159</v>
      </c>
      <c r="LZ1" s="13" t="s">
        <v>2233</v>
      </c>
      <c r="MA1" s="13" t="s">
        <v>677</v>
      </c>
      <c r="MB1" s="13" t="s">
        <v>1748</v>
      </c>
      <c r="MC1" s="13" t="s">
        <v>1735</v>
      </c>
      <c r="MD1" s="13" t="s">
        <v>1190</v>
      </c>
      <c r="ME1" s="13" t="s">
        <v>2897</v>
      </c>
      <c r="MF1" s="13" t="s">
        <v>2588</v>
      </c>
      <c r="MG1" s="13" t="s">
        <v>569</v>
      </c>
      <c r="MH1" s="13" t="s">
        <v>2719</v>
      </c>
      <c r="MI1" s="13" t="s">
        <v>858</v>
      </c>
      <c r="MJ1" s="13" t="s">
        <v>1801</v>
      </c>
      <c r="MK1" s="13" t="s">
        <v>2428</v>
      </c>
      <c r="ML1" s="13" t="s">
        <v>1422</v>
      </c>
      <c r="MM1" s="13" t="s">
        <v>1880</v>
      </c>
      <c r="MN1" s="13" t="s">
        <v>2922</v>
      </c>
      <c r="MO1" s="13" t="s">
        <v>151</v>
      </c>
      <c r="MP1" s="13" t="s">
        <v>794</v>
      </c>
      <c r="MQ1" s="13" t="s">
        <v>2941</v>
      </c>
      <c r="MR1" s="13" t="s">
        <v>547</v>
      </c>
      <c r="MS1" s="13" t="s">
        <v>540</v>
      </c>
      <c r="MT1" s="13" t="s">
        <v>1755</v>
      </c>
      <c r="MU1" s="13" t="s">
        <v>2756</v>
      </c>
      <c r="MV1" s="13" t="s">
        <v>1312</v>
      </c>
      <c r="MW1" s="13" t="s">
        <v>1493</v>
      </c>
      <c r="MX1" s="13" t="s">
        <v>165</v>
      </c>
      <c r="MY1" s="13" t="s">
        <v>2810</v>
      </c>
      <c r="MZ1" s="13" t="s">
        <v>1849</v>
      </c>
      <c r="NA1" s="13" t="s">
        <v>1521</v>
      </c>
      <c r="NB1" s="13" t="s">
        <v>2179</v>
      </c>
      <c r="NC1" s="13" t="s">
        <v>1499</v>
      </c>
      <c r="ND1" s="13" t="s">
        <v>2966</v>
      </c>
      <c r="NE1" s="13" t="s">
        <v>1096</v>
      </c>
      <c r="NF1" s="13" t="s">
        <v>1204</v>
      </c>
      <c r="NG1" s="13" t="s">
        <v>1204</v>
      </c>
      <c r="NH1" s="13" t="s">
        <v>2266</v>
      </c>
      <c r="NI1" s="13" t="s">
        <v>495</v>
      </c>
      <c r="NJ1" s="13" t="s">
        <v>1350</v>
      </c>
      <c r="NK1" s="13" t="s">
        <v>1907</v>
      </c>
      <c r="NL1" s="13" t="s">
        <v>2201</v>
      </c>
      <c r="NM1" s="13" t="s">
        <v>1235</v>
      </c>
      <c r="NN1" s="13" t="s">
        <v>2222</v>
      </c>
      <c r="NO1" s="13" t="s">
        <v>1625</v>
      </c>
      <c r="NP1" s="13" t="s">
        <v>459</v>
      </c>
      <c r="NQ1" s="13" t="s">
        <v>268</v>
      </c>
      <c r="NR1" s="13" t="s">
        <v>2725</v>
      </c>
      <c r="NS1" s="13" t="s">
        <v>544</v>
      </c>
      <c r="NT1" s="13" t="s">
        <v>2142</v>
      </c>
      <c r="NU1" s="13" t="s">
        <v>2184</v>
      </c>
      <c r="NV1" s="13" t="s">
        <v>2307</v>
      </c>
      <c r="NW1" s="13" t="s">
        <v>2892</v>
      </c>
      <c r="NX1" s="13" t="s">
        <v>2273</v>
      </c>
      <c r="NY1" s="13" t="s">
        <v>980</v>
      </c>
      <c r="NZ1" s="13" t="s">
        <v>597</v>
      </c>
      <c r="OA1" s="13" t="s">
        <v>2673</v>
      </c>
      <c r="OB1" s="13" t="s">
        <v>1502</v>
      </c>
      <c r="OC1" s="13" t="s">
        <v>2146</v>
      </c>
      <c r="OD1" s="13" t="s">
        <v>434</v>
      </c>
      <c r="OE1" s="13" t="s">
        <v>1957</v>
      </c>
      <c r="OF1" s="13" t="s">
        <v>2688</v>
      </c>
      <c r="OG1" s="13" t="s">
        <v>2508</v>
      </c>
      <c r="OH1" s="13" t="s">
        <v>1051</v>
      </c>
      <c r="OI1" s="13" t="s">
        <v>1973</v>
      </c>
      <c r="OJ1" s="13" t="s">
        <v>415</v>
      </c>
      <c r="OK1" s="13" t="s">
        <v>1417</v>
      </c>
      <c r="OL1" s="13" t="s">
        <v>956</v>
      </c>
      <c r="OM1" s="13" t="s">
        <v>2379</v>
      </c>
      <c r="ON1" s="13" t="s">
        <v>1983</v>
      </c>
      <c r="OO1" s="13" t="s">
        <v>2779</v>
      </c>
      <c r="OP1" s="13" t="s">
        <v>1892</v>
      </c>
      <c r="OQ1" s="13" t="s">
        <v>423</v>
      </c>
      <c r="OR1" s="13" t="s">
        <v>1340</v>
      </c>
      <c r="OS1" s="13" t="s">
        <v>912</v>
      </c>
      <c r="OT1" s="13" t="s">
        <v>2402</v>
      </c>
      <c r="OU1" s="13" t="s">
        <v>2374</v>
      </c>
      <c r="OV1" s="13" t="s">
        <v>2289</v>
      </c>
      <c r="OW1" s="13" t="s">
        <v>1872</v>
      </c>
      <c r="OX1" s="13" t="s">
        <v>2360</v>
      </c>
      <c r="OY1" s="13" t="s">
        <v>581</v>
      </c>
      <c r="OZ1" s="13" t="s">
        <v>1120</v>
      </c>
      <c r="PA1" s="13" t="s">
        <v>134</v>
      </c>
      <c r="PB1" s="13" t="s">
        <v>1598</v>
      </c>
      <c r="PC1" s="13" t="s">
        <v>1415</v>
      </c>
      <c r="PD1" s="13" t="s">
        <v>896</v>
      </c>
      <c r="PE1" s="13" t="s">
        <v>483</v>
      </c>
      <c r="PF1" s="13" t="s">
        <v>999</v>
      </c>
      <c r="PG1" s="13" t="s">
        <v>2332</v>
      </c>
      <c r="PH1" s="13" t="s">
        <v>646</v>
      </c>
      <c r="PI1" s="13" t="s">
        <v>1066</v>
      </c>
      <c r="PJ1" s="13" t="s">
        <v>395</v>
      </c>
      <c r="PK1" s="13" t="s">
        <v>2552</v>
      </c>
      <c r="PL1" s="13" t="s">
        <v>297</v>
      </c>
      <c r="PM1" s="13" t="s">
        <v>600</v>
      </c>
      <c r="PN1" s="13" t="s">
        <v>2326</v>
      </c>
      <c r="PO1" s="13" t="s">
        <v>2905</v>
      </c>
      <c r="PP1" s="13" t="s">
        <v>2619</v>
      </c>
      <c r="PQ1" s="13" t="s">
        <v>1967</v>
      </c>
      <c r="PR1" s="13" t="s">
        <v>2049</v>
      </c>
      <c r="PS1" s="13" t="s">
        <v>1970</v>
      </c>
      <c r="PT1" s="13" t="s">
        <v>887</v>
      </c>
      <c r="PU1" s="13" t="s">
        <v>111</v>
      </c>
      <c r="PV1" s="13" t="s">
        <v>2938</v>
      </c>
      <c r="PW1" s="13" t="s">
        <v>1513</v>
      </c>
      <c r="PX1" s="13" t="s">
        <v>309</v>
      </c>
      <c r="PY1" s="13" t="s">
        <v>1170</v>
      </c>
      <c r="PZ1" s="13" t="s">
        <v>1529</v>
      </c>
      <c r="QA1" s="13" t="s">
        <v>753</v>
      </c>
      <c r="QB1" s="13" t="s">
        <v>2750</v>
      </c>
      <c r="QC1" s="13" t="s">
        <v>72</v>
      </c>
      <c r="QD1" s="13" t="s">
        <v>659</v>
      </c>
      <c r="QE1" s="13" t="s">
        <v>1601</v>
      </c>
      <c r="QF1" s="13" t="s">
        <v>146</v>
      </c>
      <c r="QG1" s="13" t="s">
        <v>1173</v>
      </c>
      <c r="QH1" s="13" t="s">
        <v>2136</v>
      </c>
      <c r="QI1" s="13" t="s">
        <v>822</v>
      </c>
      <c r="QJ1" s="13" t="s">
        <v>2449</v>
      </c>
      <c r="QK1" s="13" t="s">
        <v>1496</v>
      </c>
      <c r="QL1" s="13" t="s">
        <v>2408</v>
      </c>
      <c r="QM1" s="13" t="s">
        <v>1913</v>
      </c>
      <c r="QN1" s="13" t="s">
        <v>1398</v>
      </c>
      <c r="QO1" s="13" t="s">
        <v>2834</v>
      </c>
      <c r="QP1" s="13" t="s">
        <v>2863</v>
      </c>
      <c r="QQ1" s="13" t="s">
        <v>921</v>
      </c>
      <c r="QR1" s="13" t="s">
        <v>1916</v>
      </c>
      <c r="QS1" s="13" t="s">
        <v>1406</v>
      </c>
      <c r="QT1" s="13" t="s">
        <v>2108</v>
      </c>
      <c r="QU1" s="13" t="s">
        <v>341</v>
      </c>
      <c r="QV1" s="13" t="s">
        <v>1073</v>
      </c>
      <c r="QW1" s="13" t="s">
        <v>2277</v>
      </c>
      <c r="QX1" s="13" t="s">
        <v>88</v>
      </c>
      <c r="QY1" s="13" t="s">
        <v>603</v>
      </c>
      <c r="QZ1" s="13" t="s">
        <v>1855</v>
      </c>
      <c r="RA1" s="13" t="s">
        <v>1153</v>
      </c>
      <c r="RB1" s="13" t="s">
        <v>2821</v>
      </c>
      <c r="RC1" s="13" t="s">
        <v>650</v>
      </c>
      <c r="RD1" s="13" t="s">
        <v>1476</v>
      </c>
      <c r="RE1" s="13" t="s">
        <v>2459</v>
      </c>
      <c r="RF1" s="13" t="s">
        <v>2341</v>
      </c>
      <c r="RG1" s="13" t="s">
        <v>2300</v>
      </c>
      <c r="RH1" s="13" t="s">
        <v>1015</v>
      </c>
      <c r="RI1" s="13" t="s">
        <v>1876</v>
      </c>
      <c r="RJ1" s="13" t="s">
        <v>575</v>
      </c>
      <c r="RK1" s="13" t="s">
        <v>535</v>
      </c>
      <c r="RL1" s="13" t="s">
        <v>2935</v>
      </c>
      <c r="RM1" s="13" t="s">
        <v>594</v>
      </c>
      <c r="RN1" s="13" t="s">
        <v>1590</v>
      </c>
      <c r="RO1" s="13" t="s">
        <v>1857</v>
      </c>
      <c r="RP1" s="13" t="s">
        <v>1400</v>
      </c>
      <c r="RQ1" s="13" t="s">
        <v>419</v>
      </c>
      <c r="RR1" s="13" t="s">
        <v>933</v>
      </c>
      <c r="RS1" s="13" t="s">
        <v>2534</v>
      </c>
      <c r="RT1" s="13" t="s">
        <v>2933</v>
      </c>
      <c r="RU1" s="13" t="s">
        <v>1372</v>
      </c>
      <c r="RV1" s="13" t="s">
        <v>2068</v>
      </c>
      <c r="RW1" s="13" t="s">
        <v>2639</v>
      </c>
      <c r="RX1" s="13" t="s">
        <v>1578</v>
      </c>
      <c r="RY1" s="13" t="s">
        <v>1103</v>
      </c>
      <c r="RZ1" s="13" t="s">
        <v>2158</v>
      </c>
      <c r="SA1" s="13" t="s">
        <v>2247</v>
      </c>
      <c r="SB1" s="13" t="s">
        <v>618</v>
      </c>
      <c r="SC1" s="13" t="s">
        <v>2593</v>
      </c>
      <c r="SD1" s="13" t="s">
        <v>1331</v>
      </c>
      <c r="SE1" s="13" t="s">
        <v>2790</v>
      </c>
      <c r="SF1" s="13" t="s">
        <v>528</v>
      </c>
      <c r="SG1" s="13" t="s">
        <v>1710</v>
      </c>
      <c r="SH1" s="13" t="s">
        <v>2329</v>
      </c>
      <c r="SI1" s="13" t="s">
        <v>2684</v>
      </c>
      <c r="SJ1" s="13" t="s">
        <v>1607</v>
      </c>
      <c r="SK1" s="13" t="s">
        <v>1997</v>
      </c>
      <c r="SL1" s="13" t="s">
        <v>471</v>
      </c>
      <c r="SM1" s="13" t="s">
        <v>2658</v>
      </c>
      <c r="SN1" s="13" t="s">
        <v>2298</v>
      </c>
      <c r="SO1" s="13" t="s">
        <v>284</v>
      </c>
      <c r="SP1" s="13" t="s">
        <v>2889</v>
      </c>
      <c r="SQ1" s="13" t="s">
        <v>1719</v>
      </c>
      <c r="SR1" s="13" t="s">
        <v>2398</v>
      </c>
      <c r="SS1" s="13" t="s">
        <v>2661</v>
      </c>
      <c r="ST1" s="13" t="s">
        <v>1252</v>
      </c>
      <c r="SU1" s="13" t="s">
        <v>2000</v>
      </c>
      <c r="SV1" s="13" t="s">
        <v>1664</v>
      </c>
      <c r="SW1" s="13" t="s">
        <v>626</v>
      </c>
      <c r="SX1" s="13" t="s">
        <v>1862</v>
      </c>
      <c r="SY1" s="13" t="s">
        <v>786</v>
      </c>
      <c r="SZ1" s="13" t="s">
        <v>1592</v>
      </c>
      <c r="TA1" s="13" t="s">
        <v>2944</v>
      </c>
      <c r="TB1" s="13" t="s">
        <v>1592</v>
      </c>
      <c r="TC1" s="13" t="s">
        <v>1848</v>
      </c>
      <c r="TD1" s="13" t="s">
        <v>387</v>
      </c>
      <c r="TE1" s="13" t="s">
        <v>1079</v>
      </c>
      <c r="TF1" s="13" t="s">
        <v>970</v>
      </c>
      <c r="TG1" s="13" t="s">
        <v>2132</v>
      </c>
      <c r="TH1" s="13" t="s">
        <v>2295</v>
      </c>
      <c r="TI1" s="13" t="s">
        <v>723</v>
      </c>
      <c r="TJ1" s="13" t="s">
        <v>1343</v>
      </c>
      <c r="TK1" s="13" t="s">
        <v>2268</v>
      </c>
      <c r="TL1" s="13" t="s">
        <v>918</v>
      </c>
      <c r="TM1" s="13" t="s">
        <v>1774</v>
      </c>
      <c r="TN1" s="13" t="s">
        <v>960</v>
      </c>
      <c r="TO1" s="13" t="s">
        <v>293</v>
      </c>
      <c r="TP1" s="13" t="s">
        <v>1546</v>
      </c>
      <c r="TQ1" s="13" t="s">
        <v>1144</v>
      </c>
      <c r="TR1" s="13" t="s">
        <v>1985</v>
      </c>
      <c r="TS1" s="13" t="s">
        <v>1985</v>
      </c>
      <c r="TT1" s="13" t="s">
        <v>1794</v>
      </c>
      <c r="TU1" s="13" t="s">
        <v>2203</v>
      </c>
      <c r="TV1" s="13" t="s">
        <v>643</v>
      </c>
      <c r="TW1" s="13" t="s">
        <v>2264</v>
      </c>
      <c r="TX1" s="13" t="s">
        <v>2505</v>
      </c>
      <c r="TY1" s="13" t="s">
        <v>1262</v>
      </c>
      <c r="TZ1" s="13" t="s">
        <v>683</v>
      </c>
      <c r="UA1" s="13" t="s">
        <v>2559</v>
      </c>
      <c r="UB1" s="13" t="s">
        <v>2485</v>
      </c>
      <c r="UC1" s="13" t="s">
        <v>1641</v>
      </c>
      <c r="UD1" s="13" t="s">
        <v>1798</v>
      </c>
      <c r="UE1" s="13" t="s">
        <v>1647</v>
      </c>
      <c r="UF1" s="13" t="s">
        <v>2774</v>
      </c>
      <c r="UG1" s="13" t="s">
        <v>2519</v>
      </c>
      <c r="UH1" s="13" t="s">
        <v>1256</v>
      </c>
      <c r="UI1" s="13" t="s">
        <v>1739</v>
      </c>
      <c r="UJ1" s="13" t="s">
        <v>653</v>
      </c>
      <c r="UK1" s="13" t="s">
        <v>444</v>
      </c>
      <c r="UL1" s="13" t="s">
        <v>632</v>
      </c>
      <c r="UM1" s="13" t="s">
        <v>66</v>
      </c>
      <c r="UN1" s="13" t="s">
        <v>531</v>
      </c>
      <c r="UO1" s="13" t="s">
        <v>1556</v>
      </c>
      <c r="UP1" s="13" t="s">
        <v>300</v>
      </c>
      <c r="UQ1" s="13" t="s">
        <v>1524</v>
      </c>
      <c r="UR1" s="13" t="s">
        <v>2586</v>
      </c>
      <c r="US1" s="13" t="s">
        <v>825</v>
      </c>
      <c r="UT1" s="13" t="s">
        <v>641</v>
      </c>
      <c r="UU1" s="13" t="s">
        <v>1113</v>
      </c>
      <c r="UV1" s="13" t="s">
        <v>2276</v>
      </c>
      <c r="UW1" s="13" t="s">
        <v>1758</v>
      </c>
      <c r="UX1" s="13" t="s">
        <v>2249</v>
      </c>
      <c r="UY1" s="13" t="s">
        <v>1713</v>
      </c>
      <c r="UZ1" s="13" t="s">
        <v>2604</v>
      </c>
      <c r="VA1" s="13" t="s">
        <v>2417</v>
      </c>
      <c r="VB1" s="13" t="s">
        <v>1395</v>
      </c>
      <c r="VC1" s="13" t="s">
        <v>1584</v>
      </c>
      <c r="VD1" s="13" t="s">
        <v>915</v>
      </c>
      <c r="VE1" s="13" t="s">
        <v>1002</v>
      </c>
      <c r="VF1" s="13" t="s">
        <v>1289</v>
      </c>
      <c r="VG1" s="13" t="s">
        <v>2567</v>
      </c>
      <c r="VH1" s="13" t="s">
        <v>1652</v>
      </c>
      <c r="VI1" s="13" t="s">
        <v>2562</v>
      </c>
      <c r="VJ1" s="13" t="s">
        <v>2243</v>
      </c>
      <c r="VK1" s="13" t="s">
        <v>1360</v>
      </c>
      <c r="VL1" s="13" t="s">
        <v>333</v>
      </c>
      <c r="VM1" s="13" t="s">
        <v>953</v>
      </c>
      <c r="VN1" s="13" t="s">
        <v>2368</v>
      </c>
      <c r="VO1" s="13" t="s">
        <v>1356</v>
      </c>
      <c r="VP1" s="13" t="s">
        <v>909</v>
      </c>
      <c r="VQ1" s="13" t="s">
        <v>2494</v>
      </c>
      <c r="VR1" s="13" t="s">
        <v>456</v>
      </c>
      <c r="VS1" s="13" t="s">
        <v>1851</v>
      </c>
      <c r="VT1" s="13" t="s">
        <v>555</v>
      </c>
      <c r="VU1" s="13" t="s">
        <v>2806</v>
      </c>
      <c r="VV1" s="13" t="s">
        <v>2794</v>
      </c>
      <c r="VW1" s="13" t="s">
        <v>2701</v>
      </c>
      <c r="VX1" s="13" t="s">
        <v>2320</v>
      </c>
      <c r="VY1" s="13" t="s">
        <v>2253</v>
      </c>
      <c r="VZ1" s="13" t="s">
        <v>2849</v>
      </c>
      <c r="WA1" s="13" t="s">
        <v>2803</v>
      </c>
      <c r="WB1" s="13" t="s">
        <v>231</v>
      </c>
      <c r="WC1" s="13" t="s">
        <v>1516</v>
      </c>
      <c r="WD1" s="13" t="s">
        <v>2260</v>
      </c>
      <c r="WE1" s="13" t="s">
        <v>2675</v>
      </c>
      <c r="WF1" s="13" t="s">
        <v>728</v>
      </c>
      <c r="WG1" s="13" t="s">
        <v>186</v>
      </c>
      <c r="WH1" s="13" t="s">
        <v>31</v>
      </c>
      <c r="WI1" s="13" t="s">
        <v>1181</v>
      </c>
      <c r="WJ1" s="13" t="s">
        <v>1581</v>
      </c>
      <c r="WK1" s="13" t="s">
        <v>2219</v>
      </c>
      <c r="WL1" s="13" t="s">
        <v>1564</v>
      </c>
      <c r="WM1" s="13" t="s">
        <v>2211</v>
      </c>
      <c r="WN1" s="13" t="s">
        <v>1238</v>
      </c>
      <c r="WO1" s="13" t="s">
        <v>100</v>
      </c>
      <c r="WP1" s="13" t="s">
        <v>100</v>
      </c>
      <c r="WQ1" s="13" t="s">
        <v>2345</v>
      </c>
      <c r="WR1" s="13" t="s">
        <v>778</v>
      </c>
      <c r="WS1" s="13" t="s">
        <v>235</v>
      </c>
      <c r="WT1" s="13" t="s">
        <v>235</v>
      </c>
      <c r="WU1" s="13" t="s">
        <v>2488</v>
      </c>
      <c r="WV1" s="13" t="s">
        <v>1898</v>
      </c>
      <c r="WW1" s="13" t="s">
        <v>2456</v>
      </c>
      <c r="WX1" s="13" t="s">
        <v>1024</v>
      </c>
      <c r="WY1" s="13" t="s">
        <v>1960</v>
      </c>
      <c r="WZ1" s="13" t="s">
        <v>2002</v>
      </c>
      <c r="XA1" s="13" t="s">
        <v>2768</v>
      </c>
      <c r="XB1" s="13" t="s">
        <v>2182</v>
      </c>
      <c r="XC1" s="13" t="s">
        <v>2748</v>
      </c>
      <c r="XD1" s="13" t="s">
        <v>845</v>
      </c>
      <c r="XE1" s="13" t="s">
        <v>56</v>
      </c>
      <c r="XF1" s="13" t="s">
        <v>245</v>
      </c>
      <c r="XG1" s="13" t="s">
        <v>1176</v>
      </c>
      <c r="XH1" s="13" t="s">
        <v>2387</v>
      </c>
      <c r="XI1" s="13" t="s">
        <v>1830</v>
      </c>
      <c r="XJ1" s="13" t="s">
        <v>2910</v>
      </c>
      <c r="XK1" s="13" t="s">
        <v>280</v>
      </c>
      <c r="XL1" s="13" t="s">
        <v>280</v>
      </c>
      <c r="XM1" s="13" t="s">
        <v>2782</v>
      </c>
      <c r="XN1" s="13" t="s">
        <v>1932</v>
      </c>
      <c r="XO1" s="13" t="s">
        <v>1363</v>
      </c>
      <c r="XP1" s="13" t="s">
        <v>520</v>
      </c>
      <c r="XQ1" s="13" t="s">
        <v>2304</v>
      </c>
      <c r="XR1" s="13" t="s">
        <v>2204</v>
      </c>
      <c r="XS1" s="13" t="s">
        <v>516</v>
      </c>
      <c r="XT1" s="13" t="s">
        <v>2155</v>
      </c>
      <c r="XU1" s="13" t="s">
        <v>2339</v>
      </c>
      <c r="XV1" s="13" t="s">
        <v>1438</v>
      </c>
      <c r="XW1" s="13" t="s">
        <v>2450</v>
      </c>
      <c r="XX1" s="13" t="s">
        <v>2021</v>
      </c>
      <c r="XY1" s="13" t="s">
        <v>833</v>
      </c>
      <c r="XZ1" s="13" t="s">
        <v>1816</v>
      </c>
      <c r="YA1" s="13" t="s">
        <v>1541</v>
      </c>
      <c r="YB1" s="13" t="s">
        <v>2149</v>
      </c>
      <c r="YC1" s="13" t="s">
        <v>1518</v>
      </c>
      <c r="YD1" s="13" t="s">
        <v>2135</v>
      </c>
      <c r="YE1" s="13" t="s">
        <v>1840</v>
      </c>
      <c r="YF1" s="13" t="s">
        <v>1561</v>
      </c>
      <c r="YG1" s="13" t="s">
        <v>2173</v>
      </c>
      <c r="YH1" s="13" t="s">
        <v>866</v>
      </c>
      <c r="YI1" s="13" t="s">
        <v>1644</v>
      </c>
      <c r="YJ1" s="13" t="s">
        <v>2851</v>
      </c>
      <c r="YK1" s="13" t="s">
        <v>1231</v>
      </c>
      <c r="YL1" s="13" t="s">
        <v>206</v>
      </c>
      <c r="YM1" s="13" t="s">
        <v>2797</v>
      </c>
      <c r="YN1" s="13" t="s">
        <v>2612</v>
      </c>
      <c r="YO1" s="13" t="s">
        <v>585</v>
      </c>
      <c r="YP1" s="13" t="s">
        <v>2880</v>
      </c>
      <c r="YQ1" s="13" t="s">
        <v>670</v>
      </c>
      <c r="YR1" s="13" t="s">
        <v>158</v>
      </c>
      <c r="YS1" s="13" t="s">
        <v>2461</v>
      </c>
      <c r="YT1" s="13" t="s">
        <v>2657</v>
      </c>
      <c r="YU1" s="13" t="s">
        <v>466</v>
      </c>
      <c r="YV1" s="13" t="s">
        <v>2830</v>
      </c>
      <c r="YW1" s="13" t="s">
        <v>1142</v>
      </c>
      <c r="YX1" s="13" t="s">
        <v>870</v>
      </c>
      <c r="YY1" s="13" t="s">
        <v>990</v>
      </c>
      <c r="YZ1" s="13" t="s">
        <v>1432</v>
      </c>
      <c r="ZA1" s="13" t="s">
        <v>1767</v>
      </c>
      <c r="ZB1" s="13" t="s">
        <v>2727</v>
      </c>
      <c r="ZC1" s="13" t="s">
        <v>1401</v>
      </c>
      <c r="ZD1" s="13" t="s">
        <v>437</v>
      </c>
      <c r="ZE1" s="13" t="s">
        <v>1070</v>
      </c>
      <c r="ZF1" s="13" t="s">
        <v>453</v>
      </c>
      <c r="ZG1" s="13" t="s">
        <v>1688</v>
      </c>
      <c r="ZH1" s="13" t="s">
        <v>2693</v>
      </c>
      <c r="ZI1" s="13" t="s">
        <v>2549</v>
      </c>
      <c r="ZJ1" s="13" t="s">
        <v>2228</v>
      </c>
      <c r="ZK1" s="13" t="s">
        <v>1709</v>
      </c>
      <c r="ZL1" s="13" t="s">
        <v>304</v>
      </c>
      <c r="ZM1" s="13" t="s">
        <v>883</v>
      </c>
      <c r="ZN1" s="13" t="s">
        <v>2686</v>
      </c>
      <c r="ZO1" s="13" t="s">
        <v>1316</v>
      </c>
      <c r="ZP1" s="13" t="s">
        <v>2103</v>
      </c>
      <c r="ZQ1" s="13" t="s">
        <v>2913</v>
      </c>
      <c r="ZR1" s="13" t="s">
        <v>1299</v>
      </c>
      <c r="ZS1" s="13" t="s">
        <v>906</v>
      </c>
      <c r="ZT1" s="13" t="s">
        <v>1442</v>
      </c>
      <c r="ZU1" s="13" t="s">
        <v>1445</v>
      </c>
      <c r="ZV1" s="13" t="s">
        <v>2758</v>
      </c>
      <c r="ZW1" s="13" t="s">
        <v>2953</v>
      </c>
      <c r="ZX1" s="13" t="s">
        <v>1083</v>
      </c>
      <c r="ZY1" s="13" t="s">
        <v>1403</v>
      </c>
      <c r="ZZ1" s="13" t="s">
        <v>949</v>
      </c>
      <c r="AAA1" s="13" t="s">
        <v>2116</v>
      </c>
      <c r="AAB1" s="13" t="s">
        <v>1604</v>
      </c>
      <c r="AAC1" s="13" t="s">
        <v>2019</v>
      </c>
      <c r="AAD1" s="13" t="s">
        <v>2255</v>
      </c>
      <c r="AAE1" s="13" t="s">
        <v>2940</v>
      </c>
      <c r="AAF1" s="13" t="s">
        <v>2351</v>
      </c>
      <c r="AAG1" s="13" t="s">
        <v>2637</v>
      </c>
      <c r="AAH1" s="13" t="s">
        <v>2027</v>
      </c>
      <c r="AAI1" s="13" t="s">
        <v>1277</v>
      </c>
      <c r="AAJ1" s="13" t="s">
        <v>2015</v>
      </c>
      <c r="AAK1" s="13" t="s">
        <v>1277</v>
      </c>
      <c r="AAL1" s="13" t="s">
        <v>2699</v>
      </c>
      <c r="AAM1" s="13" t="s">
        <v>816</v>
      </c>
      <c r="AAN1" s="13" t="s">
        <v>288</v>
      </c>
      <c r="AAO1" s="13" t="s">
        <v>191</v>
      </c>
      <c r="AAP1" s="13" t="s">
        <v>1633</v>
      </c>
      <c r="AAQ1" s="13" t="s">
        <v>2499</v>
      </c>
      <c r="AAR1" s="13" t="s">
        <v>974</v>
      </c>
      <c r="AAS1" s="13" t="s">
        <v>2433</v>
      </c>
      <c r="AAT1" s="13" t="s">
        <v>1207</v>
      </c>
      <c r="AAU1" s="13" t="s">
        <v>1510</v>
      </c>
      <c r="AAV1" s="13" t="s">
        <v>2081</v>
      </c>
      <c r="AAW1" s="13" t="s">
        <v>614</v>
      </c>
      <c r="AAX1" s="13" t="s">
        <v>1704</v>
      </c>
      <c r="AAY1" s="13" t="s">
        <v>667</v>
      </c>
      <c r="AAZ1" s="13" t="s">
        <v>2547</v>
      </c>
      <c r="ABA1" s="13" t="s">
        <v>228</v>
      </c>
      <c r="ABB1" s="13" t="s">
        <v>2094</v>
      </c>
      <c r="ABC1" s="13" t="s">
        <v>551</v>
      </c>
      <c r="ABD1" s="13" t="s">
        <v>1007</v>
      </c>
      <c r="ABE1" s="13" t="s">
        <v>1761</v>
      </c>
      <c r="ABF1" s="13" t="s">
        <v>1613</v>
      </c>
      <c r="ABG1" s="13" t="s">
        <v>326</v>
      </c>
      <c r="ABH1" s="13" t="s">
        <v>502</v>
      </c>
      <c r="ABI1" s="13" t="s">
        <v>1833</v>
      </c>
      <c r="ABJ1" s="13" t="s">
        <v>1481</v>
      </c>
      <c r="ABK1" s="13" t="s">
        <v>2664</v>
      </c>
      <c r="ABL1" s="13" t="s">
        <v>1451</v>
      </c>
      <c r="ABM1" s="13" t="s">
        <v>240</v>
      </c>
      <c r="ABN1" s="13" t="s">
        <v>1218</v>
      </c>
      <c r="ABO1" s="13" t="s">
        <v>2474</v>
      </c>
      <c r="ABP1" s="13" t="s">
        <v>2591</v>
      </c>
      <c r="ABQ1" s="13" t="s">
        <v>1241</v>
      </c>
      <c r="ABR1" s="13" t="s">
        <v>939</v>
      </c>
      <c r="ABS1" s="13" t="s">
        <v>1197</v>
      </c>
      <c r="ABT1" s="13" t="s">
        <v>2343</v>
      </c>
      <c r="ABU1" s="13" t="s">
        <v>2240</v>
      </c>
      <c r="ABV1" s="13" t="s">
        <v>509</v>
      </c>
      <c r="ABW1" s="13" t="s">
        <v>2453</v>
      </c>
      <c r="ABX1" s="13" t="s">
        <v>360</v>
      </c>
      <c r="ABY1" s="13" t="s">
        <v>607</v>
      </c>
      <c r="ABZ1" s="13" t="s">
        <v>1490</v>
      </c>
      <c r="ACA1" s="13" t="s">
        <v>943</v>
      </c>
      <c r="ACB1" s="13" t="s">
        <v>1933</v>
      </c>
      <c r="ACC1" s="13" t="s">
        <v>2964</v>
      </c>
      <c r="ACD1" s="13" t="s">
        <v>2847</v>
      </c>
      <c r="ACE1" s="13" t="s">
        <v>1550</v>
      </c>
      <c r="ACF1" s="13" t="s">
        <v>2009</v>
      </c>
      <c r="ACG1" s="13" t="s">
        <v>2481</v>
      </c>
      <c r="ACH1" s="13" t="s">
        <v>2100</v>
      </c>
      <c r="ACI1" s="13" t="s">
        <v>1094</v>
      </c>
      <c r="ACJ1" s="13" t="s">
        <v>2025</v>
      </c>
      <c r="ACK1" s="13" t="s">
        <v>2785</v>
      </c>
      <c r="ACL1" s="13" t="s">
        <v>2800</v>
      </c>
      <c r="ACM1" s="13" t="s">
        <v>2127</v>
      </c>
      <c r="ACN1" s="13" t="s">
        <v>2355</v>
      </c>
      <c r="ACO1" s="13" t="s">
        <v>731</v>
      </c>
      <c r="ACP1" s="13" t="s">
        <v>2478</v>
      </c>
      <c r="ACQ1" s="13" t="s">
        <v>2419</v>
      </c>
      <c r="ACR1" s="13" t="s">
        <v>2151</v>
      </c>
      <c r="ACS1" s="13" t="s">
        <v>348</v>
      </c>
      <c r="ACT1" s="13" t="s">
        <v>775</v>
      </c>
      <c r="ACU1" s="13" t="s">
        <v>696</v>
      </c>
      <c r="ACV1" s="13" t="s">
        <v>40</v>
      </c>
      <c r="ACW1" s="13" t="s">
        <v>1021</v>
      </c>
      <c r="ACX1" s="13" t="s">
        <v>2530</v>
      </c>
      <c r="ACY1" s="13" t="s">
        <v>392</v>
      </c>
      <c r="ACZ1" s="13" t="s">
        <v>2962</v>
      </c>
      <c r="ADA1" s="13" t="s">
        <v>2917</v>
      </c>
      <c r="ADB1" s="13" t="s">
        <v>1272</v>
      </c>
      <c r="ADC1" s="13" t="s">
        <v>1161</v>
      </c>
      <c r="ADD1" s="13" t="s">
        <v>2741</v>
      </c>
      <c r="ADE1" s="13" t="s">
        <v>2097</v>
      </c>
      <c r="ADF1" s="13" t="s">
        <v>2215</v>
      </c>
      <c r="ADG1" s="13" t="s">
        <v>1375</v>
      </c>
      <c r="ADH1" s="13" t="s">
        <v>1036</v>
      </c>
      <c r="ADI1" s="13" t="s">
        <v>2098</v>
      </c>
      <c r="ADJ1" s="13" t="s">
        <v>832</v>
      </c>
      <c r="ADK1" s="13" t="s">
        <v>713</v>
      </c>
      <c r="ADL1" s="13" t="s">
        <v>1478</v>
      </c>
      <c r="ADM1" s="13" t="s">
        <v>2956</v>
      </c>
      <c r="ADN1" s="13" t="s">
        <v>2353</v>
      </c>
      <c r="ADO1" s="13" t="s">
        <v>513</v>
      </c>
      <c r="ADP1" s="13" t="s">
        <v>2632</v>
      </c>
      <c r="ADQ1" s="13" t="s">
        <v>1474</v>
      </c>
      <c r="ADR1" s="13" t="s">
        <v>572</v>
      </c>
      <c r="ADS1" s="13" t="s">
        <v>812</v>
      </c>
      <c r="ADT1" s="13" t="s">
        <v>2598</v>
      </c>
      <c r="ADU1" s="13" t="s">
        <v>462</v>
      </c>
      <c r="ADV1" s="13" t="s">
        <v>258</v>
      </c>
      <c r="ADW1" s="13" t="s">
        <v>1567</v>
      </c>
      <c r="ADX1" s="13" t="s">
        <v>563</v>
      </c>
      <c r="ADY1" s="13" t="s">
        <v>1616</v>
      </c>
      <c r="ADZ1" s="13" t="s">
        <v>1852</v>
      </c>
      <c r="AEA1" s="13" t="s">
        <v>1953</v>
      </c>
      <c r="AEB1" s="13" t="s">
        <v>720</v>
      </c>
      <c r="AEC1" s="13" t="s">
        <v>2377</v>
      </c>
      <c r="AED1" s="13" t="s">
        <v>2491</v>
      </c>
      <c r="AEE1" s="13" t="s">
        <v>2191</v>
      </c>
      <c r="AEF1" s="13" t="s">
        <v>2426</v>
      </c>
      <c r="AEG1" s="13" t="s">
        <v>2058</v>
      </c>
      <c r="AEH1" s="13" t="s">
        <v>1468</v>
      </c>
      <c r="AEI1" s="13" t="s">
        <v>251</v>
      </c>
      <c r="AEJ1" s="13" t="s">
        <v>1931</v>
      </c>
      <c r="AEK1" s="13" t="s">
        <v>1866</v>
      </c>
      <c r="AEL1" s="13" t="s">
        <v>2302</v>
      </c>
      <c r="AEM1" s="13" t="s">
        <v>1381</v>
      </c>
      <c r="AEN1" s="13" t="s">
        <v>1284</v>
      </c>
      <c r="AEO1" s="13" t="s">
        <v>137</v>
      </c>
      <c r="AEP1" s="13" t="s">
        <v>1929</v>
      </c>
      <c r="AEQ1" s="13" t="s">
        <v>170</v>
      </c>
      <c r="AER1" s="13" t="s">
        <v>809</v>
      </c>
      <c r="AES1" s="13" t="s">
        <v>1842</v>
      </c>
      <c r="AET1" s="13" t="s">
        <v>2217</v>
      </c>
      <c r="AEU1" s="13" t="s">
        <v>2961</v>
      </c>
      <c r="AEV1" s="13" t="s">
        <v>2384</v>
      </c>
      <c r="AEW1" s="13" t="s">
        <v>2448</v>
      </c>
      <c r="AEX1" s="13" t="s">
        <v>1941</v>
      </c>
      <c r="AEY1" s="13" t="s">
        <v>687</v>
      </c>
      <c r="AEZ1" s="13" t="s">
        <v>2258</v>
      </c>
      <c r="AFA1" s="13" t="s">
        <v>2927</v>
      </c>
      <c r="AFB1" s="13" t="s">
        <v>946</v>
      </c>
      <c r="AFC1" s="13" t="s">
        <v>1573</v>
      </c>
      <c r="AFD1" s="13" t="s">
        <v>987</v>
      </c>
      <c r="AFE1" s="13" t="s">
        <v>1156</v>
      </c>
      <c r="AFF1" s="13" t="s">
        <v>1570</v>
      </c>
      <c r="AFG1" s="13" t="s">
        <v>1454</v>
      </c>
      <c r="AFH1" s="13" t="s">
        <v>663</v>
      </c>
      <c r="AFI1" s="13" t="s">
        <v>1467</v>
      </c>
      <c r="AFJ1" s="13" t="s">
        <v>2888</v>
      </c>
      <c r="AFK1" s="13" t="s">
        <v>1389</v>
      </c>
      <c r="AFL1" s="13" t="s">
        <v>1682</v>
      </c>
      <c r="AFM1" s="13" t="s">
        <v>880</v>
      </c>
      <c r="AFN1" s="13" t="s">
        <v>2886</v>
      </c>
      <c r="AFO1" s="13" t="s">
        <v>1012</v>
      </c>
      <c r="AFP1" s="13" t="s">
        <v>1538</v>
      </c>
      <c r="AFQ1" s="13" t="s">
        <v>2691</v>
      </c>
      <c r="AFR1" s="13" t="s">
        <v>1155</v>
      </c>
      <c r="AFS1" s="13" t="s">
        <v>1649</v>
      </c>
      <c r="AFT1" s="13" t="s">
        <v>2265</v>
      </c>
      <c r="AFU1" s="13" t="s">
        <v>560</v>
      </c>
      <c r="AFV1" s="13" t="s">
        <v>967</v>
      </c>
      <c r="AFW1" s="13" t="s">
        <v>1111</v>
      </c>
      <c r="AFX1" s="13" t="s">
        <v>1716</v>
      </c>
      <c r="AFY1" s="13" t="s">
        <v>2199</v>
      </c>
      <c r="AFZ1" s="13" t="s">
        <v>2832</v>
      </c>
      <c r="AGA1" s="13" t="s">
        <v>2516</v>
      </c>
      <c r="AGB1" s="13" t="s">
        <v>1265</v>
      </c>
      <c r="AGC1" s="13" t="s">
        <v>2654</v>
      </c>
      <c r="AGD1" s="13" t="s">
        <v>1247</v>
      </c>
      <c r="AGE1" s="13" t="s">
        <v>116</v>
      </c>
      <c r="AGF1" s="13" t="s">
        <v>2579</v>
      </c>
      <c r="AGG1" s="13" t="s">
        <v>330</v>
      </c>
      <c r="AGH1" s="13" t="s">
        <v>1055</v>
      </c>
      <c r="AGI1" s="13" t="s">
        <v>401</v>
      </c>
      <c r="AGJ1" s="13" t="s">
        <v>2404</v>
      </c>
      <c r="AGK1" s="13" t="s">
        <v>872</v>
      </c>
      <c r="AGL1" s="13" t="s">
        <v>2908</v>
      </c>
      <c r="AGM1" s="13" t="s">
        <v>1947</v>
      </c>
      <c r="AGN1" s="13" t="s">
        <v>1353</v>
      </c>
      <c r="AGO1" s="13" t="s">
        <v>1167</v>
      </c>
      <c r="AGP1" s="13" t="s">
        <v>128</v>
      </c>
      <c r="AGQ1" s="13" t="s">
        <v>1123</v>
      </c>
      <c r="AGR1" s="13" t="s">
        <v>449</v>
      </c>
      <c r="AGS1" s="13" t="s">
        <v>2761</v>
      </c>
      <c r="AGT1" s="13" t="s">
        <v>2838</v>
      </c>
      <c r="AGU1" s="13" t="s">
        <v>19</v>
      </c>
      <c r="AGV1" s="13" t="s">
        <v>2602</v>
      </c>
      <c r="AGW1" s="13" t="s">
        <v>1308</v>
      </c>
      <c r="AGX1" s="13" t="s">
        <v>373</v>
      </c>
      <c r="AGY1" s="13" t="s">
        <v>2622</v>
      </c>
      <c r="AGZ1" s="13" t="s">
        <v>1026</v>
      </c>
      <c r="AHA1" s="13" t="s">
        <v>1471</v>
      </c>
      <c r="AHB1" s="13" t="s">
        <v>860</v>
      </c>
      <c r="AHC1" s="13" t="s">
        <v>2161</v>
      </c>
      <c r="AHD1" s="13" t="s">
        <v>1506</v>
      </c>
      <c r="AHE1" s="13" t="s">
        <v>863</v>
      </c>
      <c r="AHF1" s="13" t="s">
        <v>2523</v>
      </c>
      <c r="AHG1" s="13" t="s">
        <v>2746</v>
      </c>
      <c r="AHH1" s="13" t="s">
        <v>1610</v>
      </c>
      <c r="AHI1" s="13" t="s">
        <v>1657</v>
      </c>
      <c r="AHJ1" s="13" t="s">
        <v>1672</v>
      </c>
      <c r="AHK1" s="13" t="s">
        <v>2816</v>
      </c>
      <c r="AHL1" s="13" t="s">
        <v>196</v>
      </c>
      <c r="AHM1" s="13" t="s">
        <v>2335</v>
      </c>
      <c r="AHN1" s="13" t="s">
        <v>2712</v>
      </c>
      <c r="AHO1" s="13" t="s">
        <v>1211</v>
      </c>
      <c r="AHP1" s="13" t="s">
        <v>1910</v>
      </c>
      <c r="AHQ1" s="13" t="s">
        <v>1259</v>
      </c>
      <c r="AHR1" s="13" t="s">
        <v>1088</v>
      </c>
      <c r="AHS1" s="13" t="s">
        <v>757</v>
      </c>
      <c r="AHT1" s="13" t="s">
        <v>1789</v>
      </c>
      <c r="AHU1" s="13" t="s">
        <v>1209</v>
      </c>
      <c r="AHV1" s="13" t="s">
        <v>1351</v>
      </c>
      <c r="AHW1" s="13" t="s">
        <v>2236</v>
      </c>
      <c r="AHX1" s="13" t="s">
        <v>2283</v>
      </c>
      <c r="AHY1" s="13" t="s">
        <v>1227</v>
      </c>
      <c r="AHZ1" s="13" t="s">
        <v>2544</v>
      </c>
      <c r="AIA1" s="13" t="s">
        <v>1116</v>
      </c>
      <c r="AIB1" s="13" t="s">
        <v>1427</v>
      </c>
      <c r="AIC1" s="13" t="s">
        <v>2113</v>
      </c>
      <c r="AID1" s="13" t="s">
        <v>1222</v>
      </c>
      <c r="AIE1" s="13" t="s">
        <v>2714</v>
      </c>
      <c r="AIF1" s="13" t="s">
        <v>2844</v>
      </c>
      <c r="AIG1" s="13" t="s">
        <v>2471</v>
      </c>
      <c r="AIH1" s="13" t="s">
        <v>2144</v>
      </c>
      <c r="AII1" s="13" t="s">
        <v>997</v>
      </c>
      <c r="AIJ1" s="13" t="s">
        <v>2641</v>
      </c>
      <c r="AIK1" s="13" t="s">
        <v>1964</v>
      </c>
      <c r="AIL1" s="13" t="s">
        <v>2735</v>
      </c>
      <c r="AIM1" s="13" t="s">
        <v>2874</v>
      </c>
      <c r="AIN1" s="13" t="s">
        <v>2207</v>
      </c>
      <c r="AIO1" s="13" t="s">
        <v>1461</v>
      </c>
      <c r="AIP1" s="13" t="s">
        <v>1461</v>
      </c>
      <c r="AIQ1" s="13" t="s">
        <v>1698</v>
      </c>
      <c r="AIR1" s="13" t="s">
        <v>1764</v>
      </c>
      <c r="AIS1" s="13" t="s">
        <v>791</v>
      </c>
      <c r="AIT1" s="13" t="s">
        <v>1271</v>
      </c>
      <c r="AIU1" s="13" t="s">
        <v>740</v>
      </c>
      <c r="AIV1" s="13" t="s">
        <v>2915</v>
      </c>
      <c r="AIW1" s="13" t="s">
        <v>1322</v>
      </c>
      <c r="AIX1" s="13" t="s">
        <v>2680</v>
      </c>
      <c r="AIY1" s="13" t="s">
        <v>1150</v>
      </c>
      <c r="AIZ1" s="13" t="s">
        <v>2156</v>
      </c>
      <c r="AJA1" s="13" t="s">
        <v>2788</v>
      </c>
      <c r="AJB1" s="13" t="s">
        <v>829</v>
      </c>
      <c r="AJC1" s="13" t="s">
        <v>1029</v>
      </c>
      <c r="AJD1" s="13" t="s">
        <v>475</v>
      </c>
      <c r="AJE1" s="13" t="s">
        <v>1325</v>
      </c>
      <c r="AJF1" s="13" t="s">
        <v>1692</v>
      </c>
      <c r="AJG1" s="13" t="s">
        <v>1622</v>
      </c>
      <c r="AJH1" s="13" t="s">
        <v>2771</v>
      </c>
      <c r="AJI1" s="13" t="s">
        <v>1949</v>
      </c>
      <c r="AJJ1" s="13" t="s">
        <v>1268</v>
      </c>
      <c r="AJK1" s="13" t="s">
        <v>2968</v>
      </c>
      <c r="AJL1" s="13" t="s">
        <v>1722</v>
      </c>
      <c r="AJM1" s="13" t="s">
        <v>843</v>
      </c>
      <c r="AJN1" s="13" t="s">
        <v>1137</v>
      </c>
      <c r="AJO1" s="13" t="s">
        <v>709</v>
      </c>
      <c r="AJP1" s="13" t="s">
        <v>2451</v>
      </c>
      <c r="AJQ1" s="13" t="s">
        <v>1655</v>
      </c>
      <c r="AJR1" s="13" t="s">
        <v>377</v>
      </c>
      <c r="AJS1" s="13" t="s">
        <v>2292</v>
      </c>
      <c r="AJT1" s="13" t="s">
        <v>2840</v>
      </c>
      <c r="AJU1" s="13" t="s">
        <v>1883</v>
      </c>
      <c r="AJV1" s="13" t="s">
        <v>701</v>
      </c>
      <c r="AJW1" s="13" t="s">
        <v>747</v>
      </c>
      <c r="AJX1" s="13" t="s">
        <v>318</v>
      </c>
      <c r="AJY1" s="13" t="s">
        <v>2644</v>
      </c>
      <c r="AJZ1" s="13" t="s">
        <v>1826</v>
      </c>
      <c r="AKA1" s="13" t="s">
        <v>76</v>
      </c>
      <c r="AKB1" s="13" t="s">
        <v>1047</v>
      </c>
      <c r="AKC1" s="13" t="s">
        <v>1200</v>
      </c>
      <c r="AKD1" s="13" t="s">
        <v>1955</v>
      </c>
      <c r="AKE1" s="13" t="s">
        <v>505</v>
      </c>
      <c r="AKF1" s="13" t="s">
        <v>637</v>
      </c>
      <c r="AKG1" s="13" t="s">
        <v>691</v>
      </c>
      <c r="AKH1" s="13" t="s">
        <v>1194</v>
      </c>
      <c r="AKI1" s="13" t="s">
        <v>2071</v>
      </c>
      <c r="AKJ1" s="13" t="s">
        <v>2438</v>
      </c>
      <c r="AKK1" s="13" t="s">
        <v>2722</v>
      </c>
      <c r="AKL1" s="13" t="s">
        <v>368</v>
      </c>
      <c r="AKM1" s="13" t="s">
        <v>2569</v>
      </c>
      <c r="AKN1" s="13" t="s">
        <v>1136</v>
      </c>
      <c r="AKO1" s="13" t="s">
        <v>2110</v>
      </c>
      <c r="AKP1" s="13" t="s">
        <v>322</v>
      </c>
      <c r="AKQ1" s="13" t="s">
        <v>1187</v>
      </c>
      <c r="AKR1" s="13" t="s">
        <v>2323</v>
      </c>
      <c r="AKS1" s="13" t="s">
        <v>175</v>
      </c>
      <c r="AKT1" s="13" t="s">
        <v>2555</v>
      </c>
      <c r="AKU1" s="13" t="s">
        <v>2382</v>
      </c>
      <c r="AKV1" s="13" t="s">
        <v>1936</v>
      </c>
      <c r="AKW1" s="13" t="s">
        <v>524</v>
      </c>
      <c r="AKX1" s="13" t="s">
        <v>1075</v>
      </c>
      <c r="AKY1" s="13" t="s">
        <v>2607</v>
      </c>
      <c r="AKZ1" s="13" t="s">
        <v>1924</v>
      </c>
      <c r="ALA1" s="13" t="s">
        <v>1412</v>
      </c>
      <c r="ALB1" s="13" t="s">
        <v>2599</v>
      </c>
      <c r="ALC1" s="13" t="s">
        <v>1527</v>
      </c>
      <c r="ALD1" s="13" t="s">
        <v>1329</v>
      </c>
      <c r="ALE1" s="13" t="s">
        <v>2647</v>
      </c>
      <c r="ALF1" s="13" t="s">
        <v>927</v>
      </c>
      <c r="ALG1" s="13" t="s">
        <v>2584</v>
      </c>
      <c r="ALH1" s="13" t="s">
        <v>479</v>
      </c>
      <c r="ALI1" s="13" t="s">
        <v>1534</v>
      </c>
      <c r="ALJ1" s="13" t="s">
        <v>2616</v>
      </c>
      <c r="ALK1" s="13" t="s">
        <v>2063</v>
      </c>
      <c r="ALL1" s="13" t="s">
        <v>1988</v>
      </c>
      <c r="ALM1" s="13" t="s">
        <v>936</v>
      </c>
      <c r="ALN1" s="13" t="s">
        <v>2176</v>
      </c>
      <c r="ALO1" s="13" t="s">
        <v>2572</v>
      </c>
      <c r="ALP1" s="13" t="s">
        <v>2316</v>
      </c>
      <c r="ALQ1" s="13" t="s">
        <v>705</v>
      </c>
      <c r="ALR1" s="13" t="s">
        <v>839</v>
      </c>
      <c r="ALS1" s="13" t="s">
        <v>1147</v>
      </c>
      <c r="ALT1" s="13" t="s">
        <v>2285</v>
      </c>
      <c r="ALU1" s="13" t="s">
        <v>1302</v>
      </c>
      <c r="ALV1" s="13" t="s">
        <v>1286</v>
      </c>
    </row>
    <row r="2" spans="1:1010" ht="14.25" customHeight="1" x14ac:dyDescent="0.25">
      <c r="A2" s="13" t="s">
        <v>1</v>
      </c>
      <c r="B2" s="23">
        <v>44562</v>
      </c>
      <c r="C2" s="23">
        <v>44573</v>
      </c>
      <c r="D2" s="23">
        <v>44583</v>
      </c>
      <c r="E2" s="23">
        <v>44607</v>
      </c>
      <c r="F2" s="23">
        <v>44609</v>
      </c>
      <c r="G2" s="23">
        <v>44611</v>
      </c>
      <c r="H2" s="23">
        <v>44624</v>
      </c>
      <c r="I2" s="23">
        <v>44625</v>
      </c>
      <c r="J2" s="23">
        <v>44637</v>
      </c>
      <c r="K2" s="23">
        <v>44644</v>
      </c>
      <c r="L2" s="23">
        <v>44651</v>
      </c>
      <c r="M2" s="23">
        <v>44656</v>
      </c>
      <c r="N2" s="23">
        <v>44659</v>
      </c>
      <c r="O2" s="23">
        <v>44660</v>
      </c>
      <c r="P2" s="23">
        <v>44660</v>
      </c>
      <c r="Q2" s="23">
        <v>44668</v>
      </c>
      <c r="R2" s="23">
        <v>44669</v>
      </c>
      <c r="S2" s="23">
        <v>44685</v>
      </c>
      <c r="T2" s="23">
        <v>44684</v>
      </c>
      <c r="U2" s="23">
        <v>44683</v>
      </c>
      <c r="V2" s="23">
        <v>44686</v>
      </c>
      <c r="W2" s="23">
        <v>44685</v>
      </c>
      <c r="X2" s="23">
        <v>44686</v>
      </c>
      <c r="Y2" s="23">
        <v>44695</v>
      </c>
      <c r="Z2" s="23">
        <v>44698</v>
      </c>
      <c r="AA2" s="23">
        <v>44702</v>
      </c>
      <c r="AB2" s="23">
        <v>44706</v>
      </c>
      <c r="AC2" s="23">
        <v>44705</v>
      </c>
      <c r="AD2" s="23">
        <v>44706</v>
      </c>
      <c r="AE2" s="23">
        <v>44708</v>
      </c>
      <c r="AF2" s="23">
        <v>44722</v>
      </c>
      <c r="AG2" s="23">
        <v>44733</v>
      </c>
      <c r="AH2" s="23">
        <v>44724</v>
      </c>
      <c r="AI2" s="23">
        <v>44730</v>
      </c>
      <c r="AJ2" s="23">
        <v>44729</v>
      </c>
      <c r="AK2" s="23">
        <v>44728</v>
      </c>
      <c r="AL2" s="23">
        <v>44733</v>
      </c>
      <c r="AM2" s="23">
        <v>44748</v>
      </c>
      <c r="AN2" s="23">
        <v>44748</v>
      </c>
      <c r="AO2" s="23">
        <v>44755</v>
      </c>
      <c r="AP2" s="23">
        <v>44756</v>
      </c>
      <c r="AQ2" s="23">
        <v>45126</v>
      </c>
      <c r="AR2" s="23">
        <v>44767</v>
      </c>
      <c r="AS2" s="23">
        <v>44769</v>
      </c>
      <c r="AT2" s="23">
        <v>44773</v>
      </c>
      <c r="AU2" s="23">
        <v>44773</v>
      </c>
      <c r="AV2" s="23">
        <v>44772</v>
      </c>
      <c r="AW2" s="23">
        <v>44790</v>
      </c>
      <c r="AX2" s="23">
        <v>44789</v>
      </c>
      <c r="AY2" s="23">
        <v>44792</v>
      </c>
      <c r="AZ2" s="23">
        <v>44792</v>
      </c>
      <c r="BA2" s="23">
        <v>44798</v>
      </c>
      <c r="BB2" s="23">
        <v>44798</v>
      </c>
      <c r="BC2" s="23">
        <v>44799</v>
      </c>
      <c r="BD2" s="23">
        <v>44802</v>
      </c>
      <c r="BE2" s="23">
        <v>44808</v>
      </c>
      <c r="BF2" s="23">
        <v>44820</v>
      </c>
      <c r="BG2" s="23">
        <v>44820</v>
      </c>
      <c r="BH2" s="23">
        <v>44822</v>
      </c>
      <c r="BI2" s="23">
        <v>44830</v>
      </c>
      <c r="BJ2" s="23">
        <v>44829</v>
      </c>
      <c r="BK2" s="23">
        <v>44837</v>
      </c>
      <c r="BL2" s="23">
        <v>44840</v>
      </c>
      <c r="BM2" s="23">
        <v>44850</v>
      </c>
      <c r="BN2" s="23">
        <v>44851</v>
      </c>
      <c r="BO2" s="23">
        <v>44853</v>
      </c>
      <c r="BP2" s="23">
        <v>44864</v>
      </c>
      <c r="BQ2" s="23">
        <v>44869</v>
      </c>
      <c r="BR2" s="23">
        <v>44877</v>
      </c>
      <c r="BS2" s="23">
        <v>44881</v>
      </c>
      <c r="BT2" s="23">
        <v>44884</v>
      </c>
      <c r="BU2" s="23">
        <v>44890</v>
      </c>
      <c r="BV2" s="23">
        <v>44895</v>
      </c>
      <c r="BW2" s="23">
        <v>44897</v>
      </c>
      <c r="BX2" s="23">
        <v>44903</v>
      </c>
      <c r="BY2" s="23">
        <v>44917</v>
      </c>
      <c r="BZ2" s="23">
        <v>44925</v>
      </c>
      <c r="CA2" s="23">
        <v>44928</v>
      </c>
      <c r="CB2" s="23">
        <v>44930</v>
      </c>
      <c r="CC2" s="23">
        <v>44940</v>
      </c>
      <c r="CD2" s="23">
        <v>44943</v>
      </c>
      <c r="CE2" s="23">
        <v>44945</v>
      </c>
      <c r="CF2" s="23">
        <v>44946</v>
      </c>
      <c r="CG2" s="23">
        <v>44958</v>
      </c>
      <c r="CH2" s="23">
        <v>44962</v>
      </c>
      <c r="CI2" s="23">
        <v>44968</v>
      </c>
      <c r="CJ2" s="23">
        <v>44971</v>
      </c>
      <c r="CK2" s="23">
        <v>44969</v>
      </c>
      <c r="CL2" s="23">
        <v>44982</v>
      </c>
      <c r="CM2" s="23">
        <v>44986</v>
      </c>
      <c r="CN2" s="23">
        <v>44985</v>
      </c>
      <c r="CO2" s="23">
        <v>44987</v>
      </c>
      <c r="CP2" s="23">
        <v>44996</v>
      </c>
      <c r="CQ2" s="23">
        <v>44993</v>
      </c>
      <c r="CR2" s="23">
        <v>45001</v>
      </c>
      <c r="CS2" s="23">
        <v>45006</v>
      </c>
      <c r="CT2" s="23">
        <v>45016</v>
      </c>
      <c r="CU2" s="23">
        <v>45021</v>
      </c>
      <c r="CV2" s="23">
        <v>45028</v>
      </c>
      <c r="CW2" s="23">
        <v>45029</v>
      </c>
      <c r="CX2" s="23">
        <v>45027</v>
      </c>
      <c r="CY2" s="23">
        <v>45033</v>
      </c>
      <c r="CZ2" s="23">
        <v>45034</v>
      </c>
      <c r="DA2" s="23">
        <v>45038</v>
      </c>
      <c r="DB2" s="23">
        <v>45036</v>
      </c>
      <c r="DC2" s="23">
        <v>45043</v>
      </c>
      <c r="DD2" s="23">
        <v>45051</v>
      </c>
      <c r="DE2" s="23">
        <v>45056</v>
      </c>
      <c r="DF2" s="23">
        <v>45057</v>
      </c>
      <c r="DG2" s="23">
        <v>45067</v>
      </c>
      <c r="DH2" s="23">
        <v>45066</v>
      </c>
      <c r="DI2" s="23">
        <v>45075</v>
      </c>
      <c r="DJ2" s="23">
        <v>45094</v>
      </c>
      <c r="DK2" s="23">
        <v>45097</v>
      </c>
      <c r="DL2" s="23">
        <v>45097</v>
      </c>
      <c r="DM2" s="23">
        <v>45102</v>
      </c>
      <c r="DN2" s="23">
        <v>45104</v>
      </c>
      <c r="DO2" s="23">
        <v>45113</v>
      </c>
      <c r="DP2" s="23">
        <v>45121</v>
      </c>
      <c r="DQ2" s="23">
        <v>45122</v>
      </c>
      <c r="DR2" s="23">
        <v>45122</v>
      </c>
      <c r="DS2" s="23">
        <v>45122</v>
      </c>
      <c r="DT2" s="23">
        <v>45124</v>
      </c>
      <c r="DU2" s="23">
        <v>45125</v>
      </c>
      <c r="DV2" s="23">
        <v>45129</v>
      </c>
      <c r="DW2" s="23">
        <v>45132</v>
      </c>
      <c r="DX2" s="23">
        <v>45133</v>
      </c>
      <c r="DY2" s="23">
        <v>45132</v>
      </c>
      <c r="DZ2" s="23">
        <v>45134</v>
      </c>
      <c r="EA2" s="23">
        <v>45136</v>
      </c>
      <c r="EB2" s="23">
        <v>45133</v>
      </c>
      <c r="EC2" s="23">
        <v>45144</v>
      </c>
      <c r="ED2" s="23">
        <v>45149</v>
      </c>
      <c r="EE2" s="23">
        <v>45150</v>
      </c>
      <c r="EF2" s="23">
        <v>45156</v>
      </c>
      <c r="EG2" s="23">
        <v>45155</v>
      </c>
      <c r="EH2" s="23">
        <v>45165</v>
      </c>
      <c r="EI2" s="23">
        <v>45167</v>
      </c>
      <c r="EJ2" s="23">
        <v>45169</v>
      </c>
      <c r="EK2" s="23">
        <v>45170</v>
      </c>
      <c r="EL2" s="23">
        <v>45175</v>
      </c>
      <c r="EM2" s="23">
        <v>45195</v>
      </c>
      <c r="EN2" s="23">
        <v>45198</v>
      </c>
      <c r="EO2" s="23">
        <v>45197</v>
      </c>
      <c r="EP2" s="23">
        <v>45215</v>
      </c>
      <c r="EQ2" s="23">
        <v>45214</v>
      </c>
      <c r="ER2" s="23">
        <v>45213</v>
      </c>
      <c r="ES2" s="23">
        <v>45217</v>
      </c>
      <c r="ET2" s="23">
        <v>45218</v>
      </c>
      <c r="EU2" s="23">
        <v>45225</v>
      </c>
      <c r="EV2" s="23">
        <v>45225</v>
      </c>
      <c r="EW2" s="23">
        <v>45245</v>
      </c>
      <c r="EX2" s="23">
        <v>45247</v>
      </c>
      <c r="EY2" s="23">
        <v>45251</v>
      </c>
      <c r="EZ2" s="23">
        <v>45251</v>
      </c>
      <c r="FA2" s="23">
        <v>45255</v>
      </c>
      <c r="FB2" s="23">
        <v>45263</v>
      </c>
      <c r="FC2" s="23">
        <v>45259</v>
      </c>
      <c r="FD2" s="23">
        <v>45261</v>
      </c>
      <c r="FE2" s="23">
        <v>45263</v>
      </c>
      <c r="FF2" s="23">
        <v>45263</v>
      </c>
      <c r="FG2" s="23">
        <v>45273</v>
      </c>
      <c r="FH2" s="23">
        <v>45273</v>
      </c>
      <c r="FI2" s="23">
        <v>45282</v>
      </c>
      <c r="FJ2" s="23">
        <v>45307</v>
      </c>
      <c r="FK2" s="23">
        <v>45311</v>
      </c>
      <c r="FL2" s="23">
        <v>45316</v>
      </c>
      <c r="FM2" s="23">
        <v>45327</v>
      </c>
      <c r="FN2" s="23">
        <v>45331</v>
      </c>
      <c r="FO2" s="23">
        <v>45335</v>
      </c>
      <c r="FP2" s="23">
        <v>45334</v>
      </c>
      <c r="FQ2" s="23">
        <v>45340</v>
      </c>
      <c r="FR2" s="23">
        <v>45340</v>
      </c>
      <c r="FS2" s="23">
        <v>45341</v>
      </c>
      <c r="FT2" s="23">
        <v>45344</v>
      </c>
      <c r="FU2" s="23">
        <v>45343</v>
      </c>
      <c r="FV2" s="23">
        <v>45344</v>
      </c>
      <c r="FW2" s="23">
        <v>45345</v>
      </c>
      <c r="FX2" s="23">
        <v>45347</v>
      </c>
      <c r="FY2" s="23">
        <v>45350</v>
      </c>
      <c r="FZ2" s="23">
        <v>45356</v>
      </c>
      <c r="GA2" s="23">
        <v>45358</v>
      </c>
      <c r="GB2" s="23">
        <v>45363</v>
      </c>
      <c r="GC2" s="23">
        <v>45375</v>
      </c>
      <c r="GD2" s="23">
        <v>45378</v>
      </c>
      <c r="GE2" s="23">
        <v>45382</v>
      </c>
      <c r="GF2" s="23">
        <v>45385</v>
      </c>
      <c r="GG2" s="23">
        <v>45391</v>
      </c>
      <c r="GH2" s="23">
        <v>45391</v>
      </c>
      <c r="GI2" s="23">
        <v>45394</v>
      </c>
      <c r="GJ2" s="23">
        <v>45401</v>
      </c>
      <c r="GK2" s="23">
        <v>45404</v>
      </c>
      <c r="GL2" s="23">
        <v>45411</v>
      </c>
      <c r="GM2" s="23">
        <v>45412</v>
      </c>
      <c r="GN2" s="23">
        <v>45422</v>
      </c>
      <c r="GO2" s="23">
        <v>45425</v>
      </c>
      <c r="GP2" s="23">
        <v>45429</v>
      </c>
      <c r="GQ2" s="23">
        <v>45435</v>
      </c>
      <c r="GR2" s="23">
        <v>45442</v>
      </c>
      <c r="GS2" s="23">
        <v>45446</v>
      </c>
      <c r="GT2" s="23">
        <v>45446</v>
      </c>
      <c r="GU2" s="23">
        <v>45452</v>
      </c>
      <c r="GV2" s="23">
        <v>45459</v>
      </c>
      <c r="GW2" s="23">
        <v>45466</v>
      </c>
      <c r="GX2" s="23">
        <v>45468</v>
      </c>
      <c r="GY2" s="23">
        <v>45488</v>
      </c>
      <c r="GZ2" s="23">
        <v>45492</v>
      </c>
      <c r="HA2" s="23">
        <v>45490</v>
      </c>
      <c r="HB2" s="23">
        <v>45494</v>
      </c>
      <c r="HC2" s="23">
        <v>45502</v>
      </c>
      <c r="HD2" s="23">
        <v>45503</v>
      </c>
      <c r="HE2" s="23">
        <v>45299</v>
      </c>
      <c r="HF2" s="23">
        <v>45512</v>
      </c>
      <c r="HG2" s="23">
        <v>45512</v>
      </c>
      <c r="HH2" s="23">
        <v>45522</v>
      </c>
      <c r="HI2" s="23">
        <v>45525</v>
      </c>
      <c r="HJ2" s="23">
        <v>45525</v>
      </c>
      <c r="HK2" s="23">
        <v>45537</v>
      </c>
      <c r="HL2" s="23">
        <v>45540</v>
      </c>
      <c r="HM2" s="23">
        <v>45544</v>
      </c>
      <c r="HN2" s="23">
        <v>45549</v>
      </c>
      <c r="HO2" s="23">
        <v>45585</v>
      </c>
      <c r="HP2" s="23">
        <v>45598</v>
      </c>
      <c r="HQ2" s="23">
        <v>45609</v>
      </c>
      <c r="HR2" s="23">
        <v>45622</v>
      </c>
      <c r="HS2" s="23">
        <v>45622</v>
      </c>
      <c r="HT2" s="23">
        <v>45626</v>
      </c>
      <c r="HU2" s="23">
        <v>45628</v>
      </c>
      <c r="HV2" s="23">
        <v>45627</v>
      </c>
      <c r="HW2" s="23">
        <v>45627</v>
      </c>
      <c r="HX2" s="23">
        <v>45632</v>
      </c>
      <c r="HY2" s="23">
        <v>45638</v>
      </c>
      <c r="HZ2" s="23">
        <v>45643</v>
      </c>
      <c r="IA2" s="23">
        <v>45653</v>
      </c>
      <c r="IB2" s="23">
        <v>45653</v>
      </c>
      <c r="IC2" s="23">
        <v>45538</v>
      </c>
      <c r="ID2" s="23">
        <v>44562</v>
      </c>
      <c r="IE2" s="23">
        <v>44563</v>
      </c>
      <c r="IF2" s="23">
        <v>44563</v>
      </c>
      <c r="IG2" s="23">
        <v>44568</v>
      </c>
      <c r="IH2" s="23">
        <v>44572</v>
      </c>
      <c r="II2" s="23">
        <v>44575</v>
      </c>
      <c r="IJ2" s="23">
        <v>44580</v>
      </c>
      <c r="IK2" s="23">
        <v>44580</v>
      </c>
      <c r="IL2" s="23">
        <v>44584</v>
      </c>
      <c r="IM2" s="23">
        <v>44587</v>
      </c>
      <c r="IN2" s="23">
        <v>44591</v>
      </c>
      <c r="IO2" s="23">
        <v>44595</v>
      </c>
      <c r="IP2" s="23">
        <v>44594</v>
      </c>
      <c r="IQ2" s="23">
        <v>44605</v>
      </c>
      <c r="IR2" s="23">
        <v>44607</v>
      </c>
      <c r="IS2" s="23">
        <v>44611</v>
      </c>
      <c r="IT2" s="23">
        <v>44626</v>
      </c>
      <c r="IU2" s="23">
        <v>44639</v>
      </c>
      <c r="IV2" s="23">
        <v>44643</v>
      </c>
      <c r="IW2" s="23">
        <v>44649</v>
      </c>
      <c r="IX2" s="23">
        <v>44661</v>
      </c>
      <c r="IY2" s="23">
        <v>44667</v>
      </c>
      <c r="IZ2" s="23">
        <v>44665</v>
      </c>
      <c r="JA2" s="23">
        <v>44676</v>
      </c>
      <c r="JB2" s="23">
        <v>44670</v>
      </c>
      <c r="JC2" s="23">
        <v>44672</v>
      </c>
      <c r="JD2" s="23">
        <v>44681</v>
      </c>
      <c r="JE2" s="23">
        <v>44692</v>
      </c>
      <c r="JF2" s="23">
        <v>44699</v>
      </c>
      <c r="JG2" s="23">
        <v>44701</v>
      </c>
      <c r="JH2" s="23">
        <v>44707</v>
      </c>
      <c r="JI2" s="23">
        <v>44708</v>
      </c>
      <c r="JJ2" s="23">
        <v>44711</v>
      </c>
      <c r="JK2" s="23">
        <v>44716</v>
      </c>
      <c r="JL2" s="23">
        <v>44720</v>
      </c>
      <c r="JM2" s="23">
        <v>44733</v>
      </c>
      <c r="JN2" s="23">
        <v>44735</v>
      </c>
      <c r="JO2" s="23">
        <v>44738</v>
      </c>
      <c r="JP2" s="23">
        <v>44738</v>
      </c>
      <c r="JQ2" s="23">
        <v>44745</v>
      </c>
      <c r="JR2" s="23">
        <v>44747</v>
      </c>
      <c r="JS2" s="23">
        <v>44750</v>
      </c>
      <c r="JT2" s="23">
        <v>44752</v>
      </c>
      <c r="JU2" s="23">
        <v>44757</v>
      </c>
      <c r="JV2" s="23">
        <v>44759</v>
      </c>
      <c r="JW2" s="23">
        <v>44767</v>
      </c>
      <c r="JX2" s="23">
        <v>44771</v>
      </c>
      <c r="JY2" s="23">
        <v>44778</v>
      </c>
      <c r="JZ2" s="23">
        <v>44786</v>
      </c>
      <c r="KA2" s="23">
        <v>44789</v>
      </c>
      <c r="KB2" s="23">
        <v>44794</v>
      </c>
      <c r="KC2" s="23">
        <v>44803</v>
      </c>
      <c r="KD2" s="23">
        <v>44802</v>
      </c>
      <c r="KE2" s="23">
        <v>44806</v>
      </c>
      <c r="KF2" s="23">
        <v>44812</v>
      </c>
      <c r="KG2" s="23">
        <v>44822</v>
      </c>
      <c r="KH2" s="23">
        <v>44826</v>
      </c>
      <c r="KI2" s="23">
        <v>44829</v>
      </c>
      <c r="KJ2" s="23">
        <v>44838</v>
      </c>
      <c r="KK2" s="23">
        <v>44838</v>
      </c>
      <c r="KL2" s="23">
        <v>44847</v>
      </c>
      <c r="KM2" s="23">
        <v>44847</v>
      </c>
      <c r="KN2" s="23">
        <v>44851</v>
      </c>
      <c r="KO2" s="23">
        <v>44860</v>
      </c>
      <c r="KP2" s="23">
        <v>44870</v>
      </c>
      <c r="KQ2" s="23">
        <v>44863</v>
      </c>
      <c r="KR2" s="23">
        <v>44862</v>
      </c>
      <c r="KS2" s="23">
        <v>44864</v>
      </c>
      <c r="KT2" s="23">
        <v>44870</v>
      </c>
      <c r="KU2" s="23">
        <v>44872</v>
      </c>
      <c r="KV2" s="23">
        <v>44877</v>
      </c>
      <c r="KW2" s="23">
        <v>44889</v>
      </c>
      <c r="KX2" s="23">
        <v>44891</v>
      </c>
      <c r="KY2" s="23">
        <v>44892</v>
      </c>
      <c r="KZ2" s="23">
        <v>44895</v>
      </c>
      <c r="LA2" s="23">
        <v>44911</v>
      </c>
      <c r="LB2" s="23">
        <v>44917</v>
      </c>
      <c r="LC2" s="23">
        <v>44917</v>
      </c>
      <c r="LD2" s="23">
        <v>44919</v>
      </c>
      <c r="LE2" s="23">
        <v>44921</v>
      </c>
      <c r="LF2" s="23">
        <v>44932</v>
      </c>
      <c r="LG2" s="23">
        <v>44937</v>
      </c>
      <c r="LH2" s="23">
        <v>44939</v>
      </c>
      <c r="LI2" s="23">
        <v>44942</v>
      </c>
      <c r="LJ2" s="23">
        <v>44942</v>
      </c>
      <c r="LK2" s="23">
        <v>44941</v>
      </c>
      <c r="LL2" s="23">
        <v>44946</v>
      </c>
      <c r="LM2" s="23">
        <v>44951</v>
      </c>
      <c r="LN2" s="23">
        <v>44957</v>
      </c>
      <c r="LO2" s="23">
        <v>44960</v>
      </c>
      <c r="LP2" s="23">
        <v>44961</v>
      </c>
      <c r="LQ2" s="23">
        <v>44962</v>
      </c>
      <c r="LR2" s="23">
        <v>44968</v>
      </c>
      <c r="LS2" s="23">
        <v>44969</v>
      </c>
      <c r="LT2" s="23">
        <v>44972</v>
      </c>
      <c r="LU2" s="23">
        <v>44973</v>
      </c>
      <c r="LV2" s="23">
        <v>44971</v>
      </c>
      <c r="LW2" s="23">
        <v>44972</v>
      </c>
      <c r="LX2" s="23">
        <v>44979</v>
      </c>
      <c r="LY2" s="23">
        <v>44979</v>
      </c>
      <c r="LZ2" s="23">
        <v>44987</v>
      </c>
      <c r="MA2" s="23">
        <v>44983</v>
      </c>
      <c r="MB2" s="23">
        <v>44983</v>
      </c>
      <c r="MC2" s="23">
        <v>44986</v>
      </c>
      <c r="MD2" s="23">
        <v>44992</v>
      </c>
      <c r="ME2" s="23">
        <v>45004</v>
      </c>
      <c r="MF2" s="23">
        <v>45006</v>
      </c>
      <c r="MG2" s="23">
        <v>45010</v>
      </c>
      <c r="MH2" s="23">
        <v>45010</v>
      </c>
      <c r="MI2" s="23">
        <v>45015</v>
      </c>
      <c r="MJ2" s="23">
        <v>45019</v>
      </c>
      <c r="MK2" s="23">
        <v>45025</v>
      </c>
      <c r="ML2" s="23">
        <v>45026</v>
      </c>
      <c r="MM2" s="23">
        <v>45031</v>
      </c>
      <c r="MN2" s="23">
        <v>45040</v>
      </c>
      <c r="MO2" s="23">
        <v>45046</v>
      </c>
      <c r="MP2" s="23">
        <v>45055</v>
      </c>
      <c r="MQ2" s="23">
        <v>45054</v>
      </c>
      <c r="MR2" s="23">
        <v>45058</v>
      </c>
      <c r="MS2" s="23">
        <v>45066</v>
      </c>
      <c r="MT2" s="23">
        <v>45071</v>
      </c>
      <c r="MU2" s="23">
        <v>45071</v>
      </c>
      <c r="MV2" s="23">
        <v>45080</v>
      </c>
      <c r="MW2" s="23">
        <v>45080</v>
      </c>
      <c r="MX2" s="23">
        <v>45083</v>
      </c>
      <c r="MY2" s="23">
        <v>45090</v>
      </c>
      <c r="MZ2" s="23">
        <v>45092</v>
      </c>
      <c r="NA2" s="23">
        <v>45095</v>
      </c>
      <c r="NB2" s="23">
        <v>45095</v>
      </c>
      <c r="NC2" s="23">
        <v>45096</v>
      </c>
      <c r="ND2" s="23">
        <v>45096</v>
      </c>
      <c r="NE2" s="23">
        <v>45100</v>
      </c>
      <c r="NF2" s="23">
        <v>45098</v>
      </c>
      <c r="NG2" s="23">
        <v>45098</v>
      </c>
      <c r="NH2" s="23">
        <v>45108</v>
      </c>
      <c r="NI2" s="23">
        <v>45124</v>
      </c>
      <c r="NJ2" s="23">
        <v>45128</v>
      </c>
      <c r="NK2" s="23">
        <v>45130</v>
      </c>
      <c r="NL2" s="23">
        <v>45132</v>
      </c>
      <c r="NM2" s="23">
        <v>45136</v>
      </c>
      <c r="NN2" s="23">
        <v>45141</v>
      </c>
      <c r="NO2" s="23">
        <v>45146</v>
      </c>
      <c r="NP2" s="23">
        <v>45147</v>
      </c>
      <c r="NQ2" s="23">
        <v>45152</v>
      </c>
      <c r="NR2" s="23">
        <v>45152</v>
      </c>
      <c r="NS2" s="23">
        <v>45156</v>
      </c>
      <c r="NT2" s="23">
        <v>45160</v>
      </c>
      <c r="NU2" s="23">
        <v>45162</v>
      </c>
      <c r="NV2" s="23">
        <v>45162</v>
      </c>
      <c r="NW2" s="23">
        <v>45163</v>
      </c>
      <c r="NX2" s="23">
        <v>45166</v>
      </c>
      <c r="NY2" s="23">
        <v>45172</v>
      </c>
      <c r="NZ2" s="23">
        <v>45176</v>
      </c>
      <c r="OA2" s="23">
        <v>45177</v>
      </c>
      <c r="OB2" s="23">
        <v>45187</v>
      </c>
      <c r="OC2" s="23">
        <v>45186</v>
      </c>
      <c r="OD2" s="23">
        <v>45195</v>
      </c>
      <c r="OE2" s="23">
        <v>45195</v>
      </c>
      <c r="OF2" s="23">
        <v>45203</v>
      </c>
      <c r="OG2" s="23">
        <v>45204</v>
      </c>
      <c r="OH2" s="23">
        <v>45208</v>
      </c>
      <c r="OI2" s="23">
        <v>45217</v>
      </c>
      <c r="OJ2" s="23">
        <v>45220</v>
      </c>
      <c r="OK2" s="23">
        <v>45222</v>
      </c>
      <c r="OL2" s="23">
        <v>45222</v>
      </c>
      <c r="OM2" s="23">
        <v>45225</v>
      </c>
      <c r="ON2" s="23">
        <v>45225</v>
      </c>
      <c r="OO2" s="23">
        <v>45231</v>
      </c>
      <c r="OP2" s="23">
        <v>45240</v>
      </c>
      <c r="OQ2" s="23">
        <v>45244</v>
      </c>
      <c r="OR2" s="23">
        <v>45249</v>
      </c>
      <c r="OS2" s="23">
        <v>45254</v>
      </c>
      <c r="OT2" s="23">
        <v>45257</v>
      </c>
      <c r="OU2" s="23">
        <v>45260</v>
      </c>
      <c r="OV2" s="23">
        <v>45267</v>
      </c>
      <c r="OW2" s="23">
        <v>45266</v>
      </c>
      <c r="OX2" s="23">
        <v>45266</v>
      </c>
      <c r="OY2" s="23">
        <v>45274</v>
      </c>
      <c r="OZ2" s="23">
        <v>45274</v>
      </c>
      <c r="PA2" s="23">
        <v>45276</v>
      </c>
      <c r="PB2" s="23">
        <v>45279</v>
      </c>
      <c r="PC2" s="23">
        <v>45293</v>
      </c>
      <c r="PD2" s="23">
        <v>45295</v>
      </c>
      <c r="PE2" s="23">
        <v>45302</v>
      </c>
      <c r="PF2" s="23">
        <v>45333</v>
      </c>
      <c r="PG2" s="23">
        <v>45337</v>
      </c>
      <c r="PH2" s="23">
        <v>45341</v>
      </c>
      <c r="PI2" s="23">
        <v>45339</v>
      </c>
      <c r="PJ2" s="23">
        <v>45340</v>
      </c>
      <c r="PK2" s="23">
        <v>45349</v>
      </c>
      <c r="PL2" s="23">
        <v>45347</v>
      </c>
      <c r="PM2" s="23">
        <v>45357</v>
      </c>
      <c r="PN2" s="23">
        <v>45360</v>
      </c>
      <c r="PO2" s="23">
        <v>45364</v>
      </c>
      <c r="PP2" s="23">
        <v>45375</v>
      </c>
      <c r="PQ2" s="23">
        <v>45379</v>
      </c>
      <c r="PR2" s="23">
        <v>45381</v>
      </c>
      <c r="PS2" s="23">
        <v>45384</v>
      </c>
      <c r="PT2" s="23">
        <v>45388</v>
      </c>
      <c r="PU2" s="23">
        <v>45394</v>
      </c>
      <c r="PV2" s="23">
        <v>45393</v>
      </c>
      <c r="PW2" s="23">
        <v>45398</v>
      </c>
      <c r="PX2" s="23">
        <v>45401</v>
      </c>
      <c r="PY2" s="23">
        <v>45416</v>
      </c>
      <c r="PZ2" s="23">
        <v>45414</v>
      </c>
      <c r="QA2" s="23">
        <v>45414</v>
      </c>
      <c r="QB2" s="23">
        <v>45782</v>
      </c>
      <c r="QC2" s="23">
        <v>45426</v>
      </c>
      <c r="QD2" s="23">
        <v>45428</v>
      </c>
      <c r="QE2" s="23">
        <v>45433</v>
      </c>
      <c r="QF2" s="23">
        <v>45442</v>
      </c>
      <c r="QG2" s="23">
        <v>45442</v>
      </c>
      <c r="QH2" s="23">
        <v>45442</v>
      </c>
      <c r="QI2" s="23">
        <v>45451</v>
      </c>
      <c r="QJ2" s="23">
        <v>45459</v>
      </c>
      <c r="QK2" s="23">
        <v>45460</v>
      </c>
      <c r="QL2" s="23">
        <v>45462</v>
      </c>
      <c r="QM2" s="23">
        <v>45467</v>
      </c>
      <c r="QN2" s="23">
        <v>45467</v>
      </c>
      <c r="QO2" s="23">
        <v>45482</v>
      </c>
      <c r="QP2" s="23">
        <v>45481</v>
      </c>
      <c r="QQ2" s="23">
        <v>45496</v>
      </c>
      <c r="QR2" s="23">
        <v>45502</v>
      </c>
      <c r="QS2" s="23">
        <v>45508</v>
      </c>
      <c r="QT2" s="23">
        <v>45520</v>
      </c>
      <c r="QU2" s="23">
        <v>45527</v>
      </c>
      <c r="QV2" s="23">
        <v>45530</v>
      </c>
      <c r="QW2" s="23">
        <v>45535</v>
      </c>
      <c r="QX2" s="23">
        <v>45535</v>
      </c>
      <c r="QY2" s="23">
        <v>45543</v>
      </c>
      <c r="QZ2" s="23">
        <v>45544</v>
      </c>
      <c r="RA2" s="23">
        <v>45561</v>
      </c>
      <c r="RB2" s="23">
        <v>45570</v>
      </c>
      <c r="RC2" s="23">
        <v>45577</v>
      </c>
      <c r="RD2" s="23">
        <v>45584</v>
      </c>
      <c r="RE2" s="23">
        <v>45585</v>
      </c>
      <c r="RF2" s="23">
        <v>45592</v>
      </c>
      <c r="RG2" s="23">
        <v>45600</v>
      </c>
      <c r="RH2" s="23">
        <v>45608</v>
      </c>
      <c r="RI2" s="23">
        <v>45609</v>
      </c>
      <c r="RJ2" s="23">
        <v>45613</v>
      </c>
      <c r="RK2" s="23">
        <v>45624</v>
      </c>
      <c r="RL2" s="23">
        <v>45627</v>
      </c>
      <c r="RM2" s="23">
        <v>45629</v>
      </c>
      <c r="RN2" s="23">
        <v>45627</v>
      </c>
      <c r="RO2" s="23">
        <v>45634</v>
      </c>
      <c r="RP2" s="23">
        <v>45640</v>
      </c>
      <c r="RQ2" s="23">
        <v>45307</v>
      </c>
      <c r="RR2" s="23">
        <v>45583</v>
      </c>
      <c r="RS2" s="23">
        <v>45249</v>
      </c>
      <c r="RT2" s="23">
        <v>45377</v>
      </c>
      <c r="RU2" s="23">
        <v>44564</v>
      </c>
      <c r="RV2" s="23">
        <v>44564</v>
      </c>
      <c r="RW2" s="23">
        <v>44565</v>
      </c>
      <c r="RX2" s="23">
        <v>44575</v>
      </c>
      <c r="RY2" s="23">
        <v>44578</v>
      </c>
      <c r="RZ2" s="23">
        <v>44580</v>
      </c>
      <c r="SA2" s="23">
        <v>44582</v>
      </c>
      <c r="SB2" s="23">
        <v>44586</v>
      </c>
      <c r="SC2" s="23">
        <v>44588</v>
      </c>
      <c r="SD2" s="23">
        <v>44595</v>
      </c>
      <c r="SE2" s="23">
        <v>44595</v>
      </c>
      <c r="SF2" s="23">
        <v>44596</v>
      </c>
      <c r="SG2" s="23">
        <v>44616</v>
      </c>
      <c r="SH2" s="23">
        <v>44622</v>
      </c>
      <c r="SI2" s="23">
        <v>44625</v>
      </c>
      <c r="SJ2" s="23">
        <v>44628</v>
      </c>
      <c r="SK2" s="23">
        <v>44628</v>
      </c>
      <c r="SL2" s="23">
        <v>44633</v>
      </c>
      <c r="SM2" s="23">
        <v>44632</v>
      </c>
      <c r="SN2" s="23">
        <v>44633</v>
      </c>
      <c r="SO2" s="23">
        <v>44637</v>
      </c>
      <c r="SP2" s="23">
        <v>44645</v>
      </c>
      <c r="SQ2" s="23">
        <v>44651</v>
      </c>
      <c r="SR2" s="23">
        <v>44660</v>
      </c>
      <c r="SS2" s="23">
        <v>44661</v>
      </c>
      <c r="ST2" s="23">
        <v>44665</v>
      </c>
      <c r="SU2" s="23">
        <v>44667</v>
      </c>
      <c r="SV2" s="23">
        <v>44674</v>
      </c>
      <c r="SW2" s="23">
        <v>44676</v>
      </c>
      <c r="SX2" s="23">
        <v>44679</v>
      </c>
      <c r="SY2" s="23">
        <v>44686</v>
      </c>
      <c r="SZ2" s="23">
        <v>44691</v>
      </c>
      <c r="TA2" s="23">
        <v>44690</v>
      </c>
      <c r="TB2" s="23">
        <v>44691</v>
      </c>
      <c r="TC2" s="23">
        <v>44697</v>
      </c>
      <c r="TD2" s="23">
        <v>44704</v>
      </c>
      <c r="TE2" s="23">
        <v>44708</v>
      </c>
      <c r="TF2" s="23">
        <v>44709</v>
      </c>
      <c r="TG2" s="23">
        <v>44711</v>
      </c>
      <c r="TH2" s="23">
        <v>44720</v>
      </c>
      <c r="TI2" s="23">
        <v>44721</v>
      </c>
      <c r="TJ2" s="23">
        <v>44727</v>
      </c>
      <c r="TK2" s="23">
        <v>44738</v>
      </c>
      <c r="TL2" s="23">
        <v>44742</v>
      </c>
      <c r="TM2" s="23">
        <v>44744</v>
      </c>
      <c r="TN2" s="23">
        <v>44750</v>
      </c>
      <c r="TO2" s="23">
        <v>44752</v>
      </c>
      <c r="TP2" s="23">
        <v>44755</v>
      </c>
      <c r="TQ2" s="23">
        <v>44757</v>
      </c>
      <c r="TR2" s="23">
        <v>44761</v>
      </c>
      <c r="TS2" s="23">
        <v>44761</v>
      </c>
      <c r="TT2" s="23">
        <v>44767</v>
      </c>
      <c r="TU2" s="23">
        <v>44767</v>
      </c>
      <c r="TV2" s="23">
        <v>44773</v>
      </c>
      <c r="TW2" s="23">
        <v>44774</v>
      </c>
      <c r="TX2" s="23">
        <v>44775</v>
      </c>
      <c r="TY2" s="23">
        <v>44781</v>
      </c>
      <c r="TZ2" s="23">
        <v>44795</v>
      </c>
      <c r="UA2" s="23">
        <v>44804</v>
      </c>
      <c r="UB2" s="23">
        <v>44806</v>
      </c>
      <c r="UC2" s="23">
        <v>44813</v>
      </c>
      <c r="UD2" s="23">
        <v>44814</v>
      </c>
      <c r="UE2" s="23">
        <v>44814</v>
      </c>
      <c r="UF2" s="23">
        <v>44820</v>
      </c>
      <c r="UG2" s="23">
        <v>44825</v>
      </c>
      <c r="UH2" s="23">
        <v>44831</v>
      </c>
      <c r="UI2" s="23">
        <v>44834</v>
      </c>
      <c r="UJ2" s="23">
        <v>44840</v>
      </c>
      <c r="UK2" s="23">
        <v>44846</v>
      </c>
      <c r="UL2" s="23">
        <v>44848</v>
      </c>
      <c r="UM2" s="23">
        <v>44854</v>
      </c>
      <c r="UN2" s="23">
        <v>44864</v>
      </c>
      <c r="UO2" s="23">
        <v>44865</v>
      </c>
      <c r="UP2" s="23">
        <v>44866</v>
      </c>
      <c r="UQ2" s="23">
        <v>44871</v>
      </c>
      <c r="UR2" s="23">
        <v>44874</v>
      </c>
      <c r="US2" s="23">
        <v>44876</v>
      </c>
      <c r="UT2" s="23">
        <v>44877</v>
      </c>
      <c r="UU2" s="23">
        <v>44879</v>
      </c>
      <c r="UV2" s="23">
        <v>44880</v>
      </c>
      <c r="UW2" s="23">
        <v>44881</v>
      </c>
      <c r="UX2" s="23">
        <v>44882</v>
      </c>
      <c r="UY2" s="23">
        <v>44883</v>
      </c>
      <c r="UZ2" s="23">
        <v>44883</v>
      </c>
      <c r="VA2" s="23">
        <v>44884</v>
      </c>
      <c r="VB2" s="23">
        <v>44894</v>
      </c>
      <c r="VC2" s="23">
        <v>44898</v>
      </c>
      <c r="VD2" s="23">
        <v>44900</v>
      </c>
      <c r="VE2" s="23">
        <v>44901</v>
      </c>
      <c r="VF2" s="23">
        <v>44908</v>
      </c>
      <c r="VG2" s="23">
        <v>44908</v>
      </c>
      <c r="VH2" s="23">
        <v>44911</v>
      </c>
      <c r="VI2" s="23">
        <v>44911</v>
      </c>
      <c r="VJ2" s="23">
        <v>44911</v>
      </c>
      <c r="VK2" s="23">
        <v>44912</v>
      </c>
      <c r="VL2" s="23">
        <v>44921</v>
      </c>
      <c r="VM2" s="23">
        <v>44925</v>
      </c>
      <c r="VN2" s="23">
        <v>44925</v>
      </c>
      <c r="VO2" s="23">
        <v>44926</v>
      </c>
      <c r="VP2" s="23">
        <v>44933</v>
      </c>
      <c r="VQ2" s="23">
        <v>44934</v>
      </c>
      <c r="VR2" s="23">
        <v>44935</v>
      </c>
      <c r="VS2" s="23">
        <v>44936</v>
      </c>
      <c r="VT2" s="23">
        <v>44943</v>
      </c>
      <c r="VU2" s="23">
        <v>44947</v>
      </c>
      <c r="VV2" s="23">
        <v>44979</v>
      </c>
      <c r="VW2" s="23">
        <v>44981</v>
      </c>
      <c r="VX2" s="23">
        <v>44986</v>
      </c>
      <c r="VY2" s="23">
        <v>44990</v>
      </c>
      <c r="VZ2" s="23">
        <v>44990</v>
      </c>
      <c r="WA2" s="23">
        <v>44996</v>
      </c>
      <c r="WB2" s="23">
        <v>44996</v>
      </c>
      <c r="WC2" s="23">
        <v>44996</v>
      </c>
      <c r="WD2" s="23">
        <v>44999</v>
      </c>
      <c r="WE2" s="23">
        <v>44999</v>
      </c>
      <c r="WF2" s="23">
        <v>45006</v>
      </c>
      <c r="WG2" s="23">
        <v>45010</v>
      </c>
      <c r="WH2" s="23">
        <v>45013</v>
      </c>
      <c r="WI2" s="23">
        <v>45017</v>
      </c>
      <c r="WJ2" s="23">
        <v>45029</v>
      </c>
      <c r="WK2" s="23">
        <v>45031</v>
      </c>
      <c r="WL2" s="23">
        <v>45037</v>
      </c>
      <c r="WM2" s="23">
        <v>45042</v>
      </c>
      <c r="WN2" s="23">
        <v>45048</v>
      </c>
      <c r="WO2" s="23">
        <v>45059</v>
      </c>
      <c r="WP2" s="23">
        <v>45059</v>
      </c>
      <c r="WQ2" s="23">
        <v>45063</v>
      </c>
      <c r="WR2" s="23">
        <v>45073</v>
      </c>
      <c r="WS2" s="23">
        <v>45076</v>
      </c>
      <c r="WT2" s="23">
        <v>45076</v>
      </c>
      <c r="WU2" s="23">
        <v>45078</v>
      </c>
      <c r="WV2" s="23">
        <v>45079</v>
      </c>
      <c r="WW2" s="23">
        <v>45081</v>
      </c>
      <c r="WX2" s="23">
        <v>45089</v>
      </c>
      <c r="WY2" s="23">
        <v>45090</v>
      </c>
      <c r="WZ2" s="23">
        <v>45094</v>
      </c>
      <c r="XA2" s="23">
        <v>45094</v>
      </c>
      <c r="XB2" s="23">
        <v>45101</v>
      </c>
      <c r="XC2" s="23">
        <v>45109</v>
      </c>
      <c r="XD2" s="23">
        <v>45112</v>
      </c>
      <c r="XE2" s="23">
        <v>45114</v>
      </c>
      <c r="XF2" s="23">
        <v>45116</v>
      </c>
      <c r="XG2" s="23">
        <v>45122</v>
      </c>
      <c r="XH2" s="23">
        <v>45123</v>
      </c>
      <c r="XI2" s="23">
        <v>45125</v>
      </c>
      <c r="XJ2" s="23">
        <v>45125</v>
      </c>
      <c r="XK2" s="23">
        <v>45131</v>
      </c>
      <c r="XL2" s="23">
        <v>45131</v>
      </c>
      <c r="XM2" s="23">
        <v>45131</v>
      </c>
      <c r="XN2" s="23">
        <v>45132</v>
      </c>
      <c r="XO2" s="23">
        <v>45133</v>
      </c>
      <c r="XP2" s="23">
        <v>45134</v>
      </c>
      <c r="XQ2" s="23">
        <v>45138</v>
      </c>
      <c r="XR2" s="23">
        <v>45140</v>
      </c>
      <c r="XS2" s="23">
        <v>45147</v>
      </c>
      <c r="XT2" s="23">
        <v>45150</v>
      </c>
      <c r="XU2" s="23">
        <v>45152</v>
      </c>
      <c r="XV2" s="23">
        <v>45157</v>
      </c>
      <c r="XW2" s="23">
        <v>45158</v>
      </c>
      <c r="XX2" s="23">
        <v>45163</v>
      </c>
      <c r="XY2" s="23">
        <v>45174</v>
      </c>
      <c r="XZ2" s="23">
        <v>45174</v>
      </c>
      <c r="YA2" s="23">
        <v>45177</v>
      </c>
      <c r="YB2" s="23">
        <v>45177</v>
      </c>
      <c r="YC2" s="23">
        <v>45181</v>
      </c>
      <c r="YD2" s="23">
        <v>45183</v>
      </c>
      <c r="YE2" s="23">
        <v>45202</v>
      </c>
      <c r="YF2" s="23">
        <v>45208</v>
      </c>
      <c r="YG2" s="23">
        <v>45211</v>
      </c>
      <c r="YH2" s="23">
        <v>45216</v>
      </c>
      <c r="YI2" s="23">
        <v>45234</v>
      </c>
      <c r="YJ2" s="23">
        <v>45239</v>
      </c>
      <c r="YK2" s="23">
        <v>45248</v>
      </c>
      <c r="YL2" s="23">
        <v>45250</v>
      </c>
      <c r="YM2" s="23">
        <v>45253</v>
      </c>
      <c r="YN2" s="23">
        <v>45265</v>
      </c>
      <c r="YO2" s="23">
        <v>45270</v>
      </c>
      <c r="YP2" s="23">
        <v>45269</v>
      </c>
      <c r="YQ2" s="23">
        <v>45275</v>
      </c>
      <c r="YR2" s="23">
        <v>45278</v>
      </c>
      <c r="YS2" s="23">
        <v>45280</v>
      </c>
      <c r="YT2" s="23">
        <v>45280</v>
      </c>
      <c r="YU2" s="23">
        <v>45281</v>
      </c>
      <c r="YV2" s="23">
        <v>45285</v>
      </c>
      <c r="YW2" s="23">
        <v>45290</v>
      </c>
      <c r="YX2" s="23">
        <v>45296</v>
      </c>
      <c r="YY2" s="23">
        <v>45296</v>
      </c>
      <c r="YZ2" s="23">
        <v>45312</v>
      </c>
      <c r="ZA2" s="23">
        <v>45316</v>
      </c>
      <c r="ZB2" s="23">
        <v>45317</v>
      </c>
      <c r="ZC2" s="23">
        <v>45319</v>
      </c>
      <c r="ZD2" s="23">
        <v>45322</v>
      </c>
      <c r="ZE2" s="23">
        <v>45324</v>
      </c>
      <c r="ZF2" s="23">
        <v>45326</v>
      </c>
      <c r="ZG2" s="23">
        <v>45328</v>
      </c>
      <c r="ZH2" s="23">
        <v>45329</v>
      </c>
      <c r="ZI2" s="23">
        <v>45329</v>
      </c>
      <c r="ZJ2" s="23">
        <v>45333</v>
      </c>
      <c r="ZK2" s="23">
        <v>45342</v>
      </c>
      <c r="ZL2" s="23">
        <v>45342</v>
      </c>
      <c r="ZM2" s="23">
        <v>45347</v>
      </c>
      <c r="ZN2" s="23">
        <v>45352</v>
      </c>
      <c r="ZO2" s="23">
        <v>45357</v>
      </c>
      <c r="ZP2" s="23">
        <v>45362</v>
      </c>
      <c r="ZQ2" s="23">
        <v>45371</v>
      </c>
      <c r="ZR2" s="23">
        <v>45378</v>
      </c>
      <c r="ZS2" s="23">
        <v>45381</v>
      </c>
      <c r="ZT2" s="23">
        <v>45382</v>
      </c>
      <c r="ZU2" s="23">
        <v>45390</v>
      </c>
      <c r="ZV2" s="23">
        <v>45393</v>
      </c>
      <c r="ZW2" s="23">
        <v>45405</v>
      </c>
      <c r="ZX2" s="23">
        <v>45409</v>
      </c>
      <c r="ZY2" s="23">
        <v>45410</v>
      </c>
      <c r="ZZ2" s="23">
        <v>45415</v>
      </c>
      <c r="AAA2" s="23">
        <v>45422</v>
      </c>
      <c r="AAB2" s="23">
        <v>45429</v>
      </c>
      <c r="AAC2" s="23">
        <v>45429</v>
      </c>
      <c r="AAD2" s="23">
        <v>45433</v>
      </c>
      <c r="AAE2" s="23">
        <v>45434</v>
      </c>
      <c r="AAF2" s="23">
        <v>45439</v>
      </c>
      <c r="AAG2" s="23">
        <v>45447</v>
      </c>
      <c r="AAH2" s="23">
        <v>45453</v>
      </c>
      <c r="AAI2" s="23">
        <v>45456</v>
      </c>
      <c r="AAJ2" s="23">
        <v>45455</v>
      </c>
      <c r="AAK2" s="23">
        <v>45456</v>
      </c>
      <c r="AAL2" s="23">
        <v>45457</v>
      </c>
      <c r="AAM2" s="23">
        <v>45459</v>
      </c>
      <c r="AAN2" s="23">
        <v>45467</v>
      </c>
      <c r="AAO2" s="23">
        <v>45475</v>
      </c>
      <c r="AAP2" s="23">
        <v>45475</v>
      </c>
      <c r="AAQ2" s="23">
        <v>45479</v>
      </c>
      <c r="AAR2" s="23">
        <v>45485</v>
      </c>
      <c r="AAS2" s="23">
        <v>45487</v>
      </c>
      <c r="AAT2" s="23">
        <v>45491</v>
      </c>
      <c r="AAU2" s="23">
        <v>45491</v>
      </c>
      <c r="AAV2" s="23">
        <v>45493</v>
      </c>
      <c r="AAW2" s="23">
        <v>45505</v>
      </c>
      <c r="AAX2" s="23">
        <v>45506</v>
      </c>
      <c r="AAY2" s="23">
        <v>45510</v>
      </c>
      <c r="AAZ2" s="23">
        <v>45511</v>
      </c>
      <c r="ABA2" s="23">
        <v>45514</v>
      </c>
      <c r="ABB2" s="23">
        <v>45517</v>
      </c>
      <c r="ABC2" s="23">
        <v>45539</v>
      </c>
      <c r="ABD2" s="23">
        <v>45543</v>
      </c>
      <c r="ABE2" s="23">
        <v>45546</v>
      </c>
      <c r="ABF2" s="23">
        <v>45547</v>
      </c>
      <c r="ABG2" s="23">
        <v>45551</v>
      </c>
      <c r="ABH2" s="23">
        <v>45553</v>
      </c>
      <c r="ABI2" s="23">
        <v>45553</v>
      </c>
      <c r="ABJ2" s="23">
        <v>45556</v>
      </c>
      <c r="ABK2" s="23">
        <v>45557</v>
      </c>
      <c r="ABL2" s="23">
        <v>45566</v>
      </c>
      <c r="ABM2" s="23">
        <v>45567</v>
      </c>
      <c r="ABN2" s="23">
        <v>45570</v>
      </c>
      <c r="ABO2" s="23">
        <v>45580</v>
      </c>
      <c r="ABP2" s="23">
        <v>45584</v>
      </c>
      <c r="ABQ2" s="23">
        <v>45586</v>
      </c>
      <c r="ABR2" s="23">
        <v>45588</v>
      </c>
      <c r="ABS2" s="23">
        <v>45609</v>
      </c>
      <c r="ABT2" s="23">
        <v>45609</v>
      </c>
      <c r="ABU2" s="23">
        <v>45615</v>
      </c>
      <c r="ABV2" s="23">
        <v>45616</v>
      </c>
      <c r="ABW2" s="23">
        <v>45624</v>
      </c>
      <c r="ABX2" s="23">
        <v>45639</v>
      </c>
      <c r="ABY2" s="23">
        <v>45654</v>
      </c>
      <c r="ABZ2" s="23">
        <v>45654</v>
      </c>
      <c r="ACA2" s="23">
        <v>45655</v>
      </c>
      <c r="ACB2" s="23">
        <v>45655</v>
      </c>
      <c r="ACC2" s="23">
        <v>45656</v>
      </c>
      <c r="ACD2" s="23">
        <v>45657</v>
      </c>
      <c r="ACE2" s="23">
        <v>45171</v>
      </c>
      <c r="ACF2" s="23">
        <v>44606</v>
      </c>
      <c r="ACG2" s="23">
        <v>44575</v>
      </c>
      <c r="ACH2" s="23">
        <v>44575</v>
      </c>
      <c r="ACI2" s="23">
        <v>44580</v>
      </c>
      <c r="ACJ2" s="23">
        <v>44584</v>
      </c>
      <c r="ACK2" s="23">
        <v>44598</v>
      </c>
      <c r="ACL2" s="23">
        <v>44599</v>
      </c>
      <c r="ACM2" s="23">
        <v>44608</v>
      </c>
      <c r="ACN2" s="23">
        <v>44615</v>
      </c>
      <c r="ACO2" s="23">
        <v>44616</v>
      </c>
      <c r="ACP2" s="23">
        <v>44618</v>
      </c>
      <c r="ACQ2" s="23">
        <v>44620</v>
      </c>
      <c r="ACR2" s="23">
        <v>44626</v>
      </c>
      <c r="ACS2" s="23">
        <v>44629</v>
      </c>
      <c r="ACT2" s="23">
        <v>44644</v>
      </c>
      <c r="ACU2" s="23">
        <v>44647</v>
      </c>
      <c r="ACV2" s="23">
        <v>44650</v>
      </c>
      <c r="ACW2" s="23">
        <v>44650</v>
      </c>
      <c r="ACX2" s="23">
        <v>44651</v>
      </c>
      <c r="ACY2" s="23">
        <v>44655</v>
      </c>
      <c r="ACZ2" s="23">
        <v>44659</v>
      </c>
      <c r="ADA2" s="23">
        <v>44668</v>
      </c>
      <c r="ADB2" s="23">
        <v>44670</v>
      </c>
      <c r="ADC2" s="23">
        <v>44670</v>
      </c>
      <c r="ADD2" s="23">
        <v>44670</v>
      </c>
      <c r="ADE2" s="23">
        <v>44671</v>
      </c>
      <c r="ADF2" s="23">
        <v>44673</v>
      </c>
      <c r="ADG2" s="23">
        <v>44674</v>
      </c>
      <c r="ADH2" s="23">
        <v>44679</v>
      </c>
      <c r="ADI2" s="23">
        <v>44686</v>
      </c>
      <c r="ADJ2" s="23">
        <v>44688</v>
      </c>
      <c r="ADK2" s="23">
        <v>44691</v>
      </c>
      <c r="ADL2" s="23">
        <v>44693</v>
      </c>
      <c r="ADM2" s="23">
        <v>44699</v>
      </c>
      <c r="ADN2" s="23">
        <v>44713</v>
      </c>
      <c r="ADO2" s="23">
        <v>44715</v>
      </c>
      <c r="ADP2" s="23">
        <v>44717</v>
      </c>
      <c r="ADQ2" s="23">
        <v>44719</v>
      </c>
      <c r="ADR2" s="23">
        <v>44721</v>
      </c>
      <c r="ADS2" s="23">
        <v>44721</v>
      </c>
      <c r="ADT2" s="23">
        <v>44728</v>
      </c>
      <c r="ADU2" s="23">
        <v>44731</v>
      </c>
      <c r="ADV2" s="23">
        <v>44736</v>
      </c>
      <c r="ADW2" s="23">
        <v>44738</v>
      </c>
      <c r="ADX2" s="23">
        <v>44739</v>
      </c>
      <c r="ADY2" s="23">
        <v>44744</v>
      </c>
      <c r="ADZ2" s="23">
        <v>44746</v>
      </c>
      <c r="AEA2" s="23">
        <v>44752</v>
      </c>
      <c r="AEB2" s="23">
        <v>44753</v>
      </c>
      <c r="AEC2" s="23">
        <v>44755</v>
      </c>
      <c r="AED2" s="23">
        <v>44757</v>
      </c>
      <c r="AEE2" s="23">
        <v>44760</v>
      </c>
      <c r="AEF2" s="23">
        <v>44759</v>
      </c>
      <c r="AEG2" s="23">
        <v>44762</v>
      </c>
      <c r="AEH2" s="23">
        <v>44762</v>
      </c>
      <c r="AEI2" s="23">
        <v>44767</v>
      </c>
      <c r="AEJ2" s="23">
        <v>44774</v>
      </c>
      <c r="AEK2" s="23">
        <v>44784</v>
      </c>
      <c r="AEL2" s="23">
        <v>44790</v>
      </c>
      <c r="AEM2" s="23">
        <v>44791</v>
      </c>
      <c r="AEN2" s="23">
        <v>44793</v>
      </c>
      <c r="AEO2" s="23">
        <v>44798</v>
      </c>
      <c r="AEP2" s="23">
        <v>44804</v>
      </c>
      <c r="AEQ2" s="23">
        <v>44822</v>
      </c>
      <c r="AER2" s="23">
        <v>44822</v>
      </c>
      <c r="AES2" s="23">
        <v>44825</v>
      </c>
      <c r="AET2" s="23">
        <v>44826</v>
      </c>
      <c r="AEU2" s="23">
        <v>44833</v>
      </c>
      <c r="AEV2" s="23">
        <v>44848</v>
      </c>
      <c r="AEW2" s="23">
        <v>44849</v>
      </c>
      <c r="AEX2" s="23">
        <v>44851</v>
      </c>
      <c r="AEY2" s="23">
        <v>44851</v>
      </c>
      <c r="AEZ2" s="23">
        <v>44854</v>
      </c>
      <c r="AFA2" s="23">
        <v>44859</v>
      </c>
      <c r="AFB2" s="23">
        <v>44861</v>
      </c>
      <c r="AFC2" s="23">
        <v>44871</v>
      </c>
      <c r="AFD2" s="23">
        <v>44874</v>
      </c>
      <c r="AFE2" s="23">
        <v>44881</v>
      </c>
      <c r="AFF2" s="23">
        <v>44886</v>
      </c>
      <c r="AFG2" s="23">
        <v>44898</v>
      </c>
      <c r="AFH2" s="23">
        <v>44902</v>
      </c>
      <c r="AFI2" s="23">
        <v>44909</v>
      </c>
      <c r="AFJ2" s="23">
        <v>44911</v>
      </c>
      <c r="AFK2" s="23">
        <v>44913</v>
      </c>
      <c r="AFL2" s="23">
        <v>44918</v>
      </c>
      <c r="AFM2" s="23">
        <v>44924</v>
      </c>
      <c r="AFN2" s="23">
        <v>44925</v>
      </c>
      <c r="AFO2" s="23">
        <v>44930</v>
      </c>
      <c r="AFP2" s="23">
        <v>44943</v>
      </c>
      <c r="AFQ2" s="23">
        <v>44951</v>
      </c>
      <c r="AFR2" s="23">
        <v>44952</v>
      </c>
      <c r="AFS2" s="23">
        <v>44954</v>
      </c>
      <c r="AFT2" s="23">
        <v>44959</v>
      </c>
      <c r="AFU2" s="23">
        <v>44956</v>
      </c>
      <c r="AFV2" s="23">
        <v>44956</v>
      </c>
      <c r="AFW2" s="23">
        <v>44968</v>
      </c>
      <c r="AFX2" s="23">
        <v>44977</v>
      </c>
      <c r="AFY2" s="23">
        <v>44978</v>
      </c>
      <c r="AFZ2" s="23">
        <v>44979</v>
      </c>
      <c r="AGA2" s="23">
        <v>44981</v>
      </c>
      <c r="AGB2" s="23">
        <v>44988</v>
      </c>
      <c r="AGC2" s="23">
        <v>44988</v>
      </c>
      <c r="AGD2" s="23">
        <v>44991</v>
      </c>
      <c r="AGE2" s="23">
        <v>45007</v>
      </c>
      <c r="AGF2" s="23">
        <v>45008</v>
      </c>
      <c r="AGG2" s="23">
        <v>45010</v>
      </c>
      <c r="AGH2" s="23">
        <v>45009</v>
      </c>
      <c r="AGI2" s="23">
        <v>45015</v>
      </c>
      <c r="AGJ2" s="23">
        <v>45018</v>
      </c>
      <c r="AGK2" s="23">
        <v>45019</v>
      </c>
      <c r="AGL2" s="23">
        <v>45024</v>
      </c>
      <c r="AGM2" s="23">
        <v>45027</v>
      </c>
      <c r="AGN2" s="23">
        <v>45033</v>
      </c>
      <c r="AGO2" s="23">
        <v>45045</v>
      </c>
      <c r="AGP2" s="23">
        <v>45050</v>
      </c>
      <c r="AGQ2" s="23">
        <v>45051</v>
      </c>
      <c r="AGR2" s="23">
        <v>45054</v>
      </c>
      <c r="AGS2" s="23">
        <v>45060</v>
      </c>
      <c r="AGT2" s="23">
        <v>45062</v>
      </c>
      <c r="AGU2" s="23">
        <v>45063</v>
      </c>
      <c r="AGV2" s="23">
        <v>45070</v>
      </c>
      <c r="AGW2" s="23">
        <v>45077</v>
      </c>
      <c r="AGX2" s="23">
        <v>45084</v>
      </c>
      <c r="AGY2" s="23">
        <v>45095</v>
      </c>
      <c r="AGZ2" s="23">
        <v>45097</v>
      </c>
      <c r="AHA2" s="23">
        <v>45105</v>
      </c>
      <c r="AHB2" s="23">
        <v>45125</v>
      </c>
      <c r="AHC2" s="23">
        <v>45127</v>
      </c>
      <c r="AHD2" s="23">
        <v>45139</v>
      </c>
      <c r="AHE2" s="23">
        <v>45140</v>
      </c>
      <c r="AHF2" s="23">
        <v>45145</v>
      </c>
      <c r="AHG2" s="23">
        <v>45145</v>
      </c>
      <c r="AHH2" s="23">
        <v>45164</v>
      </c>
      <c r="AHI2" s="23">
        <v>45198</v>
      </c>
      <c r="AHJ2" s="23">
        <v>45199</v>
      </c>
      <c r="AHK2" s="23">
        <v>45199</v>
      </c>
      <c r="AHL2" s="23">
        <v>45216</v>
      </c>
      <c r="AHM2" s="23">
        <v>45216</v>
      </c>
      <c r="AHN2" s="23">
        <v>45221</v>
      </c>
      <c r="AHO2" s="23">
        <v>45223</v>
      </c>
      <c r="AHP2" s="23">
        <v>45226</v>
      </c>
      <c r="AHQ2" s="23">
        <v>45227</v>
      </c>
      <c r="AHR2" s="23">
        <v>45228</v>
      </c>
      <c r="AHS2" s="23">
        <v>45232</v>
      </c>
      <c r="AHT2" s="23">
        <v>45238</v>
      </c>
      <c r="AHU2" s="23">
        <v>45240</v>
      </c>
      <c r="AHV2" s="23">
        <v>45246</v>
      </c>
      <c r="AHW2" s="23">
        <v>45253</v>
      </c>
      <c r="AHX2" s="23">
        <v>45253</v>
      </c>
      <c r="AHY2" s="23">
        <v>45261</v>
      </c>
      <c r="AHZ2" s="23">
        <v>45268</v>
      </c>
      <c r="AIA2" s="23">
        <v>45273</v>
      </c>
      <c r="AIB2" s="23">
        <v>45274</v>
      </c>
      <c r="AIC2" s="23">
        <v>45274</v>
      </c>
      <c r="AID2" s="23">
        <v>45278</v>
      </c>
      <c r="AIE2" s="23">
        <v>45285</v>
      </c>
      <c r="AIF2" s="23">
        <v>45292</v>
      </c>
      <c r="AIG2" s="23">
        <v>45307</v>
      </c>
      <c r="AIH2" s="23">
        <v>45313</v>
      </c>
      <c r="AII2" s="23">
        <v>45318</v>
      </c>
      <c r="AIJ2" s="23">
        <v>45322</v>
      </c>
      <c r="AIK2" s="23">
        <v>45327</v>
      </c>
      <c r="AIL2" s="23">
        <v>45327</v>
      </c>
      <c r="AIM2" s="23">
        <v>45338</v>
      </c>
      <c r="AIN2" s="23">
        <v>45340</v>
      </c>
      <c r="AIO2" s="23">
        <v>45341</v>
      </c>
      <c r="AIP2" s="23">
        <v>45341</v>
      </c>
      <c r="AIQ2" s="23">
        <v>45345</v>
      </c>
      <c r="AIR2" s="23">
        <v>45348</v>
      </c>
      <c r="AIS2" s="23">
        <v>45357</v>
      </c>
      <c r="AIT2" s="23">
        <v>45360</v>
      </c>
      <c r="AIU2" s="23">
        <v>45362</v>
      </c>
      <c r="AIV2" s="23">
        <v>45361</v>
      </c>
      <c r="AIW2" s="23">
        <v>45363</v>
      </c>
      <c r="AIX2" s="23">
        <v>45599</v>
      </c>
      <c r="AIY2" s="23">
        <v>45369</v>
      </c>
      <c r="AIZ2" s="23">
        <v>45370</v>
      </c>
      <c r="AJA2" s="23">
        <v>45370</v>
      </c>
      <c r="AJB2" s="23">
        <v>45376</v>
      </c>
      <c r="AJC2" s="23">
        <v>45377</v>
      </c>
      <c r="AJD2" s="23">
        <v>45377</v>
      </c>
      <c r="AJE2" s="23">
        <v>45382</v>
      </c>
      <c r="AJF2" s="23">
        <v>45383</v>
      </c>
      <c r="AJG2" s="23">
        <v>45384</v>
      </c>
      <c r="AJH2" s="23">
        <v>45383</v>
      </c>
      <c r="AJI2" s="23">
        <v>45391</v>
      </c>
      <c r="AJJ2" s="23">
        <v>45393</v>
      </c>
      <c r="AJK2" s="23">
        <v>45398</v>
      </c>
      <c r="AJL2" s="23">
        <v>45401</v>
      </c>
      <c r="AJM2" s="23">
        <v>45403</v>
      </c>
      <c r="AJN2" s="23">
        <v>45406</v>
      </c>
      <c r="AJO2" s="23">
        <v>45410</v>
      </c>
      <c r="AJP2" s="23">
        <v>45421</v>
      </c>
      <c r="AJQ2" s="23">
        <v>45422</v>
      </c>
      <c r="AJR2" s="23">
        <v>45428</v>
      </c>
      <c r="AJS2" s="23">
        <v>45431</v>
      </c>
      <c r="AJT2" s="23">
        <v>45432</v>
      </c>
      <c r="AJU2" s="23">
        <v>45434</v>
      </c>
      <c r="AJV2" s="23">
        <v>45438</v>
      </c>
      <c r="AJW2" s="23">
        <v>45441</v>
      </c>
      <c r="AJX2" s="23">
        <v>45444</v>
      </c>
      <c r="AJY2" s="23">
        <v>45446</v>
      </c>
      <c r="AJZ2" s="23">
        <v>45450</v>
      </c>
      <c r="AKA2" s="23">
        <v>45452</v>
      </c>
      <c r="AKB2" s="23">
        <v>45468</v>
      </c>
      <c r="AKC2" s="23">
        <v>45475</v>
      </c>
      <c r="AKD2" s="23">
        <v>45478</v>
      </c>
      <c r="AKE2" s="23">
        <v>45482</v>
      </c>
      <c r="AKF2" s="23">
        <v>45484</v>
      </c>
      <c r="AKG2" s="23">
        <v>45485</v>
      </c>
      <c r="AKH2" s="23">
        <v>45485</v>
      </c>
      <c r="AKI2" s="23">
        <v>45488</v>
      </c>
      <c r="AKJ2" s="23">
        <v>45488</v>
      </c>
      <c r="AKK2" s="23">
        <v>45489</v>
      </c>
      <c r="AKL2" s="23">
        <v>45491</v>
      </c>
      <c r="AKM2" s="23">
        <v>45500</v>
      </c>
      <c r="AKN2" s="23">
        <v>45501</v>
      </c>
      <c r="AKO2" s="23">
        <v>45503</v>
      </c>
      <c r="AKP2" s="23">
        <v>45503</v>
      </c>
      <c r="AKQ2" s="23">
        <v>45506</v>
      </c>
      <c r="AKR2" s="23">
        <v>45505</v>
      </c>
      <c r="AKS2" s="23">
        <v>45514</v>
      </c>
      <c r="AKT2" s="23">
        <v>45521</v>
      </c>
      <c r="AKU2" s="23">
        <v>45528</v>
      </c>
      <c r="AKV2" s="23">
        <v>45532</v>
      </c>
      <c r="AKW2" s="23">
        <v>45532</v>
      </c>
      <c r="AKX2" s="23">
        <v>45537</v>
      </c>
      <c r="AKY2" s="23">
        <v>45539</v>
      </c>
      <c r="AKZ2" s="23">
        <v>45542</v>
      </c>
      <c r="ALA2" s="23">
        <v>45546</v>
      </c>
      <c r="ALB2" s="23">
        <v>45550</v>
      </c>
      <c r="ALC2" s="23">
        <v>45555</v>
      </c>
      <c r="ALD2" s="23">
        <v>45558</v>
      </c>
      <c r="ALE2" s="23">
        <v>45563</v>
      </c>
      <c r="ALF2" s="23">
        <v>45564</v>
      </c>
      <c r="ALG2" s="23">
        <v>45563</v>
      </c>
      <c r="ALH2" s="23">
        <v>45567</v>
      </c>
      <c r="ALI2" s="23">
        <v>45332</v>
      </c>
      <c r="ALJ2" s="23">
        <v>45570</v>
      </c>
      <c r="ALK2" s="23">
        <v>45576</v>
      </c>
      <c r="ALL2" s="23">
        <v>45590</v>
      </c>
      <c r="ALM2" s="23">
        <v>45594</v>
      </c>
      <c r="ALN2" s="23">
        <v>45597</v>
      </c>
      <c r="ALO2" s="23">
        <v>45611</v>
      </c>
      <c r="ALP2" s="23">
        <v>45614</v>
      </c>
      <c r="ALQ2" s="23">
        <v>45615</v>
      </c>
      <c r="ALR2" s="23">
        <v>45626</v>
      </c>
      <c r="ALS2" s="23">
        <v>45635</v>
      </c>
      <c r="ALT2" s="23">
        <v>45635</v>
      </c>
      <c r="ALU2" s="23">
        <v>45647</v>
      </c>
      <c r="ALV2" s="23">
        <v>45657</v>
      </c>
    </row>
    <row r="3" spans="1:1010" x14ac:dyDescent="0.25">
      <c r="A3" s="13" t="s">
        <v>2</v>
      </c>
      <c r="B3" s="23">
        <v>44567</v>
      </c>
      <c r="C3" s="23">
        <v>44581</v>
      </c>
      <c r="D3" s="23">
        <v>44590</v>
      </c>
      <c r="E3" s="23">
        <v>44613</v>
      </c>
      <c r="F3" s="23">
        <v>44615</v>
      </c>
      <c r="G3" s="23">
        <v>44616</v>
      </c>
      <c r="H3" s="23">
        <v>44629</v>
      </c>
      <c r="I3" s="23">
        <v>44631</v>
      </c>
      <c r="J3" s="23">
        <v>44643</v>
      </c>
      <c r="K3" s="23">
        <v>44649</v>
      </c>
      <c r="L3" s="23">
        <v>44657</v>
      </c>
      <c r="M3" s="23">
        <v>44661</v>
      </c>
      <c r="N3" s="23">
        <v>44665</v>
      </c>
      <c r="O3" s="23">
        <v>44665</v>
      </c>
      <c r="P3" s="23">
        <v>44666</v>
      </c>
      <c r="Q3" s="23">
        <v>44675</v>
      </c>
      <c r="R3" s="23">
        <v>44676</v>
      </c>
      <c r="S3" s="23">
        <v>44690</v>
      </c>
      <c r="T3" s="23">
        <v>44691</v>
      </c>
      <c r="U3" s="23">
        <v>44691</v>
      </c>
      <c r="V3" s="23">
        <v>44692</v>
      </c>
      <c r="W3" s="23">
        <v>44693</v>
      </c>
      <c r="X3" s="23">
        <v>44694</v>
      </c>
      <c r="Y3" s="23">
        <v>44701</v>
      </c>
      <c r="Z3" s="23">
        <v>44704</v>
      </c>
      <c r="AA3" s="23">
        <v>44708</v>
      </c>
      <c r="AB3" s="23">
        <v>44713</v>
      </c>
      <c r="AC3" s="23">
        <v>44713</v>
      </c>
      <c r="AD3" s="23">
        <v>44714</v>
      </c>
      <c r="AE3" s="23">
        <v>44715</v>
      </c>
      <c r="AF3" s="23">
        <v>44730</v>
      </c>
      <c r="AG3" s="23">
        <v>44730</v>
      </c>
      <c r="AH3" s="23">
        <v>44730</v>
      </c>
      <c r="AI3" s="23">
        <v>44735</v>
      </c>
      <c r="AJ3" s="23">
        <v>44736</v>
      </c>
      <c r="AK3" s="23">
        <v>44736</v>
      </c>
      <c r="AL3" s="23">
        <v>44741</v>
      </c>
      <c r="AM3" s="23">
        <v>44754</v>
      </c>
      <c r="AN3" s="23">
        <v>44755</v>
      </c>
      <c r="AO3" s="23">
        <v>44760</v>
      </c>
      <c r="AP3" s="23">
        <v>44761</v>
      </c>
      <c r="AQ3" s="23">
        <v>44767</v>
      </c>
      <c r="AR3" s="23">
        <v>44773</v>
      </c>
      <c r="AS3" s="23">
        <v>44776</v>
      </c>
      <c r="AT3" s="23">
        <v>44778</v>
      </c>
      <c r="AU3" s="23">
        <v>44780</v>
      </c>
      <c r="AV3" s="23">
        <v>44780</v>
      </c>
      <c r="AW3" s="23">
        <v>44796</v>
      </c>
      <c r="AX3" s="23">
        <v>44797</v>
      </c>
      <c r="AY3" s="23">
        <v>44797</v>
      </c>
      <c r="AZ3" s="23">
        <v>44798</v>
      </c>
      <c r="BA3" s="23">
        <v>44804</v>
      </c>
      <c r="BB3" s="23">
        <v>44805</v>
      </c>
      <c r="BC3" s="23">
        <v>44805</v>
      </c>
      <c r="BD3" s="23">
        <v>44809</v>
      </c>
      <c r="BE3" s="23">
        <v>44815</v>
      </c>
      <c r="BF3" s="23">
        <v>44826</v>
      </c>
      <c r="BG3" s="23">
        <v>44827</v>
      </c>
      <c r="BH3" s="23">
        <v>44829</v>
      </c>
      <c r="BI3" s="23">
        <v>44837</v>
      </c>
      <c r="BJ3" s="23">
        <v>44837</v>
      </c>
      <c r="BK3" s="23">
        <v>44842</v>
      </c>
      <c r="BL3" s="23">
        <v>44848</v>
      </c>
      <c r="BM3" s="23">
        <v>44856</v>
      </c>
      <c r="BN3" s="23">
        <v>44857</v>
      </c>
      <c r="BO3" s="23">
        <v>44860</v>
      </c>
      <c r="BP3" s="23">
        <v>44872</v>
      </c>
      <c r="BQ3" s="23">
        <v>44877</v>
      </c>
      <c r="BR3" s="23">
        <v>44884</v>
      </c>
      <c r="BS3" s="23">
        <v>44889</v>
      </c>
      <c r="BT3" s="23">
        <v>44890</v>
      </c>
      <c r="BU3" s="23">
        <v>44897</v>
      </c>
      <c r="BV3" s="23">
        <v>44901</v>
      </c>
      <c r="BW3" s="23">
        <v>44904</v>
      </c>
      <c r="BX3" s="23">
        <v>44909</v>
      </c>
      <c r="BY3" s="23">
        <v>44923</v>
      </c>
      <c r="BZ3" s="23">
        <v>44933</v>
      </c>
      <c r="CA3" s="23">
        <v>44936</v>
      </c>
      <c r="CB3" s="23">
        <v>44938</v>
      </c>
      <c r="CC3" s="23">
        <v>44946</v>
      </c>
      <c r="CD3" s="23">
        <v>44949</v>
      </c>
      <c r="CE3" s="23">
        <v>44952</v>
      </c>
      <c r="CF3" s="23">
        <v>44954</v>
      </c>
      <c r="CG3" s="23">
        <v>44964</v>
      </c>
      <c r="CH3" s="23">
        <v>44970</v>
      </c>
      <c r="CI3" s="23">
        <v>44973</v>
      </c>
      <c r="CJ3" s="23">
        <v>44977</v>
      </c>
      <c r="CK3" s="23">
        <v>44977</v>
      </c>
      <c r="CL3" s="23">
        <v>44989</v>
      </c>
      <c r="CM3" s="23">
        <v>44991</v>
      </c>
      <c r="CN3" s="23">
        <v>44992</v>
      </c>
      <c r="CO3" s="23">
        <v>44993</v>
      </c>
      <c r="CP3" s="23">
        <v>45001</v>
      </c>
      <c r="CQ3" s="23">
        <v>45001</v>
      </c>
      <c r="CR3" s="23">
        <v>45006</v>
      </c>
      <c r="CS3" s="23">
        <v>45011</v>
      </c>
      <c r="CT3" s="23">
        <v>45021</v>
      </c>
      <c r="CU3" s="23">
        <v>45026</v>
      </c>
      <c r="CV3" s="23">
        <v>45033</v>
      </c>
      <c r="CW3" s="23">
        <v>45034</v>
      </c>
      <c r="CX3" s="23">
        <v>45035</v>
      </c>
      <c r="CY3" s="23">
        <v>45039</v>
      </c>
      <c r="CZ3" s="23">
        <v>45040</v>
      </c>
      <c r="DA3" s="23">
        <v>45043</v>
      </c>
      <c r="DB3" s="23">
        <v>45043</v>
      </c>
      <c r="DC3" s="23">
        <v>45051</v>
      </c>
      <c r="DD3" s="23">
        <v>45057</v>
      </c>
      <c r="DE3" s="23">
        <v>45061</v>
      </c>
      <c r="DF3" s="23">
        <v>45064</v>
      </c>
      <c r="DG3" s="23">
        <v>45074</v>
      </c>
      <c r="DH3" s="23">
        <v>45074</v>
      </c>
      <c r="DI3" s="23">
        <v>45080</v>
      </c>
      <c r="DJ3" s="23">
        <v>45102</v>
      </c>
      <c r="DK3" s="23">
        <v>45104</v>
      </c>
      <c r="DL3" s="23">
        <v>45104</v>
      </c>
      <c r="DM3" s="23">
        <v>45109</v>
      </c>
      <c r="DN3" s="23">
        <v>45110</v>
      </c>
      <c r="DO3" s="23">
        <v>45119</v>
      </c>
      <c r="DP3" s="23">
        <v>45126</v>
      </c>
      <c r="DQ3" s="23">
        <v>45130</v>
      </c>
      <c r="DR3" s="23">
        <v>45130</v>
      </c>
      <c r="DS3" s="23">
        <v>45130</v>
      </c>
      <c r="DT3" s="23">
        <v>45131</v>
      </c>
      <c r="DU3" s="23">
        <v>45131</v>
      </c>
      <c r="DV3" s="23">
        <v>45135</v>
      </c>
      <c r="DW3" s="23">
        <v>45138</v>
      </c>
      <c r="DX3" s="23">
        <v>45138</v>
      </c>
      <c r="DY3" s="23">
        <v>45139</v>
      </c>
      <c r="DZ3" s="23">
        <v>45140</v>
      </c>
      <c r="EA3" s="23">
        <v>45141</v>
      </c>
      <c r="EB3" s="23">
        <v>45141</v>
      </c>
      <c r="EC3" s="23">
        <v>45152</v>
      </c>
      <c r="ED3" s="23">
        <v>45154</v>
      </c>
      <c r="EE3" s="23">
        <v>45158</v>
      </c>
      <c r="EF3" s="23">
        <v>45161</v>
      </c>
      <c r="EG3" s="23">
        <v>45162</v>
      </c>
      <c r="EH3" s="23">
        <v>45170</v>
      </c>
      <c r="EI3" s="23">
        <v>45172</v>
      </c>
      <c r="EJ3" s="23">
        <v>45175</v>
      </c>
      <c r="EK3" s="23">
        <v>45178</v>
      </c>
      <c r="EL3" s="23">
        <v>45182</v>
      </c>
      <c r="EM3" s="23">
        <v>45203</v>
      </c>
      <c r="EN3" s="23">
        <v>45203</v>
      </c>
      <c r="EO3" s="23">
        <v>45205</v>
      </c>
      <c r="EP3" s="23">
        <v>45220</v>
      </c>
      <c r="EQ3" s="23">
        <v>45221</v>
      </c>
      <c r="ER3" s="23">
        <v>45221</v>
      </c>
      <c r="ES3" s="23">
        <v>45223</v>
      </c>
      <c r="ET3" s="23">
        <v>45226</v>
      </c>
      <c r="EU3" s="23">
        <v>45231</v>
      </c>
      <c r="EV3" s="23">
        <v>45233</v>
      </c>
      <c r="EW3" s="23">
        <v>45251</v>
      </c>
      <c r="EX3" s="23">
        <v>45255</v>
      </c>
      <c r="EY3" s="23">
        <v>45257</v>
      </c>
      <c r="EZ3" s="23">
        <v>45258</v>
      </c>
      <c r="FA3" s="23">
        <v>45261</v>
      </c>
      <c r="FB3" s="23">
        <v>45262</v>
      </c>
      <c r="FC3" s="23">
        <v>45265</v>
      </c>
      <c r="FD3" s="23">
        <v>45267</v>
      </c>
      <c r="FE3" s="23">
        <v>45269</v>
      </c>
      <c r="FF3" s="23">
        <v>45270</v>
      </c>
      <c r="FG3" s="23">
        <v>45281</v>
      </c>
      <c r="FH3" s="23">
        <v>45281</v>
      </c>
      <c r="FI3" s="23">
        <v>45288</v>
      </c>
      <c r="FJ3" s="23">
        <v>45313</v>
      </c>
      <c r="FK3" s="23">
        <v>45318</v>
      </c>
      <c r="FL3" s="23">
        <v>45322</v>
      </c>
      <c r="FM3" s="23">
        <v>45332</v>
      </c>
      <c r="FN3" s="23">
        <v>45338</v>
      </c>
      <c r="FO3" s="23">
        <v>45340</v>
      </c>
      <c r="FP3" s="23">
        <v>45340</v>
      </c>
      <c r="FQ3" s="23">
        <v>45347</v>
      </c>
      <c r="FR3" s="23">
        <v>45348</v>
      </c>
      <c r="FS3" s="23">
        <v>45349</v>
      </c>
      <c r="FT3" s="23">
        <v>45349</v>
      </c>
      <c r="FU3" s="23">
        <v>45350</v>
      </c>
      <c r="FV3" s="23">
        <v>45352</v>
      </c>
      <c r="FW3" s="23">
        <v>45353</v>
      </c>
      <c r="FX3" s="23">
        <v>45354</v>
      </c>
      <c r="FY3" s="23">
        <v>45355</v>
      </c>
      <c r="FZ3" s="23">
        <v>45362</v>
      </c>
      <c r="GA3" s="23">
        <v>45365</v>
      </c>
      <c r="GB3" s="23">
        <v>45370</v>
      </c>
      <c r="GC3" s="23">
        <v>45380</v>
      </c>
      <c r="GD3" s="23">
        <v>45383</v>
      </c>
      <c r="GE3" s="23">
        <v>45389</v>
      </c>
      <c r="GF3" s="23">
        <v>45393</v>
      </c>
      <c r="GG3" s="23">
        <v>45396</v>
      </c>
      <c r="GH3" s="23">
        <v>45397</v>
      </c>
      <c r="GI3" s="23">
        <v>45402</v>
      </c>
      <c r="GJ3" s="23">
        <v>45406</v>
      </c>
      <c r="GK3" s="23">
        <v>45409</v>
      </c>
      <c r="GL3" s="23">
        <v>45416</v>
      </c>
      <c r="GM3" s="23">
        <v>45419</v>
      </c>
      <c r="GN3" s="23">
        <v>45429</v>
      </c>
      <c r="GO3" s="23">
        <v>45430</v>
      </c>
      <c r="GP3" s="23">
        <v>45436</v>
      </c>
      <c r="GQ3" s="23">
        <v>45441</v>
      </c>
      <c r="GR3" s="23">
        <v>45447</v>
      </c>
      <c r="GS3" s="23">
        <v>45453</v>
      </c>
      <c r="GT3" s="23">
        <v>45453</v>
      </c>
      <c r="GU3" s="23">
        <v>45458</v>
      </c>
      <c r="GV3" s="23">
        <v>45465</v>
      </c>
      <c r="GW3" s="23">
        <v>45473</v>
      </c>
      <c r="GX3" s="23">
        <v>45474</v>
      </c>
      <c r="GY3" s="23">
        <v>45494</v>
      </c>
      <c r="GZ3" s="23">
        <v>45497</v>
      </c>
      <c r="HA3" s="23">
        <v>45498</v>
      </c>
      <c r="HB3" s="23">
        <v>45502</v>
      </c>
      <c r="HC3" s="23">
        <v>45510</v>
      </c>
      <c r="HD3" s="23">
        <v>45510</v>
      </c>
      <c r="HE3" s="23">
        <v>45512</v>
      </c>
      <c r="HF3" s="23">
        <v>45517</v>
      </c>
      <c r="HG3" s="23">
        <v>45520</v>
      </c>
      <c r="HH3" s="23">
        <v>45527</v>
      </c>
      <c r="HI3" s="23">
        <v>45530</v>
      </c>
      <c r="HJ3" s="23">
        <v>45530</v>
      </c>
      <c r="HK3" s="23">
        <v>45545</v>
      </c>
      <c r="HL3" s="23">
        <v>45545</v>
      </c>
      <c r="HM3" s="23">
        <v>45551</v>
      </c>
      <c r="HN3" s="23">
        <v>45555</v>
      </c>
      <c r="HO3" s="23">
        <v>45592</v>
      </c>
      <c r="HP3" s="23">
        <v>45605</v>
      </c>
      <c r="HQ3" s="23">
        <v>45614</v>
      </c>
      <c r="HR3" s="23">
        <v>45628</v>
      </c>
      <c r="HS3" s="23">
        <v>45628</v>
      </c>
      <c r="HT3" s="23">
        <v>45632</v>
      </c>
      <c r="HU3" s="23">
        <v>45633</v>
      </c>
      <c r="HV3" s="23">
        <v>45634</v>
      </c>
      <c r="HW3" s="23">
        <v>45634</v>
      </c>
      <c r="HX3" s="23">
        <v>45637</v>
      </c>
      <c r="HY3" s="23">
        <v>45644</v>
      </c>
      <c r="HZ3" s="23">
        <v>45648</v>
      </c>
      <c r="IA3" s="23">
        <v>45660</v>
      </c>
      <c r="IB3" s="23">
        <v>45660</v>
      </c>
      <c r="IC3" s="23">
        <v>45660</v>
      </c>
      <c r="ID3" s="23">
        <v>44565</v>
      </c>
      <c r="IE3" s="23">
        <v>44566</v>
      </c>
      <c r="IF3" s="23">
        <v>44568</v>
      </c>
      <c r="IG3" s="23">
        <v>44573</v>
      </c>
      <c r="IH3" s="23">
        <v>44576</v>
      </c>
      <c r="II3" s="23">
        <v>44579</v>
      </c>
      <c r="IJ3" s="23">
        <v>44584</v>
      </c>
      <c r="IK3" s="23">
        <v>44585</v>
      </c>
      <c r="IL3" s="23">
        <v>44587</v>
      </c>
      <c r="IM3" s="23">
        <v>44590</v>
      </c>
      <c r="IN3" s="23">
        <v>44596</v>
      </c>
      <c r="IO3" s="23">
        <v>44598</v>
      </c>
      <c r="IP3" s="23">
        <v>44599</v>
      </c>
      <c r="IQ3" s="23">
        <v>44609</v>
      </c>
      <c r="IR3" s="23">
        <v>44611</v>
      </c>
      <c r="IS3" s="23">
        <v>44614</v>
      </c>
      <c r="IT3" s="23">
        <v>44629</v>
      </c>
      <c r="IU3" s="23">
        <v>44642</v>
      </c>
      <c r="IV3" s="23">
        <v>44648</v>
      </c>
      <c r="IW3" s="23">
        <v>44653</v>
      </c>
      <c r="IX3" s="23">
        <v>44665</v>
      </c>
      <c r="IY3" s="23">
        <v>44670</v>
      </c>
      <c r="IZ3" s="23">
        <v>44670</v>
      </c>
      <c r="JA3" s="23">
        <v>44673</v>
      </c>
      <c r="JB3" s="23">
        <v>44675</v>
      </c>
      <c r="JC3" s="23">
        <v>44677</v>
      </c>
      <c r="JD3" s="23">
        <v>44684</v>
      </c>
      <c r="JE3" s="23">
        <v>44695</v>
      </c>
      <c r="JF3" s="23">
        <v>44703</v>
      </c>
      <c r="JG3" s="23">
        <v>44706</v>
      </c>
      <c r="JH3" s="23">
        <v>44710</v>
      </c>
      <c r="JI3" s="23">
        <v>44711</v>
      </c>
      <c r="JJ3" s="23">
        <v>44716</v>
      </c>
      <c r="JK3" s="23">
        <v>44719</v>
      </c>
      <c r="JL3" s="23">
        <v>44725</v>
      </c>
      <c r="JM3" s="23">
        <v>44737</v>
      </c>
      <c r="JN3" s="23">
        <v>44740</v>
      </c>
      <c r="JO3" s="23">
        <v>44743</v>
      </c>
      <c r="JP3" s="23">
        <v>44743</v>
      </c>
      <c r="JQ3" s="23">
        <v>44749</v>
      </c>
      <c r="JR3" s="23">
        <v>44750</v>
      </c>
      <c r="JS3" s="23">
        <v>44754</v>
      </c>
      <c r="JT3" s="23">
        <v>44755</v>
      </c>
      <c r="JU3" s="23">
        <v>44762</v>
      </c>
      <c r="JV3" s="23">
        <v>44764</v>
      </c>
      <c r="JW3" s="23">
        <v>44770</v>
      </c>
      <c r="JX3" s="23">
        <v>44774</v>
      </c>
      <c r="JY3" s="23">
        <v>44781</v>
      </c>
      <c r="JZ3" s="23">
        <v>44790</v>
      </c>
      <c r="KA3" s="23">
        <v>44792</v>
      </c>
      <c r="KB3" s="23">
        <v>44799</v>
      </c>
      <c r="KC3" s="23">
        <v>44807</v>
      </c>
      <c r="KD3" s="23">
        <v>44807</v>
      </c>
      <c r="KE3" s="23">
        <v>44809</v>
      </c>
      <c r="KF3" s="23">
        <v>44816</v>
      </c>
      <c r="KG3" s="23">
        <v>44826</v>
      </c>
      <c r="KH3" s="23">
        <v>44830</v>
      </c>
      <c r="KI3" s="23">
        <v>44833</v>
      </c>
      <c r="KJ3" s="23">
        <v>44841</v>
      </c>
      <c r="KK3" s="23">
        <v>44843</v>
      </c>
      <c r="KL3" s="23">
        <v>44850</v>
      </c>
      <c r="KM3" s="23">
        <v>44850</v>
      </c>
      <c r="KN3" s="23">
        <v>44855</v>
      </c>
      <c r="KO3" s="23">
        <v>44863</v>
      </c>
      <c r="KP3" s="23">
        <v>44865</v>
      </c>
      <c r="KQ3" s="23">
        <v>44866</v>
      </c>
      <c r="KR3" s="23">
        <v>44867</v>
      </c>
      <c r="KS3" s="23">
        <v>44868</v>
      </c>
      <c r="KT3" s="23">
        <v>44873</v>
      </c>
      <c r="KU3" s="23">
        <v>44875</v>
      </c>
      <c r="KV3" s="23">
        <v>44881</v>
      </c>
      <c r="KW3" s="23">
        <v>44893</v>
      </c>
      <c r="KX3" s="23">
        <v>44894</v>
      </c>
      <c r="KY3" s="23">
        <v>44895</v>
      </c>
      <c r="KZ3" s="23">
        <v>44900</v>
      </c>
      <c r="LA3" s="23">
        <v>44916</v>
      </c>
      <c r="LB3" s="23">
        <v>44921</v>
      </c>
      <c r="LC3" s="23">
        <v>44921</v>
      </c>
      <c r="LD3" s="23">
        <v>44923</v>
      </c>
      <c r="LE3" s="23">
        <v>44925</v>
      </c>
      <c r="LF3" s="23">
        <v>44936</v>
      </c>
      <c r="LG3" s="23">
        <v>44942</v>
      </c>
      <c r="LH3" s="23">
        <v>44943</v>
      </c>
      <c r="LI3" s="23">
        <v>44945</v>
      </c>
      <c r="LJ3" s="23">
        <v>44946</v>
      </c>
      <c r="LK3" s="23">
        <v>44946</v>
      </c>
      <c r="LL3" s="23">
        <v>44949</v>
      </c>
      <c r="LM3" s="23">
        <v>44956</v>
      </c>
      <c r="LN3" s="23">
        <v>44962</v>
      </c>
      <c r="LO3" s="23">
        <v>44964</v>
      </c>
      <c r="LP3" s="23">
        <v>44966</v>
      </c>
      <c r="LQ3" s="23">
        <v>44966</v>
      </c>
      <c r="LR3" s="23">
        <v>44972</v>
      </c>
      <c r="LS3" s="23">
        <v>44973</v>
      </c>
      <c r="LT3" s="23">
        <v>44975</v>
      </c>
      <c r="LU3" s="23">
        <v>44976</v>
      </c>
      <c r="LV3" s="23">
        <v>44976</v>
      </c>
      <c r="LW3" s="23">
        <v>44977</v>
      </c>
      <c r="LX3" s="23">
        <v>44983</v>
      </c>
      <c r="LY3" s="23">
        <v>44984</v>
      </c>
      <c r="LZ3" s="23">
        <v>44986</v>
      </c>
      <c r="MA3" s="23">
        <v>44987</v>
      </c>
      <c r="MB3" s="23">
        <v>44988</v>
      </c>
      <c r="MC3" s="23">
        <v>44991</v>
      </c>
      <c r="MD3" s="23">
        <v>44995</v>
      </c>
      <c r="ME3" s="23">
        <v>45007</v>
      </c>
      <c r="MF3" s="23">
        <v>45009</v>
      </c>
      <c r="MG3" s="23">
        <v>45013</v>
      </c>
      <c r="MH3" s="23">
        <v>45015</v>
      </c>
      <c r="MI3" s="23">
        <v>45020</v>
      </c>
      <c r="MJ3" s="23">
        <v>45023</v>
      </c>
      <c r="MK3" s="23">
        <v>45029</v>
      </c>
      <c r="ML3" s="23">
        <v>45030</v>
      </c>
      <c r="MM3" s="23">
        <v>45034</v>
      </c>
      <c r="MN3" s="23">
        <v>45045</v>
      </c>
      <c r="MO3" s="23">
        <v>45049</v>
      </c>
      <c r="MP3" s="23">
        <v>45059</v>
      </c>
      <c r="MQ3" s="23">
        <v>45059</v>
      </c>
      <c r="MR3" s="23">
        <v>45061</v>
      </c>
      <c r="MS3" s="23">
        <v>45070</v>
      </c>
      <c r="MT3" s="23">
        <v>45075</v>
      </c>
      <c r="MU3" s="23">
        <v>45075</v>
      </c>
      <c r="MV3" s="23">
        <v>45084</v>
      </c>
      <c r="MW3" s="23">
        <v>45085</v>
      </c>
      <c r="MX3" s="23">
        <v>45086</v>
      </c>
      <c r="MY3" s="23">
        <v>45094</v>
      </c>
      <c r="MZ3" s="23">
        <v>45095</v>
      </c>
      <c r="NA3" s="23">
        <v>45098</v>
      </c>
      <c r="NB3" s="23">
        <v>45099</v>
      </c>
      <c r="NC3" s="23">
        <v>45101</v>
      </c>
      <c r="ND3" s="23">
        <v>45101</v>
      </c>
      <c r="NE3" s="23">
        <v>45103</v>
      </c>
      <c r="NF3" s="23">
        <v>45103</v>
      </c>
      <c r="NG3" s="23">
        <v>45103</v>
      </c>
      <c r="NH3" s="23">
        <v>45111</v>
      </c>
      <c r="NI3" s="23">
        <v>45127</v>
      </c>
      <c r="NJ3" s="23">
        <v>45131</v>
      </c>
      <c r="NK3" s="23">
        <v>45133</v>
      </c>
      <c r="NL3" s="23">
        <v>45137</v>
      </c>
      <c r="NM3" s="23">
        <v>45139</v>
      </c>
      <c r="NN3" s="23">
        <v>45145</v>
      </c>
      <c r="NO3" s="23">
        <v>45149</v>
      </c>
      <c r="NP3" s="23">
        <v>45151</v>
      </c>
      <c r="NQ3" s="23">
        <v>45157</v>
      </c>
      <c r="NR3" s="23">
        <v>45157</v>
      </c>
      <c r="NS3" s="23">
        <v>45159</v>
      </c>
      <c r="NT3" s="23">
        <v>45163</v>
      </c>
      <c r="NU3" s="23">
        <v>45165</v>
      </c>
      <c r="NV3" s="23">
        <v>45166</v>
      </c>
      <c r="NW3" s="23">
        <v>45166</v>
      </c>
      <c r="NX3" s="23">
        <v>45170</v>
      </c>
      <c r="NY3" s="23">
        <v>45177</v>
      </c>
      <c r="NZ3" s="23">
        <v>45180</v>
      </c>
      <c r="OA3" s="23">
        <v>45180</v>
      </c>
      <c r="OB3" s="23">
        <v>45191</v>
      </c>
      <c r="OC3" s="23">
        <v>45191</v>
      </c>
      <c r="OD3" s="23">
        <v>45199</v>
      </c>
      <c r="OE3" s="23">
        <v>45200</v>
      </c>
      <c r="OF3" s="23">
        <v>45207</v>
      </c>
      <c r="OG3" s="23">
        <v>45209</v>
      </c>
      <c r="OH3" s="23">
        <v>45212</v>
      </c>
      <c r="OI3" s="23">
        <v>45222</v>
      </c>
      <c r="OJ3" s="23">
        <v>45225</v>
      </c>
      <c r="OK3" s="23">
        <v>45226</v>
      </c>
      <c r="OL3" s="23">
        <v>45227</v>
      </c>
      <c r="OM3" s="23">
        <v>45228</v>
      </c>
      <c r="ON3" s="23">
        <v>45230</v>
      </c>
      <c r="OO3" s="23">
        <v>45236</v>
      </c>
      <c r="OP3" s="23">
        <v>45244</v>
      </c>
      <c r="OQ3" s="23">
        <v>45247</v>
      </c>
      <c r="OR3" s="23">
        <v>45252</v>
      </c>
      <c r="OS3" s="23">
        <v>45259</v>
      </c>
      <c r="OT3" s="23">
        <v>45261</v>
      </c>
      <c r="OU3" s="23">
        <v>45264</v>
      </c>
      <c r="OV3" s="23">
        <v>45270</v>
      </c>
      <c r="OW3" s="23">
        <v>45271</v>
      </c>
      <c r="OX3" s="23">
        <v>45271</v>
      </c>
      <c r="OY3" s="23">
        <v>45277</v>
      </c>
      <c r="OZ3" s="23">
        <v>45278</v>
      </c>
      <c r="PA3" s="23">
        <v>45279</v>
      </c>
      <c r="PB3" s="23">
        <v>45283</v>
      </c>
      <c r="PC3" s="23">
        <v>45296</v>
      </c>
      <c r="PD3" s="23">
        <v>45300</v>
      </c>
      <c r="PE3" s="23">
        <v>45307</v>
      </c>
      <c r="PF3" s="23">
        <v>45338</v>
      </c>
      <c r="PG3" s="23">
        <v>45342</v>
      </c>
      <c r="PH3" s="23">
        <v>45344</v>
      </c>
      <c r="PI3" s="23">
        <v>45344</v>
      </c>
      <c r="PJ3" s="23">
        <v>45345</v>
      </c>
      <c r="PK3" s="23">
        <v>45345</v>
      </c>
      <c r="PL3" s="23">
        <v>45350</v>
      </c>
      <c r="PM3" s="23">
        <v>45360</v>
      </c>
      <c r="PN3" s="23">
        <v>45364</v>
      </c>
      <c r="PO3" s="23">
        <v>45368</v>
      </c>
      <c r="PP3" s="23">
        <v>45378</v>
      </c>
      <c r="PQ3" s="23">
        <v>45382</v>
      </c>
      <c r="PR3" s="23">
        <v>45384</v>
      </c>
      <c r="PS3" s="23">
        <v>45388</v>
      </c>
      <c r="PT3" s="23">
        <v>45391</v>
      </c>
      <c r="PU3" s="23">
        <v>45398</v>
      </c>
      <c r="PV3" s="23">
        <v>45398</v>
      </c>
      <c r="PW3" s="23">
        <v>45401</v>
      </c>
      <c r="PX3" s="23">
        <v>45406</v>
      </c>
      <c r="PY3" s="23">
        <v>45413</v>
      </c>
      <c r="PZ3" s="23">
        <v>45417</v>
      </c>
      <c r="QA3" s="23">
        <v>45419</v>
      </c>
      <c r="QB3" s="23">
        <v>45420</v>
      </c>
      <c r="QC3" s="23">
        <v>45431</v>
      </c>
      <c r="QD3" s="23">
        <v>45432</v>
      </c>
      <c r="QE3" s="23">
        <v>45437</v>
      </c>
      <c r="QF3" s="23">
        <v>45445</v>
      </c>
      <c r="QG3" s="23">
        <v>45445</v>
      </c>
      <c r="QH3" s="23">
        <v>45447</v>
      </c>
      <c r="QI3" s="23">
        <v>45454</v>
      </c>
      <c r="QJ3" s="23">
        <v>45463</v>
      </c>
      <c r="QK3" s="23">
        <v>45465</v>
      </c>
      <c r="QL3" s="23">
        <v>45465</v>
      </c>
      <c r="QM3" s="23">
        <v>45470</v>
      </c>
      <c r="QN3" s="23">
        <v>45471</v>
      </c>
      <c r="QO3" s="23">
        <v>45485</v>
      </c>
      <c r="QP3" s="23">
        <v>45485</v>
      </c>
      <c r="QQ3" s="23">
        <v>45500</v>
      </c>
      <c r="QR3" s="23">
        <v>45505</v>
      </c>
      <c r="QS3" s="23">
        <v>45513</v>
      </c>
      <c r="QT3" s="23">
        <v>45525</v>
      </c>
      <c r="QU3" s="23">
        <v>45530</v>
      </c>
      <c r="QV3" s="23">
        <v>45533</v>
      </c>
      <c r="QW3" s="23">
        <v>45538</v>
      </c>
      <c r="QX3" s="23">
        <v>45540</v>
      </c>
      <c r="QY3" s="23">
        <v>45546</v>
      </c>
      <c r="QZ3" s="23">
        <v>45548</v>
      </c>
      <c r="RA3" s="23">
        <v>45565</v>
      </c>
      <c r="RB3" s="23">
        <v>45575</v>
      </c>
      <c r="RC3" s="23">
        <v>45582</v>
      </c>
      <c r="RD3" s="23">
        <v>45587</v>
      </c>
      <c r="RE3" s="23">
        <v>45588</v>
      </c>
      <c r="RF3" s="23">
        <v>45595</v>
      </c>
      <c r="RG3" s="23">
        <v>45604</v>
      </c>
      <c r="RH3" s="23">
        <v>45612</v>
      </c>
      <c r="RI3" s="23">
        <v>45612</v>
      </c>
      <c r="RJ3" s="23">
        <v>45617</v>
      </c>
      <c r="RK3" s="23">
        <v>45627</v>
      </c>
      <c r="RL3" s="23">
        <v>45630</v>
      </c>
      <c r="RM3" s="23">
        <v>45632</v>
      </c>
      <c r="RN3" s="23">
        <v>45632</v>
      </c>
      <c r="RO3" s="23">
        <v>45637</v>
      </c>
      <c r="RP3" s="23">
        <v>45643</v>
      </c>
      <c r="RQ3" s="23">
        <v>45643</v>
      </c>
      <c r="RR3" s="23">
        <v>45643</v>
      </c>
      <c r="RS3" s="23">
        <v>45643</v>
      </c>
      <c r="RT3" s="23">
        <v>45643</v>
      </c>
      <c r="RU3" s="23">
        <v>44564</v>
      </c>
      <c r="RV3" s="23">
        <v>44565</v>
      </c>
      <c r="RW3" s="23">
        <v>44565</v>
      </c>
      <c r="RX3" s="23">
        <v>44575</v>
      </c>
      <c r="RY3" s="23">
        <v>44578</v>
      </c>
      <c r="RZ3" s="23">
        <v>44581</v>
      </c>
      <c r="SA3" s="23">
        <v>44583</v>
      </c>
      <c r="SB3" s="23">
        <v>44586</v>
      </c>
      <c r="SC3" s="23">
        <v>44589</v>
      </c>
      <c r="SD3" s="23">
        <v>44595</v>
      </c>
      <c r="SE3" s="23">
        <v>44596</v>
      </c>
      <c r="SF3" s="23">
        <v>44597</v>
      </c>
      <c r="SG3" s="23">
        <v>44616</v>
      </c>
      <c r="SH3" s="23">
        <v>44622</v>
      </c>
      <c r="SI3" s="23">
        <v>44626</v>
      </c>
      <c r="SJ3" s="23">
        <v>44628</v>
      </c>
      <c r="SK3" s="23">
        <v>44628</v>
      </c>
      <c r="SL3" s="23">
        <v>44633</v>
      </c>
      <c r="SM3" s="23">
        <v>44633</v>
      </c>
      <c r="SN3" s="23">
        <v>44634</v>
      </c>
      <c r="SO3" s="23">
        <v>44638</v>
      </c>
      <c r="SP3" s="23">
        <v>44646</v>
      </c>
      <c r="SQ3" s="23">
        <v>44651</v>
      </c>
      <c r="SR3" s="23">
        <v>44660</v>
      </c>
      <c r="SS3" s="23">
        <v>44662</v>
      </c>
      <c r="ST3" s="23">
        <v>44665</v>
      </c>
      <c r="SU3" s="23">
        <v>44668</v>
      </c>
      <c r="SV3" s="23">
        <v>44675</v>
      </c>
      <c r="SW3" s="23">
        <v>44676</v>
      </c>
      <c r="SX3" s="23">
        <v>44680</v>
      </c>
      <c r="SY3" s="23">
        <v>44686</v>
      </c>
      <c r="SZ3" s="23">
        <v>44689</v>
      </c>
      <c r="TA3" s="23">
        <v>44690</v>
      </c>
      <c r="TB3" s="23">
        <v>44691</v>
      </c>
      <c r="TC3" s="23">
        <v>44698</v>
      </c>
      <c r="TD3" s="23">
        <v>44704</v>
      </c>
      <c r="TE3" s="23">
        <v>44708</v>
      </c>
      <c r="TF3" s="23">
        <v>44709</v>
      </c>
      <c r="TG3" s="23">
        <v>44711</v>
      </c>
      <c r="TH3" s="23">
        <v>44720</v>
      </c>
      <c r="TI3" s="23">
        <v>44721</v>
      </c>
      <c r="TJ3" s="23">
        <v>44727</v>
      </c>
      <c r="TK3" s="23">
        <v>44739</v>
      </c>
      <c r="TL3" s="23">
        <v>44743</v>
      </c>
      <c r="TM3" s="23">
        <v>44744</v>
      </c>
      <c r="TN3" s="23">
        <v>44751</v>
      </c>
      <c r="TO3" s="23">
        <v>44752</v>
      </c>
      <c r="TP3" s="23">
        <v>44756</v>
      </c>
      <c r="TQ3" s="23">
        <v>44758</v>
      </c>
      <c r="TR3" s="23">
        <v>44761</v>
      </c>
      <c r="TS3" s="23">
        <v>44761</v>
      </c>
      <c r="TT3" s="23">
        <v>44768</v>
      </c>
      <c r="TU3" s="23">
        <v>44768</v>
      </c>
      <c r="TV3" s="23">
        <v>44773</v>
      </c>
      <c r="TW3" s="23">
        <v>44774</v>
      </c>
      <c r="TX3" s="23">
        <v>44776</v>
      </c>
      <c r="TY3" s="23">
        <v>44782</v>
      </c>
      <c r="TZ3" s="23">
        <v>44796</v>
      </c>
      <c r="UA3" s="23">
        <v>44805</v>
      </c>
      <c r="UB3" s="23">
        <v>44807</v>
      </c>
      <c r="UC3" s="23">
        <v>44813</v>
      </c>
      <c r="UD3" s="23">
        <v>44814</v>
      </c>
      <c r="UE3" s="23">
        <v>44815</v>
      </c>
      <c r="UF3" s="23">
        <v>44820</v>
      </c>
      <c r="UG3" s="23">
        <v>44825</v>
      </c>
      <c r="UH3" s="23">
        <v>44831</v>
      </c>
      <c r="UI3" s="23">
        <v>44835</v>
      </c>
      <c r="UJ3" s="23">
        <v>44841</v>
      </c>
      <c r="UK3" s="23">
        <v>44847</v>
      </c>
      <c r="UL3" s="23">
        <v>44848</v>
      </c>
      <c r="UM3" s="23">
        <v>44855</v>
      </c>
      <c r="UN3" s="23">
        <v>44864</v>
      </c>
      <c r="UO3" s="23">
        <v>44866</v>
      </c>
      <c r="UP3" s="23">
        <v>44867</v>
      </c>
      <c r="UQ3" s="23">
        <v>44872</v>
      </c>
      <c r="UR3" s="23">
        <v>44874</v>
      </c>
      <c r="US3" s="23">
        <v>44876</v>
      </c>
      <c r="UT3" s="23">
        <v>44878</v>
      </c>
      <c r="UU3" s="23">
        <v>44880</v>
      </c>
      <c r="UV3" s="23">
        <v>44880</v>
      </c>
      <c r="UW3" s="23">
        <v>44882</v>
      </c>
      <c r="UX3" s="23">
        <v>44882</v>
      </c>
      <c r="UY3" s="23">
        <v>44883</v>
      </c>
      <c r="UZ3" s="23">
        <v>44884</v>
      </c>
      <c r="VA3" s="23">
        <v>44885</v>
      </c>
      <c r="VB3" s="23">
        <v>44895</v>
      </c>
      <c r="VC3" s="23">
        <v>44899</v>
      </c>
      <c r="VD3" s="23">
        <v>44900</v>
      </c>
      <c r="VE3" s="23">
        <v>44901</v>
      </c>
      <c r="VF3" s="23">
        <v>44908</v>
      </c>
      <c r="VG3" s="23">
        <v>44909</v>
      </c>
      <c r="VH3" s="23">
        <v>44911</v>
      </c>
      <c r="VI3" s="23">
        <v>44911</v>
      </c>
      <c r="VJ3" s="23">
        <v>44912</v>
      </c>
      <c r="VK3" s="23">
        <v>44913</v>
      </c>
      <c r="VL3" s="23">
        <v>44921</v>
      </c>
      <c r="VM3" s="23">
        <v>44925</v>
      </c>
      <c r="VN3" s="23">
        <v>44925</v>
      </c>
      <c r="VO3" s="23">
        <v>44927</v>
      </c>
      <c r="VP3" s="23">
        <v>44934</v>
      </c>
      <c r="VQ3" s="23">
        <v>44934</v>
      </c>
      <c r="VR3" s="23">
        <v>44935</v>
      </c>
      <c r="VS3" s="23">
        <v>44937</v>
      </c>
      <c r="VT3" s="23">
        <v>44944</v>
      </c>
      <c r="VU3" s="23">
        <v>44947</v>
      </c>
      <c r="VV3" s="23">
        <v>44979</v>
      </c>
      <c r="VW3" s="23">
        <v>44981</v>
      </c>
      <c r="VX3" s="23">
        <v>44986</v>
      </c>
      <c r="VY3" s="23">
        <v>44990</v>
      </c>
      <c r="VZ3" s="23">
        <v>44990</v>
      </c>
      <c r="WA3" s="23">
        <v>44996</v>
      </c>
      <c r="WB3" s="23">
        <v>44997</v>
      </c>
      <c r="WC3" s="23">
        <v>44997</v>
      </c>
      <c r="WD3" s="23">
        <v>44999</v>
      </c>
      <c r="WE3" s="23">
        <v>44999</v>
      </c>
      <c r="WF3" s="23">
        <v>45006</v>
      </c>
      <c r="WG3" s="23">
        <v>45010</v>
      </c>
      <c r="WH3" s="23">
        <v>45014</v>
      </c>
      <c r="WI3" s="23">
        <v>45017</v>
      </c>
      <c r="WJ3" s="23">
        <v>45029</v>
      </c>
      <c r="WK3" s="23">
        <v>45032</v>
      </c>
      <c r="WL3" s="23">
        <v>45037</v>
      </c>
      <c r="WM3" s="23">
        <v>45042</v>
      </c>
      <c r="WN3" s="23">
        <v>45049</v>
      </c>
      <c r="WO3" s="23">
        <v>45060</v>
      </c>
      <c r="WP3" s="23">
        <v>45060</v>
      </c>
      <c r="WQ3" s="23">
        <v>45064</v>
      </c>
      <c r="WR3" s="23">
        <v>45073</v>
      </c>
      <c r="WS3" s="23">
        <v>45077</v>
      </c>
      <c r="WT3" s="23">
        <v>45077</v>
      </c>
      <c r="WU3" s="23">
        <v>45079</v>
      </c>
      <c r="WV3" s="23">
        <v>45080</v>
      </c>
      <c r="WW3" s="23">
        <v>45082</v>
      </c>
      <c r="WX3" s="23">
        <v>45089</v>
      </c>
      <c r="WY3" s="23">
        <v>45091</v>
      </c>
      <c r="WZ3" s="23">
        <v>45094</v>
      </c>
      <c r="XA3" s="23">
        <v>45094</v>
      </c>
      <c r="XB3" s="23">
        <v>45102</v>
      </c>
      <c r="XC3" s="23">
        <v>45109</v>
      </c>
      <c r="XD3" s="23">
        <v>45113</v>
      </c>
      <c r="XE3" s="23">
        <v>45114</v>
      </c>
      <c r="XF3" s="23">
        <v>45117</v>
      </c>
      <c r="XG3" s="23">
        <v>45122</v>
      </c>
      <c r="XH3" s="23">
        <v>45123</v>
      </c>
      <c r="XI3" s="23">
        <v>45126</v>
      </c>
      <c r="XJ3" s="23">
        <v>45126</v>
      </c>
      <c r="XK3" s="23">
        <v>45131</v>
      </c>
      <c r="XL3" s="23">
        <v>45131</v>
      </c>
      <c r="XM3" s="23">
        <v>45131</v>
      </c>
      <c r="XN3" s="23">
        <v>45132</v>
      </c>
      <c r="XO3" s="23">
        <v>45133</v>
      </c>
      <c r="XP3" s="23">
        <v>45134</v>
      </c>
      <c r="XQ3" s="23">
        <v>45138</v>
      </c>
      <c r="XR3" s="23">
        <v>45140</v>
      </c>
      <c r="XS3" s="23">
        <v>45147</v>
      </c>
      <c r="XT3" s="23">
        <v>45151</v>
      </c>
      <c r="XU3" s="23">
        <v>45152</v>
      </c>
      <c r="XV3" s="23">
        <v>45158</v>
      </c>
      <c r="XW3" s="23">
        <v>45158</v>
      </c>
      <c r="XX3" s="23">
        <v>45164</v>
      </c>
      <c r="XY3" s="23">
        <v>45174</v>
      </c>
      <c r="XZ3" s="23">
        <v>45174</v>
      </c>
      <c r="YA3" s="23">
        <v>45177</v>
      </c>
      <c r="YB3" s="23">
        <v>45177</v>
      </c>
      <c r="YC3" s="23">
        <v>45182</v>
      </c>
      <c r="YD3" s="23">
        <v>45183</v>
      </c>
      <c r="YE3" s="23">
        <v>45203</v>
      </c>
      <c r="YF3" s="23">
        <v>45208</v>
      </c>
      <c r="YG3" s="23">
        <v>45212</v>
      </c>
      <c r="YH3" s="23">
        <v>45216</v>
      </c>
      <c r="YI3" s="23">
        <v>45234</v>
      </c>
      <c r="YJ3" s="23">
        <v>45239</v>
      </c>
      <c r="YK3" s="23">
        <v>45249</v>
      </c>
      <c r="YL3" s="23">
        <v>45251</v>
      </c>
      <c r="YM3" s="23">
        <v>45253</v>
      </c>
      <c r="YN3" s="23">
        <v>45265</v>
      </c>
      <c r="YO3" s="23">
        <v>45270</v>
      </c>
      <c r="YP3" s="23">
        <v>45270</v>
      </c>
      <c r="YQ3" s="23">
        <v>45276</v>
      </c>
      <c r="YR3" s="23">
        <v>45279</v>
      </c>
      <c r="YS3" s="23">
        <v>45281</v>
      </c>
      <c r="YT3" s="23">
        <v>45281</v>
      </c>
      <c r="YU3" s="23">
        <v>45282</v>
      </c>
      <c r="YV3" s="23">
        <v>45285</v>
      </c>
      <c r="YW3" s="23">
        <v>45290</v>
      </c>
      <c r="YX3" s="23">
        <v>45297</v>
      </c>
      <c r="YY3" s="23">
        <v>45297</v>
      </c>
      <c r="YZ3" s="23">
        <v>45312</v>
      </c>
      <c r="ZA3" s="23">
        <v>45316</v>
      </c>
      <c r="ZB3" s="23">
        <v>45317</v>
      </c>
      <c r="ZC3" s="23">
        <v>45320</v>
      </c>
      <c r="ZD3" s="23">
        <v>45322</v>
      </c>
      <c r="ZE3" s="23">
        <v>45325</v>
      </c>
      <c r="ZF3" s="23">
        <v>45327</v>
      </c>
      <c r="ZG3" s="23">
        <v>45329</v>
      </c>
      <c r="ZH3" s="23">
        <v>45329</v>
      </c>
      <c r="ZI3" s="23">
        <v>45330</v>
      </c>
      <c r="ZJ3" s="23">
        <v>45334</v>
      </c>
      <c r="ZK3" s="23">
        <v>45342</v>
      </c>
      <c r="ZL3" s="23">
        <v>45343</v>
      </c>
      <c r="ZM3" s="23">
        <v>45347</v>
      </c>
      <c r="ZN3" s="23">
        <v>45352</v>
      </c>
      <c r="ZO3" s="23">
        <v>45358</v>
      </c>
      <c r="ZP3" s="23">
        <v>45362</v>
      </c>
      <c r="ZQ3" s="23">
        <v>45372</v>
      </c>
      <c r="ZR3" s="23">
        <v>45379</v>
      </c>
      <c r="ZS3" s="23">
        <v>45382</v>
      </c>
      <c r="ZT3" s="23">
        <v>45382</v>
      </c>
      <c r="ZU3" s="23">
        <v>45391</v>
      </c>
      <c r="ZV3" s="23">
        <v>45394</v>
      </c>
      <c r="ZW3" s="23">
        <v>45405</v>
      </c>
      <c r="ZX3" s="23">
        <v>45409</v>
      </c>
      <c r="ZY3" s="23">
        <v>45410</v>
      </c>
      <c r="ZZ3" s="23">
        <v>45416</v>
      </c>
      <c r="AAA3" s="23">
        <v>45422</v>
      </c>
      <c r="AAB3" s="23">
        <v>45430</v>
      </c>
      <c r="AAC3" s="23">
        <v>45430</v>
      </c>
      <c r="AAD3" s="23">
        <v>45434</v>
      </c>
      <c r="AAE3" s="23">
        <v>45434</v>
      </c>
      <c r="AAF3" s="23">
        <v>45439</v>
      </c>
      <c r="AAG3" s="23">
        <v>45448</v>
      </c>
      <c r="AAH3" s="23">
        <v>45454</v>
      </c>
      <c r="AAI3" s="23">
        <v>45456</v>
      </c>
      <c r="AAJ3" s="23">
        <v>45456</v>
      </c>
      <c r="AAK3" s="23">
        <v>45456</v>
      </c>
      <c r="AAL3" s="23">
        <v>45458</v>
      </c>
      <c r="AAM3" s="23">
        <v>45460</v>
      </c>
      <c r="AAN3" s="23">
        <v>45467</v>
      </c>
      <c r="AAO3" s="23">
        <v>45475</v>
      </c>
      <c r="AAP3" s="23">
        <v>45475</v>
      </c>
      <c r="AAQ3" s="23">
        <v>45479</v>
      </c>
      <c r="AAR3" s="23">
        <v>45486</v>
      </c>
      <c r="AAS3" s="23">
        <v>45487</v>
      </c>
      <c r="AAT3" s="23">
        <v>45492</v>
      </c>
      <c r="AAU3" s="23">
        <v>45492</v>
      </c>
      <c r="AAV3" s="23">
        <v>45494</v>
      </c>
      <c r="AAW3" s="23">
        <v>45501</v>
      </c>
      <c r="AAX3" s="23">
        <v>45507</v>
      </c>
      <c r="AAY3" s="23">
        <v>45510</v>
      </c>
      <c r="AAZ3" s="23">
        <v>45512</v>
      </c>
      <c r="ABA3" s="23">
        <v>45515</v>
      </c>
      <c r="ABB3" s="23">
        <v>45518</v>
      </c>
      <c r="ABC3" s="23">
        <v>45539</v>
      </c>
      <c r="ABD3" s="23">
        <v>45543</v>
      </c>
      <c r="ABE3" s="23">
        <v>45546</v>
      </c>
      <c r="ABF3" s="23">
        <v>45548</v>
      </c>
      <c r="ABG3" s="23">
        <v>45551</v>
      </c>
      <c r="ABH3" s="23">
        <v>45551</v>
      </c>
      <c r="ABI3" s="23">
        <v>45554</v>
      </c>
      <c r="ABJ3" s="23">
        <v>45557</v>
      </c>
      <c r="ABK3" s="23">
        <v>45557</v>
      </c>
      <c r="ABL3" s="23">
        <v>45567</v>
      </c>
      <c r="ABM3" s="23">
        <v>45568</v>
      </c>
      <c r="ABN3" s="23">
        <v>45570</v>
      </c>
      <c r="ABO3" s="23">
        <v>45581</v>
      </c>
      <c r="ABP3" s="23">
        <v>45585</v>
      </c>
      <c r="ABQ3" s="23">
        <v>45586</v>
      </c>
      <c r="ABR3" s="23">
        <v>45588</v>
      </c>
      <c r="ABS3" s="23">
        <v>45609</v>
      </c>
      <c r="ABT3" s="23">
        <v>45609</v>
      </c>
      <c r="ABU3" s="23">
        <v>45615</v>
      </c>
      <c r="ABV3" s="23">
        <v>45617</v>
      </c>
      <c r="ABW3" s="23">
        <v>45625</v>
      </c>
      <c r="ABX3" s="23">
        <v>45639</v>
      </c>
      <c r="ABY3" s="23">
        <v>45655</v>
      </c>
      <c r="ABZ3" s="23">
        <v>45655</v>
      </c>
      <c r="ACA3" s="23">
        <v>45656</v>
      </c>
      <c r="ACB3" s="23">
        <v>45656</v>
      </c>
      <c r="ACC3" s="23">
        <v>45656</v>
      </c>
      <c r="ACD3" s="23">
        <v>45657</v>
      </c>
      <c r="ACE3" s="23">
        <v>45657</v>
      </c>
      <c r="ACF3" s="23">
        <v>45657</v>
      </c>
      <c r="ACG3" s="23">
        <v>44577</v>
      </c>
      <c r="ACH3" s="23">
        <v>44578</v>
      </c>
      <c r="ACI3" s="23">
        <v>44583</v>
      </c>
      <c r="ACJ3" s="23">
        <v>44587</v>
      </c>
      <c r="ACK3" s="23">
        <v>44601</v>
      </c>
      <c r="ACL3" s="23">
        <v>44601</v>
      </c>
      <c r="ACM3" s="23">
        <v>44610</v>
      </c>
      <c r="ACN3" s="23">
        <v>44617</v>
      </c>
      <c r="ACO3" s="23">
        <v>44619</v>
      </c>
      <c r="ACP3" s="23">
        <v>44621</v>
      </c>
      <c r="ACQ3" s="23">
        <v>44622</v>
      </c>
      <c r="ACR3" s="23">
        <v>44629</v>
      </c>
      <c r="ACS3" s="23">
        <v>44632</v>
      </c>
      <c r="ACT3" s="23">
        <v>44646</v>
      </c>
      <c r="ACU3" s="23">
        <v>44650</v>
      </c>
      <c r="ACV3" s="23">
        <v>44653</v>
      </c>
      <c r="ACW3" s="23">
        <v>44653</v>
      </c>
      <c r="ACX3" s="23">
        <v>44653</v>
      </c>
      <c r="ACY3" s="23">
        <v>44657</v>
      </c>
      <c r="ACZ3" s="23">
        <v>44661</v>
      </c>
      <c r="ADA3" s="23">
        <v>44671</v>
      </c>
      <c r="ADB3" s="23">
        <v>44672</v>
      </c>
      <c r="ADC3" s="23">
        <v>44673</v>
      </c>
      <c r="ADD3" s="23">
        <v>44673</v>
      </c>
      <c r="ADE3" s="23">
        <v>44674</v>
      </c>
      <c r="ADF3" s="23">
        <v>44676</v>
      </c>
      <c r="ADG3" s="23">
        <v>44677</v>
      </c>
      <c r="ADH3" s="23">
        <v>44681</v>
      </c>
      <c r="ADI3" s="23">
        <v>44688</v>
      </c>
      <c r="ADJ3" s="23">
        <v>44690</v>
      </c>
      <c r="ADK3" s="23">
        <v>44694</v>
      </c>
      <c r="ADL3" s="23">
        <v>44695</v>
      </c>
      <c r="ADM3" s="23">
        <v>44701</v>
      </c>
      <c r="ADN3" s="23">
        <v>44716</v>
      </c>
      <c r="ADO3" s="23">
        <v>44717</v>
      </c>
      <c r="ADP3" s="23">
        <v>44720</v>
      </c>
      <c r="ADQ3" s="23">
        <v>44722</v>
      </c>
      <c r="ADR3" s="23">
        <v>44723</v>
      </c>
      <c r="ADS3" s="23">
        <v>44723</v>
      </c>
      <c r="ADT3" s="23">
        <v>44731</v>
      </c>
      <c r="ADU3" s="23">
        <v>44734</v>
      </c>
      <c r="ADV3" s="23">
        <v>44738</v>
      </c>
      <c r="ADW3" s="23">
        <v>44741</v>
      </c>
      <c r="ADX3" s="23">
        <v>44742</v>
      </c>
      <c r="ADY3" s="23">
        <v>44747</v>
      </c>
      <c r="ADZ3" s="23">
        <v>44748</v>
      </c>
      <c r="AEA3" s="23">
        <v>44755</v>
      </c>
      <c r="AEB3" s="23">
        <v>44756</v>
      </c>
      <c r="AEC3" s="23">
        <v>44758</v>
      </c>
      <c r="AED3" s="23">
        <v>44759</v>
      </c>
      <c r="AEE3" s="23">
        <v>44762</v>
      </c>
      <c r="AEF3" s="23">
        <v>44762</v>
      </c>
      <c r="AEG3" s="23">
        <v>44764</v>
      </c>
      <c r="AEH3" s="23">
        <v>44765</v>
      </c>
      <c r="AEI3" s="23">
        <v>44769</v>
      </c>
      <c r="AEJ3" s="23">
        <v>44777</v>
      </c>
      <c r="AEK3" s="23">
        <v>44787</v>
      </c>
      <c r="AEL3" s="23">
        <v>44792</v>
      </c>
      <c r="AEM3" s="23">
        <v>44793</v>
      </c>
      <c r="AEN3" s="23">
        <v>44796</v>
      </c>
      <c r="AEO3" s="23">
        <v>44800</v>
      </c>
      <c r="AEP3" s="23">
        <v>44807</v>
      </c>
      <c r="AEQ3" s="23">
        <v>44824</v>
      </c>
      <c r="AER3" s="23">
        <v>44824</v>
      </c>
      <c r="AES3" s="23">
        <v>44828</v>
      </c>
      <c r="AET3" s="23">
        <v>44828</v>
      </c>
      <c r="AEU3" s="23">
        <v>44836</v>
      </c>
      <c r="AEV3" s="23">
        <v>44851</v>
      </c>
      <c r="AEW3" s="23">
        <v>44852</v>
      </c>
      <c r="AEX3" s="23">
        <v>44853</v>
      </c>
      <c r="AEY3" s="23">
        <v>44854</v>
      </c>
      <c r="AEZ3" s="23">
        <v>44857</v>
      </c>
      <c r="AFA3" s="23">
        <v>44862</v>
      </c>
      <c r="AFB3" s="23">
        <v>44863</v>
      </c>
      <c r="AFC3" s="23">
        <v>44873</v>
      </c>
      <c r="AFD3" s="23">
        <v>44877</v>
      </c>
      <c r="AFE3" s="23">
        <v>44883</v>
      </c>
      <c r="AFF3" s="23">
        <v>44888</v>
      </c>
      <c r="AFG3" s="23">
        <v>44901</v>
      </c>
      <c r="AFH3" s="23">
        <v>44904</v>
      </c>
      <c r="AFI3" s="23">
        <v>44911</v>
      </c>
      <c r="AFJ3" s="23">
        <v>44914</v>
      </c>
      <c r="AFK3" s="23">
        <v>44916</v>
      </c>
      <c r="AFL3" s="23">
        <v>44920</v>
      </c>
      <c r="AFM3" s="23">
        <v>44927</v>
      </c>
      <c r="AFN3" s="23">
        <v>44928</v>
      </c>
      <c r="AFO3" s="23">
        <v>44933</v>
      </c>
      <c r="AFP3" s="23">
        <v>44946</v>
      </c>
      <c r="AFQ3" s="23">
        <v>44954</v>
      </c>
      <c r="AFR3" s="23">
        <v>44955</v>
      </c>
      <c r="AFS3" s="23">
        <v>44956</v>
      </c>
      <c r="AFT3" s="23">
        <v>44956</v>
      </c>
      <c r="AFU3" s="23">
        <v>44958</v>
      </c>
      <c r="AFV3" s="23">
        <v>44959</v>
      </c>
      <c r="AFW3" s="23">
        <v>44971</v>
      </c>
      <c r="AFX3" s="23">
        <v>44980</v>
      </c>
      <c r="AFY3" s="23">
        <v>44981</v>
      </c>
      <c r="AFZ3" s="23">
        <v>44982</v>
      </c>
      <c r="AGA3" s="23">
        <v>44984</v>
      </c>
      <c r="AGB3" s="23">
        <v>44991</v>
      </c>
      <c r="AGC3" s="23">
        <v>44991</v>
      </c>
      <c r="AGD3" s="23">
        <v>44994</v>
      </c>
      <c r="AGE3" s="23">
        <v>45009</v>
      </c>
      <c r="AGF3" s="23">
        <v>45011</v>
      </c>
      <c r="AGG3" s="23">
        <v>45012</v>
      </c>
      <c r="AGH3" s="23">
        <v>45012</v>
      </c>
      <c r="AGI3" s="23">
        <v>45018</v>
      </c>
      <c r="AGJ3" s="23">
        <v>45021</v>
      </c>
      <c r="AGK3" s="23">
        <v>45022</v>
      </c>
      <c r="AGL3" s="23">
        <v>45026</v>
      </c>
      <c r="AGM3" s="23">
        <v>45030</v>
      </c>
      <c r="AGN3" s="23">
        <v>45035</v>
      </c>
      <c r="AGO3" s="23">
        <v>45048</v>
      </c>
      <c r="AGP3" s="23">
        <v>45053</v>
      </c>
      <c r="AGQ3" s="23">
        <v>45054</v>
      </c>
      <c r="AGR3" s="23">
        <v>45057</v>
      </c>
      <c r="AGS3" s="23">
        <v>45062</v>
      </c>
      <c r="AGT3" s="23">
        <v>45064</v>
      </c>
      <c r="AGU3" s="23">
        <v>45065</v>
      </c>
      <c r="AGV3" s="23">
        <v>45069</v>
      </c>
      <c r="AGW3" s="23">
        <v>45079</v>
      </c>
      <c r="AGX3" s="23">
        <v>45087</v>
      </c>
      <c r="AGY3" s="23">
        <v>45098</v>
      </c>
      <c r="AGZ3" s="23">
        <v>45100</v>
      </c>
      <c r="AHA3" s="23">
        <v>45107</v>
      </c>
      <c r="AHB3" s="23">
        <v>45128</v>
      </c>
      <c r="AHC3" s="23">
        <v>45130</v>
      </c>
      <c r="AHD3" s="23">
        <v>45141</v>
      </c>
      <c r="AHE3" s="23">
        <v>45143</v>
      </c>
      <c r="AHF3" s="23">
        <v>45148</v>
      </c>
      <c r="AHG3" s="23">
        <v>45148</v>
      </c>
      <c r="AHH3" s="23">
        <v>45167</v>
      </c>
      <c r="AHI3" s="23">
        <v>45200</v>
      </c>
      <c r="AHJ3" s="23">
        <v>45201</v>
      </c>
      <c r="AHK3" s="23">
        <v>45201</v>
      </c>
      <c r="AHL3" s="23">
        <v>45218</v>
      </c>
      <c r="AHM3" s="23">
        <v>45219</v>
      </c>
      <c r="AHN3" s="23">
        <v>45223</v>
      </c>
      <c r="AHO3" s="23">
        <v>45226</v>
      </c>
      <c r="AHP3" s="23">
        <v>45228</v>
      </c>
      <c r="AHQ3" s="23">
        <v>45230</v>
      </c>
      <c r="AHR3" s="23">
        <v>45231</v>
      </c>
      <c r="AHS3" s="23">
        <v>45234</v>
      </c>
      <c r="AHT3" s="23">
        <v>45240</v>
      </c>
      <c r="AHU3" s="23">
        <v>45242</v>
      </c>
      <c r="AHV3" s="23">
        <v>45249</v>
      </c>
      <c r="AHW3" s="23">
        <v>45255</v>
      </c>
      <c r="AHX3" s="23">
        <v>45256</v>
      </c>
      <c r="AHY3" s="23">
        <v>45264</v>
      </c>
      <c r="AHZ3" s="23">
        <v>45271</v>
      </c>
      <c r="AIA3" s="23">
        <v>45276</v>
      </c>
      <c r="AIB3" s="23">
        <v>45277</v>
      </c>
      <c r="AIC3" s="23">
        <v>45277</v>
      </c>
      <c r="AID3" s="23">
        <v>45280</v>
      </c>
      <c r="AIE3" s="23">
        <v>45288</v>
      </c>
      <c r="AIF3" s="23">
        <v>45295</v>
      </c>
      <c r="AIG3" s="23">
        <v>45310</v>
      </c>
      <c r="AIH3" s="23">
        <v>45316</v>
      </c>
      <c r="AII3" s="23">
        <v>45320</v>
      </c>
      <c r="AIJ3" s="23">
        <v>45324</v>
      </c>
      <c r="AIK3" s="23">
        <v>45329</v>
      </c>
      <c r="AIL3" s="23">
        <v>45329</v>
      </c>
      <c r="AIM3" s="23">
        <v>45340</v>
      </c>
      <c r="AIN3" s="23">
        <v>45342</v>
      </c>
      <c r="AIO3" s="23">
        <v>45343</v>
      </c>
      <c r="AIP3" s="23">
        <v>45343</v>
      </c>
      <c r="AIQ3" s="23">
        <v>45347</v>
      </c>
      <c r="AIR3" s="23">
        <v>45351</v>
      </c>
      <c r="AIS3" s="23">
        <v>45360</v>
      </c>
      <c r="AIT3" s="23">
        <v>45363</v>
      </c>
      <c r="AIU3" s="23">
        <v>45364</v>
      </c>
      <c r="AIV3" s="23">
        <v>45364</v>
      </c>
      <c r="AIW3" s="23">
        <v>45365</v>
      </c>
      <c r="AIX3" s="23">
        <v>45365</v>
      </c>
      <c r="AIY3" s="23">
        <v>45371</v>
      </c>
      <c r="AIZ3" s="23">
        <v>45372</v>
      </c>
      <c r="AJA3" s="23">
        <v>45373</v>
      </c>
      <c r="AJB3" s="23">
        <v>45379</v>
      </c>
      <c r="AJC3" s="23">
        <v>45379</v>
      </c>
      <c r="AJD3" s="23">
        <v>45380</v>
      </c>
      <c r="AJE3" s="23">
        <v>45384</v>
      </c>
      <c r="AJF3" s="23">
        <v>45385</v>
      </c>
      <c r="AJG3" s="23">
        <v>45386</v>
      </c>
      <c r="AJH3" s="23">
        <v>45386</v>
      </c>
      <c r="AJI3" s="23">
        <v>45394</v>
      </c>
      <c r="AJJ3" s="23">
        <v>45395</v>
      </c>
      <c r="AJK3" s="23">
        <v>45400</v>
      </c>
      <c r="AJL3" s="23">
        <v>45404</v>
      </c>
      <c r="AJM3" s="23">
        <v>45406</v>
      </c>
      <c r="AJN3" s="23">
        <v>45409</v>
      </c>
      <c r="AJO3" s="23">
        <v>45413</v>
      </c>
      <c r="AJP3" s="23">
        <v>45424</v>
      </c>
      <c r="AJQ3" s="23">
        <v>45425</v>
      </c>
      <c r="AJR3" s="23">
        <v>45430</v>
      </c>
      <c r="AJS3" s="23">
        <v>45434</v>
      </c>
      <c r="AJT3" s="23">
        <v>45435</v>
      </c>
      <c r="AJU3" s="23">
        <v>45437</v>
      </c>
      <c r="AJV3" s="23">
        <v>45440</v>
      </c>
      <c r="AJW3" s="23">
        <v>45444</v>
      </c>
      <c r="AJX3" s="23">
        <v>45446</v>
      </c>
      <c r="AJY3" s="23">
        <v>45448</v>
      </c>
      <c r="AJZ3" s="23">
        <v>45452</v>
      </c>
      <c r="AKA3" s="23">
        <v>45454</v>
      </c>
      <c r="AKB3" s="23">
        <v>45471</v>
      </c>
      <c r="AKC3" s="23">
        <v>45478</v>
      </c>
      <c r="AKD3" s="23">
        <v>45480</v>
      </c>
      <c r="AKE3" s="23">
        <v>45484</v>
      </c>
      <c r="AKF3" s="23">
        <v>45487</v>
      </c>
      <c r="AKG3" s="23">
        <v>45487</v>
      </c>
      <c r="AKH3" s="23">
        <v>45487</v>
      </c>
      <c r="AKI3" s="23">
        <v>45491</v>
      </c>
      <c r="AKJ3" s="23">
        <v>45491</v>
      </c>
      <c r="AKK3" s="23">
        <v>45491</v>
      </c>
      <c r="AKL3" s="23">
        <v>45494</v>
      </c>
      <c r="AKM3" s="23">
        <v>45502</v>
      </c>
      <c r="AKN3" s="23">
        <v>45504</v>
      </c>
      <c r="AKO3" s="23">
        <v>45505</v>
      </c>
      <c r="AKP3" s="23">
        <v>45506</v>
      </c>
      <c r="AKQ3" s="23">
        <v>45508</v>
      </c>
      <c r="AKR3" s="23">
        <v>45508</v>
      </c>
      <c r="AKS3" s="23">
        <v>45517</v>
      </c>
      <c r="AKT3" s="23">
        <v>45523</v>
      </c>
      <c r="AKU3" s="23">
        <v>45531</v>
      </c>
      <c r="AKV3" s="23">
        <v>45534</v>
      </c>
      <c r="AKW3" s="23">
        <v>45535</v>
      </c>
      <c r="AKX3" s="23">
        <v>45539</v>
      </c>
      <c r="AKY3" s="23">
        <v>45542</v>
      </c>
      <c r="AKZ3" s="23">
        <v>45544</v>
      </c>
      <c r="ALA3" s="23">
        <v>45549</v>
      </c>
      <c r="ALB3" s="23">
        <v>45552</v>
      </c>
      <c r="ALC3" s="23">
        <v>45558</v>
      </c>
      <c r="ALD3" s="23">
        <v>45560</v>
      </c>
      <c r="ALE3" s="23">
        <v>45565</v>
      </c>
      <c r="ALF3" s="23">
        <v>45566</v>
      </c>
      <c r="ALG3" s="23">
        <v>45566</v>
      </c>
      <c r="ALH3" s="23">
        <v>45569</v>
      </c>
      <c r="ALI3" s="23">
        <v>45570</v>
      </c>
      <c r="ALJ3" s="23">
        <v>45572</v>
      </c>
      <c r="ALK3" s="23">
        <v>45578</v>
      </c>
      <c r="ALL3" s="23">
        <v>45592</v>
      </c>
      <c r="ALM3" s="23">
        <v>45597</v>
      </c>
      <c r="ALN3" s="23">
        <v>45599</v>
      </c>
      <c r="ALO3" s="23">
        <v>45614</v>
      </c>
      <c r="ALP3" s="23">
        <v>45616</v>
      </c>
      <c r="ALQ3" s="23">
        <v>45617</v>
      </c>
      <c r="ALR3" s="23">
        <v>45629</v>
      </c>
      <c r="ALS3" s="23">
        <v>45637</v>
      </c>
      <c r="ALT3" s="23">
        <v>45637</v>
      </c>
      <c r="ALU3" s="23">
        <v>45649</v>
      </c>
      <c r="ALV3" s="23">
        <v>45659</v>
      </c>
    </row>
    <row r="4" spans="1:1010" x14ac:dyDescent="0.25">
      <c r="A4" s="13" t="s">
        <v>3</v>
      </c>
      <c r="B4" s="13" t="s">
        <v>48</v>
      </c>
      <c r="C4" s="13" t="s">
        <v>48</v>
      </c>
      <c r="D4" s="13" t="s">
        <v>48</v>
      </c>
      <c r="E4" s="13" t="s">
        <v>210</v>
      </c>
      <c r="F4" s="13" t="s">
        <v>48</v>
      </c>
      <c r="G4" s="13" t="s">
        <v>48</v>
      </c>
      <c r="H4" s="13" t="s">
        <v>48</v>
      </c>
      <c r="I4" s="13" t="s">
        <v>48</v>
      </c>
      <c r="J4" s="13" t="s">
        <v>48</v>
      </c>
      <c r="K4" s="13" t="s">
        <v>48</v>
      </c>
      <c r="L4" s="13" t="s">
        <v>48</v>
      </c>
      <c r="M4" s="13" t="s">
        <v>48</v>
      </c>
      <c r="N4" s="13" t="s">
        <v>48</v>
      </c>
      <c r="O4" s="13" t="s">
        <v>48</v>
      </c>
      <c r="P4" s="13" t="s">
        <v>48</v>
      </c>
      <c r="Q4" s="13" t="s">
        <v>48</v>
      </c>
      <c r="R4" s="13" t="s">
        <v>48</v>
      </c>
      <c r="S4" s="13" t="s">
        <v>210</v>
      </c>
      <c r="T4" s="13" t="s">
        <v>48</v>
      </c>
      <c r="U4" s="13" t="s">
        <v>48</v>
      </c>
      <c r="V4" s="13" t="s">
        <v>48</v>
      </c>
      <c r="W4" s="13" t="s">
        <v>48</v>
      </c>
      <c r="X4" s="13" t="s">
        <v>48</v>
      </c>
      <c r="Y4" s="13" t="s">
        <v>48</v>
      </c>
      <c r="Z4" s="13" t="s">
        <v>48</v>
      </c>
      <c r="AA4" s="13" t="s">
        <v>48</v>
      </c>
      <c r="AB4" s="13" t="s">
        <v>48</v>
      </c>
      <c r="AC4" s="13" t="s">
        <v>48</v>
      </c>
      <c r="AD4" s="13" t="s">
        <v>48</v>
      </c>
      <c r="AE4" s="13" t="s">
        <v>48</v>
      </c>
      <c r="AF4" s="13" t="s">
        <v>48</v>
      </c>
      <c r="AG4" s="13" t="s">
        <v>48</v>
      </c>
      <c r="AH4" s="13" t="s">
        <v>48</v>
      </c>
      <c r="AI4" s="13" t="s">
        <v>48</v>
      </c>
      <c r="AJ4" s="13" t="s">
        <v>48</v>
      </c>
      <c r="AK4" s="13" t="s">
        <v>48</v>
      </c>
      <c r="AL4" s="13" t="s">
        <v>48</v>
      </c>
      <c r="AM4" s="13" t="s">
        <v>48</v>
      </c>
      <c r="AN4" s="13" t="s">
        <v>48</v>
      </c>
      <c r="AO4" s="13" t="s">
        <v>48</v>
      </c>
      <c r="AP4" s="13" t="s">
        <v>48</v>
      </c>
      <c r="AQ4" s="13" t="s">
        <v>48</v>
      </c>
      <c r="AR4" s="13" t="s">
        <v>48</v>
      </c>
      <c r="AS4" s="13" t="s">
        <v>48</v>
      </c>
      <c r="AT4" s="13" t="s">
        <v>48</v>
      </c>
      <c r="AU4" s="13" t="s">
        <v>210</v>
      </c>
      <c r="AV4" s="13" t="s">
        <v>48</v>
      </c>
      <c r="AW4" s="13" t="s">
        <v>48</v>
      </c>
      <c r="AX4" s="13" t="s">
        <v>48</v>
      </c>
      <c r="AY4" s="13" t="s">
        <v>48</v>
      </c>
      <c r="AZ4" s="13" t="s">
        <v>210</v>
      </c>
      <c r="BA4" s="13" t="s">
        <v>48</v>
      </c>
      <c r="BB4" s="13" t="s">
        <v>48</v>
      </c>
      <c r="BC4" s="13" t="s">
        <v>48</v>
      </c>
      <c r="BD4" s="13" t="s">
        <v>48</v>
      </c>
      <c r="BE4" s="13" t="s">
        <v>48</v>
      </c>
      <c r="BF4" s="13" t="s">
        <v>48</v>
      </c>
      <c r="BG4" s="13" t="s">
        <v>48</v>
      </c>
      <c r="BH4" s="13" t="s">
        <v>48</v>
      </c>
      <c r="BI4" s="13" t="s">
        <v>48</v>
      </c>
      <c r="BJ4" s="13" t="s">
        <v>48</v>
      </c>
      <c r="BK4" s="13" t="s">
        <v>48</v>
      </c>
      <c r="BL4" s="13" t="s">
        <v>48</v>
      </c>
      <c r="BM4" s="13" t="s">
        <v>48</v>
      </c>
      <c r="BN4" s="13" t="s">
        <v>48</v>
      </c>
      <c r="BO4" s="13" t="s">
        <v>48</v>
      </c>
      <c r="BP4" s="13" t="s">
        <v>48</v>
      </c>
      <c r="BQ4" s="13" t="s">
        <v>48</v>
      </c>
      <c r="BR4" s="13" t="s">
        <v>48</v>
      </c>
      <c r="BS4" s="13" t="s">
        <v>48</v>
      </c>
      <c r="BT4" s="13" t="s">
        <v>48</v>
      </c>
      <c r="BU4" s="13" t="s">
        <v>48</v>
      </c>
      <c r="BV4" s="13" t="s">
        <v>48</v>
      </c>
      <c r="BW4" s="13" t="s">
        <v>48</v>
      </c>
      <c r="BX4" s="13" t="s">
        <v>48</v>
      </c>
      <c r="BY4" s="13" t="s">
        <v>48</v>
      </c>
      <c r="BZ4" s="13" t="s">
        <v>48</v>
      </c>
      <c r="CA4" s="13" t="s">
        <v>48</v>
      </c>
      <c r="CB4" s="13" t="s">
        <v>48</v>
      </c>
      <c r="CC4" s="13" t="s">
        <v>48</v>
      </c>
      <c r="CD4" s="13" t="s">
        <v>48</v>
      </c>
      <c r="CE4" s="13" t="s">
        <v>48</v>
      </c>
      <c r="CF4" s="13" t="s">
        <v>48</v>
      </c>
      <c r="CG4" s="13" t="s">
        <v>48</v>
      </c>
      <c r="CH4" s="13" t="s">
        <v>48</v>
      </c>
      <c r="CI4" s="13" t="s">
        <v>48</v>
      </c>
      <c r="CJ4" s="13" t="s">
        <v>48</v>
      </c>
      <c r="CK4" s="13" t="s">
        <v>48</v>
      </c>
      <c r="CL4" s="13" t="s">
        <v>48</v>
      </c>
      <c r="CM4" s="13" t="s">
        <v>48</v>
      </c>
      <c r="CN4" s="13" t="s">
        <v>48</v>
      </c>
      <c r="CO4" s="13" t="s">
        <v>48</v>
      </c>
      <c r="CP4" s="13" t="s">
        <v>48</v>
      </c>
      <c r="CQ4" s="13" t="s">
        <v>48</v>
      </c>
      <c r="CR4" s="13" t="s">
        <v>48</v>
      </c>
      <c r="CS4" s="13" t="s">
        <v>48</v>
      </c>
      <c r="CT4" s="13" t="s">
        <v>48</v>
      </c>
      <c r="CU4" s="13" t="s">
        <v>48</v>
      </c>
      <c r="CV4" s="13" t="s">
        <v>48</v>
      </c>
      <c r="CW4" s="13" t="s">
        <v>48</v>
      </c>
      <c r="CX4" s="13" t="s">
        <v>210</v>
      </c>
      <c r="CY4" s="13" t="s">
        <v>48</v>
      </c>
      <c r="CZ4" s="13" t="s">
        <v>48</v>
      </c>
      <c r="DA4" s="13" t="s">
        <v>48</v>
      </c>
      <c r="DB4" s="13" t="s">
        <v>48</v>
      </c>
      <c r="DC4" s="13" t="s">
        <v>48</v>
      </c>
      <c r="DD4" s="13" t="s">
        <v>48</v>
      </c>
      <c r="DE4" s="13" t="s">
        <v>48</v>
      </c>
      <c r="DF4" s="13" t="s">
        <v>48</v>
      </c>
      <c r="DG4" s="13" t="s">
        <v>48</v>
      </c>
      <c r="DH4" s="13" t="s">
        <v>48</v>
      </c>
      <c r="DI4" s="13" t="s">
        <v>48</v>
      </c>
      <c r="DJ4" s="13" t="s">
        <v>210</v>
      </c>
      <c r="DK4" s="13" t="s">
        <v>48</v>
      </c>
      <c r="DL4" s="13" t="s">
        <v>48</v>
      </c>
      <c r="DM4" s="13" t="s">
        <v>48</v>
      </c>
      <c r="DN4" s="13" t="s">
        <v>48</v>
      </c>
      <c r="DO4" s="13" t="s">
        <v>48</v>
      </c>
      <c r="DP4" s="13" t="s">
        <v>48</v>
      </c>
      <c r="DQ4" s="13" t="s">
        <v>48</v>
      </c>
      <c r="DR4" s="13" t="s">
        <v>48</v>
      </c>
      <c r="DS4" s="13" t="s">
        <v>48</v>
      </c>
      <c r="DT4" s="13" t="s">
        <v>48</v>
      </c>
      <c r="DU4" s="13" t="s">
        <v>48</v>
      </c>
      <c r="DV4" s="13" t="s">
        <v>48</v>
      </c>
      <c r="DW4" s="13" t="s">
        <v>48</v>
      </c>
      <c r="DX4" s="13" t="s">
        <v>48</v>
      </c>
      <c r="DY4" s="13" t="s">
        <v>48</v>
      </c>
      <c r="DZ4" s="13" t="s">
        <v>48</v>
      </c>
      <c r="EA4" s="13" t="s">
        <v>48</v>
      </c>
      <c r="EB4" s="13" t="s">
        <v>48</v>
      </c>
      <c r="EC4" s="13" t="s">
        <v>48</v>
      </c>
      <c r="ED4" s="13" t="s">
        <v>48</v>
      </c>
      <c r="EE4" s="13" t="s">
        <v>48</v>
      </c>
      <c r="EF4" s="13" t="s">
        <v>48</v>
      </c>
      <c r="EG4" s="13" t="s">
        <v>48</v>
      </c>
      <c r="EH4" s="13" t="s">
        <v>48</v>
      </c>
      <c r="EI4" s="13" t="s">
        <v>48</v>
      </c>
      <c r="EJ4" s="13" t="s">
        <v>48</v>
      </c>
      <c r="EK4" s="13" t="s">
        <v>48</v>
      </c>
      <c r="EL4" s="13" t="s">
        <v>48</v>
      </c>
      <c r="EM4" s="13" t="s">
        <v>48</v>
      </c>
      <c r="EN4" s="13" t="s">
        <v>48</v>
      </c>
      <c r="EO4" s="13" t="s">
        <v>48</v>
      </c>
      <c r="EP4" s="13" t="s">
        <v>48</v>
      </c>
      <c r="EQ4" s="13" t="s">
        <v>48</v>
      </c>
      <c r="ER4" s="13" t="s">
        <v>48</v>
      </c>
      <c r="ES4" s="13" t="s">
        <v>48</v>
      </c>
      <c r="ET4" s="13" t="s">
        <v>48</v>
      </c>
      <c r="EU4" s="13" t="s">
        <v>48</v>
      </c>
      <c r="EV4" s="13" t="s">
        <v>48</v>
      </c>
      <c r="EW4" s="13" t="s">
        <v>48</v>
      </c>
      <c r="EX4" s="13" t="s">
        <v>48</v>
      </c>
      <c r="EY4" s="13" t="s">
        <v>48</v>
      </c>
      <c r="EZ4" s="13" t="s">
        <v>48</v>
      </c>
      <c r="FA4" s="13" t="s">
        <v>48</v>
      </c>
      <c r="FB4" s="13" t="s">
        <v>48</v>
      </c>
      <c r="FC4" s="13" t="s">
        <v>48</v>
      </c>
      <c r="FD4" s="13" t="s">
        <v>48</v>
      </c>
      <c r="FE4" s="13" t="s">
        <v>48</v>
      </c>
      <c r="FF4" s="13" t="s">
        <v>48</v>
      </c>
      <c r="FG4" s="13" t="s">
        <v>48</v>
      </c>
      <c r="FH4" s="13" t="s">
        <v>48</v>
      </c>
      <c r="FI4" s="13" t="s">
        <v>48</v>
      </c>
      <c r="FJ4" s="13" t="s">
        <v>48</v>
      </c>
      <c r="FK4" s="13" t="s">
        <v>210</v>
      </c>
      <c r="FL4" s="13" t="s">
        <v>48</v>
      </c>
      <c r="FM4" s="13" t="s">
        <v>48</v>
      </c>
      <c r="FN4" s="13" t="s">
        <v>48</v>
      </c>
      <c r="FO4" s="13" t="s">
        <v>48</v>
      </c>
      <c r="FP4" s="13" t="s">
        <v>48</v>
      </c>
      <c r="FQ4" s="13" t="s">
        <v>48</v>
      </c>
      <c r="FR4" s="13" t="s">
        <v>48</v>
      </c>
      <c r="FS4" s="13" t="s">
        <v>48</v>
      </c>
      <c r="FT4" s="13" t="s">
        <v>210</v>
      </c>
      <c r="FU4" s="13" t="s">
        <v>48</v>
      </c>
      <c r="FV4" s="13" t="s">
        <v>48</v>
      </c>
      <c r="FW4" s="13" t="s">
        <v>48</v>
      </c>
      <c r="FX4" s="13" t="s">
        <v>48</v>
      </c>
      <c r="FY4" s="13" t="s">
        <v>48</v>
      </c>
      <c r="FZ4" s="13" t="s">
        <v>48</v>
      </c>
      <c r="GA4" s="13" t="s">
        <v>48</v>
      </c>
      <c r="GB4" s="13" t="s">
        <v>48</v>
      </c>
      <c r="GC4" s="13" t="s">
        <v>48</v>
      </c>
      <c r="GD4" s="13" t="s">
        <v>48</v>
      </c>
      <c r="GE4" s="13" t="s">
        <v>48</v>
      </c>
      <c r="GF4" s="13" t="s">
        <v>48</v>
      </c>
      <c r="GG4" s="13" t="s">
        <v>48</v>
      </c>
      <c r="GH4" s="13" t="s">
        <v>48</v>
      </c>
      <c r="GI4" s="13" t="s">
        <v>48</v>
      </c>
      <c r="GJ4" s="13" t="s">
        <v>48</v>
      </c>
      <c r="GK4" s="13" t="s">
        <v>48</v>
      </c>
      <c r="GL4" s="13" t="s">
        <v>48</v>
      </c>
      <c r="GM4" s="13" t="s">
        <v>48</v>
      </c>
      <c r="GN4" s="13" t="s">
        <v>48</v>
      </c>
      <c r="GO4" s="13" t="s">
        <v>48</v>
      </c>
      <c r="GP4" s="13" t="s">
        <v>48</v>
      </c>
      <c r="GQ4" s="13" t="s">
        <v>48</v>
      </c>
      <c r="GR4" s="13" t="s">
        <v>48</v>
      </c>
      <c r="GS4" s="13" t="s">
        <v>48</v>
      </c>
      <c r="GT4" s="13" t="s">
        <v>48</v>
      </c>
      <c r="GU4" s="13" t="s">
        <v>48</v>
      </c>
      <c r="GV4" s="13" t="s">
        <v>48</v>
      </c>
      <c r="GW4" s="13" t="s">
        <v>48</v>
      </c>
      <c r="GX4" s="13" t="s">
        <v>48</v>
      </c>
      <c r="GY4" s="13" t="s">
        <v>48</v>
      </c>
      <c r="GZ4" s="13" t="s">
        <v>48</v>
      </c>
      <c r="HA4" s="13" t="s">
        <v>48</v>
      </c>
      <c r="HB4" s="13" t="s">
        <v>48</v>
      </c>
      <c r="HC4" s="13" t="s">
        <v>48</v>
      </c>
      <c r="HD4" s="13" t="s">
        <v>48</v>
      </c>
      <c r="HE4" s="13" t="s">
        <v>48</v>
      </c>
      <c r="HF4" s="13" t="s">
        <v>48</v>
      </c>
      <c r="HG4" s="13" t="s">
        <v>48</v>
      </c>
      <c r="HH4" s="13" t="s">
        <v>48</v>
      </c>
      <c r="HI4" s="13" t="s">
        <v>48</v>
      </c>
      <c r="HJ4" s="13" t="s">
        <v>48</v>
      </c>
      <c r="HK4" s="13" t="s">
        <v>48</v>
      </c>
      <c r="HL4" s="13" t="s">
        <v>48</v>
      </c>
      <c r="HM4" s="13" t="s">
        <v>48</v>
      </c>
      <c r="HN4" s="13" t="s">
        <v>48</v>
      </c>
      <c r="HO4" s="13" t="s">
        <v>48</v>
      </c>
      <c r="HP4" s="13" t="s">
        <v>48</v>
      </c>
      <c r="HQ4" s="13" t="s">
        <v>48</v>
      </c>
      <c r="HR4" s="13" t="s">
        <v>48</v>
      </c>
      <c r="HS4" s="13" t="s">
        <v>48</v>
      </c>
      <c r="HT4" s="13" t="s">
        <v>48</v>
      </c>
      <c r="HU4" s="13" t="s">
        <v>48</v>
      </c>
      <c r="HV4" s="13" t="s">
        <v>48</v>
      </c>
      <c r="HW4" s="13" t="s">
        <v>48</v>
      </c>
      <c r="HX4" s="13" t="s">
        <v>48</v>
      </c>
      <c r="HY4" s="13" t="s">
        <v>48</v>
      </c>
      <c r="HZ4" s="13" t="s">
        <v>48</v>
      </c>
      <c r="IA4" s="13" t="s">
        <v>48</v>
      </c>
      <c r="IB4" s="13" t="s">
        <v>48</v>
      </c>
      <c r="IC4" s="13" t="s">
        <v>48</v>
      </c>
      <c r="ID4" s="13" t="s">
        <v>73</v>
      </c>
      <c r="IE4" s="13" t="s">
        <v>73</v>
      </c>
      <c r="IF4" s="13" t="s">
        <v>73</v>
      </c>
      <c r="IG4" s="13" t="s">
        <v>73</v>
      </c>
      <c r="IH4" s="13" t="s">
        <v>73</v>
      </c>
      <c r="II4" s="13" t="s">
        <v>73</v>
      </c>
      <c r="IJ4" s="13" t="s">
        <v>1823</v>
      </c>
      <c r="IK4" s="13" t="s">
        <v>73</v>
      </c>
      <c r="IL4" s="13" t="s">
        <v>73</v>
      </c>
      <c r="IM4" s="13" t="s">
        <v>73</v>
      </c>
      <c r="IN4" s="13" t="s">
        <v>73</v>
      </c>
      <c r="IO4" s="13" t="s">
        <v>73</v>
      </c>
      <c r="IP4" s="13" t="s">
        <v>73</v>
      </c>
      <c r="IQ4" s="13" t="s">
        <v>73</v>
      </c>
      <c r="IR4" s="13" t="s">
        <v>73</v>
      </c>
      <c r="IS4" s="13" t="s">
        <v>73</v>
      </c>
      <c r="IT4" s="13" t="s">
        <v>73</v>
      </c>
      <c r="IU4" s="13" t="s">
        <v>73</v>
      </c>
      <c r="IV4" s="13" t="s">
        <v>73</v>
      </c>
      <c r="IW4" s="13" t="s">
        <v>73</v>
      </c>
      <c r="IX4" s="13" t="s">
        <v>73</v>
      </c>
      <c r="IY4" s="13" t="s">
        <v>73</v>
      </c>
      <c r="IZ4" s="13" t="s">
        <v>73</v>
      </c>
      <c r="JA4" s="13" t="s">
        <v>73</v>
      </c>
      <c r="JB4" s="13" t="s">
        <v>73</v>
      </c>
      <c r="JC4" s="13" t="s">
        <v>73</v>
      </c>
      <c r="JD4" s="13" t="s">
        <v>73</v>
      </c>
      <c r="JE4" s="13" t="s">
        <v>73</v>
      </c>
      <c r="JF4" s="13" t="s">
        <v>1823</v>
      </c>
      <c r="JG4" s="13" t="s">
        <v>73</v>
      </c>
      <c r="JH4" s="13" t="s">
        <v>73</v>
      </c>
      <c r="JI4" s="13" t="s">
        <v>73</v>
      </c>
      <c r="JJ4" s="13" t="s">
        <v>73</v>
      </c>
      <c r="JK4" s="13" t="s">
        <v>73</v>
      </c>
      <c r="JL4" s="13" t="s">
        <v>73</v>
      </c>
      <c r="JM4" s="13" t="s">
        <v>73</v>
      </c>
      <c r="JN4" s="13" t="s">
        <v>73</v>
      </c>
      <c r="JO4" s="13" t="s">
        <v>73</v>
      </c>
      <c r="JP4" s="13" t="s">
        <v>73</v>
      </c>
      <c r="JQ4" s="13" t="s">
        <v>73</v>
      </c>
      <c r="JR4" s="13" t="s">
        <v>73</v>
      </c>
      <c r="JS4" s="13" t="s">
        <v>73</v>
      </c>
      <c r="JT4" s="13" t="s">
        <v>73</v>
      </c>
      <c r="JU4" s="13" t="s">
        <v>73</v>
      </c>
      <c r="JV4" s="13" t="s">
        <v>73</v>
      </c>
      <c r="JW4" s="13" t="s">
        <v>73</v>
      </c>
      <c r="JX4" s="13" t="s">
        <v>73</v>
      </c>
      <c r="JY4" s="13" t="s">
        <v>73</v>
      </c>
      <c r="JZ4" s="13" t="s">
        <v>73</v>
      </c>
      <c r="KA4" s="13" t="s">
        <v>73</v>
      </c>
      <c r="KB4" s="13" t="s">
        <v>73</v>
      </c>
      <c r="KC4" s="13" t="s">
        <v>73</v>
      </c>
      <c r="KD4" s="13" t="s">
        <v>73</v>
      </c>
      <c r="KE4" s="13" t="s">
        <v>73</v>
      </c>
      <c r="KF4" s="13" t="s">
        <v>73</v>
      </c>
      <c r="KG4" s="13" t="s">
        <v>73</v>
      </c>
      <c r="KH4" s="13" t="s">
        <v>73</v>
      </c>
      <c r="KI4" s="13" t="s">
        <v>73</v>
      </c>
      <c r="KJ4" s="13" t="s">
        <v>73</v>
      </c>
      <c r="KK4" s="13" t="s">
        <v>73</v>
      </c>
      <c r="KL4" s="13" t="s">
        <v>73</v>
      </c>
      <c r="KM4" s="13" t="s">
        <v>73</v>
      </c>
      <c r="KN4" s="13" t="s">
        <v>73</v>
      </c>
      <c r="KO4" s="13" t="s">
        <v>73</v>
      </c>
      <c r="KP4" s="13" t="s">
        <v>73</v>
      </c>
      <c r="KQ4" s="13" t="s">
        <v>73</v>
      </c>
      <c r="KR4" s="13" t="s">
        <v>73</v>
      </c>
      <c r="KS4" s="13" t="s">
        <v>73</v>
      </c>
      <c r="KT4" s="13" t="s">
        <v>73</v>
      </c>
      <c r="KU4" s="13" t="s">
        <v>73</v>
      </c>
      <c r="KV4" s="13" t="s">
        <v>73</v>
      </c>
      <c r="KW4" s="13" t="s">
        <v>73</v>
      </c>
      <c r="KX4" s="13" t="s">
        <v>73</v>
      </c>
      <c r="KY4" s="13" t="s">
        <v>73</v>
      </c>
      <c r="KZ4" s="13" t="s">
        <v>73</v>
      </c>
      <c r="LA4" s="13" t="s">
        <v>73</v>
      </c>
      <c r="LB4" s="13" t="s">
        <v>73</v>
      </c>
      <c r="LC4" s="13" t="s">
        <v>73</v>
      </c>
      <c r="LD4" s="13" t="s">
        <v>73</v>
      </c>
      <c r="LE4" s="13" t="s">
        <v>73</v>
      </c>
      <c r="LF4" s="13" t="s">
        <v>73</v>
      </c>
      <c r="LG4" s="13" t="s">
        <v>73</v>
      </c>
      <c r="LH4" s="13" t="s">
        <v>73</v>
      </c>
      <c r="LI4" s="13" t="s">
        <v>73</v>
      </c>
      <c r="LJ4" s="13" t="s">
        <v>73</v>
      </c>
      <c r="LK4" s="13" t="s">
        <v>73</v>
      </c>
      <c r="LL4" s="13" t="s">
        <v>73</v>
      </c>
      <c r="LM4" s="13" t="s">
        <v>73</v>
      </c>
      <c r="LN4" s="13" t="s">
        <v>73</v>
      </c>
      <c r="LO4" s="13" t="s">
        <v>73</v>
      </c>
      <c r="LP4" s="13" t="s">
        <v>73</v>
      </c>
      <c r="LQ4" s="13" t="s">
        <v>73</v>
      </c>
      <c r="LR4" s="13" t="s">
        <v>73</v>
      </c>
      <c r="LS4" s="13" t="s">
        <v>73</v>
      </c>
      <c r="LT4" s="13" t="s">
        <v>73</v>
      </c>
      <c r="LU4" s="13" t="s">
        <v>73</v>
      </c>
      <c r="LV4" s="13" t="s">
        <v>73</v>
      </c>
      <c r="LW4" s="13" t="s">
        <v>73</v>
      </c>
      <c r="LX4" s="13" t="s">
        <v>73</v>
      </c>
      <c r="LY4" s="13" t="s">
        <v>73</v>
      </c>
      <c r="LZ4" s="13" t="s">
        <v>73</v>
      </c>
      <c r="MA4" s="13" t="s">
        <v>73</v>
      </c>
      <c r="MB4" s="13" t="s">
        <v>73</v>
      </c>
      <c r="MC4" s="13" t="s">
        <v>73</v>
      </c>
      <c r="MD4" s="13" t="s">
        <v>73</v>
      </c>
      <c r="ME4" s="13" t="s">
        <v>73</v>
      </c>
      <c r="MF4" s="13" t="s">
        <v>73</v>
      </c>
      <c r="MG4" s="13" t="s">
        <v>73</v>
      </c>
      <c r="MH4" s="13" t="s">
        <v>73</v>
      </c>
      <c r="MI4" s="13" t="s">
        <v>73</v>
      </c>
      <c r="MJ4" s="13" t="s">
        <v>73</v>
      </c>
      <c r="MK4" s="13" t="s">
        <v>73</v>
      </c>
      <c r="ML4" s="13" t="s">
        <v>73</v>
      </c>
      <c r="MM4" s="13" t="s">
        <v>73</v>
      </c>
      <c r="MN4" s="13" t="s">
        <v>73</v>
      </c>
      <c r="MO4" s="13" t="s">
        <v>73</v>
      </c>
      <c r="MP4" s="13" t="s">
        <v>73</v>
      </c>
      <c r="MQ4" s="13" t="s">
        <v>73</v>
      </c>
      <c r="MR4" s="13" t="s">
        <v>73</v>
      </c>
      <c r="MS4" s="13" t="s">
        <v>73</v>
      </c>
      <c r="MT4" s="13" t="s">
        <v>416</v>
      </c>
      <c r="MU4" s="13" t="s">
        <v>73</v>
      </c>
      <c r="MV4" s="13" t="s">
        <v>73</v>
      </c>
      <c r="MW4" s="13" t="s">
        <v>73</v>
      </c>
      <c r="MX4" s="13" t="s">
        <v>73</v>
      </c>
      <c r="MY4" s="13" t="s">
        <v>73</v>
      </c>
      <c r="MZ4" s="13" t="s">
        <v>1823</v>
      </c>
      <c r="NA4" s="13" t="s">
        <v>73</v>
      </c>
      <c r="NB4" s="13" t="s">
        <v>73</v>
      </c>
      <c r="NC4" s="13" t="s">
        <v>73</v>
      </c>
      <c r="ND4" s="13" t="s">
        <v>73</v>
      </c>
      <c r="NE4" s="13" t="s">
        <v>73</v>
      </c>
      <c r="NF4" s="13" t="s">
        <v>73</v>
      </c>
      <c r="NG4" s="13" t="s">
        <v>73</v>
      </c>
      <c r="NH4" s="13" t="s">
        <v>73</v>
      </c>
      <c r="NI4" s="13" t="s">
        <v>73</v>
      </c>
      <c r="NJ4" s="13" t="s">
        <v>73</v>
      </c>
      <c r="NK4" s="13" t="s">
        <v>73</v>
      </c>
      <c r="NL4" s="13" t="s">
        <v>1823</v>
      </c>
      <c r="NM4" s="13" t="s">
        <v>73</v>
      </c>
      <c r="NN4" s="13" t="s">
        <v>73</v>
      </c>
      <c r="NO4" s="13" t="s">
        <v>73</v>
      </c>
      <c r="NP4" s="13" t="s">
        <v>73</v>
      </c>
      <c r="NQ4" s="13" t="s">
        <v>73</v>
      </c>
      <c r="NR4" s="13" t="s">
        <v>73</v>
      </c>
      <c r="NS4" s="13" t="s">
        <v>73</v>
      </c>
      <c r="NT4" s="13" t="s">
        <v>73</v>
      </c>
      <c r="NU4" s="13" t="s">
        <v>73</v>
      </c>
      <c r="NV4" s="13" t="s">
        <v>73</v>
      </c>
      <c r="NW4" s="13" t="s">
        <v>73</v>
      </c>
      <c r="NX4" s="13" t="s">
        <v>73</v>
      </c>
      <c r="NY4" s="13" t="s">
        <v>73</v>
      </c>
      <c r="NZ4" s="13" t="s">
        <v>73</v>
      </c>
      <c r="OA4" s="13" t="s">
        <v>73</v>
      </c>
      <c r="OB4" s="13" t="s">
        <v>73</v>
      </c>
      <c r="OC4" s="13" t="s">
        <v>73</v>
      </c>
      <c r="OD4" s="13" t="s">
        <v>416</v>
      </c>
      <c r="OE4" s="13" t="s">
        <v>73</v>
      </c>
      <c r="OF4" s="13" t="s">
        <v>73</v>
      </c>
      <c r="OG4" s="13" t="s">
        <v>73</v>
      </c>
      <c r="OH4" s="13" t="s">
        <v>73</v>
      </c>
      <c r="OI4" s="13" t="s">
        <v>73</v>
      </c>
      <c r="OJ4" s="13" t="s">
        <v>416</v>
      </c>
      <c r="OK4" s="13" t="s">
        <v>73</v>
      </c>
      <c r="OL4" s="13" t="s">
        <v>73</v>
      </c>
      <c r="OM4" s="13" t="s">
        <v>73</v>
      </c>
      <c r="ON4" s="13" t="s">
        <v>73</v>
      </c>
      <c r="OO4" s="13" t="s">
        <v>73</v>
      </c>
      <c r="OP4" s="13" t="s">
        <v>73</v>
      </c>
      <c r="OQ4" s="13" t="s">
        <v>73</v>
      </c>
      <c r="OR4" s="13" t="s">
        <v>73</v>
      </c>
      <c r="OS4" s="13" t="s">
        <v>73</v>
      </c>
      <c r="OT4" s="13" t="s">
        <v>73</v>
      </c>
      <c r="OU4" s="13" t="s">
        <v>73</v>
      </c>
      <c r="OV4" s="13" t="s">
        <v>73</v>
      </c>
      <c r="OW4" s="13" t="s">
        <v>73</v>
      </c>
      <c r="OX4" s="13" t="s">
        <v>416</v>
      </c>
      <c r="OY4" s="13" t="s">
        <v>73</v>
      </c>
      <c r="OZ4" s="13" t="s">
        <v>73</v>
      </c>
      <c r="PA4" s="13" t="s">
        <v>73</v>
      </c>
      <c r="PB4" s="13" t="s">
        <v>73</v>
      </c>
      <c r="PC4" s="13" t="s">
        <v>73</v>
      </c>
      <c r="PD4" s="13" t="s">
        <v>73</v>
      </c>
      <c r="PE4" s="13" t="s">
        <v>73</v>
      </c>
      <c r="PF4" s="13" t="s">
        <v>73</v>
      </c>
      <c r="PG4" s="13" t="s">
        <v>73</v>
      </c>
      <c r="PH4" s="13" t="s">
        <v>73</v>
      </c>
      <c r="PI4" s="13" t="s">
        <v>73</v>
      </c>
      <c r="PJ4" s="13" t="s">
        <v>73</v>
      </c>
      <c r="PK4" s="13" t="s">
        <v>73</v>
      </c>
      <c r="PL4" s="13" t="s">
        <v>73</v>
      </c>
      <c r="PM4" s="13" t="s">
        <v>73</v>
      </c>
      <c r="PN4" s="13" t="s">
        <v>73</v>
      </c>
      <c r="PO4" s="13" t="s">
        <v>73</v>
      </c>
      <c r="PP4" s="13" t="s">
        <v>73</v>
      </c>
      <c r="PQ4" s="13" t="s">
        <v>73</v>
      </c>
      <c r="PR4" s="13" t="s">
        <v>73</v>
      </c>
      <c r="PS4" s="13" t="s">
        <v>73</v>
      </c>
      <c r="PT4" s="13" t="s">
        <v>73</v>
      </c>
      <c r="PU4" s="13" t="s">
        <v>73</v>
      </c>
      <c r="PV4" s="13" t="s">
        <v>73</v>
      </c>
      <c r="PW4" s="13" t="s">
        <v>73</v>
      </c>
      <c r="PX4" s="13" t="s">
        <v>73</v>
      </c>
      <c r="PY4" s="13" t="s">
        <v>73</v>
      </c>
      <c r="PZ4" s="13" t="s">
        <v>73</v>
      </c>
      <c r="QA4" s="13" t="s">
        <v>73</v>
      </c>
      <c r="QB4" s="13" t="s">
        <v>73</v>
      </c>
      <c r="QC4" s="13" t="s">
        <v>73</v>
      </c>
      <c r="QD4" s="13" t="s">
        <v>73</v>
      </c>
      <c r="QE4" s="13" t="s">
        <v>73</v>
      </c>
      <c r="QF4" s="13" t="s">
        <v>73</v>
      </c>
      <c r="QG4" s="13" t="s">
        <v>73</v>
      </c>
      <c r="QH4" s="13" t="s">
        <v>73</v>
      </c>
      <c r="QI4" s="13" t="s">
        <v>73</v>
      </c>
      <c r="QJ4" s="13" t="s">
        <v>73</v>
      </c>
      <c r="QK4" s="13" t="s">
        <v>73</v>
      </c>
      <c r="QL4" s="13" t="s">
        <v>73</v>
      </c>
      <c r="QM4" s="13" t="s">
        <v>73</v>
      </c>
      <c r="QN4" s="13" t="s">
        <v>73</v>
      </c>
      <c r="QO4" s="13" t="s">
        <v>73</v>
      </c>
      <c r="QP4" s="13" t="s">
        <v>73</v>
      </c>
      <c r="QQ4" s="13" t="s">
        <v>73</v>
      </c>
      <c r="QR4" s="13" t="s">
        <v>73</v>
      </c>
      <c r="QS4" s="13" t="s">
        <v>73</v>
      </c>
      <c r="QT4" s="13" t="s">
        <v>73</v>
      </c>
      <c r="QU4" s="13" t="s">
        <v>73</v>
      </c>
      <c r="QV4" s="13" t="s">
        <v>73</v>
      </c>
      <c r="QW4" s="13" t="s">
        <v>73</v>
      </c>
      <c r="QX4" s="13" t="s">
        <v>73</v>
      </c>
      <c r="QY4" s="13" t="s">
        <v>73</v>
      </c>
      <c r="QZ4" s="13" t="s">
        <v>73</v>
      </c>
      <c r="RA4" s="13" t="s">
        <v>73</v>
      </c>
      <c r="RB4" s="13" t="s">
        <v>73</v>
      </c>
      <c r="RC4" s="13" t="s">
        <v>73</v>
      </c>
      <c r="RD4" s="13" t="s">
        <v>73</v>
      </c>
      <c r="RE4" s="13" t="s">
        <v>73</v>
      </c>
      <c r="RF4" s="13" t="s">
        <v>73</v>
      </c>
      <c r="RG4" s="13" t="s">
        <v>73</v>
      </c>
      <c r="RH4" s="13" t="s">
        <v>73</v>
      </c>
      <c r="RI4" s="13" t="s">
        <v>73</v>
      </c>
      <c r="RJ4" s="13" t="s">
        <v>73</v>
      </c>
      <c r="RK4" s="13" t="s">
        <v>416</v>
      </c>
      <c r="RL4" s="13" t="s">
        <v>73</v>
      </c>
      <c r="RM4" s="13" t="s">
        <v>73</v>
      </c>
      <c r="RN4" s="13" t="s">
        <v>73</v>
      </c>
      <c r="RO4" s="13" t="s">
        <v>73</v>
      </c>
      <c r="RP4" s="13" t="s">
        <v>73</v>
      </c>
      <c r="RQ4" s="13" t="s">
        <v>73</v>
      </c>
      <c r="RR4" s="13" t="s">
        <v>73</v>
      </c>
      <c r="RS4" s="13" t="s">
        <v>73</v>
      </c>
      <c r="RT4" s="13" t="s">
        <v>73</v>
      </c>
      <c r="RU4" s="13" t="s">
        <v>32</v>
      </c>
      <c r="RV4" s="13" t="s">
        <v>32</v>
      </c>
      <c r="RW4" s="13" t="s">
        <v>32</v>
      </c>
      <c r="RX4" s="13" t="s">
        <v>32</v>
      </c>
      <c r="RY4" s="13" t="s">
        <v>32</v>
      </c>
      <c r="RZ4" s="13" t="s">
        <v>32</v>
      </c>
      <c r="SA4" s="13" t="s">
        <v>32</v>
      </c>
      <c r="SB4" s="13" t="s">
        <v>619</v>
      </c>
      <c r="SC4" s="13" t="s">
        <v>32</v>
      </c>
      <c r="SD4" s="13" t="s">
        <v>32</v>
      </c>
      <c r="SE4" s="13" t="s">
        <v>32</v>
      </c>
      <c r="SF4" s="13" t="s">
        <v>32</v>
      </c>
      <c r="SG4" s="13" t="s">
        <v>32</v>
      </c>
      <c r="SH4" s="13" t="s">
        <v>32</v>
      </c>
      <c r="SI4" s="13" t="s">
        <v>32</v>
      </c>
      <c r="SJ4" s="13" t="s">
        <v>32</v>
      </c>
      <c r="SK4" s="13" t="s">
        <v>32</v>
      </c>
      <c r="SL4" s="13" t="s">
        <v>32</v>
      </c>
      <c r="SM4" s="13" t="s">
        <v>32</v>
      </c>
      <c r="SN4" s="13" t="s">
        <v>32</v>
      </c>
      <c r="SO4" s="13" t="s">
        <v>32</v>
      </c>
      <c r="SP4" s="13" t="s">
        <v>32</v>
      </c>
      <c r="SQ4" s="13" t="s">
        <v>32</v>
      </c>
      <c r="SR4" s="13" t="s">
        <v>32</v>
      </c>
      <c r="SS4" s="13" t="s">
        <v>32</v>
      </c>
      <c r="ST4" s="13" t="s">
        <v>32</v>
      </c>
      <c r="SU4" s="13" t="s">
        <v>32</v>
      </c>
      <c r="SV4" s="13" t="s">
        <v>32</v>
      </c>
      <c r="SW4" s="13" t="s">
        <v>32</v>
      </c>
      <c r="SX4" s="13" t="s">
        <v>32</v>
      </c>
      <c r="SY4" s="13" t="s">
        <v>32</v>
      </c>
      <c r="SZ4" s="13" t="s">
        <v>32</v>
      </c>
      <c r="TA4" s="13" t="s">
        <v>32</v>
      </c>
      <c r="TB4" s="13" t="s">
        <v>32</v>
      </c>
      <c r="TC4" s="13" t="s">
        <v>32</v>
      </c>
      <c r="TD4" s="13" t="s">
        <v>32</v>
      </c>
      <c r="TE4" s="13" t="s">
        <v>32</v>
      </c>
      <c r="TF4" s="13" t="s">
        <v>32</v>
      </c>
      <c r="TG4" s="13" t="s">
        <v>32</v>
      </c>
      <c r="TH4" s="13" t="s">
        <v>32</v>
      </c>
      <c r="TI4" s="13" t="s">
        <v>32</v>
      </c>
      <c r="TJ4" s="13" t="s">
        <v>32</v>
      </c>
      <c r="TK4" s="13" t="s">
        <v>32</v>
      </c>
      <c r="TL4" s="13" t="s">
        <v>32</v>
      </c>
      <c r="TM4" s="13" t="s">
        <v>32</v>
      </c>
      <c r="TN4" s="13" t="s">
        <v>32</v>
      </c>
      <c r="TO4" s="13" t="s">
        <v>32</v>
      </c>
      <c r="TP4" s="13" t="s">
        <v>32</v>
      </c>
      <c r="TQ4" s="13" t="s">
        <v>32</v>
      </c>
      <c r="TR4" s="13" t="s">
        <v>32</v>
      </c>
      <c r="TS4" s="13" t="s">
        <v>32</v>
      </c>
      <c r="TT4" s="13" t="s">
        <v>32</v>
      </c>
      <c r="TU4" s="13" t="s">
        <v>32</v>
      </c>
      <c r="TV4" s="13" t="s">
        <v>32</v>
      </c>
      <c r="TW4" s="13" t="s">
        <v>32</v>
      </c>
      <c r="TX4" s="13" t="s">
        <v>32</v>
      </c>
      <c r="TY4" s="13" t="s">
        <v>32</v>
      </c>
      <c r="TZ4" s="13" t="s">
        <v>32</v>
      </c>
      <c r="UA4" s="13" t="s">
        <v>32</v>
      </c>
      <c r="UB4" s="13" t="s">
        <v>32</v>
      </c>
      <c r="UC4" s="13" t="s">
        <v>32</v>
      </c>
      <c r="UD4" s="13" t="s">
        <v>32</v>
      </c>
      <c r="UE4" s="13" t="s">
        <v>32</v>
      </c>
      <c r="UF4" s="13" t="s">
        <v>32</v>
      </c>
      <c r="UG4" s="13" t="s">
        <v>32</v>
      </c>
      <c r="UH4" s="13" t="s">
        <v>32</v>
      </c>
      <c r="UI4" s="13" t="s">
        <v>32</v>
      </c>
      <c r="UJ4" s="13" t="s">
        <v>32</v>
      </c>
      <c r="UK4" s="13" t="s">
        <v>32</v>
      </c>
      <c r="UL4" s="13" t="s">
        <v>32</v>
      </c>
      <c r="UM4" s="13" t="s">
        <v>32</v>
      </c>
      <c r="UN4" s="13" t="s">
        <v>32</v>
      </c>
      <c r="UO4" s="13" t="s">
        <v>32</v>
      </c>
      <c r="UP4" s="13" t="s">
        <v>32</v>
      </c>
      <c r="UQ4" s="13" t="s">
        <v>32</v>
      </c>
      <c r="UR4" s="13" t="s">
        <v>32</v>
      </c>
      <c r="US4" s="13" t="s">
        <v>32</v>
      </c>
      <c r="UT4" s="13" t="s">
        <v>32</v>
      </c>
      <c r="UU4" s="13" t="s">
        <v>32</v>
      </c>
      <c r="UV4" s="13" t="s">
        <v>32</v>
      </c>
      <c r="UW4" s="13" t="s">
        <v>32</v>
      </c>
      <c r="UX4" s="13" t="s">
        <v>32</v>
      </c>
      <c r="UY4" s="13" t="s">
        <v>32</v>
      </c>
      <c r="UZ4" s="13" t="s">
        <v>32</v>
      </c>
      <c r="VA4" s="13" t="s">
        <v>32</v>
      </c>
      <c r="VB4" s="13" t="s">
        <v>32</v>
      </c>
      <c r="VC4" s="13" t="s">
        <v>32</v>
      </c>
      <c r="VD4" s="13" t="s">
        <v>32</v>
      </c>
      <c r="VE4" s="13" t="s">
        <v>32</v>
      </c>
      <c r="VF4" s="13" t="s">
        <v>32</v>
      </c>
      <c r="VG4" s="13" t="s">
        <v>2568</v>
      </c>
      <c r="VH4" s="13" t="s">
        <v>32</v>
      </c>
      <c r="VI4" s="13" t="s">
        <v>32</v>
      </c>
      <c r="VJ4" s="13" t="s">
        <v>32</v>
      </c>
      <c r="VK4" s="13" t="s">
        <v>32</v>
      </c>
      <c r="VL4" s="13" t="s">
        <v>32</v>
      </c>
      <c r="VM4" s="13" t="s">
        <v>32</v>
      </c>
      <c r="VN4" s="13" t="s">
        <v>32</v>
      </c>
      <c r="VO4" s="13" t="s">
        <v>32</v>
      </c>
      <c r="VP4" s="13" t="s">
        <v>32</v>
      </c>
      <c r="VQ4" s="13" t="s">
        <v>32</v>
      </c>
      <c r="VR4" s="13" t="s">
        <v>32</v>
      </c>
      <c r="VS4" s="13" t="s">
        <v>32</v>
      </c>
      <c r="VT4" s="13" t="s">
        <v>32</v>
      </c>
      <c r="VU4" s="13" t="s">
        <v>32</v>
      </c>
      <c r="VV4" s="13" t="s">
        <v>32</v>
      </c>
      <c r="VW4" s="13" t="s">
        <v>32</v>
      </c>
      <c r="VX4" s="13" t="s">
        <v>32</v>
      </c>
      <c r="VY4" s="13" t="s">
        <v>32</v>
      </c>
      <c r="VZ4" s="13" t="s">
        <v>32</v>
      </c>
      <c r="WA4" s="13" t="s">
        <v>32</v>
      </c>
      <c r="WB4" s="13" t="s">
        <v>32</v>
      </c>
      <c r="WC4" s="13" t="s">
        <v>32</v>
      </c>
      <c r="WD4" s="13" t="s">
        <v>32</v>
      </c>
      <c r="WE4" s="13" t="s">
        <v>32</v>
      </c>
      <c r="WF4" s="13" t="s">
        <v>32</v>
      </c>
      <c r="WG4" s="13" t="s">
        <v>32</v>
      </c>
      <c r="WH4" s="13" t="s">
        <v>32</v>
      </c>
      <c r="WI4" s="13" t="s">
        <v>32</v>
      </c>
      <c r="WJ4" s="13" t="s">
        <v>32</v>
      </c>
      <c r="WK4" s="13" t="s">
        <v>32</v>
      </c>
      <c r="WL4" s="13" t="s">
        <v>32</v>
      </c>
      <c r="WM4" s="13" t="s">
        <v>32</v>
      </c>
      <c r="WN4" s="13" t="s">
        <v>32</v>
      </c>
      <c r="WO4" s="13" t="s">
        <v>32</v>
      </c>
      <c r="WP4" s="13" t="s">
        <v>32</v>
      </c>
      <c r="WQ4" s="13" t="s">
        <v>32</v>
      </c>
      <c r="WR4" s="13" t="s">
        <v>32</v>
      </c>
      <c r="WS4" s="13" t="s">
        <v>32</v>
      </c>
      <c r="WT4" s="13" t="s">
        <v>32</v>
      </c>
      <c r="WU4" s="13" t="s">
        <v>32</v>
      </c>
      <c r="WV4" s="13" t="s">
        <v>32</v>
      </c>
      <c r="WW4" s="13" t="s">
        <v>32</v>
      </c>
      <c r="WX4" s="13" t="s">
        <v>32</v>
      </c>
      <c r="WY4" s="13" t="s">
        <v>32</v>
      </c>
      <c r="WZ4" s="13" t="s">
        <v>32</v>
      </c>
      <c r="XA4" s="13" t="s">
        <v>32</v>
      </c>
      <c r="XB4" s="13" t="s">
        <v>32</v>
      </c>
      <c r="XC4" s="13" t="s">
        <v>32</v>
      </c>
      <c r="XD4" s="13" t="s">
        <v>32</v>
      </c>
      <c r="XE4" s="13" t="s">
        <v>32</v>
      </c>
      <c r="XF4" s="13" t="s">
        <v>32</v>
      </c>
      <c r="XG4" s="13" t="s">
        <v>32</v>
      </c>
      <c r="XH4" s="13" t="s">
        <v>32</v>
      </c>
      <c r="XI4" s="13" t="s">
        <v>32</v>
      </c>
      <c r="XJ4" s="13" t="s">
        <v>32</v>
      </c>
      <c r="XK4" s="13" t="s">
        <v>32</v>
      </c>
      <c r="XL4" s="13" t="s">
        <v>32</v>
      </c>
      <c r="XM4" s="13" t="s">
        <v>32</v>
      </c>
      <c r="XN4" s="13" t="s">
        <v>32</v>
      </c>
      <c r="XO4" s="13" t="s">
        <v>32</v>
      </c>
      <c r="XP4" s="13" t="s">
        <v>32</v>
      </c>
      <c r="XQ4" s="13" t="s">
        <v>32</v>
      </c>
      <c r="XR4" s="13" t="s">
        <v>32</v>
      </c>
      <c r="XS4" s="13" t="s">
        <v>32</v>
      </c>
      <c r="XT4" s="13" t="s">
        <v>32</v>
      </c>
      <c r="XU4" s="13" t="s">
        <v>32</v>
      </c>
      <c r="XV4" s="13" t="s">
        <v>32</v>
      </c>
      <c r="XW4" s="13" t="s">
        <v>32</v>
      </c>
      <c r="XX4" s="13" t="s">
        <v>32</v>
      </c>
      <c r="XY4" s="13" t="s">
        <v>32</v>
      </c>
      <c r="XZ4" s="13" t="s">
        <v>32</v>
      </c>
      <c r="YA4" s="13" t="s">
        <v>32</v>
      </c>
      <c r="YB4" s="13" t="s">
        <v>32</v>
      </c>
      <c r="YC4" s="13" t="s">
        <v>32</v>
      </c>
      <c r="YD4" s="13" t="s">
        <v>32</v>
      </c>
      <c r="YE4" s="13" t="s">
        <v>32</v>
      </c>
      <c r="YF4" s="13" t="s">
        <v>32</v>
      </c>
      <c r="YG4" s="13" t="s">
        <v>32</v>
      </c>
      <c r="YH4" s="13" t="s">
        <v>32</v>
      </c>
      <c r="YI4" s="13" t="s">
        <v>32</v>
      </c>
      <c r="YJ4" s="13" t="s">
        <v>32</v>
      </c>
      <c r="YK4" s="13" t="s">
        <v>32</v>
      </c>
      <c r="YL4" s="13" t="s">
        <v>32</v>
      </c>
      <c r="YM4" s="13" t="s">
        <v>32</v>
      </c>
      <c r="YN4" s="13" t="s">
        <v>32</v>
      </c>
      <c r="YO4" s="13" t="s">
        <v>32</v>
      </c>
      <c r="YP4" s="13" t="s">
        <v>32</v>
      </c>
      <c r="YQ4" s="13" t="s">
        <v>32</v>
      </c>
      <c r="YR4" s="13" t="s">
        <v>32</v>
      </c>
      <c r="YS4" s="13" t="s">
        <v>32</v>
      </c>
      <c r="YT4" s="13" t="s">
        <v>32</v>
      </c>
      <c r="YU4" s="13" t="s">
        <v>32</v>
      </c>
      <c r="YV4" s="13" t="s">
        <v>32</v>
      </c>
      <c r="YW4" s="13" t="s">
        <v>32</v>
      </c>
      <c r="YX4" s="13" t="s">
        <v>32</v>
      </c>
      <c r="YY4" s="13" t="s">
        <v>32</v>
      </c>
      <c r="YZ4" s="13" t="s">
        <v>32</v>
      </c>
      <c r="ZA4" s="13" t="s">
        <v>32</v>
      </c>
      <c r="ZB4" s="13" t="s">
        <v>32</v>
      </c>
      <c r="ZC4" s="13" t="s">
        <v>32</v>
      </c>
      <c r="ZD4" s="13" t="s">
        <v>32</v>
      </c>
      <c r="ZE4" s="13" t="s">
        <v>32</v>
      </c>
      <c r="ZF4" s="13" t="s">
        <v>32</v>
      </c>
      <c r="ZG4" s="13" t="s">
        <v>32</v>
      </c>
      <c r="ZH4" s="13" t="s">
        <v>32</v>
      </c>
      <c r="ZI4" s="13" t="s">
        <v>32</v>
      </c>
      <c r="ZJ4" s="13" t="s">
        <v>32</v>
      </c>
      <c r="ZK4" s="13" t="s">
        <v>32</v>
      </c>
      <c r="ZL4" s="13" t="s">
        <v>32</v>
      </c>
      <c r="ZM4" s="13" t="s">
        <v>32</v>
      </c>
      <c r="ZN4" s="13" t="s">
        <v>32</v>
      </c>
      <c r="ZO4" s="13" t="s">
        <v>32</v>
      </c>
      <c r="ZP4" s="13" t="s">
        <v>32</v>
      </c>
      <c r="ZQ4" s="13" t="s">
        <v>32</v>
      </c>
      <c r="ZR4" s="13" t="s">
        <v>32</v>
      </c>
      <c r="ZS4" s="13" t="s">
        <v>32</v>
      </c>
      <c r="ZT4" s="13" t="s">
        <v>32</v>
      </c>
      <c r="ZU4" s="13" t="s">
        <v>32</v>
      </c>
      <c r="ZV4" s="13" t="s">
        <v>32</v>
      </c>
      <c r="ZW4" s="13" t="s">
        <v>32</v>
      </c>
      <c r="ZX4" s="13" t="s">
        <v>32</v>
      </c>
      <c r="ZY4" s="13" t="s">
        <v>32</v>
      </c>
      <c r="ZZ4" s="13" t="s">
        <v>32</v>
      </c>
      <c r="AAA4" s="13" t="s">
        <v>32</v>
      </c>
      <c r="AAB4" s="13" t="s">
        <v>32</v>
      </c>
      <c r="AAC4" s="13" t="s">
        <v>32</v>
      </c>
      <c r="AAD4" s="13" t="s">
        <v>32</v>
      </c>
      <c r="AAE4" s="13" t="s">
        <v>32</v>
      </c>
      <c r="AAF4" s="13" t="s">
        <v>32</v>
      </c>
      <c r="AAG4" s="13" t="s">
        <v>32</v>
      </c>
      <c r="AAH4" s="13" t="s">
        <v>32</v>
      </c>
      <c r="AAI4" s="13" t="s">
        <v>32</v>
      </c>
      <c r="AAJ4" s="13" t="s">
        <v>32</v>
      </c>
      <c r="AAK4" s="13" t="s">
        <v>32</v>
      </c>
      <c r="AAL4" s="13" t="s">
        <v>32</v>
      </c>
      <c r="AAM4" s="13" t="s">
        <v>32</v>
      </c>
      <c r="AAN4" s="13" t="s">
        <v>32</v>
      </c>
      <c r="AAO4" s="13" t="s">
        <v>32</v>
      </c>
      <c r="AAP4" s="13" t="s">
        <v>32</v>
      </c>
      <c r="AAQ4" s="13" t="s">
        <v>32</v>
      </c>
      <c r="AAR4" s="13" t="s">
        <v>32</v>
      </c>
      <c r="AAS4" s="13" t="s">
        <v>32</v>
      </c>
      <c r="AAT4" s="13" t="s">
        <v>32</v>
      </c>
      <c r="AAU4" s="13" t="s">
        <v>32</v>
      </c>
      <c r="AAV4" s="13" t="s">
        <v>32</v>
      </c>
      <c r="AAW4" s="13" t="s">
        <v>32</v>
      </c>
      <c r="AAX4" s="13" t="s">
        <v>32</v>
      </c>
      <c r="AAY4" s="13" t="s">
        <v>32</v>
      </c>
      <c r="AAZ4" s="13" t="s">
        <v>32</v>
      </c>
      <c r="ABA4" s="13" t="s">
        <v>32</v>
      </c>
      <c r="ABB4" s="13" t="s">
        <v>32</v>
      </c>
      <c r="ABC4" s="13" t="s">
        <v>32</v>
      </c>
      <c r="ABD4" s="13" t="s">
        <v>32</v>
      </c>
      <c r="ABE4" s="13" t="s">
        <v>32</v>
      </c>
      <c r="ABF4" s="13" t="s">
        <v>32</v>
      </c>
      <c r="ABG4" s="13" t="s">
        <v>32</v>
      </c>
      <c r="ABH4" s="13" t="s">
        <v>32</v>
      </c>
      <c r="ABI4" s="13" t="s">
        <v>32</v>
      </c>
      <c r="ABJ4" s="13" t="s">
        <v>32</v>
      </c>
      <c r="ABK4" s="13" t="s">
        <v>32</v>
      </c>
      <c r="ABL4" s="13" t="s">
        <v>32</v>
      </c>
      <c r="ABM4" s="13" t="s">
        <v>32</v>
      </c>
      <c r="ABN4" s="13" t="s">
        <v>32</v>
      </c>
      <c r="ABO4" s="13" t="s">
        <v>32</v>
      </c>
      <c r="ABP4" s="13" t="s">
        <v>32</v>
      </c>
      <c r="ABQ4" s="13" t="s">
        <v>32</v>
      </c>
      <c r="ABR4" s="13" t="s">
        <v>32</v>
      </c>
      <c r="ABS4" s="13" t="s">
        <v>32</v>
      </c>
      <c r="ABT4" s="13" t="s">
        <v>32</v>
      </c>
      <c r="ABU4" s="13" t="s">
        <v>32</v>
      </c>
      <c r="ABV4" s="13" t="s">
        <v>32</v>
      </c>
      <c r="ABW4" s="13" t="s">
        <v>619</v>
      </c>
      <c r="ABX4" s="13" t="s">
        <v>32</v>
      </c>
      <c r="ABY4" s="13" t="s">
        <v>32</v>
      </c>
      <c r="ABZ4" s="13" t="s">
        <v>32</v>
      </c>
      <c r="ACA4" s="13" t="s">
        <v>32</v>
      </c>
      <c r="ACB4" s="13" t="s">
        <v>32</v>
      </c>
      <c r="ACC4" s="13" t="s">
        <v>32</v>
      </c>
      <c r="ACD4" s="13" t="s">
        <v>32</v>
      </c>
      <c r="ACE4" s="13" t="s">
        <v>32</v>
      </c>
      <c r="ACF4" s="13" t="s">
        <v>32</v>
      </c>
      <c r="ACG4" s="13" t="s">
        <v>20</v>
      </c>
      <c r="ACH4" s="13" t="s">
        <v>20</v>
      </c>
      <c r="ACI4" s="13" t="s">
        <v>20</v>
      </c>
      <c r="ACJ4" s="13" t="s">
        <v>20</v>
      </c>
      <c r="ACK4" s="13" t="s">
        <v>20</v>
      </c>
      <c r="ACL4" s="13" t="s">
        <v>20</v>
      </c>
      <c r="ACM4" s="13" t="s">
        <v>20</v>
      </c>
      <c r="ACN4" s="13" t="s">
        <v>20</v>
      </c>
      <c r="ACO4" s="13" t="s">
        <v>20</v>
      </c>
      <c r="ACP4" s="13" t="s">
        <v>20</v>
      </c>
      <c r="ACQ4" s="13" t="s">
        <v>20</v>
      </c>
      <c r="ACR4" s="13" t="s">
        <v>20</v>
      </c>
      <c r="ACS4" s="13" t="s">
        <v>20</v>
      </c>
      <c r="ACT4" s="13" t="s">
        <v>20</v>
      </c>
      <c r="ACU4" s="13" t="s">
        <v>20</v>
      </c>
      <c r="ACV4" s="13" t="s">
        <v>20</v>
      </c>
      <c r="ACW4" s="13" t="s">
        <v>20</v>
      </c>
      <c r="ACX4" s="13" t="s">
        <v>20</v>
      </c>
      <c r="ACY4" s="13" t="s">
        <v>20</v>
      </c>
      <c r="ACZ4" s="13" t="s">
        <v>20</v>
      </c>
      <c r="ADA4" s="13" t="s">
        <v>20</v>
      </c>
      <c r="ADB4" s="13" t="s">
        <v>20</v>
      </c>
      <c r="ADC4" s="13" t="s">
        <v>20</v>
      </c>
      <c r="ADD4" s="13" t="s">
        <v>20</v>
      </c>
      <c r="ADE4" s="13" t="s">
        <v>20</v>
      </c>
      <c r="ADF4" s="13" t="s">
        <v>20</v>
      </c>
      <c r="ADG4" s="13" t="s">
        <v>20</v>
      </c>
      <c r="ADH4" s="13" t="s">
        <v>20</v>
      </c>
      <c r="ADI4" s="13" t="s">
        <v>20</v>
      </c>
      <c r="ADJ4" s="13" t="s">
        <v>20</v>
      </c>
      <c r="ADK4" s="13" t="s">
        <v>20</v>
      </c>
      <c r="ADL4" s="13" t="s">
        <v>20</v>
      </c>
      <c r="ADM4" s="13" t="s">
        <v>20</v>
      </c>
      <c r="ADN4" s="13" t="s">
        <v>20</v>
      </c>
      <c r="ADO4" s="13" t="s">
        <v>20</v>
      </c>
      <c r="ADP4" s="13" t="s">
        <v>20</v>
      </c>
      <c r="ADQ4" s="13" t="s">
        <v>20</v>
      </c>
      <c r="ADR4" s="13" t="s">
        <v>20</v>
      </c>
      <c r="ADS4" s="13" t="s">
        <v>20</v>
      </c>
      <c r="ADT4" s="13" t="s">
        <v>20</v>
      </c>
      <c r="ADU4" s="13" t="s">
        <v>20</v>
      </c>
      <c r="ADV4" s="13" t="s">
        <v>20</v>
      </c>
      <c r="ADW4" s="13" t="s">
        <v>20</v>
      </c>
      <c r="ADX4" s="13" t="s">
        <v>20</v>
      </c>
      <c r="ADY4" s="13" t="s">
        <v>20</v>
      </c>
      <c r="ADZ4" s="13" t="s">
        <v>20</v>
      </c>
      <c r="AEA4" s="13" t="s">
        <v>20</v>
      </c>
      <c r="AEB4" s="13" t="s">
        <v>20</v>
      </c>
      <c r="AEC4" s="13" t="s">
        <v>20</v>
      </c>
      <c r="AED4" s="13" t="s">
        <v>20</v>
      </c>
      <c r="AEE4" s="13" t="s">
        <v>20</v>
      </c>
      <c r="AEF4" s="13" t="s">
        <v>20</v>
      </c>
      <c r="AEG4" s="13" t="s">
        <v>20</v>
      </c>
      <c r="AEH4" s="13" t="s">
        <v>20</v>
      </c>
      <c r="AEI4" s="13" t="s">
        <v>20</v>
      </c>
      <c r="AEJ4" s="13" t="s">
        <v>20</v>
      </c>
      <c r="AEK4" s="13" t="s">
        <v>20</v>
      </c>
      <c r="AEL4" s="13" t="s">
        <v>20</v>
      </c>
      <c r="AEM4" s="13" t="s">
        <v>20</v>
      </c>
      <c r="AEN4" s="13" t="s">
        <v>20</v>
      </c>
      <c r="AEO4" s="13" t="s">
        <v>20</v>
      </c>
      <c r="AEP4" s="13" t="s">
        <v>20</v>
      </c>
      <c r="AEQ4" s="13" t="s">
        <v>20</v>
      </c>
      <c r="AER4" s="13" t="s">
        <v>20</v>
      </c>
      <c r="AES4" s="13" t="s">
        <v>20</v>
      </c>
      <c r="AET4" s="13" t="s">
        <v>20</v>
      </c>
      <c r="AEU4" s="13" t="s">
        <v>20</v>
      </c>
      <c r="AEV4" s="13" t="s">
        <v>20</v>
      </c>
      <c r="AEW4" s="13" t="s">
        <v>20</v>
      </c>
      <c r="AEX4" s="13" t="s">
        <v>20</v>
      </c>
      <c r="AEY4" s="13" t="s">
        <v>20</v>
      </c>
      <c r="AEZ4" s="13" t="s">
        <v>20</v>
      </c>
      <c r="AFA4" s="13" t="s">
        <v>20</v>
      </c>
      <c r="AFB4" s="13" t="s">
        <v>20</v>
      </c>
      <c r="AFC4" s="13" t="s">
        <v>20</v>
      </c>
      <c r="AFD4" s="13" t="s">
        <v>20</v>
      </c>
      <c r="AFE4" s="13" t="s">
        <v>20</v>
      </c>
      <c r="AFF4" s="13" t="s">
        <v>20</v>
      </c>
      <c r="AFG4" s="13" t="s">
        <v>20</v>
      </c>
      <c r="AFH4" s="13" t="s">
        <v>664</v>
      </c>
      <c r="AFI4" s="13" t="s">
        <v>20</v>
      </c>
      <c r="AFJ4" s="13" t="s">
        <v>20</v>
      </c>
      <c r="AFK4" s="13" t="s">
        <v>20</v>
      </c>
      <c r="AFL4" s="13" t="s">
        <v>20</v>
      </c>
      <c r="AFM4" s="13" t="s">
        <v>20</v>
      </c>
      <c r="AFN4" s="13" t="s">
        <v>20</v>
      </c>
      <c r="AFO4" s="13" t="s">
        <v>20</v>
      </c>
      <c r="AFP4" s="13" t="s">
        <v>20</v>
      </c>
      <c r="AFQ4" s="13" t="s">
        <v>20</v>
      </c>
      <c r="AFR4" s="13" t="s">
        <v>20</v>
      </c>
      <c r="AFS4" s="13" t="s">
        <v>20</v>
      </c>
      <c r="AFT4" s="13" t="s">
        <v>20</v>
      </c>
      <c r="AFU4" s="13" t="s">
        <v>20</v>
      </c>
      <c r="AFV4" s="13" t="s">
        <v>20</v>
      </c>
      <c r="AFW4" s="13" t="s">
        <v>20</v>
      </c>
      <c r="AFX4" s="13" t="s">
        <v>20</v>
      </c>
      <c r="AFY4" s="13" t="s">
        <v>20</v>
      </c>
      <c r="AFZ4" s="13" t="s">
        <v>20</v>
      </c>
      <c r="AGA4" s="13" t="s">
        <v>20</v>
      </c>
      <c r="AGB4" s="13" t="s">
        <v>20</v>
      </c>
      <c r="AGC4" s="13" t="s">
        <v>20</v>
      </c>
      <c r="AGD4" s="13" t="s">
        <v>20</v>
      </c>
      <c r="AGE4" s="13" t="s">
        <v>20</v>
      </c>
      <c r="AGF4" s="13" t="s">
        <v>20</v>
      </c>
      <c r="AGG4" s="13" t="s">
        <v>20</v>
      </c>
      <c r="AGH4" s="13" t="s">
        <v>20</v>
      </c>
      <c r="AGI4" s="13" t="s">
        <v>20</v>
      </c>
      <c r="AGJ4" s="13" t="s">
        <v>20</v>
      </c>
      <c r="AGK4" s="13" t="s">
        <v>20</v>
      </c>
      <c r="AGL4" s="13" t="s">
        <v>20</v>
      </c>
      <c r="AGM4" s="13" t="s">
        <v>20</v>
      </c>
      <c r="AGN4" s="13" t="s">
        <v>20</v>
      </c>
      <c r="AGO4" s="13" t="s">
        <v>20</v>
      </c>
      <c r="AGP4" s="13" t="s">
        <v>20</v>
      </c>
      <c r="AGQ4" s="13" t="s">
        <v>20</v>
      </c>
      <c r="AGR4" s="13" t="s">
        <v>20</v>
      </c>
      <c r="AGS4" s="13" t="s">
        <v>20</v>
      </c>
      <c r="AGT4" s="13" t="s">
        <v>20</v>
      </c>
      <c r="AGU4" s="13" t="s">
        <v>20</v>
      </c>
      <c r="AGV4" s="13" t="s">
        <v>20</v>
      </c>
      <c r="AGW4" s="13" t="s">
        <v>1309</v>
      </c>
      <c r="AGX4" s="13" t="s">
        <v>20</v>
      </c>
      <c r="AGY4" s="13" t="s">
        <v>20</v>
      </c>
      <c r="AGZ4" s="13" t="s">
        <v>20</v>
      </c>
      <c r="AHA4" s="13" t="s">
        <v>20</v>
      </c>
      <c r="AHB4" s="13" t="s">
        <v>20</v>
      </c>
      <c r="AHC4" s="13" t="s">
        <v>20</v>
      </c>
      <c r="AHD4" s="13" t="s">
        <v>20</v>
      </c>
      <c r="AHE4" s="13" t="s">
        <v>20</v>
      </c>
      <c r="AHF4" s="13" t="s">
        <v>20</v>
      </c>
      <c r="AHG4" s="13" t="s">
        <v>20</v>
      </c>
      <c r="AHH4" s="13" t="s">
        <v>20</v>
      </c>
      <c r="AHI4" s="13" t="s">
        <v>20</v>
      </c>
      <c r="AHJ4" s="13" t="s">
        <v>20</v>
      </c>
      <c r="AHK4" s="13" t="s">
        <v>20</v>
      </c>
      <c r="AHL4" s="13" t="s">
        <v>20</v>
      </c>
      <c r="AHM4" s="13" t="s">
        <v>20</v>
      </c>
      <c r="AHN4" s="13" t="s">
        <v>20</v>
      </c>
      <c r="AHO4" s="13" t="s">
        <v>20</v>
      </c>
      <c r="AHP4" s="13" t="s">
        <v>20</v>
      </c>
      <c r="AHQ4" s="13" t="s">
        <v>20</v>
      </c>
      <c r="AHR4" s="13" t="s">
        <v>20</v>
      </c>
      <c r="AHS4" s="13" t="s">
        <v>20</v>
      </c>
      <c r="AHT4" s="13" t="s">
        <v>20</v>
      </c>
      <c r="AHU4" s="13" t="s">
        <v>20</v>
      </c>
      <c r="AHV4" s="13" t="s">
        <v>20</v>
      </c>
      <c r="AHW4" s="13" t="s">
        <v>20</v>
      </c>
      <c r="AHX4" s="13" t="s">
        <v>20</v>
      </c>
      <c r="AHY4" s="13" t="s">
        <v>20</v>
      </c>
      <c r="AHZ4" s="13" t="s">
        <v>1309</v>
      </c>
      <c r="AIA4" s="13" t="s">
        <v>20</v>
      </c>
      <c r="AIB4" s="13" t="s">
        <v>20</v>
      </c>
      <c r="AIC4" s="13" t="s">
        <v>20</v>
      </c>
      <c r="AID4" s="13" t="s">
        <v>20</v>
      </c>
      <c r="AIE4" s="13" t="s">
        <v>20</v>
      </c>
      <c r="AIF4" s="13" t="s">
        <v>20</v>
      </c>
      <c r="AIG4" s="13" t="s">
        <v>20</v>
      </c>
      <c r="AIH4" s="13" t="s">
        <v>20</v>
      </c>
      <c r="AII4" s="13" t="s">
        <v>20</v>
      </c>
      <c r="AIJ4" s="13" t="s">
        <v>20</v>
      </c>
      <c r="AIK4" s="13" t="s">
        <v>20</v>
      </c>
      <c r="AIL4" s="13" t="s">
        <v>20</v>
      </c>
      <c r="AIM4" s="13" t="s">
        <v>20</v>
      </c>
      <c r="AIN4" s="13" t="s">
        <v>20</v>
      </c>
      <c r="AIO4" s="13" t="s">
        <v>20</v>
      </c>
      <c r="AIP4" s="13" t="s">
        <v>20</v>
      </c>
      <c r="AIQ4" s="13" t="s">
        <v>20</v>
      </c>
      <c r="AIR4" s="13" t="s">
        <v>20</v>
      </c>
      <c r="AIS4" s="13" t="s">
        <v>20</v>
      </c>
      <c r="AIT4" s="13" t="s">
        <v>20</v>
      </c>
      <c r="AIU4" s="13" t="s">
        <v>20</v>
      </c>
      <c r="AIV4" s="13" t="s">
        <v>20</v>
      </c>
      <c r="AIW4" s="13" t="s">
        <v>20</v>
      </c>
      <c r="AIX4" s="13" t="s">
        <v>20</v>
      </c>
      <c r="AIY4" s="13" t="s">
        <v>20</v>
      </c>
      <c r="AIZ4" s="13" t="s">
        <v>20</v>
      </c>
      <c r="AJA4" s="13" t="s">
        <v>20</v>
      </c>
      <c r="AJB4" s="13" t="s">
        <v>20</v>
      </c>
      <c r="AJC4" s="13" t="s">
        <v>20</v>
      </c>
      <c r="AJD4" s="13" t="s">
        <v>20</v>
      </c>
      <c r="AJE4" s="13" t="s">
        <v>20</v>
      </c>
      <c r="AJF4" s="13" t="s">
        <v>20</v>
      </c>
      <c r="AJG4" s="13" t="s">
        <v>20</v>
      </c>
      <c r="AJH4" s="13" t="s">
        <v>20</v>
      </c>
      <c r="AJI4" s="13" t="s">
        <v>20</v>
      </c>
      <c r="AJJ4" s="13" t="s">
        <v>20</v>
      </c>
      <c r="AJK4" s="13" t="s">
        <v>20</v>
      </c>
      <c r="AJL4" s="13" t="s">
        <v>20</v>
      </c>
      <c r="AJM4" s="13" t="s">
        <v>20</v>
      </c>
      <c r="AJN4" s="13" t="s">
        <v>20</v>
      </c>
      <c r="AJO4" s="13" t="s">
        <v>20</v>
      </c>
      <c r="AJP4" s="13" t="s">
        <v>20</v>
      </c>
      <c r="AJQ4" s="13" t="s">
        <v>20</v>
      </c>
      <c r="AJR4" s="13" t="s">
        <v>20</v>
      </c>
      <c r="AJS4" s="13" t="s">
        <v>1309</v>
      </c>
      <c r="AJT4" s="13" t="s">
        <v>20</v>
      </c>
      <c r="AJU4" s="13" t="s">
        <v>20</v>
      </c>
      <c r="AJV4" s="13" t="s">
        <v>20</v>
      </c>
      <c r="AJW4" s="13" t="s">
        <v>20</v>
      </c>
      <c r="AJX4" s="13" t="s">
        <v>20</v>
      </c>
      <c r="AJY4" s="13" t="s">
        <v>20</v>
      </c>
      <c r="AJZ4" s="13" t="s">
        <v>20</v>
      </c>
      <c r="AKA4" s="13" t="s">
        <v>20</v>
      </c>
      <c r="AKB4" s="13" t="s">
        <v>20</v>
      </c>
      <c r="AKC4" s="13" t="s">
        <v>20</v>
      </c>
      <c r="AKD4" s="13" t="s">
        <v>20</v>
      </c>
      <c r="AKE4" s="13" t="s">
        <v>20</v>
      </c>
      <c r="AKF4" s="13" t="s">
        <v>20</v>
      </c>
      <c r="AKG4" s="13" t="s">
        <v>20</v>
      </c>
      <c r="AKH4" s="13" t="s">
        <v>20</v>
      </c>
      <c r="AKI4" s="13" t="s">
        <v>20</v>
      </c>
      <c r="AKJ4" s="13" t="s">
        <v>20</v>
      </c>
      <c r="AKK4" s="13" t="s">
        <v>20</v>
      </c>
      <c r="AKL4" s="13" t="s">
        <v>20</v>
      </c>
      <c r="AKM4" s="13" t="s">
        <v>20</v>
      </c>
      <c r="AKN4" s="13" t="s">
        <v>20</v>
      </c>
      <c r="AKO4" s="13" t="s">
        <v>20</v>
      </c>
      <c r="AKP4" s="13" t="s">
        <v>20</v>
      </c>
      <c r="AKQ4" s="13" t="s">
        <v>20</v>
      </c>
      <c r="AKR4" s="13" t="s">
        <v>20</v>
      </c>
      <c r="AKS4" s="13" t="s">
        <v>20</v>
      </c>
      <c r="AKT4" s="13" t="s">
        <v>20</v>
      </c>
      <c r="AKU4" s="13" t="s">
        <v>20</v>
      </c>
      <c r="AKV4" s="13" t="s">
        <v>20</v>
      </c>
      <c r="AKW4" s="13" t="s">
        <v>20</v>
      </c>
      <c r="AKX4" s="13" t="s">
        <v>20</v>
      </c>
      <c r="AKY4" s="13" t="s">
        <v>20</v>
      </c>
      <c r="AKZ4" s="13" t="s">
        <v>20</v>
      </c>
      <c r="ALA4" s="13" t="s">
        <v>20</v>
      </c>
      <c r="ALB4" s="13" t="s">
        <v>20</v>
      </c>
      <c r="ALC4" s="13" t="s">
        <v>20</v>
      </c>
      <c r="ALD4" s="13" t="s">
        <v>20</v>
      </c>
      <c r="ALE4" s="13" t="s">
        <v>20</v>
      </c>
      <c r="ALF4" s="13" t="s">
        <v>20</v>
      </c>
      <c r="ALG4" s="13" t="s">
        <v>20</v>
      </c>
      <c r="ALH4" s="13" t="s">
        <v>20</v>
      </c>
      <c r="ALI4" s="13" t="s">
        <v>20</v>
      </c>
      <c r="ALJ4" s="13" t="s">
        <v>20</v>
      </c>
      <c r="ALK4" s="13" t="s">
        <v>20</v>
      </c>
      <c r="ALL4" s="13" t="s">
        <v>20</v>
      </c>
      <c r="ALM4" s="13" t="s">
        <v>20</v>
      </c>
      <c r="ALN4" s="13" t="s">
        <v>20</v>
      </c>
      <c r="ALO4" s="13" t="s">
        <v>20</v>
      </c>
      <c r="ALP4" s="13" t="s">
        <v>20</v>
      </c>
      <c r="ALQ4" s="13" t="s">
        <v>20</v>
      </c>
      <c r="ALR4" s="13" t="s">
        <v>20</v>
      </c>
      <c r="ALS4" s="13" t="s">
        <v>20</v>
      </c>
      <c r="ALT4" s="13" t="s">
        <v>20</v>
      </c>
      <c r="ALU4" s="13" t="s">
        <v>20</v>
      </c>
      <c r="ALV4" s="13" t="s">
        <v>20</v>
      </c>
    </row>
    <row r="5" spans="1:1010" x14ac:dyDescent="0.25">
      <c r="A5" s="13" t="s">
        <v>3104</v>
      </c>
      <c r="B5" s="13" t="s">
        <v>3085</v>
      </c>
      <c r="C5" s="13" t="s">
        <v>3056</v>
      </c>
      <c r="D5" s="13" t="s">
        <v>3056</v>
      </c>
      <c r="E5" s="13" t="s">
        <v>3070</v>
      </c>
      <c r="F5" s="13" t="s">
        <v>3072</v>
      </c>
      <c r="G5" s="13" t="s">
        <v>3067</v>
      </c>
      <c r="H5" s="13" t="s">
        <v>3041</v>
      </c>
      <c r="I5" s="13" t="s">
        <v>3076</v>
      </c>
      <c r="J5" s="13" t="s">
        <v>3089</v>
      </c>
      <c r="K5" s="13" t="s">
        <v>3059</v>
      </c>
      <c r="L5" s="13" t="s">
        <v>3065</v>
      </c>
      <c r="M5" s="13" t="s">
        <v>3039</v>
      </c>
      <c r="N5" s="13" t="s">
        <v>3047</v>
      </c>
      <c r="O5" s="13" t="s">
        <v>3047</v>
      </c>
      <c r="P5" s="13" t="s">
        <v>3059</v>
      </c>
      <c r="Q5" s="13" t="s">
        <v>3082</v>
      </c>
      <c r="R5" s="13" t="s">
        <v>3063</v>
      </c>
      <c r="S5" s="13" t="s">
        <v>3055</v>
      </c>
      <c r="T5" s="13" t="s">
        <v>3061</v>
      </c>
      <c r="U5" s="13" t="s">
        <v>3033</v>
      </c>
      <c r="V5" s="13" t="s">
        <v>3058</v>
      </c>
      <c r="W5" s="13" t="s">
        <v>3092</v>
      </c>
      <c r="X5" s="13" t="s">
        <v>3058</v>
      </c>
      <c r="Y5" s="13" t="s">
        <v>3080</v>
      </c>
      <c r="Z5" s="13" t="s">
        <v>3061</v>
      </c>
      <c r="AA5" s="13" t="s">
        <v>3076</v>
      </c>
      <c r="AB5" s="13" t="s">
        <v>3044</v>
      </c>
      <c r="AC5" s="13" t="s">
        <v>3070</v>
      </c>
      <c r="AD5" s="13" t="s">
        <v>3081</v>
      </c>
      <c r="AE5" s="13" t="s">
        <v>3063</v>
      </c>
      <c r="AF5" s="13" t="s">
        <v>3085</v>
      </c>
      <c r="AG5" s="13" t="s">
        <v>3080</v>
      </c>
      <c r="AH5" s="13" t="s">
        <v>3050</v>
      </c>
      <c r="AI5" s="13" t="s">
        <v>3085</v>
      </c>
      <c r="AJ5" s="13" t="s">
        <v>3053</v>
      </c>
      <c r="AK5" s="13" t="s">
        <v>3055</v>
      </c>
      <c r="AL5" s="13" t="s">
        <v>3041</v>
      </c>
      <c r="AM5" s="13" t="s">
        <v>1034</v>
      </c>
      <c r="AN5" s="13" t="s">
        <v>3072</v>
      </c>
      <c r="AO5" s="13" t="s">
        <v>3072</v>
      </c>
      <c r="AP5" s="13" t="s">
        <v>3049</v>
      </c>
      <c r="AQ5" s="13" t="s">
        <v>3037</v>
      </c>
      <c r="AR5" s="13" t="s">
        <v>3076</v>
      </c>
      <c r="AS5" s="13" t="s">
        <v>3067</v>
      </c>
      <c r="AT5" s="13" t="s">
        <v>3039</v>
      </c>
      <c r="AU5" s="13" t="s">
        <v>3073</v>
      </c>
      <c r="AV5" s="13" t="s">
        <v>3051</v>
      </c>
      <c r="AW5" s="13" t="s">
        <v>3035</v>
      </c>
      <c r="AX5" s="13" t="s">
        <v>3061</v>
      </c>
      <c r="AY5" s="13" t="s">
        <v>3059</v>
      </c>
      <c r="AZ5" s="13" t="s">
        <v>3092</v>
      </c>
      <c r="BA5" s="13" t="s">
        <v>3087</v>
      </c>
      <c r="BB5" s="13" t="s">
        <v>3065</v>
      </c>
      <c r="BC5" s="13" t="s">
        <v>3093</v>
      </c>
      <c r="BD5" s="13" t="s">
        <v>3097</v>
      </c>
      <c r="BE5" s="13" t="s">
        <v>3076</v>
      </c>
      <c r="BF5" s="13" t="s">
        <v>3089</v>
      </c>
      <c r="BG5" s="13" t="s">
        <v>3084</v>
      </c>
      <c r="BH5" s="13" t="s">
        <v>3044</v>
      </c>
      <c r="BI5" s="13" t="s">
        <v>3035</v>
      </c>
      <c r="BJ5" s="13" t="s">
        <v>3097</v>
      </c>
      <c r="BK5" s="13" t="s">
        <v>3076</v>
      </c>
      <c r="BL5" s="13" t="s">
        <v>3089</v>
      </c>
      <c r="BM5" s="13" t="s">
        <v>3058</v>
      </c>
      <c r="BN5" s="13" t="s">
        <v>3033</v>
      </c>
      <c r="BO5" s="13" t="s">
        <v>3081</v>
      </c>
      <c r="BP5" s="13" t="s">
        <v>3067</v>
      </c>
      <c r="BQ5" s="13" t="s">
        <v>3081</v>
      </c>
      <c r="BR5" s="13" t="s">
        <v>1409</v>
      </c>
      <c r="BS5" s="13" t="s">
        <v>3095</v>
      </c>
      <c r="BT5" s="13" t="s">
        <v>3044</v>
      </c>
      <c r="BU5" s="13" t="s">
        <v>3063</v>
      </c>
      <c r="BV5" s="13" t="s">
        <v>3056</v>
      </c>
      <c r="BW5" s="13" t="s">
        <v>3072</v>
      </c>
      <c r="BX5" s="13" t="s">
        <v>3095</v>
      </c>
      <c r="BY5" s="13" t="s">
        <v>3050</v>
      </c>
      <c r="BZ5" s="13" t="s">
        <v>3085</v>
      </c>
      <c r="CA5" s="13" t="s">
        <v>3080</v>
      </c>
      <c r="CB5" s="13" t="s">
        <v>3085</v>
      </c>
      <c r="CC5" s="13" t="s">
        <v>3076</v>
      </c>
      <c r="CD5" s="13" t="s">
        <v>3092</v>
      </c>
      <c r="CE5" s="13" t="s">
        <v>3093</v>
      </c>
      <c r="CF5" s="13" t="s">
        <v>3082</v>
      </c>
      <c r="CG5" s="13" t="s">
        <v>3092</v>
      </c>
      <c r="CH5" s="13" t="s">
        <v>3056</v>
      </c>
      <c r="CI5" s="13" t="s">
        <v>3081</v>
      </c>
      <c r="CJ5" s="13" t="s">
        <v>3060</v>
      </c>
      <c r="CK5" s="13" t="s">
        <v>3072</v>
      </c>
      <c r="CL5" s="13" t="s">
        <v>3048</v>
      </c>
      <c r="CM5" s="13" t="s">
        <v>3065</v>
      </c>
      <c r="CN5" s="13" t="s">
        <v>3060</v>
      </c>
      <c r="CO5" s="13" t="s">
        <v>3061</v>
      </c>
      <c r="CP5" s="13" t="s">
        <v>3087</v>
      </c>
      <c r="CQ5" s="13" t="s">
        <v>3070</v>
      </c>
      <c r="CR5" s="13" t="s">
        <v>3039</v>
      </c>
      <c r="CS5" s="13" t="s">
        <v>3041</v>
      </c>
      <c r="CT5" s="13" t="s">
        <v>3095</v>
      </c>
      <c r="CU5" s="13" t="s">
        <v>3094</v>
      </c>
      <c r="CV5" s="13" t="s">
        <v>3061</v>
      </c>
      <c r="CW5" s="13" t="s">
        <v>3063</v>
      </c>
      <c r="CX5" s="13" t="s">
        <v>3037</v>
      </c>
      <c r="CY5" s="13" t="s">
        <v>3049</v>
      </c>
      <c r="CZ5" s="13" t="s">
        <v>3063</v>
      </c>
      <c r="DA5" s="13" t="s">
        <v>3085</v>
      </c>
      <c r="DB5" s="13" t="s">
        <v>3084</v>
      </c>
      <c r="DC5" s="13" t="s">
        <v>3056</v>
      </c>
      <c r="DD5" s="13" t="s">
        <v>3092</v>
      </c>
      <c r="DE5" s="13" t="s">
        <v>3095</v>
      </c>
      <c r="DF5" s="13" t="s">
        <v>3089</v>
      </c>
      <c r="DG5" s="13" t="s">
        <v>3050</v>
      </c>
      <c r="DH5" s="13" t="s">
        <v>3067</v>
      </c>
      <c r="DI5" s="13" t="s">
        <v>3050</v>
      </c>
      <c r="DJ5" s="13" t="s">
        <v>3041</v>
      </c>
      <c r="DK5" s="13" t="s">
        <v>3059</v>
      </c>
      <c r="DL5" s="13" t="s">
        <v>3080</v>
      </c>
      <c r="DM5" s="13" t="s">
        <v>3081</v>
      </c>
      <c r="DN5" s="13" t="s">
        <v>3094</v>
      </c>
      <c r="DO5" s="13" t="s">
        <v>3073</v>
      </c>
      <c r="DP5" s="13" t="s">
        <v>3091</v>
      </c>
      <c r="DQ5" s="13" t="s">
        <v>3082</v>
      </c>
      <c r="DR5" s="13" t="s">
        <v>3081</v>
      </c>
      <c r="DS5" s="13" t="s">
        <v>3070</v>
      </c>
      <c r="DT5" s="13" t="s">
        <v>3063</v>
      </c>
      <c r="DU5" s="13" t="s">
        <v>3065</v>
      </c>
      <c r="DV5" s="13" t="s">
        <v>3033</v>
      </c>
      <c r="DW5" s="13" t="s">
        <v>3068</v>
      </c>
      <c r="DX5" s="13" t="s">
        <v>3076</v>
      </c>
      <c r="DY5" s="13" t="s">
        <v>3063</v>
      </c>
      <c r="DZ5" s="13" t="s">
        <v>3058</v>
      </c>
      <c r="EA5" s="13" t="s">
        <v>3065</v>
      </c>
      <c r="EB5" s="13" t="s">
        <v>3060</v>
      </c>
      <c r="EC5" s="13" t="s">
        <v>3055</v>
      </c>
      <c r="ED5" s="13" t="s">
        <v>3084</v>
      </c>
      <c r="EE5" s="13" t="s">
        <v>3053</v>
      </c>
      <c r="EF5" s="13" t="s">
        <v>3059</v>
      </c>
      <c r="EG5" s="13" t="s">
        <v>3080</v>
      </c>
      <c r="EH5" s="13" t="s">
        <v>3039</v>
      </c>
      <c r="EI5" s="13" t="s">
        <v>3082</v>
      </c>
      <c r="EJ5" s="13" t="s">
        <v>3047</v>
      </c>
      <c r="EK5" s="13" t="s">
        <v>3097</v>
      </c>
      <c r="EL5" s="13" t="s">
        <v>3097</v>
      </c>
      <c r="EM5" s="13" t="s">
        <v>3055</v>
      </c>
      <c r="EN5" s="13" t="s">
        <v>3035</v>
      </c>
      <c r="EO5" s="13" t="s">
        <v>3053</v>
      </c>
      <c r="EP5" s="13" t="s">
        <v>3050</v>
      </c>
      <c r="EQ5" s="13" t="s">
        <v>3072</v>
      </c>
      <c r="ER5" s="13" t="s">
        <v>3060</v>
      </c>
      <c r="ES5" s="13" t="s">
        <v>3051</v>
      </c>
      <c r="ET5" s="13" t="s">
        <v>3037</v>
      </c>
      <c r="EU5" s="13" t="s">
        <v>3053</v>
      </c>
      <c r="EV5" s="13" t="s">
        <v>3047</v>
      </c>
      <c r="EW5" s="13" t="s">
        <v>3061</v>
      </c>
      <c r="EX5" s="13" t="s">
        <v>3056</v>
      </c>
      <c r="EY5" s="13" t="s">
        <v>3080</v>
      </c>
      <c r="EZ5" s="13" t="s">
        <v>3041</v>
      </c>
      <c r="FA5" s="13" t="s">
        <v>3093</v>
      </c>
      <c r="FB5" s="13" t="s">
        <v>3044</v>
      </c>
      <c r="FC5" s="13" t="s">
        <v>3035</v>
      </c>
      <c r="FD5" s="13" t="s">
        <v>3053</v>
      </c>
      <c r="FE5" s="13" t="s">
        <v>3093</v>
      </c>
      <c r="FF5" s="13" t="s">
        <v>3037</v>
      </c>
      <c r="FG5" s="13" t="s">
        <v>3073</v>
      </c>
      <c r="FH5" s="13" t="s">
        <v>3039</v>
      </c>
      <c r="FI5" s="13" t="s">
        <v>3094</v>
      </c>
      <c r="FJ5" s="13" t="s">
        <v>3058</v>
      </c>
      <c r="FK5" s="13" t="s">
        <v>3048</v>
      </c>
      <c r="FL5" s="13" t="s">
        <v>3060</v>
      </c>
      <c r="FM5" s="13" t="s">
        <v>3047</v>
      </c>
      <c r="FN5" s="13" t="s">
        <v>3089</v>
      </c>
      <c r="FO5" s="13" t="s">
        <v>3091</v>
      </c>
      <c r="FP5" s="13" t="s">
        <v>3049</v>
      </c>
      <c r="FQ5" s="13" t="s">
        <v>3039</v>
      </c>
      <c r="FR5" s="13" t="s">
        <v>3058</v>
      </c>
      <c r="FS5" s="13" t="s">
        <v>3049</v>
      </c>
      <c r="FT5" s="13" t="s">
        <v>3095</v>
      </c>
      <c r="FU5" s="13" t="s">
        <v>3051</v>
      </c>
      <c r="FV5" s="13" t="s">
        <v>3035</v>
      </c>
      <c r="FW5" s="13" t="s">
        <v>3065</v>
      </c>
      <c r="FX5" s="13" t="s">
        <v>3048</v>
      </c>
      <c r="FY5" s="13" t="s">
        <v>3050</v>
      </c>
      <c r="FZ5" s="13" t="s">
        <v>3081</v>
      </c>
      <c r="GA5" s="13" t="s">
        <v>3073</v>
      </c>
      <c r="GB5" s="13" t="s">
        <v>3089</v>
      </c>
      <c r="GC5" s="13" t="s">
        <v>3072</v>
      </c>
      <c r="GD5" s="13" t="s">
        <v>3095</v>
      </c>
      <c r="GE5" s="13" t="s">
        <v>3098</v>
      </c>
      <c r="GF5" s="13" t="s">
        <v>3067</v>
      </c>
      <c r="GG5" s="13" t="s">
        <v>3041</v>
      </c>
      <c r="GH5" s="13" t="s">
        <v>3063</v>
      </c>
      <c r="GI5" s="13" t="s">
        <v>3098</v>
      </c>
      <c r="GJ5" s="13" t="s">
        <v>3085</v>
      </c>
      <c r="GK5" s="13" t="s">
        <v>3058</v>
      </c>
      <c r="GL5" s="13" t="s">
        <v>3058</v>
      </c>
      <c r="GM5" s="13" t="s">
        <v>3091</v>
      </c>
      <c r="GN5" s="13" t="s">
        <v>3080</v>
      </c>
      <c r="GO5" s="13" t="s">
        <v>3049</v>
      </c>
      <c r="GP5" s="13" t="s">
        <v>3047</v>
      </c>
      <c r="GQ5" s="13" t="s">
        <v>3039</v>
      </c>
      <c r="GR5" s="13" t="s">
        <v>3053</v>
      </c>
      <c r="GS5" s="13" t="s">
        <v>3080</v>
      </c>
      <c r="GT5" s="13" t="s">
        <v>3084</v>
      </c>
      <c r="GU5" s="13" t="s">
        <v>3059</v>
      </c>
      <c r="GV5" s="13" t="s">
        <v>3041</v>
      </c>
      <c r="GW5" s="13" t="s">
        <v>3072</v>
      </c>
      <c r="GX5" s="13" t="s">
        <v>3035</v>
      </c>
      <c r="GY5" s="13" t="s">
        <v>3094</v>
      </c>
      <c r="GZ5" s="13" t="s">
        <v>3089</v>
      </c>
      <c r="HA5" s="13" t="s">
        <v>1667</v>
      </c>
      <c r="HB5" s="13" t="s">
        <v>3091</v>
      </c>
      <c r="HC5" s="13" t="s">
        <v>3070</v>
      </c>
      <c r="HD5" s="13" t="s">
        <v>3085</v>
      </c>
      <c r="HE5" s="13" t="s">
        <v>3084</v>
      </c>
      <c r="HF5" s="13" t="s">
        <v>3082</v>
      </c>
      <c r="HG5" s="13" t="s">
        <v>3068</v>
      </c>
      <c r="HH5" s="13" t="s">
        <v>3061</v>
      </c>
      <c r="HI5" s="13" t="s">
        <v>3068</v>
      </c>
      <c r="HJ5" s="13" t="s">
        <v>3048</v>
      </c>
      <c r="HK5" s="13" t="s">
        <v>3097</v>
      </c>
      <c r="HL5" s="13" t="s">
        <v>3094</v>
      </c>
      <c r="HM5" s="13" t="s">
        <v>3093</v>
      </c>
      <c r="HN5" s="13" t="s">
        <v>3059</v>
      </c>
      <c r="HO5" s="13" t="s">
        <v>3095</v>
      </c>
      <c r="HP5" s="13" t="s">
        <v>3073</v>
      </c>
      <c r="HQ5" s="13" t="s">
        <v>3033</v>
      </c>
      <c r="HR5" s="13" t="s">
        <v>3085</v>
      </c>
      <c r="HS5" s="13" t="s">
        <v>3093</v>
      </c>
      <c r="HT5" s="13" t="s">
        <v>3089</v>
      </c>
      <c r="HU5" s="13" t="s">
        <v>3053</v>
      </c>
      <c r="HV5" s="13" t="s">
        <v>3085</v>
      </c>
      <c r="HW5" s="13" t="s">
        <v>3085</v>
      </c>
      <c r="HX5" s="13" t="s">
        <v>3098</v>
      </c>
      <c r="HY5" s="13" t="s">
        <v>3033</v>
      </c>
      <c r="HZ5" s="13" t="s">
        <v>3073</v>
      </c>
      <c r="IA5" s="13" t="s">
        <v>3060</v>
      </c>
      <c r="IB5" s="13" t="s">
        <v>3037</v>
      </c>
      <c r="IC5" s="13" t="s">
        <v>3092</v>
      </c>
      <c r="ID5" s="13" t="s">
        <v>3081</v>
      </c>
      <c r="IE5" s="13" t="s">
        <v>3055</v>
      </c>
      <c r="IF5" s="13" t="s">
        <v>3072</v>
      </c>
      <c r="IG5" s="13" t="s">
        <v>3041</v>
      </c>
      <c r="IH5" s="13" t="s">
        <v>3051</v>
      </c>
      <c r="II5" s="13" t="s">
        <v>3049</v>
      </c>
      <c r="IJ5" s="13" t="s">
        <v>3094</v>
      </c>
      <c r="IK5" s="13" t="s">
        <v>3039</v>
      </c>
      <c r="IL5" s="13" t="s">
        <v>3084</v>
      </c>
      <c r="IM5" s="13" t="s">
        <v>3081</v>
      </c>
      <c r="IN5" s="13" t="s">
        <v>3068</v>
      </c>
      <c r="IO5" s="13" t="s">
        <v>3053</v>
      </c>
      <c r="IP5" s="13" t="s">
        <v>3053</v>
      </c>
      <c r="IQ5" s="13" t="s">
        <v>3047</v>
      </c>
      <c r="IR5" s="13" t="s">
        <v>3055</v>
      </c>
      <c r="IS5" s="13" t="s">
        <v>3068</v>
      </c>
      <c r="IT5" s="13" t="s">
        <v>3082</v>
      </c>
      <c r="IU5" s="13" t="s">
        <v>3080</v>
      </c>
      <c r="IV5" s="13" t="s">
        <v>3041</v>
      </c>
      <c r="IW5" s="13" t="s">
        <v>3081</v>
      </c>
      <c r="IX5" s="13" t="s">
        <v>3084</v>
      </c>
      <c r="IY5" s="13" t="s">
        <v>3055</v>
      </c>
      <c r="IZ5" s="13" t="s">
        <v>3073</v>
      </c>
      <c r="JA5" s="13" t="s">
        <v>3058</v>
      </c>
      <c r="JB5" s="13" t="s">
        <v>3070</v>
      </c>
      <c r="JC5" s="13" t="s">
        <v>3068</v>
      </c>
      <c r="JD5" s="13" t="s">
        <v>3094</v>
      </c>
      <c r="JE5" s="13" t="s">
        <v>3056</v>
      </c>
      <c r="JF5" s="13" t="s">
        <v>3068</v>
      </c>
      <c r="JG5" s="13" t="s">
        <v>3084</v>
      </c>
      <c r="JH5" s="13" t="s">
        <v>3082</v>
      </c>
      <c r="JI5" s="13" t="s">
        <v>3048</v>
      </c>
      <c r="JJ5" s="13" t="s">
        <v>3085</v>
      </c>
      <c r="JK5" s="13" t="s">
        <v>3089</v>
      </c>
      <c r="JL5" s="13" t="s">
        <v>3084</v>
      </c>
      <c r="JM5" s="13" t="s">
        <v>3084</v>
      </c>
      <c r="JN5" s="13" t="s">
        <v>3092</v>
      </c>
      <c r="JO5" s="13" t="s">
        <v>3091</v>
      </c>
      <c r="JP5" s="13" t="s">
        <v>3065</v>
      </c>
      <c r="JQ5" s="13" t="s">
        <v>3093</v>
      </c>
      <c r="JR5" s="13" t="s">
        <v>3055</v>
      </c>
      <c r="JS5" s="13" t="s">
        <v>3044</v>
      </c>
      <c r="JT5" s="13" t="s">
        <v>3070</v>
      </c>
      <c r="JU5" s="13" t="s">
        <v>3035</v>
      </c>
      <c r="JV5" s="13" t="s">
        <v>3055</v>
      </c>
      <c r="JW5" s="13" t="s">
        <v>3051</v>
      </c>
      <c r="JX5" s="13" t="s">
        <v>3084</v>
      </c>
      <c r="JY5" s="13" t="s">
        <v>3053</v>
      </c>
      <c r="JZ5" s="13" t="s">
        <v>3073</v>
      </c>
      <c r="KA5" s="13" t="s">
        <v>3093</v>
      </c>
      <c r="KB5" s="13" t="s">
        <v>3093</v>
      </c>
      <c r="KC5" s="13" t="s">
        <v>3093</v>
      </c>
      <c r="KD5" s="13" t="s">
        <v>3084</v>
      </c>
      <c r="KE5" s="13" t="s">
        <v>3033</v>
      </c>
      <c r="KF5" s="13" t="s">
        <v>3095</v>
      </c>
      <c r="KG5" s="13" t="s">
        <v>3094</v>
      </c>
      <c r="KH5" s="13" t="s">
        <v>3092</v>
      </c>
      <c r="KI5" s="13" t="s">
        <v>3065</v>
      </c>
      <c r="KJ5" s="13" t="s">
        <v>3050</v>
      </c>
      <c r="KK5" s="13" t="s">
        <v>3093</v>
      </c>
      <c r="KL5" s="13" t="s">
        <v>3058</v>
      </c>
      <c r="KM5" s="13" t="s">
        <v>3080</v>
      </c>
      <c r="KN5" s="13" t="s">
        <v>3070</v>
      </c>
      <c r="KO5" s="13" t="s">
        <v>3061</v>
      </c>
      <c r="KP5" s="13" t="s">
        <v>3051</v>
      </c>
      <c r="KQ5" s="13" t="s">
        <v>3063</v>
      </c>
      <c r="KR5" s="13" t="s">
        <v>3076</v>
      </c>
      <c r="KS5" s="13" t="s">
        <v>3092</v>
      </c>
      <c r="KT5" s="13" t="s">
        <v>3093</v>
      </c>
      <c r="KU5" s="13" t="s">
        <v>3060</v>
      </c>
      <c r="KV5" s="13" t="s">
        <v>3051</v>
      </c>
      <c r="KW5" s="13" t="s">
        <v>3060</v>
      </c>
      <c r="KX5" s="13" t="s">
        <v>3067</v>
      </c>
      <c r="KY5" s="13" t="s">
        <v>3056</v>
      </c>
      <c r="KZ5" s="13" t="s">
        <v>3068</v>
      </c>
      <c r="LA5" s="13" t="s">
        <v>3037</v>
      </c>
      <c r="LB5" s="13" t="s">
        <v>3033</v>
      </c>
      <c r="LC5" s="13" t="s">
        <v>3033</v>
      </c>
      <c r="LD5" s="13" t="s">
        <v>3097</v>
      </c>
      <c r="LE5" s="13" t="s">
        <v>3082</v>
      </c>
      <c r="LF5" s="13" t="s">
        <v>3082</v>
      </c>
      <c r="LG5" s="13" t="s">
        <v>3035</v>
      </c>
      <c r="LH5" s="13" t="s">
        <v>3039</v>
      </c>
      <c r="LI5" s="13" t="s">
        <v>3087</v>
      </c>
      <c r="LJ5" s="13" t="s">
        <v>3080</v>
      </c>
      <c r="LK5" s="13" t="s">
        <v>3094</v>
      </c>
      <c r="LL5" s="13" t="s">
        <v>3058</v>
      </c>
      <c r="LM5" s="13" t="s">
        <v>3053</v>
      </c>
      <c r="LN5" s="13" t="s">
        <v>3053</v>
      </c>
      <c r="LO5" s="13" t="s">
        <v>3058</v>
      </c>
      <c r="LP5" s="13" t="s">
        <v>3095</v>
      </c>
      <c r="LQ5" s="13" t="s">
        <v>3089</v>
      </c>
      <c r="LR5" s="13" t="s">
        <v>3051</v>
      </c>
      <c r="LS5" s="13" t="s">
        <v>3091</v>
      </c>
      <c r="LT5" s="13" t="s">
        <v>3093</v>
      </c>
      <c r="LU5" s="13" t="s">
        <v>3093</v>
      </c>
      <c r="LV5" s="13" t="s">
        <v>3093</v>
      </c>
      <c r="LW5" s="13" t="s">
        <v>3050</v>
      </c>
      <c r="LX5" s="13" t="s">
        <v>3094</v>
      </c>
      <c r="LY5" s="13" t="s">
        <v>3070</v>
      </c>
      <c r="LZ5" s="13" t="s">
        <v>3035</v>
      </c>
      <c r="MA5" s="13" t="s">
        <v>3044</v>
      </c>
      <c r="MB5" s="13" t="s">
        <v>3087</v>
      </c>
      <c r="MC5" s="13" t="s">
        <v>3058</v>
      </c>
      <c r="MD5" s="13" t="s">
        <v>3081</v>
      </c>
      <c r="ME5" s="13" t="s">
        <v>3097</v>
      </c>
      <c r="MF5" s="13" t="s">
        <v>3047</v>
      </c>
      <c r="MG5" s="13" t="s">
        <v>3055</v>
      </c>
      <c r="MH5" s="13" t="s">
        <v>3070</v>
      </c>
      <c r="MI5" s="13" t="s">
        <v>3067</v>
      </c>
      <c r="MJ5" s="13" t="s">
        <v>3056</v>
      </c>
      <c r="MK5" s="13" t="s">
        <v>3065</v>
      </c>
      <c r="ML5" s="13" t="s">
        <v>3033</v>
      </c>
      <c r="MM5" s="13" t="s">
        <v>3033</v>
      </c>
      <c r="MN5" s="13" t="s">
        <v>3073</v>
      </c>
      <c r="MO5" s="13" t="s">
        <v>3065</v>
      </c>
      <c r="MP5" s="13" t="s">
        <v>3037</v>
      </c>
      <c r="MQ5" s="13" t="s">
        <v>3093</v>
      </c>
      <c r="MR5" s="13" t="s">
        <v>3070</v>
      </c>
      <c r="MS5" s="13" t="s">
        <v>3060</v>
      </c>
      <c r="MT5" s="13" t="s">
        <v>3076</v>
      </c>
      <c r="MU5" s="13" t="s">
        <v>3084</v>
      </c>
      <c r="MV5" s="13" t="s">
        <v>3039</v>
      </c>
      <c r="MW5" s="13" t="s">
        <v>3098</v>
      </c>
      <c r="MX5" s="13" t="s">
        <v>3068</v>
      </c>
      <c r="MY5" s="13" t="s">
        <v>3084</v>
      </c>
      <c r="MZ5" s="13" t="s">
        <v>3092</v>
      </c>
      <c r="NA5" s="13" t="s">
        <v>3041</v>
      </c>
      <c r="NB5" s="13" t="s">
        <v>3095</v>
      </c>
      <c r="NC5" s="13" t="s">
        <v>3044</v>
      </c>
      <c r="ND5" s="13" t="s">
        <v>3051</v>
      </c>
      <c r="NE5" s="13" t="s">
        <v>3068</v>
      </c>
      <c r="NF5" s="13" t="s">
        <v>3048</v>
      </c>
      <c r="NG5" s="13" t="s">
        <v>3048</v>
      </c>
      <c r="NH5" s="13" t="s">
        <v>3065</v>
      </c>
      <c r="NI5" s="13" t="s">
        <v>3093</v>
      </c>
      <c r="NJ5" s="13" t="s">
        <v>3050</v>
      </c>
      <c r="NK5" s="13" t="s">
        <v>3091</v>
      </c>
      <c r="NL5" s="13" t="s">
        <v>3056</v>
      </c>
      <c r="NM5" s="13" t="s">
        <v>3095</v>
      </c>
      <c r="NN5" s="13" t="s">
        <v>3047</v>
      </c>
      <c r="NO5" s="13" t="s">
        <v>3065</v>
      </c>
      <c r="NP5" s="13" t="s">
        <v>3087</v>
      </c>
      <c r="NQ5" s="13" t="s">
        <v>3076</v>
      </c>
      <c r="NR5" s="13" t="s">
        <v>3055</v>
      </c>
      <c r="NS5" s="13" t="s">
        <v>3076</v>
      </c>
      <c r="NT5" s="13" t="s">
        <v>3080</v>
      </c>
      <c r="NU5" s="13" t="s">
        <v>3095</v>
      </c>
      <c r="NV5" s="13" t="s">
        <v>3051</v>
      </c>
      <c r="NW5" s="13" t="s">
        <v>3047</v>
      </c>
      <c r="NX5" s="13" t="s">
        <v>3053</v>
      </c>
      <c r="NY5" s="13" t="s">
        <v>3073</v>
      </c>
      <c r="NZ5" s="13" t="s">
        <v>3065</v>
      </c>
      <c r="OA5" s="13" t="s">
        <v>3058</v>
      </c>
      <c r="OB5" s="13" t="s">
        <v>3094</v>
      </c>
      <c r="OC5" s="13" t="s">
        <v>3060</v>
      </c>
      <c r="OD5" s="13" t="s">
        <v>3050</v>
      </c>
      <c r="OE5" s="13" t="s">
        <v>3081</v>
      </c>
      <c r="OF5" s="13" t="s">
        <v>3059</v>
      </c>
      <c r="OG5" s="13" t="s">
        <v>3087</v>
      </c>
      <c r="OH5" s="13" t="s">
        <v>3097</v>
      </c>
      <c r="OI5" s="13" t="s">
        <v>3063</v>
      </c>
      <c r="OJ5" s="13" t="s">
        <v>3055</v>
      </c>
      <c r="OK5" s="13" t="s">
        <v>3093</v>
      </c>
      <c r="OL5" s="13" t="s">
        <v>3087</v>
      </c>
      <c r="OM5" s="13" t="s">
        <v>3050</v>
      </c>
      <c r="ON5" s="13" t="s">
        <v>3041</v>
      </c>
      <c r="OO5" s="13" t="s">
        <v>3068</v>
      </c>
      <c r="OP5" s="13" t="s">
        <v>3073</v>
      </c>
      <c r="OQ5" s="13" t="s">
        <v>3035</v>
      </c>
      <c r="OR5" s="13" t="s">
        <v>3056</v>
      </c>
      <c r="OS5" s="13" t="s">
        <v>3070</v>
      </c>
      <c r="OT5" s="13" t="s">
        <v>3070</v>
      </c>
      <c r="OU5" s="13" t="s">
        <v>3060</v>
      </c>
      <c r="OV5" s="13" t="s">
        <v>3055</v>
      </c>
      <c r="OW5" s="13" t="s">
        <v>3049</v>
      </c>
      <c r="OX5" s="13" t="s">
        <v>3065</v>
      </c>
      <c r="OY5" s="13" t="s">
        <v>3065</v>
      </c>
      <c r="OZ5" s="13" t="s">
        <v>3039</v>
      </c>
      <c r="PA5" s="13" t="s">
        <v>3059</v>
      </c>
      <c r="PB5" s="13" t="s">
        <v>3076</v>
      </c>
      <c r="PC5" s="13" t="s">
        <v>3051</v>
      </c>
      <c r="PD5" s="13" t="s">
        <v>3051</v>
      </c>
      <c r="PE5" s="13" t="s">
        <v>3067</v>
      </c>
      <c r="PF5" s="13" t="s">
        <v>1000</v>
      </c>
      <c r="PG5" s="13" t="s">
        <v>3056</v>
      </c>
      <c r="PH5" s="13" t="s">
        <v>3033</v>
      </c>
      <c r="PI5" s="13" t="s">
        <v>3072</v>
      </c>
      <c r="PJ5" s="13" t="s">
        <v>3067</v>
      </c>
      <c r="PK5" s="13" t="s">
        <v>3068</v>
      </c>
      <c r="PL5" s="13" t="s">
        <v>3080</v>
      </c>
      <c r="PM5" s="13" t="s">
        <v>3061</v>
      </c>
      <c r="PN5" s="13" t="s">
        <v>3058</v>
      </c>
      <c r="PO5" s="13" t="s">
        <v>3085</v>
      </c>
      <c r="PP5" s="13" t="s">
        <v>3084</v>
      </c>
      <c r="PQ5" s="13" t="s">
        <v>3067</v>
      </c>
      <c r="PR5" s="13" t="s">
        <v>3044</v>
      </c>
      <c r="PS5" s="13" t="s">
        <v>3044</v>
      </c>
      <c r="PT5" s="13" t="s">
        <v>3067</v>
      </c>
      <c r="PU5" s="13" t="s">
        <v>3055</v>
      </c>
      <c r="PV5" s="13" t="s">
        <v>3097</v>
      </c>
      <c r="PW5" s="13" t="s">
        <v>3047</v>
      </c>
      <c r="PX5" s="13" t="s">
        <v>3084</v>
      </c>
      <c r="PY5" s="13" t="s">
        <v>3094</v>
      </c>
      <c r="PZ5" s="13" t="s">
        <v>3059</v>
      </c>
      <c r="QA5" s="13" t="s">
        <v>3041</v>
      </c>
      <c r="QB5" s="13" t="s">
        <v>3068</v>
      </c>
      <c r="QC5" s="13" t="s">
        <v>3044</v>
      </c>
      <c r="QD5" s="13" t="s">
        <v>3044</v>
      </c>
      <c r="QE5" s="13" t="s">
        <v>3081</v>
      </c>
      <c r="QF5" s="13" t="s">
        <v>3063</v>
      </c>
      <c r="QG5" s="13" t="s">
        <v>3094</v>
      </c>
      <c r="QH5" s="13" t="s">
        <v>3068</v>
      </c>
      <c r="QI5" s="13" t="s">
        <v>3087</v>
      </c>
      <c r="QJ5" s="13" t="s">
        <v>3056</v>
      </c>
      <c r="QK5" s="13" t="s">
        <v>3041</v>
      </c>
      <c r="QL5" s="13" t="s">
        <v>3098</v>
      </c>
      <c r="QM5" s="13" t="s">
        <v>3041</v>
      </c>
      <c r="QN5" s="13" t="s">
        <v>3056</v>
      </c>
      <c r="QO5" s="13" t="s">
        <v>3091</v>
      </c>
      <c r="QP5" s="13" t="s">
        <v>3065</v>
      </c>
      <c r="QQ5" s="13" t="s">
        <v>3073</v>
      </c>
      <c r="QR5" s="13" t="s">
        <v>3065</v>
      </c>
      <c r="QS5" s="13" t="s">
        <v>3039</v>
      </c>
      <c r="QT5" s="13" t="s">
        <v>3039</v>
      </c>
      <c r="QU5" s="13" t="s">
        <v>3085</v>
      </c>
      <c r="QV5" s="13" t="s">
        <v>3065</v>
      </c>
      <c r="QW5" s="13" t="s">
        <v>3039</v>
      </c>
      <c r="QX5" s="13" t="s">
        <v>3048</v>
      </c>
      <c r="QY5" s="13" t="s">
        <v>3095</v>
      </c>
      <c r="QZ5" s="13" t="s">
        <v>3094</v>
      </c>
      <c r="RA5" s="13" t="s">
        <v>3094</v>
      </c>
      <c r="RB5" s="13" t="s">
        <v>3059</v>
      </c>
      <c r="RC5" s="13" t="s">
        <v>3085</v>
      </c>
      <c r="RD5" s="13" t="s">
        <v>3095</v>
      </c>
      <c r="RE5" s="13" t="s">
        <v>3095</v>
      </c>
      <c r="RF5" s="13" t="s">
        <v>3080</v>
      </c>
      <c r="RG5" s="13" t="s">
        <v>3039</v>
      </c>
      <c r="RH5" s="13" t="s">
        <v>3048</v>
      </c>
      <c r="RI5" s="13" t="s">
        <v>3059</v>
      </c>
      <c r="RJ5" s="13" t="s">
        <v>3039</v>
      </c>
      <c r="RK5" s="13" t="s">
        <v>3060</v>
      </c>
      <c r="RL5" s="13" t="s">
        <v>3060</v>
      </c>
      <c r="RM5" s="13" t="s">
        <v>3051</v>
      </c>
      <c r="RN5" s="13" t="s">
        <v>3076</v>
      </c>
      <c r="RO5" s="13" t="s">
        <v>3065</v>
      </c>
      <c r="RP5" s="13" t="s">
        <v>3091</v>
      </c>
      <c r="RQ5" s="13" t="s">
        <v>3076</v>
      </c>
      <c r="RR5" s="13" t="s">
        <v>3070</v>
      </c>
      <c r="RS5" s="13" t="s">
        <v>3053</v>
      </c>
      <c r="RT5" s="13" t="s">
        <v>3056</v>
      </c>
      <c r="RU5" s="13" t="s">
        <v>3098</v>
      </c>
      <c r="RV5" s="13" t="s">
        <v>3059</v>
      </c>
      <c r="RW5" s="13" t="s">
        <v>3094</v>
      </c>
      <c r="RX5" s="13" t="s">
        <v>3055</v>
      </c>
      <c r="RY5" s="13" t="s">
        <v>3081</v>
      </c>
      <c r="RZ5" s="13" t="s">
        <v>3063</v>
      </c>
      <c r="SA5" s="13" t="s">
        <v>3070</v>
      </c>
      <c r="SB5" s="13" t="s">
        <v>3070</v>
      </c>
      <c r="SC5" s="13" t="s">
        <v>3048</v>
      </c>
      <c r="SD5" s="13" t="s">
        <v>3095</v>
      </c>
      <c r="SE5" s="13" t="s">
        <v>3080</v>
      </c>
      <c r="SF5" s="13" t="s">
        <v>3095</v>
      </c>
      <c r="SG5" s="13" t="s">
        <v>3050</v>
      </c>
      <c r="SH5" s="13" t="s">
        <v>3085</v>
      </c>
      <c r="SI5" s="13" t="s">
        <v>3044</v>
      </c>
      <c r="SJ5" s="13" t="s">
        <v>3060</v>
      </c>
      <c r="SK5" s="13" t="s">
        <v>3047</v>
      </c>
      <c r="SL5" s="13" t="s">
        <v>3044</v>
      </c>
      <c r="SM5" s="13" t="s">
        <v>3093</v>
      </c>
      <c r="SN5" s="13" t="s">
        <v>3051</v>
      </c>
      <c r="SO5" s="13" t="s">
        <v>3081</v>
      </c>
      <c r="SP5" s="13" t="s">
        <v>3076</v>
      </c>
      <c r="SQ5" s="13" t="s">
        <v>3048</v>
      </c>
      <c r="SR5" s="13" t="s">
        <v>3092</v>
      </c>
      <c r="SS5" s="13" t="s">
        <v>3035</v>
      </c>
      <c r="ST5" s="13" t="s">
        <v>3098</v>
      </c>
      <c r="SU5" s="13" t="s">
        <v>3033</v>
      </c>
      <c r="SV5" s="13" t="s">
        <v>3085</v>
      </c>
      <c r="SW5" s="13" t="s">
        <v>3048</v>
      </c>
      <c r="SX5" s="13" t="s">
        <v>3049</v>
      </c>
      <c r="SY5" s="13" t="s">
        <v>3091</v>
      </c>
      <c r="SZ5" s="13" t="s">
        <v>3053</v>
      </c>
      <c r="TA5" s="13" t="s">
        <v>3056</v>
      </c>
      <c r="TB5" s="13" t="s">
        <v>3053</v>
      </c>
      <c r="TC5" s="13" t="s">
        <v>3081</v>
      </c>
      <c r="TD5" s="13" t="s">
        <v>3047</v>
      </c>
      <c r="TE5" s="13" t="s">
        <v>3048</v>
      </c>
      <c r="TF5" s="13" t="s">
        <v>3047</v>
      </c>
      <c r="TG5" s="13" t="s">
        <v>3097</v>
      </c>
      <c r="TH5" s="13" t="s">
        <v>3033</v>
      </c>
      <c r="TI5" s="13" t="s">
        <v>3035</v>
      </c>
      <c r="TJ5" s="13" t="s">
        <v>3049</v>
      </c>
      <c r="TK5" s="13" t="s">
        <v>3081</v>
      </c>
      <c r="TL5" s="13" t="s">
        <v>3053</v>
      </c>
      <c r="TM5" s="13" t="s">
        <v>3094</v>
      </c>
      <c r="TN5" s="13" t="s">
        <v>3067</v>
      </c>
      <c r="TO5" s="13" t="s">
        <v>3056</v>
      </c>
      <c r="TP5" s="13" t="s">
        <v>3094</v>
      </c>
      <c r="TQ5" s="13" t="s">
        <v>3082</v>
      </c>
      <c r="TR5" s="13" t="s">
        <v>3082</v>
      </c>
      <c r="TS5" s="13" t="s">
        <v>3082</v>
      </c>
      <c r="TT5" s="13" t="s">
        <v>3076</v>
      </c>
      <c r="TU5" s="13" t="s">
        <v>3050</v>
      </c>
      <c r="TV5" s="13" t="s">
        <v>3081</v>
      </c>
      <c r="TW5" s="13" t="s">
        <v>3073</v>
      </c>
      <c r="TX5" s="13" t="s">
        <v>3060</v>
      </c>
      <c r="TY5" s="13" t="s">
        <v>3060</v>
      </c>
      <c r="TZ5" s="13" t="s">
        <v>3097</v>
      </c>
      <c r="UA5" s="13" t="s">
        <v>3048</v>
      </c>
      <c r="UB5" s="13" t="s">
        <v>3081</v>
      </c>
      <c r="UC5" s="13" t="s">
        <v>3060</v>
      </c>
      <c r="UD5" s="13" t="s">
        <v>3037</v>
      </c>
      <c r="UE5" s="13" t="s">
        <v>3098</v>
      </c>
      <c r="UF5" s="13" t="s">
        <v>3044</v>
      </c>
      <c r="UG5" s="13" t="s">
        <v>3044</v>
      </c>
      <c r="UH5" s="13" t="s">
        <v>3039</v>
      </c>
      <c r="UI5" s="13" t="s">
        <v>3065</v>
      </c>
      <c r="UJ5" s="13" t="s">
        <v>3041</v>
      </c>
      <c r="UK5" s="13" t="s">
        <v>3053</v>
      </c>
      <c r="UL5" s="13" t="s">
        <v>3092</v>
      </c>
      <c r="UM5" s="13" t="s">
        <v>3033</v>
      </c>
      <c r="UN5" s="13" t="s">
        <v>3063</v>
      </c>
      <c r="UO5" s="13" t="s">
        <v>3068</v>
      </c>
      <c r="UP5" s="13" t="s">
        <v>3037</v>
      </c>
      <c r="UQ5" s="13" t="s">
        <v>3087</v>
      </c>
      <c r="UR5" s="13" t="s">
        <v>3098</v>
      </c>
      <c r="US5" s="13" t="s">
        <v>3073</v>
      </c>
      <c r="UT5" s="13" t="s">
        <v>3041</v>
      </c>
      <c r="UU5" s="13" t="s">
        <v>3081</v>
      </c>
      <c r="UV5" s="13" t="s">
        <v>3068</v>
      </c>
      <c r="UW5" s="13" t="s">
        <v>3047</v>
      </c>
      <c r="UX5" s="13" t="s">
        <v>3097</v>
      </c>
      <c r="UY5" s="13" t="s">
        <v>3033</v>
      </c>
      <c r="UZ5" s="13" t="s">
        <v>3041</v>
      </c>
      <c r="VA5" s="13" t="s">
        <v>3065</v>
      </c>
      <c r="VB5" s="13" t="s">
        <v>3056</v>
      </c>
      <c r="VC5" s="13" t="s">
        <v>3087</v>
      </c>
      <c r="VD5" s="13" t="s">
        <v>3089</v>
      </c>
      <c r="VE5" s="13" t="s">
        <v>3044</v>
      </c>
      <c r="VF5" s="13" t="s">
        <v>3076</v>
      </c>
      <c r="VG5" s="13" t="s">
        <v>3061</v>
      </c>
      <c r="VH5" s="13" t="s">
        <v>3094</v>
      </c>
      <c r="VI5" s="13" t="s">
        <v>3035</v>
      </c>
      <c r="VJ5" s="13" t="s">
        <v>3033</v>
      </c>
      <c r="VK5" s="13" t="s">
        <v>3067</v>
      </c>
      <c r="VL5" s="13" t="s">
        <v>3033</v>
      </c>
      <c r="VM5" s="13" t="s">
        <v>3065</v>
      </c>
      <c r="VN5" s="13" t="s">
        <v>3080</v>
      </c>
      <c r="VO5" s="13" t="s">
        <v>3073</v>
      </c>
      <c r="VP5" s="13" t="s">
        <v>3097</v>
      </c>
      <c r="VQ5" s="13" t="s">
        <v>3097</v>
      </c>
      <c r="VR5" s="13" t="s">
        <v>3044</v>
      </c>
      <c r="VS5" s="13" t="s">
        <v>3097</v>
      </c>
      <c r="VT5" s="13" t="s">
        <v>3063</v>
      </c>
      <c r="VU5" s="13" t="s">
        <v>3094</v>
      </c>
      <c r="VV5" s="13" t="s">
        <v>3073</v>
      </c>
      <c r="VW5" s="13" t="s">
        <v>3094</v>
      </c>
      <c r="VX5" s="13" t="s">
        <v>3051</v>
      </c>
      <c r="VY5" s="13" t="s">
        <v>3049</v>
      </c>
      <c r="VZ5" s="13" t="s">
        <v>3095</v>
      </c>
      <c r="WA5" s="13" t="s">
        <v>3050</v>
      </c>
      <c r="WB5" s="13" t="s">
        <v>3061</v>
      </c>
      <c r="WC5" s="13" t="s">
        <v>3068</v>
      </c>
      <c r="WD5" s="13" t="s">
        <v>3098</v>
      </c>
      <c r="WE5" s="13" t="s">
        <v>3055</v>
      </c>
      <c r="WF5" s="13" t="s">
        <v>3072</v>
      </c>
      <c r="WG5" s="13" t="s">
        <v>3070</v>
      </c>
      <c r="WH5" s="13" t="s">
        <v>3035</v>
      </c>
      <c r="WI5" s="13" t="s">
        <v>3082</v>
      </c>
      <c r="WJ5" s="13" t="s">
        <v>3068</v>
      </c>
      <c r="WK5" s="13" t="s">
        <v>3048</v>
      </c>
      <c r="WL5" s="13" t="s">
        <v>3035</v>
      </c>
      <c r="WM5" s="13" t="s">
        <v>3076</v>
      </c>
      <c r="WN5" s="13" t="s">
        <v>3053</v>
      </c>
      <c r="WO5" s="13" t="s">
        <v>3051</v>
      </c>
      <c r="WP5" s="13" t="s">
        <v>3051</v>
      </c>
      <c r="WQ5" s="13" t="s">
        <v>3059</v>
      </c>
      <c r="WR5" s="13" t="s">
        <v>3039</v>
      </c>
      <c r="WS5" s="13" t="s">
        <v>3048</v>
      </c>
      <c r="WT5" s="13" t="s">
        <v>3048</v>
      </c>
      <c r="WU5" s="13" t="s">
        <v>3081</v>
      </c>
      <c r="WV5" s="13" t="s">
        <v>3073</v>
      </c>
      <c r="WW5" s="13" t="s">
        <v>3097</v>
      </c>
      <c r="WX5" s="13" t="s">
        <v>3049</v>
      </c>
      <c r="WY5" s="13" t="s">
        <v>3061</v>
      </c>
      <c r="WZ5" s="13" t="s">
        <v>3041</v>
      </c>
      <c r="XA5" s="13" t="s">
        <v>3092</v>
      </c>
      <c r="XB5" s="13" t="s">
        <v>3072</v>
      </c>
      <c r="XC5" s="13" t="s">
        <v>3084</v>
      </c>
      <c r="XD5" s="13" t="s">
        <v>3047</v>
      </c>
      <c r="XE5" s="13" t="s">
        <v>3041</v>
      </c>
      <c r="XF5" s="13" t="s">
        <v>3061</v>
      </c>
      <c r="XG5" s="13" t="s">
        <v>3050</v>
      </c>
      <c r="XH5" s="13" t="s">
        <v>3044</v>
      </c>
      <c r="XI5" s="13" t="s">
        <v>3101</v>
      </c>
      <c r="XJ5" s="13" t="s">
        <v>3095</v>
      </c>
      <c r="XK5" s="13" t="s">
        <v>3035</v>
      </c>
      <c r="XL5" s="13" t="s">
        <v>3035</v>
      </c>
      <c r="XM5" s="13" t="s">
        <v>3065</v>
      </c>
      <c r="XN5" s="13" t="s">
        <v>3081</v>
      </c>
      <c r="XO5" s="13" t="s">
        <v>3068</v>
      </c>
      <c r="XP5" s="13" t="s">
        <v>3033</v>
      </c>
      <c r="XQ5" s="13" t="s">
        <v>3056</v>
      </c>
      <c r="XR5" s="13" t="s">
        <v>3050</v>
      </c>
      <c r="XS5" s="13" t="s">
        <v>3072</v>
      </c>
      <c r="XT5" s="13" t="s">
        <v>3068</v>
      </c>
      <c r="XU5" s="13" t="s">
        <v>3037</v>
      </c>
      <c r="XV5" s="13" t="s">
        <v>3050</v>
      </c>
      <c r="XW5" s="13" t="s">
        <v>3070</v>
      </c>
      <c r="XX5" s="13" t="s">
        <v>3058</v>
      </c>
      <c r="XY5" s="13" t="s">
        <v>3058</v>
      </c>
      <c r="XZ5" s="13" t="s">
        <v>3047</v>
      </c>
      <c r="YA5" s="13" t="s">
        <v>3033</v>
      </c>
      <c r="YB5" s="13" t="s">
        <v>3087</v>
      </c>
      <c r="YC5" s="13" t="s">
        <v>3047</v>
      </c>
      <c r="YD5" s="13" t="s">
        <v>3047</v>
      </c>
      <c r="YE5" s="13" t="s">
        <v>3091</v>
      </c>
      <c r="YF5" s="13" t="s">
        <v>3091</v>
      </c>
      <c r="YG5" s="13" t="s">
        <v>3050</v>
      </c>
      <c r="YH5" s="13" t="s">
        <v>3047</v>
      </c>
      <c r="YI5" s="13" t="s">
        <v>3033</v>
      </c>
      <c r="YJ5" s="13" t="s">
        <v>3081</v>
      </c>
      <c r="YK5" s="13" t="s">
        <v>3051</v>
      </c>
      <c r="YL5" s="13" t="s">
        <v>3048</v>
      </c>
      <c r="YM5" s="13" t="s">
        <v>3092</v>
      </c>
      <c r="YN5" s="13" t="s">
        <v>3089</v>
      </c>
      <c r="YO5" s="13" t="s">
        <v>3091</v>
      </c>
      <c r="YP5" s="13" t="s">
        <v>3081</v>
      </c>
      <c r="YQ5" s="13" t="s">
        <v>3072</v>
      </c>
      <c r="YR5" s="13" t="s">
        <v>3067</v>
      </c>
      <c r="YS5" s="13" t="s">
        <v>3053</v>
      </c>
      <c r="YT5" s="13" t="s">
        <v>3047</v>
      </c>
      <c r="YU5" s="13" t="s">
        <v>3063</v>
      </c>
      <c r="YV5" s="13" t="s">
        <v>3059</v>
      </c>
      <c r="YW5" s="13" t="s">
        <v>3033</v>
      </c>
      <c r="YX5" s="13" t="s">
        <v>3048</v>
      </c>
      <c r="YY5" s="13" t="s">
        <v>3089</v>
      </c>
      <c r="YZ5" s="13" t="s">
        <v>3053</v>
      </c>
      <c r="ZA5" s="13" t="s">
        <v>3098</v>
      </c>
      <c r="ZB5" s="13" t="s">
        <v>3084</v>
      </c>
      <c r="ZC5" s="13" t="s">
        <v>3073</v>
      </c>
      <c r="ZD5" s="13" t="s">
        <v>3058</v>
      </c>
      <c r="ZE5" s="13" t="s">
        <v>3058</v>
      </c>
      <c r="ZF5" s="13" t="s">
        <v>3047</v>
      </c>
      <c r="ZG5" s="13" t="s">
        <v>3080</v>
      </c>
      <c r="ZH5" s="13" t="s">
        <v>3058</v>
      </c>
      <c r="ZI5" s="13" t="s">
        <v>3082</v>
      </c>
      <c r="ZJ5" s="13" t="s">
        <v>3068</v>
      </c>
      <c r="ZK5" s="13" t="s">
        <v>3058</v>
      </c>
      <c r="ZL5" s="13" t="s">
        <v>3084</v>
      </c>
      <c r="ZM5" s="13" t="s">
        <v>3063</v>
      </c>
      <c r="ZN5" s="13" t="s">
        <v>3055</v>
      </c>
      <c r="ZO5" s="13" t="s">
        <v>3087</v>
      </c>
      <c r="ZP5" s="13" t="s">
        <v>3056</v>
      </c>
      <c r="ZQ5" s="13" t="s">
        <v>3068</v>
      </c>
      <c r="ZR5" s="13" t="s">
        <v>3093</v>
      </c>
      <c r="ZS5" s="13" t="s">
        <v>3091</v>
      </c>
      <c r="ZT5" s="13" t="s">
        <v>3048</v>
      </c>
      <c r="ZU5" s="13" t="s">
        <v>3092</v>
      </c>
      <c r="ZV5" s="13" t="s">
        <v>3084</v>
      </c>
      <c r="ZW5" s="13" t="s">
        <v>3080</v>
      </c>
      <c r="ZX5" s="13" t="s">
        <v>3065</v>
      </c>
      <c r="ZY5" s="13" t="s">
        <v>3035</v>
      </c>
      <c r="ZZ5" s="13" t="s">
        <v>3060</v>
      </c>
      <c r="AAA5" s="13" t="s">
        <v>3087</v>
      </c>
      <c r="AAB5" s="13" t="s">
        <v>3089</v>
      </c>
      <c r="AAC5" s="13" t="s">
        <v>3041</v>
      </c>
      <c r="AAD5" s="13" t="s">
        <v>3041</v>
      </c>
      <c r="AAE5" s="13" t="s">
        <v>3084</v>
      </c>
      <c r="AAF5" s="13" t="s">
        <v>3072</v>
      </c>
      <c r="AAG5" s="13" t="s">
        <v>3051</v>
      </c>
      <c r="AAH5" s="13" t="s">
        <v>3041</v>
      </c>
      <c r="AAI5" s="13" t="s">
        <v>3081</v>
      </c>
      <c r="AAJ5" s="13" t="s">
        <v>3050</v>
      </c>
      <c r="AAK5" s="13" t="s">
        <v>3081</v>
      </c>
      <c r="AAL5" s="13" t="s">
        <v>3041</v>
      </c>
      <c r="AAM5" s="13" t="s">
        <v>3048</v>
      </c>
      <c r="AAN5" s="13" t="s">
        <v>3082</v>
      </c>
      <c r="AAO5" s="13" t="s">
        <v>3055</v>
      </c>
      <c r="AAP5" s="13" t="s">
        <v>3092</v>
      </c>
      <c r="AAQ5" s="13" t="s">
        <v>3060</v>
      </c>
      <c r="AAR5" s="13" t="s">
        <v>3068</v>
      </c>
      <c r="AAS5" s="13" t="s">
        <v>3039</v>
      </c>
      <c r="AAT5" s="13" t="s">
        <v>3053</v>
      </c>
      <c r="AAU5" s="13" t="s">
        <v>3056</v>
      </c>
      <c r="AAV5" s="13" t="s">
        <v>3076</v>
      </c>
      <c r="AAW5" s="13" t="s">
        <v>3081</v>
      </c>
      <c r="AAX5" s="13" t="s">
        <v>3081</v>
      </c>
      <c r="AAY5" s="13" t="s">
        <v>3097</v>
      </c>
      <c r="AAZ5" s="13" t="s">
        <v>3095</v>
      </c>
      <c r="ABA5" s="13" t="s">
        <v>3035</v>
      </c>
      <c r="ABB5" s="13" t="s">
        <v>3051</v>
      </c>
      <c r="ABC5" s="13" t="s">
        <v>3076</v>
      </c>
      <c r="ABD5" s="13" t="s">
        <v>3095</v>
      </c>
      <c r="ABE5" s="13" t="s">
        <v>3095</v>
      </c>
      <c r="ABF5" s="13" t="s">
        <v>3094</v>
      </c>
      <c r="ABG5" s="13" t="s">
        <v>3059</v>
      </c>
      <c r="ABH5" s="13" t="s">
        <v>3082</v>
      </c>
      <c r="ABI5" s="13" t="s">
        <v>3093</v>
      </c>
      <c r="ABJ5" s="13" t="s">
        <v>3099</v>
      </c>
      <c r="ABK5" s="13" t="s">
        <v>3049</v>
      </c>
      <c r="ABL5" s="13" t="s">
        <v>3037</v>
      </c>
      <c r="ABM5" s="13" t="s">
        <v>3047</v>
      </c>
      <c r="ABN5" s="13" t="s">
        <v>3085</v>
      </c>
      <c r="ABO5" s="13" t="s">
        <v>3044</v>
      </c>
      <c r="ABP5" s="13" t="s">
        <v>3068</v>
      </c>
      <c r="ABQ5" s="13" t="s">
        <v>3050</v>
      </c>
      <c r="ABR5" s="13" t="s">
        <v>3055</v>
      </c>
      <c r="ABS5" s="13" t="s">
        <v>3098</v>
      </c>
      <c r="ABT5" s="13" t="s">
        <v>3072</v>
      </c>
      <c r="ABU5" s="13" t="s">
        <v>3072</v>
      </c>
      <c r="ABV5" s="13" t="s">
        <v>3089</v>
      </c>
      <c r="ABW5" s="13" t="s">
        <v>3063</v>
      </c>
      <c r="ABX5" s="13" t="s">
        <v>3044</v>
      </c>
      <c r="ABY5" s="13" t="s">
        <v>3093</v>
      </c>
      <c r="ABZ5" s="13" t="s">
        <v>3056</v>
      </c>
      <c r="ACA5" s="13" t="s">
        <v>3068</v>
      </c>
      <c r="ACB5" s="13" t="s">
        <v>3037</v>
      </c>
      <c r="ACC5" s="13" t="s">
        <v>3084</v>
      </c>
      <c r="ACD5" s="13" t="s">
        <v>3072</v>
      </c>
      <c r="ACE5" s="13" t="s">
        <v>3035</v>
      </c>
      <c r="ACF5" s="13" t="s">
        <v>3044</v>
      </c>
      <c r="ACG5" s="13" t="s">
        <v>3097</v>
      </c>
      <c r="ACH5" s="13" t="s">
        <v>3085</v>
      </c>
      <c r="ACI5" s="13" t="s">
        <v>3076</v>
      </c>
      <c r="ACJ5" s="13" t="s">
        <v>3082</v>
      </c>
      <c r="ACK5" s="13" t="s">
        <v>3035</v>
      </c>
      <c r="ACL5" s="13" t="s">
        <v>3044</v>
      </c>
      <c r="ACM5" s="13" t="s">
        <v>3076</v>
      </c>
      <c r="ACN5" s="13" t="s">
        <v>3073</v>
      </c>
      <c r="ACO5" s="13" t="s">
        <v>3082</v>
      </c>
      <c r="ACP5" s="13" t="s">
        <v>3068</v>
      </c>
      <c r="ACQ5" s="13" t="s">
        <v>3095</v>
      </c>
      <c r="ACR5" s="13" t="s">
        <v>3047</v>
      </c>
      <c r="ACS5" s="13" t="s">
        <v>3082</v>
      </c>
      <c r="ACT5" s="13" t="s">
        <v>3037</v>
      </c>
      <c r="ACU5" s="13" t="s">
        <v>3037</v>
      </c>
      <c r="ACV5" s="13" t="s">
        <v>3037</v>
      </c>
      <c r="ACW5" s="13" t="s">
        <v>3067</v>
      </c>
      <c r="ACX5" s="13" t="s">
        <v>3084</v>
      </c>
      <c r="ACY5" s="13" t="s">
        <v>3058</v>
      </c>
      <c r="ACZ5" s="13" t="s">
        <v>3058</v>
      </c>
      <c r="ADA5" s="13" t="s">
        <v>3092</v>
      </c>
      <c r="ADB5" s="13" t="s">
        <v>3060</v>
      </c>
      <c r="ADC5" s="13" t="s">
        <v>3049</v>
      </c>
      <c r="ADD5" s="13" t="s">
        <v>3039</v>
      </c>
      <c r="ADE5" s="13" t="s">
        <v>3033</v>
      </c>
      <c r="ADF5" s="13" t="s">
        <v>3089</v>
      </c>
      <c r="ADG5" s="13" t="s">
        <v>3087</v>
      </c>
      <c r="ADH5" s="13" t="s">
        <v>3089</v>
      </c>
      <c r="ADI5" s="13" t="s">
        <v>3035</v>
      </c>
      <c r="ADJ5" s="13" t="s">
        <v>3072</v>
      </c>
      <c r="ADK5" s="13" t="s">
        <v>3082</v>
      </c>
      <c r="ADL5" s="13" t="s">
        <v>3051</v>
      </c>
      <c r="ADM5" s="13" t="s">
        <v>3050</v>
      </c>
      <c r="ADN5" s="13" t="s">
        <v>3089</v>
      </c>
      <c r="ADO5" s="13" t="s">
        <v>3044</v>
      </c>
      <c r="ADP5" s="13" t="s">
        <v>3051</v>
      </c>
      <c r="ADQ5" s="13" t="s">
        <v>3092</v>
      </c>
      <c r="ADR5" s="13" t="s">
        <v>3087</v>
      </c>
      <c r="ADS5" s="13" t="s">
        <v>3097</v>
      </c>
      <c r="ADT5" s="13" t="s">
        <v>3039</v>
      </c>
      <c r="ADU5" s="13" t="s">
        <v>3081</v>
      </c>
      <c r="ADV5" s="13" t="s">
        <v>3056</v>
      </c>
      <c r="ADW5" s="13" t="s">
        <v>3033</v>
      </c>
      <c r="ADX5" s="13" t="s">
        <v>3072</v>
      </c>
      <c r="ADY5" s="13" t="s">
        <v>3098</v>
      </c>
      <c r="ADZ5" s="13" t="s">
        <v>3044</v>
      </c>
      <c r="AEA5" s="13" t="s">
        <v>3049</v>
      </c>
      <c r="AEB5" s="13" t="s">
        <v>3061</v>
      </c>
      <c r="AEC5" s="13" t="s">
        <v>3095</v>
      </c>
      <c r="AED5" s="13" t="s">
        <v>3049</v>
      </c>
      <c r="AEE5" s="13" t="s">
        <v>3093</v>
      </c>
      <c r="AEF5" s="13" t="s">
        <v>3089</v>
      </c>
      <c r="AEG5" s="13" t="s">
        <v>3098</v>
      </c>
      <c r="AEH5" s="13" t="s">
        <v>3072</v>
      </c>
      <c r="AEI5" s="13" t="s">
        <v>3076</v>
      </c>
      <c r="AEJ5" s="13" t="s">
        <v>3089</v>
      </c>
      <c r="AEK5" s="13" t="s">
        <v>3053</v>
      </c>
      <c r="AEL5" s="13" t="s">
        <v>3068</v>
      </c>
      <c r="AEM5" s="13" t="s">
        <v>3089</v>
      </c>
      <c r="AEN5" s="13" t="s">
        <v>3081</v>
      </c>
      <c r="AEO5" s="13" t="s">
        <v>3060</v>
      </c>
      <c r="AEP5" s="13" t="s">
        <v>3081</v>
      </c>
      <c r="AEQ5" s="13" t="s">
        <v>3051</v>
      </c>
      <c r="AER5" s="13" t="s">
        <v>3049</v>
      </c>
      <c r="AES5" s="13" t="s">
        <v>3044</v>
      </c>
      <c r="AET5" s="13" t="s">
        <v>3047</v>
      </c>
      <c r="AEU5" s="13" t="s">
        <v>3089</v>
      </c>
      <c r="AEV5" s="13" t="s">
        <v>3091</v>
      </c>
      <c r="AEW5" s="13" t="s">
        <v>3056</v>
      </c>
      <c r="AEX5" s="13" t="s">
        <v>3059</v>
      </c>
      <c r="AEY5" s="13" t="s">
        <v>3051</v>
      </c>
      <c r="AEZ5" s="13" t="s">
        <v>3060</v>
      </c>
      <c r="AFA5" s="13" t="s">
        <v>3035</v>
      </c>
      <c r="AFB5" s="13" t="s">
        <v>3076</v>
      </c>
      <c r="AFC5" s="13" t="s">
        <v>3087</v>
      </c>
      <c r="AFD5" s="13" t="s">
        <v>3041</v>
      </c>
      <c r="AFE5" s="13" t="s">
        <v>3056</v>
      </c>
      <c r="AFF5" s="13" t="s">
        <v>3092</v>
      </c>
      <c r="AFG5" s="13" t="s">
        <v>3068</v>
      </c>
      <c r="AFH5" s="13" t="s">
        <v>3094</v>
      </c>
      <c r="AFI5" s="13" t="s">
        <v>3037</v>
      </c>
      <c r="AFJ5" s="13" t="s">
        <v>3051</v>
      </c>
      <c r="AFK5" s="13" t="s">
        <v>3067</v>
      </c>
      <c r="AFL5" s="13" t="s">
        <v>3061</v>
      </c>
      <c r="AFM5" s="13" t="s">
        <v>3087</v>
      </c>
      <c r="AFN5" s="13" t="s">
        <v>3089</v>
      </c>
      <c r="AFO5" s="13" t="s">
        <v>3080</v>
      </c>
      <c r="AFP5" s="13" t="s">
        <v>3068</v>
      </c>
      <c r="AFQ5" s="13" t="s">
        <v>3037</v>
      </c>
      <c r="AFR5" s="13" t="s">
        <v>3097</v>
      </c>
      <c r="AFS5" s="13" t="s">
        <v>3085</v>
      </c>
      <c r="AFT5" s="13" t="s">
        <v>3095</v>
      </c>
      <c r="AFU5" s="13" t="s">
        <v>3095</v>
      </c>
      <c r="AFV5" s="13" t="s">
        <v>3092</v>
      </c>
      <c r="AFW5" s="13" t="s">
        <v>3087</v>
      </c>
      <c r="AFX5" s="13" t="s">
        <v>3091</v>
      </c>
      <c r="AFY5" s="13" t="s">
        <v>3094</v>
      </c>
      <c r="AFZ5" s="13" t="s">
        <v>3056</v>
      </c>
      <c r="AGA5" s="13" t="s">
        <v>3051</v>
      </c>
      <c r="AGB5" s="13" t="s">
        <v>3068</v>
      </c>
      <c r="AGC5" s="13" t="s">
        <v>3068</v>
      </c>
      <c r="AGD5" s="13" t="s">
        <v>3050</v>
      </c>
      <c r="AGE5" s="13" t="s">
        <v>3035</v>
      </c>
      <c r="AGF5" s="13" t="s">
        <v>3061</v>
      </c>
      <c r="AGG5" s="13" t="s">
        <v>3085</v>
      </c>
      <c r="AGH5" s="13" t="s">
        <v>3065</v>
      </c>
      <c r="AGI5" s="13" t="s">
        <v>3048</v>
      </c>
      <c r="AGJ5" s="13" t="s">
        <v>3037</v>
      </c>
      <c r="AGK5" s="13" t="s">
        <v>3051</v>
      </c>
      <c r="AGL5" s="13" t="s">
        <v>3058</v>
      </c>
      <c r="AGM5" s="13" t="s">
        <v>3048</v>
      </c>
      <c r="AGN5" s="13" t="s">
        <v>3041</v>
      </c>
      <c r="AGO5" s="13" t="s">
        <v>3087</v>
      </c>
      <c r="AGP5" s="13" t="s">
        <v>3058</v>
      </c>
      <c r="AGQ5" s="13" t="s">
        <v>3044</v>
      </c>
      <c r="AGR5" s="13" t="s">
        <v>3065</v>
      </c>
      <c r="AGS5" s="13" t="s">
        <v>3095</v>
      </c>
      <c r="AGT5" s="13" t="s">
        <v>3089</v>
      </c>
      <c r="AGU5" s="13" t="s">
        <v>3033</v>
      </c>
      <c r="AGV5" s="13" t="s">
        <v>3068</v>
      </c>
      <c r="AGW5" s="13" t="s">
        <v>3063</v>
      </c>
      <c r="AGX5" s="13" t="s">
        <v>3084</v>
      </c>
      <c r="AGY5" s="13" t="s">
        <v>3056</v>
      </c>
      <c r="AGZ5" s="13" t="s">
        <v>3094</v>
      </c>
      <c r="AHA5" s="13" t="s">
        <v>3093</v>
      </c>
      <c r="AHB5" s="13" t="s">
        <v>3098</v>
      </c>
      <c r="AHC5" s="13" t="s">
        <v>3089</v>
      </c>
      <c r="AHD5" s="13" t="s">
        <v>3081</v>
      </c>
      <c r="AHE5" s="13" t="s">
        <v>3072</v>
      </c>
      <c r="AHF5" s="13" t="s">
        <v>3072</v>
      </c>
      <c r="AHG5" s="13" t="s">
        <v>3087</v>
      </c>
      <c r="AHH5" s="13" t="s">
        <v>3047</v>
      </c>
      <c r="AHI5" s="13" t="s">
        <v>3072</v>
      </c>
      <c r="AHJ5" s="13" t="s">
        <v>3084</v>
      </c>
      <c r="AHK5" s="13" t="s">
        <v>3060</v>
      </c>
      <c r="AHL5" s="13" t="s">
        <v>3033</v>
      </c>
      <c r="AHM5" s="13" t="s">
        <v>3072</v>
      </c>
      <c r="AHN5" s="13" t="s">
        <v>3089</v>
      </c>
      <c r="AHO5" s="13" t="s">
        <v>3098</v>
      </c>
      <c r="AHP5" s="13" t="s">
        <v>3049</v>
      </c>
      <c r="AHQ5" s="13" t="s">
        <v>3089</v>
      </c>
      <c r="AHR5" s="13" t="s">
        <v>3039</v>
      </c>
      <c r="AHS5" s="13" t="s">
        <v>3060</v>
      </c>
      <c r="AHT5" s="13" t="s">
        <v>3049</v>
      </c>
      <c r="AHU5" s="13" t="s">
        <v>3087</v>
      </c>
      <c r="AHV5" s="13" t="s">
        <v>3063</v>
      </c>
      <c r="AHW5" s="13" t="s">
        <v>3063</v>
      </c>
      <c r="AHX5" s="13" t="s">
        <v>3094</v>
      </c>
      <c r="AHY5" s="13" t="s">
        <v>3094</v>
      </c>
      <c r="AHZ5" s="13" t="s">
        <v>3055</v>
      </c>
      <c r="AIA5" s="13" t="s">
        <v>3050</v>
      </c>
      <c r="AIB5" s="13" t="s">
        <v>3048</v>
      </c>
      <c r="AIC5" s="13" t="s">
        <v>3044</v>
      </c>
      <c r="AID5" s="13" t="s">
        <v>3049</v>
      </c>
      <c r="AIE5" s="13" t="s">
        <v>3091</v>
      </c>
      <c r="AIF5" s="13" t="s">
        <v>3059</v>
      </c>
      <c r="AIG5" s="13" t="s">
        <v>3068</v>
      </c>
      <c r="AIH5" s="13" t="s">
        <v>3059</v>
      </c>
      <c r="AII5" s="13" t="s">
        <v>3041</v>
      </c>
      <c r="AIJ5" s="13" t="s">
        <v>3041</v>
      </c>
      <c r="AIK5" s="13" t="s">
        <v>3051</v>
      </c>
      <c r="AIL5" s="13" t="s">
        <v>3041</v>
      </c>
      <c r="AIM5" s="13" t="s">
        <v>3092</v>
      </c>
      <c r="AIN5" s="13" t="s">
        <v>3097</v>
      </c>
      <c r="AIO5" s="13" t="s">
        <v>3068</v>
      </c>
      <c r="AIP5" s="13" t="s">
        <v>3068</v>
      </c>
      <c r="AIQ5" s="13" t="s">
        <v>3065</v>
      </c>
      <c r="AIR5" s="13" t="s">
        <v>3093</v>
      </c>
      <c r="AIS5" s="13" t="s">
        <v>3065</v>
      </c>
      <c r="AIT5" s="13" t="s">
        <v>3050</v>
      </c>
      <c r="AIU5" s="13" t="s">
        <v>3093</v>
      </c>
      <c r="AIV5" s="13" t="s">
        <v>3080</v>
      </c>
      <c r="AIW5" s="13" t="s">
        <v>3092</v>
      </c>
      <c r="AIX5" s="13" t="s">
        <v>3080</v>
      </c>
      <c r="AIY5" s="13" t="s">
        <v>3033</v>
      </c>
      <c r="AIZ5" s="13" t="s">
        <v>3085</v>
      </c>
      <c r="AJA5" s="13" t="s">
        <v>3049</v>
      </c>
      <c r="AJB5" s="13" t="s">
        <v>3089</v>
      </c>
      <c r="AJC5" s="13" t="s">
        <v>3056</v>
      </c>
      <c r="AJD5" s="13" t="s">
        <v>3091</v>
      </c>
      <c r="AJE5" s="13" t="s">
        <v>3081</v>
      </c>
      <c r="AJF5" s="13" t="s">
        <v>3082</v>
      </c>
      <c r="AJG5" s="13" t="s">
        <v>3089</v>
      </c>
      <c r="AJH5" s="13" t="s">
        <v>3059</v>
      </c>
      <c r="AJI5" s="13" t="s">
        <v>3048</v>
      </c>
      <c r="AJJ5" s="13" t="s">
        <v>3080</v>
      </c>
      <c r="AJK5" s="13" t="s">
        <v>3095</v>
      </c>
      <c r="AJL5" s="13" t="s">
        <v>3048</v>
      </c>
      <c r="AJM5" s="13" t="s">
        <v>3041</v>
      </c>
      <c r="AJN5" s="13" t="s">
        <v>3041</v>
      </c>
      <c r="AJO5" s="13" t="s">
        <v>3053</v>
      </c>
      <c r="AJP5" s="13" t="s">
        <v>3097</v>
      </c>
      <c r="AJQ5" s="13" t="s">
        <v>3041</v>
      </c>
      <c r="AJR5" s="13" t="s">
        <v>3076</v>
      </c>
      <c r="AJS5" s="13" t="s">
        <v>3037</v>
      </c>
      <c r="AJT5" s="13" t="s">
        <v>3091</v>
      </c>
      <c r="AJU5" s="13" t="s">
        <v>3087</v>
      </c>
      <c r="AJV5" s="13" t="s">
        <v>3085</v>
      </c>
      <c r="AJW5" s="13" t="s">
        <v>3070</v>
      </c>
      <c r="AJX5" s="13" t="s">
        <v>3059</v>
      </c>
      <c r="AJY5" s="13" t="s">
        <v>3080</v>
      </c>
      <c r="AJZ5" s="13" t="s">
        <v>3058</v>
      </c>
      <c r="AKA5" s="13" t="s">
        <v>3039</v>
      </c>
      <c r="AKB5" s="13" t="s">
        <v>3094</v>
      </c>
      <c r="AKC5" s="13" t="s">
        <v>3065</v>
      </c>
      <c r="AKD5" s="13" t="s">
        <v>3095</v>
      </c>
      <c r="AKE5" s="13" t="s">
        <v>3084</v>
      </c>
      <c r="AKF5" s="13" t="s">
        <v>3067</v>
      </c>
      <c r="AKG5" s="13" t="s">
        <v>3097</v>
      </c>
      <c r="AKH5" s="13" t="s">
        <v>3065</v>
      </c>
      <c r="AKI5" s="13" t="s">
        <v>3097</v>
      </c>
      <c r="AKJ5" s="13" t="s">
        <v>3076</v>
      </c>
      <c r="AKK5" s="13" t="s">
        <v>3076</v>
      </c>
      <c r="AKL5" s="13" t="s">
        <v>3072</v>
      </c>
      <c r="AKM5" s="13" t="s">
        <v>3095</v>
      </c>
      <c r="AKN5" s="13" t="s">
        <v>3072</v>
      </c>
      <c r="AKO5" s="13" t="s">
        <v>3091</v>
      </c>
      <c r="AKP5" s="13" t="s">
        <v>3049</v>
      </c>
      <c r="AKQ5" s="13" t="s">
        <v>3068</v>
      </c>
      <c r="AKR5" s="13" t="s">
        <v>3080</v>
      </c>
      <c r="AKS5" s="13" t="s">
        <v>3053</v>
      </c>
      <c r="AKT5" s="13" t="s">
        <v>3033</v>
      </c>
      <c r="AKU5" s="13" t="s">
        <v>3073</v>
      </c>
      <c r="AKV5" s="13" t="s">
        <v>3056</v>
      </c>
      <c r="AKW5" s="13" t="s">
        <v>3084</v>
      </c>
      <c r="AKX5" s="13" t="s">
        <v>3053</v>
      </c>
      <c r="AKY5" s="13" t="s">
        <v>3084</v>
      </c>
      <c r="AKZ5" s="13" t="s">
        <v>3059</v>
      </c>
      <c r="ALA5" s="13" t="s">
        <v>3061</v>
      </c>
      <c r="ALB5" s="13" t="s">
        <v>3091</v>
      </c>
      <c r="ALC5" s="13" t="s">
        <v>3053</v>
      </c>
      <c r="ALD5" s="13" t="s">
        <v>3053</v>
      </c>
      <c r="ALE5" s="13" t="s">
        <v>3041</v>
      </c>
      <c r="ALF5" s="13" t="s">
        <v>3070</v>
      </c>
      <c r="ALG5" s="13" t="s">
        <v>3037</v>
      </c>
      <c r="ALH5" s="13" t="s">
        <v>3056</v>
      </c>
      <c r="ALI5" s="13" t="s">
        <v>3093</v>
      </c>
      <c r="ALJ5" s="13" t="s">
        <v>3051</v>
      </c>
      <c r="ALK5" s="13" t="s">
        <v>3048</v>
      </c>
      <c r="ALL5" s="13" t="s">
        <v>3089</v>
      </c>
      <c r="ALM5" s="13" t="s">
        <v>3051</v>
      </c>
      <c r="ALN5" s="13" t="s">
        <v>3073</v>
      </c>
      <c r="ALO5" s="13" t="s">
        <v>3051</v>
      </c>
      <c r="ALP5" s="13" t="s">
        <v>3087</v>
      </c>
      <c r="ALQ5" s="13" t="s">
        <v>3033</v>
      </c>
      <c r="ALR5" s="13" t="s">
        <v>3049</v>
      </c>
      <c r="ALS5" s="13" t="s">
        <v>3041</v>
      </c>
      <c r="ALT5" s="13" t="s">
        <v>3094</v>
      </c>
      <c r="ALU5" s="13" t="s">
        <v>3072</v>
      </c>
      <c r="ALV5" s="13" t="s">
        <v>3055</v>
      </c>
    </row>
    <row r="6" spans="1:1010" x14ac:dyDescent="0.25">
      <c r="A6" s="13" t="s">
        <v>3105</v>
      </c>
      <c r="B6" s="13" t="s">
        <v>3090</v>
      </c>
      <c r="C6" s="13" t="s">
        <v>3046</v>
      </c>
      <c r="D6" s="13" t="s">
        <v>3078</v>
      </c>
      <c r="E6" s="13" t="s">
        <v>3040</v>
      </c>
      <c r="F6" s="13" t="s">
        <v>3043</v>
      </c>
      <c r="G6" s="13" t="s">
        <v>3083</v>
      </c>
      <c r="H6" s="13" t="s">
        <v>3062</v>
      </c>
      <c r="I6" s="13" t="s">
        <v>3090</v>
      </c>
      <c r="J6" s="13" t="s">
        <v>3040</v>
      </c>
      <c r="K6" s="13" t="s">
        <v>3052</v>
      </c>
      <c r="L6" s="13" t="s">
        <v>3086</v>
      </c>
      <c r="M6" s="13" t="s">
        <v>3046</v>
      </c>
      <c r="N6" s="13" t="s">
        <v>3046</v>
      </c>
      <c r="O6" s="13" t="s">
        <v>3090</v>
      </c>
      <c r="P6" s="13" t="s">
        <v>3057</v>
      </c>
      <c r="Q6" s="13" t="s">
        <v>3064</v>
      </c>
      <c r="R6" s="13" t="s">
        <v>3038</v>
      </c>
      <c r="S6" s="13" t="s">
        <v>3090</v>
      </c>
      <c r="T6" s="13" t="s">
        <v>3040</v>
      </c>
      <c r="U6" s="13" t="s">
        <v>3054</v>
      </c>
      <c r="V6" s="13" t="s">
        <v>3083</v>
      </c>
      <c r="W6" s="13" t="s">
        <v>3064</v>
      </c>
      <c r="X6" s="13" t="s">
        <v>3066</v>
      </c>
      <c r="Y6" s="13" t="s">
        <v>3046</v>
      </c>
      <c r="Z6" s="13" t="s">
        <v>3083</v>
      </c>
      <c r="AA6" s="13" t="s">
        <v>3043</v>
      </c>
      <c r="AB6" s="13" t="s">
        <v>3052</v>
      </c>
      <c r="AC6" s="13" t="s">
        <v>3066</v>
      </c>
      <c r="AD6" s="13" t="s">
        <v>3045</v>
      </c>
      <c r="AE6" s="13" t="s">
        <v>3077</v>
      </c>
      <c r="AF6" s="13" t="s">
        <v>3046</v>
      </c>
      <c r="AG6" s="13" t="s">
        <v>3064</v>
      </c>
      <c r="AH6" s="13" t="s">
        <v>3036</v>
      </c>
      <c r="AI6" s="13" t="s">
        <v>3046</v>
      </c>
      <c r="AJ6" s="13" t="s">
        <v>3069</v>
      </c>
      <c r="AK6" s="13" t="s">
        <v>3071</v>
      </c>
      <c r="AL6" s="13" t="s">
        <v>3045</v>
      </c>
      <c r="AM6" s="13" t="s">
        <v>3045</v>
      </c>
      <c r="AN6" s="13" t="s">
        <v>3045</v>
      </c>
      <c r="AO6" s="13" t="s">
        <v>3083</v>
      </c>
      <c r="AP6" s="13" t="s">
        <v>3086</v>
      </c>
      <c r="AQ6" s="13" t="s">
        <v>3054</v>
      </c>
      <c r="AR6" s="13" t="s">
        <v>3038</v>
      </c>
      <c r="AS6" s="13" t="s">
        <v>3071</v>
      </c>
      <c r="AT6" s="13" t="s">
        <v>3088</v>
      </c>
      <c r="AU6" s="13" t="s">
        <v>3064</v>
      </c>
      <c r="AV6" s="13" t="s">
        <v>3086</v>
      </c>
      <c r="AW6" s="13" t="s">
        <v>3034</v>
      </c>
      <c r="AX6" s="13" t="s">
        <v>3040</v>
      </c>
      <c r="AY6" s="13" t="s">
        <v>3071</v>
      </c>
      <c r="AZ6" s="13" t="s">
        <v>3086</v>
      </c>
      <c r="BA6" s="13" t="s">
        <v>3043</v>
      </c>
      <c r="BB6" s="13" t="s">
        <v>3057</v>
      </c>
      <c r="BC6" s="13" t="s">
        <v>3077</v>
      </c>
      <c r="BD6" s="13" t="s">
        <v>3083</v>
      </c>
      <c r="BE6" s="13" t="s">
        <v>3038</v>
      </c>
      <c r="BF6" s="13" t="s">
        <v>3066</v>
      </c>
      <c r="BG6" s="13" t="s">
        <v>3096</v>
      </c>
      <c r="BH6" s="13" t="s">
        <v>3074</v>
      </c>
      <c r="BI6" s="13" t="s">
        <v>3086</v>
      </c>
      <c r="BJ6" s="13" t="s">
        <v>3062</v>
      </c>
      <c r="BK6" s="13" t="s">
        <v>3071</v>
      </c>
      <c r="BL6" s="13" t="s">
        <v>3077</v>
      </c>
      <c r="BM6" s="13" t="s">
        <v>3086</v>
      </c>
      <c r="BN6" s="13" t="s">
        <v>3100</v>
      </c>
      <c r="BO6" s="13" t="s">
        <v>3090</v>
      </c>
      <c r="BP6" s="13" t="s">
        <v>3069</v>
      </c>
      <c r="BQ6" s="13" t="s">
        <v>3050</v>
      </c>
      <c r="BR6" s="13" t="s">
        <v>3050</v>
      </c>
      <c r="BS6" s="13" t="s">
        <v>3079</v>
      </c>
      <c r="BT6" s="13" t="s">
        <v>3054</v>
      </c>
      <c r="BU6" s="13" t="s">
        <v>3064</v>
      </c>
      <c r="BV6" s="13" t="s">
        <v>3083</v>
      </c>
      <c r="BW6" s="13" t="s">
        <v>3057</v>
      </c>
      <c r="BX6" s="13" t="s">
        <v>3071</v>
      </c>
      <c r="BY6" s="13" t="s">
        <v>3042</v>
      </c>
      <c r="BZ6" s="13" t="s">
        <v>3088</v>
      </c>
      <c r="CA6" s="13" t="s">
        <v>3069</v>
      </c>
      <c r="CB6" s="13" t="s">
        <v>3050</v>
      </c>
      <c r="CC6" s="13" t="s">
        <v>3096</v>
      </c>
      <c r="CD6" s="13" t="s">
        <v>3071</v>
      </c>
      <c r="CE6" s="13" t="s">
        <v>3062</v>
      </c>
      <c r="CF6" s="13" t="s">
        <v>3042</v>
      </c>
      <c r="CG6" s="13" t="s">
        <v>3036</v>
      </c>
      <c r="CH6" s="13" t="s">
        <v>3039</v>
      </c>
      <c r="CI6" s="13" t="s">
        <v>3078</v>
      </c>
      <c r="CJ6" s="13" t="s">
        <v>3046</v>
      </c>
      <c r="CK6" s="13" t="s">
        <v>3075</v>
      </c>
      <c r="CL6" s="13" t="s">
        <v>3034</v>
      </c>
      <c r="CM6" s="13" t="s">
        <v>3086</v>
      </c>
      <c r="CN6" s="13" t="s">
        <v>3074</v>
      </c>
      <c r="CO6" s="13" t="s">
        <v>3069</v>
      </c>
      <c r="CP6" s="13" t="s">
        <v>3079</v>
      </c>
      <c r="CQ6" s="13" t="s">
        <v>3036</v>
      </c>
      <c r="CR6" s="13" t="s">
        <v>3062</v>
      </c>
      <c r="CS6" s="13" t="s">
        <v>3054</v>
      </c>
      <c r="CT6" s="13" t="s">
        <v>3039</v>
      </c>
      <c r="CU6" s="13" t="s">
        <v>3077</v>
      </c>
      <c r="CV6" s="13" t="s">
        <v>3036</v>
      </c>
      <c r="CW6" s="13" t="s">
        <v>3086</v>
      </c>
      <c r="CX6" s="13" t="s">
        <v>3057</v>
      </c>
      <c r="CY6" s="13" t="s">
        <v>3050</v>
      </c>
      <c r="CZ6" s="13" t="s">
        <v>3034</v>
      </c>
      <c r="DA6" s="13" t="s">
        <v>3096</v>
      </c>
      <c r="DB6" s="13" t="s">
        <v>3038</v>
      </c>
      <c r="DC6" s="13" t="s">
        <v>3057</v>
      </c>
      <c r="DD6" s="13" t="s">
        <v>3054</v>
      </c>
      <c r="DE6" s="13" t="s">
        <v>3075</v>
      </c>
      <c r="DF6" s="13" t="s">
        <v>3088</v>
      </c>
      <c r="DG6" s="13" t="s">
        <v>3034</v>
      </c>
      <c r="DH6" s="13" t="s">
        <v>3043</v>
      </c>
      <c r="DI6" s="13" t="s">
        <v>3034</v>
      </c>
      <c r="DJ6" s="13" t="s">
        <v>3052</v>
      </c>
      <c r="DK6" s="13" t="s">
        <v>3090</v>
      </c>
      <c r="DL6" s="13" t="s">
        <v>3064</v>
      </c>
      <c r="DM6" s="13" t="s">
        <v>3039</v>
      </c>
      <c r="DN6" s="13" t="s">
        <v>3066</v>
      </c>
      <c r="DO6" s="13" t="s">
        <v>3057</v>
      </c>
      <c r="DP6" s="13" t="s">
        <v>3040</v>
      </c>
      <c r="DQ6" s="13" t="s">
        <v>3083</v>
      </c>
      <c r="DR6" s="13" t="s">
        <v>3064</v>
      </c>
      <c r="DS6" s="13" t="s">
        <v>3062</v>
      </c>
      <c r="DT6" s="13" t="s">
        <v>3054</v>
      </c>
      <c r="DU6" s="13" t="s">
        <v>3042</v>
      </c>
      <c r="DV6" s="13" t="s">
        <v>3077</v>
      </c>
      <c r="DW6" s="13" t="s">
        <v>3086</v>
      </c>
      <c r="DX6" s="13" t="s">
        <v>3040</v>
      </c>
      <c r="DY6" s="13" t="s">
        <v>3050</v>
      </c>
      <c r="DZ6" s="13" t="s">
        <v>3071</v>
      </c>
      <c r="EA6" s="13" t="s">
        <v>3086</v>
      </c>
      <c r="EB6" s="13" t="s">
        <v>3078</v>
      </c>
      <c r="EC6" s="13" t="s">
        <v>3071</v>
      </c>
      <c r="ED6" s="13" t="s">
        <v>3090</v>
      </c>
      <c r="EE6" s="13" t="s">
        <v>3074</v>
      </c>
      <c r="EF6" s="13" t="s">
        <v>3069</v>
      </c>
      <c r="EG6" s="13" t="s">
        <v>3050</v>
      </c>
      <c r="EH6" s="13" t="s">
        <v>3090</v>
      </c>
      <c r="EI6" s="13" t="s">
        <v>3062</v>
      </c>
      <c r="EJ6" s="13" t="s">
        <v>3086</v>
      </c>
      <c r="EK6" s="13" t="s">
        <v>3086</v>
      </c>
      <c r="EL6" s="13" t="s">
        <v>3079</v>
      </c>
      <c r="EM6" s="13" t="s">
        <v>3075</v>
      </c>
      <c r="EN6" s="13" t="s">
        <v>3077</v>
      </c>
      <c r="EO6" s="13" t="s">
        <v>3090</v>
      </c>
      <c r="EP6" s="13" t="s">
        <v>3083</v>
      </c>
      <c r="EQ6" s="13" t="s">
        <v>3050</v>
      </c>
      <c r="ER6" s="13" t="s">
        <v>3066</v>
      </c>
      <c r="ES6" s="13" t="s">
        <v>3074</v>
      </c>
      <c r="ET6" s="13" t="s">
        <v>3040</v>
      </c>
      <c r="EU6" s="13" t="s">
        <v>3042</v>
      </c>
      <c r="EV6" s="13" t="s">
        <v>3038</v>
      </c>
      <c r="EW6" s="13" t="s">
        <v>3062</v>
      </c>
      <c r="EX6" s="13" t="s">
        <v>3077</v>
      </c>
      <c r="EY6" s="13" t="s">
        <v>3045</v>
      </c>
      <c r="EZ6" s="13" t="s">
        <v>3054</v>
      </c>
      <c r="FA6" s="13" t="s">
        <v>3071</v>
      </c>
      <c r="FB6" s="13" t="s">
        <v>3079</v>
      </c>
      <c r="FC6" s="13" t="s">
        <v>3096</v>
      </c>
      <c r="FD6" s="13" t="s">
        <v>3054</v>
      </c>
      <c r="FE6" s="13" t="s">
        <v>3052</v>
      </c>
      <c r="FF6" s="13" t="s">
        <v>3039</v>
      </c>
      <c r="FG6" s="13" t="s">
        <v>3050</v>
      </c>
      <c r="FH6" s="13" t="s">
        <v>3057</v>
      </c>
      <c r="FI6" s="13" t="s">
        <v>3052</v>
      </c>
      <c r="FJ6" s="13" t="s">
        <v>3052</v>
      </c>
      <c r="FK6" s="13" t="s">
        <v>3079</v>
      </c>
      <c r="FL6" s="13" t="s">
        <v>3078</v>
      </c>
      <c r="FM6" s="13" t="s">
        <v>3043</v>
      </c>
      <c r="FN6" s="13" t="s">
        <v>3083</v>
      </c>
      <c r="FO6" s="13" t="s">
        <v>3050</v>
      </c>
      <c r="FP6" s="13" t="s">
        <v>3064</v>
      </c>
      <c r="FQ6" s="13" t="s">
        <v>3040</v>
      </c>
      <c r="FR6" s="13" t="s">
        <v>3086</v>
      </c>
      <c r="FS6" s="13" t="s">
        <v>3039</v>
      </c>
      <c r="FT6" s="13" t="s">
        <v>3040</v>
      </c>
      <c r="FU6" s="13" t="s">
        <v>3090</v>
      </c>
      <c r="FV6" s="13" t="s">
        <v>3086</v>
      </c>
      <c r="FW6" s="13" t="s">
        <v>3039</v>
      </c>
      <c r="FX6" s="13" t="s">
        <v>3050</v>
      </c>
      <c r="FY6" s="13" t="s">
        <v>3062</v>
      </c>
      <c r="FZ6" s="13" t="s">
        <v>3096</v>
      </c>
      <c r="GA6" s="13" t="s">
        <v>3045</v>
      </c>
      <c r="GB6" s="13" t="s">
        <v>3057</v>
      </c>
      <c r="GC6" s="13" t="s">
        <v>3036</v>
      </c>
      <c r="GD6" s="13" t="s">
        <v>3075</v>
      </c>
      <c r="GE6" s="13" t="s">
        <v>3075</v>
      </c>
      <c r="GF6" s="13" t="s">
        <v>3077</v>
      </c>
      <c r="GG6" s="13" t="s">
        <v>3062</v>
      </c>
      <c r="GH6" s="13" t="s">
        <v>3077</v>
      </c>
      <c r="GI6" s="13" t="s">
        <v>3050</v>
      </c>
      <c r="GJ6" s="13" t="s">
        <v>3034</v>
      </c>
      <c r="GK6" s="13" t="s">
        <v>3034</v>
      </c>
      <c r="GL6" s="13" t="s">
        <v>3075</v>
      </c>
      <c r="GM6" s="13" t="s">
        <v>3074</v>
      </c>
      <c r="GN6" s="13" t="s">
        <v>3083</v>
      </c>
      <c r="GO6" s="13" t="s">
        <v>3074</v>
      </c>
      <c r="GP6" s="13" t="s">
        <v>3039</v>
      </c>
      <c r="GQ6" s="13" t="s">
        <v>3040</v>
      </c>
      <c r="GR6" s="13" t="s">
        <v>3046</v>
      </c>
      <c r="GS6" s="13" t="s">
        <v>3036</v>
      </c>
      <c r="GT6" s="13" t="s">
        <v>3090</v>
      </c>
      <c r="GU6" s="13" t="s">
        <v>3064</v>
      </c>
      <c r="GV6" s="13" t="s">
        <v>3057</v>
      </c>
      <c r="GW6" s="13" t="s">
        <v>3090</v>
      </c>
      <c r="GX6" s="13" t="s">
        <v>3079</v>
      </c>
      <c r="GY6" s="13" t="s">
        <v>3046</v>
      </c>
      <c r="GZ6" s="13" t="s">
        <v>3043</v>
      </c>
      <c r="HA6" s="13" t="s">
        <v>3043</v>
      </c>
      <c r="HB6" s="13" t="s">
        <v>3078</v>
      </c>
      <c r="HC6" s="13" t="s">
        <v>3038</v>
      </c>
      <c r="HD6" s="13" t="s">
        <v>3034</v>
      </c>
      <c r="HE6" s="13" t="s">
        <v>3042</v>
      </c>
      <c r="HF6" s="13" t="s">
        <v>3086</v>
      </c>
      <c r="HG6" s="13" t="s">
        <v>3054</v>
      </c>
      <c r="HH6" s="13" t="s">
        <v>3090</v>
      </c>
      <c r="HI6" s="13" t="s">
        <v>3075</v>
      </c>
      <c r="HJ6" s="13" t="s">
        <v>3075</v>
      </c>
      <c r="HK6" s="13" t="s">
        <v>3036</v>
      </c>
      <c r="HL6" s="13" t="s">
        <v>3062</v>
      </c>
      <c r="HM6" s="13" t="s">
        <v>3078</v>
      </c>
      <c r="HN6" s="13" t="s">
        <v>3052</v>
      </c>
      <c r="HO6" s="13" t="s">
        <v>3043</v>
      </c>
      <c r="HP6" s="13" t="s">
        <v>3077</v>
      </c>
      <c r="HQ6" s="13" t="s">
        <v>3083</v>
      </c>
      <c r="HR6" s="13" t="s">
        <v>3071</v>
      </c>
      <c r="HS6" s="13" t="s">
        <v>3046</v>
      </c>
      <c r="HT6" s="13" t="s">
        <v>3096</v>
      </c>
      <c r="HU6" s="13" t="s">
        <v>3071</v>
      </c>
      <c r="HV6" s="13" t="s">
        <v>3088</v>
      </c>
      <c r="HW6" s="13" t="s">
        <v>3088</v>
      </c>
      <c r="HX6" s="13" t="s">
        <v>3078</v>
      </c>
      <c r="HY6" s="13" t="s">
        <v>3050</v>
      </c>
      <c r="HZ6" s="13" t="s">
        <v>3074</v>
      </c>
      <c r="IA6" s="13" t="s">
        <v>3071</v>
      </c>
      <c r="IB6" s="13" t="s">
        <v>3043</v>
      </c>
      <c r="IC6" s="13" t="s">
        <v>3086</v>
      </c>
      <c r="ID6" s="13" t="s">
        <v>3036</v>
      </c>
      <c r="IE6" s="13" t="s">
        <v>3036</v>
      </c>
      <c r="IF6" s="13" t="s">
        <v>3083</v>
      </c>
      <c r="IG6" s="13" t="s">
        <v>3046</v>
      </c>
      <c r="IH6" s="13" t="s">
        <v>3057</v>
      </c>
      <c r="II6" s="13" t="s">
        <v>3050</v>
      </c>
      <c r="IJ6" s="13" t="s">
        <v>3038</v>
      </c>
      <c r="IK6" s="13" t="s">
        <v>3075</v>
      </c>
      <c r="IL6" s="13" t="s">
        <v>3034</v>
      </c>
      <c r="IM6" s="13" t="s">
        <v>3040</v>
      </c>
      <c r="IN6" s="13" t="s">
        <v>3050</v>
      </c>
      <c r="IO6" s="13" t="s">
        <v>3036</v>
      </c>
      <c r="IP6" s="13" t="s">
        <v>3036</v>
      </c>
      <c r="IQ6" s="13" t="s">
        <v>3040</v>
      </c>
      <c r="IR6" s="13" t="s">
        <v>3036</v>
      </c>
      <c r="IS6" s="13" t="s">
        <v>3045</v>
      </c>
      <c r="IT6" s="13" t="s">
        <v>3039</v>
      </c>
      <c r="IU6" s="13" t="s">
        <v>3071</v>
      </c>
      <c r="IV6" s="13" t="s">
        <v>3045</v>
      </c>
      <c r="IW6" s="13" t="s">
        <v>3069</v>
      </c>
      <c r="IX6" s="13" t="s">
        <v>3086</v>
      </c>
      <c r="IY6" s="13" t="s">
        <v>3062</v>
      </c>
      <c r="IZ6" s="13" t="s">
        <v>3043</v>
      </c>
      <c r="JA6" s="13" t="s">
        <v>3050</v>
      </c>
      <c r="JB6" s="13" t="s">
        <v>3052</v>
      </c>
      <c r="JC6" s="13" t="s">
        <v>3083</v>
      </c>
      <c r="JD6" s="13" t="s">
        <v>3034</v>
      </c>
      <c r="JE6" s="13" t="s">
        <v>3083</v>
      </c>
      <c r="JF6" s="13" t="s">
        <v>3040</v>
      </c>
      <c r="JG6" s="13" t="s">
        <v>3046</v>
      </c>
      <c r="JH6" s="13" t="s">
        <v>3040</v>
      </c>
      <c r="JI6" s="13" t="s">
        <v>3079</v>
      </c>
      <c r="JJ6" s="13" t="s">
        <v>3071</v>
      </c>
      <c r="JK6" s="13" t="s">
        <v>3071</v>
      </c>
      <c r="JL6" s="13" t="s">
        <v>3038</v>
      </c>
      <c r="JM6" s="13" t="s">
        <v>3040</v>
      </c>
      <c r="JN6" s="13" t="s">
        <v>3054</v>
      </c>
      <c r="JO6" s="13" t="s">
        <v>3054</v>
      </c>
      <c r="JP6" s="13" t="s">
        <v>3069</v>
      </c>
      <c r="JQ6" s="13" t="s">
        <v>3039</v>
      </c>
      <c r="JR6" s="13" t="s">
        <v>3069</v>
      </c>
      <c r="JS6" s="13" t="s">
        <v>3038</v>
      </c>
      <c r="JT6" s="13" t="s">
        <v>3088</v>
      </c>
      <c r="JU6" s="13" t="s">
        <v>3079</v>
      </c>
      <c r="JV6" s="13" t="s">
        <v>3077</v>
      </c>
      <c r="JW6" s="13" t="s">
        <v>3078</v>
      </c>
      <c r="JX6" s="13" t="s">
        <v>3075</v>
      </c>
      <c r="JY6" s="13" t="s">
        <v>3071</v>
      </c>
      <c r="JZ6" s="13" t="s">
        <v>3075</v>
      </c>
      <c r="KA6" s="13" t="s">
        <v>3075</v>
      </c>
      <c r="KB6" s="13" t="s">
        <v>3055</v>
      </c>
      <c r="KC6" s="13" t="s">
        <v>3083</v>
      </c>
      <c r="KD6" s="13" t="s">
        <v>3045</v>
      </c>
      <c r="KE6" s="13" t="s">
        <v>3078</v>
      </c>
      <c r="KF6" s="13" t="s">
        <v>3042</v>
      </c>
      <c r="KG6" s="13" t="s">
        <v>3043</v>
      </c>
      <c r="KH6" s="13" t="s">
        <v>3086</v>
      </c>
      <c r="KI6" s="13" t="s">
        <v>3079</v>
      </c>
      <c r="KJ6" s="13" t="s">
        <v>3038</v>
      </c>
      <c r="KK6" s="13" t="s">
        <v>3069</v>
      </c>
      <c r="KL6" s="13" t="s">
        <v>3050</v>
      </c>
      <c r="KM6" s="13" t="s">
        <v>3057</v>
      </c>
      <c r="KN6" s="13" t="s">
        <v>3069</v>
      </c>
      <c r="KO6" s="13" t="s">
        <v>3077</v>
      </c>
      <c r="KP6" s="13" t="s">
        <v>3046</v>
      </c>
      <c r="KQ6" s="13" t="s">
        <v>3043</v>
      </c>
      <c r="KR6" s="13" t="s">
        <v>3086</v>
      </c>
      <c r="KS6" s="13" t="s">
        <v>3036</v>
      </c>
      <c r="KT6" s="13" t="s">
        <v>3042</v>
      </c>
      <c r="KU6" s="13" t="s">
        <v>3057</v>
      </c>
      <c r="KV6" s="13" t="s">
        <v>3096</v>
      </c>
      <c r="KW6" s="13" t="s">
        <v>3066</v>
      </c>
      <c r="KX6" s="13" t="s">
        <v>3088</v>
      </c>
      <c r="KY6" s="13" t="s">
        <v>3090</v>
      </c>
      <c r="KZ6" s="13" t="s">
        <v>3045</v>
      </c>
      <c r="LA6" s="13" t="s">
        <v>3052</v>
      </c>
      <c r="LB6" s="13" t="s">
        <v>3052</v>
      </c>
      <c r="LC6" s="13" t="s">
        <v>3052</v>
      </c>
      <c r="LD6" s="13" t="s">
        <v>3074</v>
      </c>
      <c r="LE6" s="13" t="s">
        <v>3074</v>
      </c>
      <c r="LF6" s="13" t="s">
        <v>3083</v>
      </c>
      <c r="LG6" s="13" t="s">
        <v>3042</v>
      </c>
      <c r="LH6" s="13" t="s">
        <v>3043</v>
      </c>
      <c r="LI6" s="13" t="s">
        <v>3034</v>
      </c>
      <c r="LJ6" s="13" t="s">
        <v>3046</v>
      </c>
      <c r="LK6" s="13" t="s">
        <v>3078</v>
      </c>
      <c r="LL6" s="13" t="s">
        <v>3052</v>
      </c>
      <c r="LM6" s="13" t="s">
        <v>3054</v>
      </c>
      <c r="LN6" s="13" t="s">
        <v>3038</v>
      </c>
      <c r="LO6" s="13" t="s">
        <v>3057</v>
      </c>
      <c r="LP6" s="13" t="s">
        <v>3069</v>
      </c>
      <c r="LQ6" s="13" t="s">
        <v>3071</v>
      </c>
      <c r="LR6" s="13" t="s">
        <v>3083</v>
      </c>
      <c r="LS6" s="13" t="s">
        <v>3038</v>
      </c>
      <c r="LT6" s="13" t="s">
        <v>3064</v>
      </c>
      <c r="LU6" s="13" t="s">
        <v>3064</v>
      </c>
      <c r="LV6" s="13" t="s">
        <v>3042</v>
      </c>
      <c r="LW6" s="13" t="s">
        <v>3079</v>
      </c>
      <c r="LX6" s="13" t="s">
        <v>3039</v>
      </c>
      <c r="LY6" s="13" t="s">
        <v>3096</v>
      </c>
      <c r="LZ6" s="13" t="s">
        <v>3043</v>
      </c>
      <c r="MA6" s="13" t="s">
        <v>3057</v>
      </c>
      <c r="MB6" s="13" t="s">
        <v>3069</v>
      </c>
      <c r="MC6" s="13" t="s">
        <v>3066</v>
      </c>
      <c r="MD6" s="13" t="s">
        <v>3045</v>
      </c>
      <c r="ME6" s="13" t="s">
        <v>3052</v>
      </c>
      <c r="MF6" s="13" t="s">
        <v>3045</v>
      </c>
      <c r="MG6" s="13" t="s">
        <v>3054</v>
      </c>
      <c r="MH6" s="13" t="s">
        <v>3088</v>
      </c>
      <c r="MI6" s="13" t="s">
        <v>3069</v>
      </c>
      <c r="MJ6" s="13" t="s">
        <v>3064</v>
      </c>
      <c r="MK6" s="13" t="s">
        <v>3034</v>
      </c>
      <c r="ML6" s="13" t="s">
        <v>3052</v>
      </c>
      <c r="MM6" s="13" t="s">
        <v>3045</v>
      </c>
      <c r="MN6" s="13" t="s">
        <v>3088</v>
      </c>
      <c r="MO6" s="13" t="s">
        <v>3066</v>
      </c>
      <c r="MP6" s="13" t="s">
        <v>3042</v>
      </c>
      <c r="MQ6" s="13" t="s">
        <v>3086</v>
      </c>
      <c r="MR6" s="13" t="s">
        <v>3043</v>
      </c>
      <c r="MS6" s="13" t="s">
        <v>3064</v>
      </c>
      <c r="MT6" s="13" t="s">
        <v>3057</v>
      </c>
      <c r="MU6" s="13" t="s">
        <v>3038</v>
      </c>
      <c r="MV6" s="13" t="s">
        <v>3069</v>
      </c>
      <c r="MW6" s="13" t="s">
        <v>3064</v>
      </c>
      <c r="MX6" s="13" t="s">
        <v>3046</v>
      </c>
      <c r="MY6" s="13" t="s">
        <v>3036</v>
      </c>
      <c r="MZ6" s="13" t="s">
        <v>3078</v>
      </c>
      <c r="NA6" s="13" t="s">
        <v>3090</v>
      </c>
      <c r="NB6" s="13" t="s">
        <v>3074</v>
      </c>
      <c r="NC6" s="13" t="s">
        <v>3039</v>
      </c>
      <c r="ND6" s="13" t="s">
        <v>3062</v>
      </c>
      <c r="NE6" s="13" t="s">
        <v>3040</v>
      </c>
      <c r="NF6" s="13" t="s">
        <v>3090</v>
      </c>
      <c r="NG6" s="13" t="s">
        <v>3090</v>
      </c>
      <c r="NH6" s="13" t="s">
        <v>3071</v>
      </c>
      <c r="NI6" s="13" t="s">
        <v>3088</v>
      </c>
      <c r="NJ6" s="13" t="s">
        <v>3038</v>
      </c>
      <c r="NK6" s="13" t="s">
        <v>3086</v>
      </c>
      <c r="NL6" s="13" t="s">
        <v>3039</v>
      </c>
      <c r="NM6" s="13" t="s">
        <v>3045</v>
      </c>
      <c r="NN6" s="13" t="s">
        <v>3043</v>
      </c>
      <c r="NO6" s="13" t="s">
        <v>3036</v>
      </c>
      <c r="NP6" s="13" t="s">
        <v>3086</v>
      </c>
      <c r="NQ6" s="13" t="s">
        <v>3078</v>
      </c>
      <c r="NR6" s="13" t="s">
        <v>3066</v>
      </c>
      <c r="NS6" s="13" t="s">
        <v>3078</v>
      </c>
      <c r="NT6" s="13" t="s">
        <v>3045</v>
      </c>
      <c r="NU6" s="13" t="s">
        <v>3042</v>
      </c>
      <c r="NV6" s="13" t="s">
        <v>3046</v>
      </c>
      <c r="NW6" s="13" t="s">
        <v>3069</v>
      </c>
      <c r="NX6" s="13" t="s">
        <v>3036</v>
      </c>
      <c r="NY6" s="13" t="s">
        <v>3046</v>
      </c>
      <c r="NZ6" s="13" t="s">
        <v>3096</v>
      </c>
      <c r="OA6" s="13" t="s">
        <v>3046</v>
      </c>
      <c r="OB6" s="13" t="s">
        <v>3050</v>
      </c>
      <c r="OC6" s="13" t="s">
        <v>3052</v>
      </c>
      <c r="OD6" s="13" t="s">
        <v>3039</v>
      </c>
      <c r="OE6" s="13" t="s">
        <v>3083</v>
      </c>
      <c r="OF6" s="13" t="s">
        <v>3057</v>
      </c>
      <c r="OG6" s="13" t="s">
        <v>3077</v>
      </c>
      <c r="OH6" s="13" t="s">
        <v>3075</v>
      </c>
      <c r="OI6" s="13" t="s">
        <v>3088</v>
      </c>
      <c r="OJ6" s="13" t="s">
        <v>3075</v>
      </c>
      <c r="OK6" s="13" t="s">
        <v>3036</v>
      </c>
      <c r="OL6" s="13" t="s">
        <v>3096</v>
      </c>
      <c r="OM6" s="13" t="s">
        <v>3096</v>
      </c>
      <c r="ON6" s="13" t="s">
        <v>3046</v>
      </c>
      <c r="OO6" s="13" t="s">
        <v>3069</v>
      </c>
      <c r="OP6" s="13" t="s">
        <v>3034</v>
      </c>
      <c r="OQ6" s="13" t="s">
        <v>3069</v>
      </c>
      <c r="OR6" s="13" t="s">
        <v>3036</v>
      </c>
      <c r="OS6" s="13" t="s">
        <v>3078</v>
      </c>
      <c r="OT6" s="13" t="s">
        <v>3096</v>
      </c>
      <c r="OU6" s="13" t="s">
        <v>3075</v>
      </c>
      <c r="OV6" s="13" t="s">
        <v>3077</v>
      </c>
      <c r="OW6" s="13" t="s">
        <v>3096</v>
      </c>
      <c r="OX6" s="13" t="s">
        <v>3096</v>
      </c>
      <c r="OY6" s="13" t="s">
        <v>3077</v>
      </c>
      <c r="OZ6" s="13" t="s">
        <v>3036</v>
      </c>
      <c r="PA6" s="13" t="s">
        <v>3039</v>
      </c>
      <c r="PB6" s="13" t="s">
        <v>3069</v>
      </c>
      <c r="PC6" s="13" t="s">
        <v>3069</v>
      </c>
      <c r="PD6" s="13" t="s">
        <v>3064</v>
      </c>
      <c r="PE6" s="13" t="s">
        <v>3038</v>
      </c>
      <c r="PF6" s="13" t="s">
        <v>3038</v>
      </c>
      <c r="PG6" s="13" t="s">
        <v>3038</v>
      </c>
      <c r="PH6" s="13" t="s">
        <v>3036</v>
      </c>
      <c r="PI6" s="13" t="s">
        <v>3074</v>
      </c>
      <c r="PJ6" s="13" t="s">
        <v>3075</v>
      </c>
      <c r="PK6" s="13" t="s">
        <v>3062</v>
      </c>
      <c r="PL6" s="13" t="s">
        <v>3075</v>
      </c>
      <c r="PM6" s="13" t="s">
        <v>3052</v>
      </c>
      <c r="PN6" s="13" t="s">
        <v>3090</v>
      </c>
      <c r="PO6" s="13" t="s">
        <v>3079</v>
      </c>
      <c r="PP6" s="13" t="s">
        <v>3077</v>
      </c>
      <c r="PQ6" s="13" t="s">
        <v>3045</v>
      </c>
      <c r="PR6" s="13" t="s">
        <v>3036</v>
      </c>
      <c r="PS6" s="13" t="s">
        <v>3074</v>
      </c>
      <c r="PT6" s="13" t="s">
        <v>3043</v>
      </c>
      <c r="PU6" s="13" t="s">
        <v>3052</v>
      </c>
      <c r="PV6" s="13" t="s">
        <v>3077</v>
      </c>
      <c r="PW6" s="13" t="s">
        <v>3064</v>
      </c>
      <c r="PX6" s="13" t="s">
        <v>3050</v>
      </c>
      <c r="PY6" s="13" t="s">
        <v>3054</v>
      </c>
      <c r="PZ6" s="13" t="s">
        <v>3096</v>
      </c>
      <c r="QA6" s="13" t="s">
        <v>3036</v>
      </c>
      <c r="QB6" s="13" t="s">
        <v>3077</v>
      </c>
      <c r="QC6" s="13" t="s">
        <v>3045</v>
      </c>
      <c r="QD6" s="13" t="s">
        <v>3071</v>
      </c>
      <c r="QE6" s="13" t="s">
        <v>3050</v>
      </c>
      <c r="QF6" s="13" t="s">
        <v>3064</v>
      </c>
      <c r="QG6" s="13" t="s">
        <v>3062</v>
      </c>
      <c r="QH6" s="13" t="s">
        <v>3077</v>
      </c>
      <c r="QI6" s="13" t="s">
        <v>3038</v>
      </c>
      <c r="QJ6" s="13" t="s">
        <v>3077</v>
      </c>
      <c r="QK6" s="13" t="s">
        <v>3079</v>
      </c>
      <c r="QL6" s="13" t="s">
        <v>3046</v>
      </c>
      <c r="QM6" s="13" t="s">
        <v>3036</v>
      </c>
      <c r="QN6" s="13" t="s">
        <v>3034</v>
      </c>
      <c r="QO6" s="13" t="s">
        <v>3042</v>
      </c>
      <c r="QP6" s="13" t="s">
        <v>3088</v>
      </c>
      <c r="QQ6" s="13" t="s">
        <v>3042</v>
      </c>
      <c r="QR6" s="13" t="s">
        <v>3052</v>
      </c>
      <c r="QS6" s="13" t="s">
        <v>3052</v>
      </c>
      <c r="QT6" s="13" t="s">
        <v>3036</v>
      </c>
      <c r="QU6" s="13" t="s">
        <v>3077</v>
      </c>
      <c r="QV6" s="13" t="s">
        <v>3066</v>
      </c>
      <c r="QW6" s="13" t="s">
        <v>3057</v>
      </c>
      <c r="QX6" s="13" t="s">
        <v>3036</v>
      </c>
      <c r="QY6" s="13" t="s">
        <v>3064</v>
      </c>
      <c r="QZ6" s="13" t="s">
        <v>3064</v>
      </c>
      <c r="RA6" s="13" t="s">
        <v>3052</v>
      </c>
      <c r="RB6" s="13" t="s">
        <v>3090</v>
      </c>
      <c r="RC6" s="13" t="s">
        <v>3052</v>
      </c>
      <c r="RD6" s="13" t="s">
        <v>3052</v>
      </c>
      <c r="RE6" s="13" t="s">
        <v>3039</v>
      </c>
      <c r="RF6" s="13" t="s">
        <v>3057</v>
      </c>
      <c r="RG6" s="13" t="s">
        <v>3046</v>
      </c>
      <c r="RH6" s="13" t="s">
        <v>3034</v>
      </c>
      <c r="RI6" s="13" t="s">
        <v>3036</v>
      </c>
      <c r="RJ6" s="13" t="s">
        <v>3057</v>
      </c>
      <c r="RK6" s="13" t="s">
        <v>3074</v>
      </c>
      <c r="RL6" s="13" t="s">
        <v>3096</v>
      </c>
      <c r="RM6" s="13" t="s">
        <v>3064</v>
      </c>
      <c r="RN6" s="13" t="s">
        <v>3052</v>
      </c>
      <c r="RO6" s="13" t="s">
        <v>3050</v>
      </c>
      <c r="RP6" s="13" t="s">
        <v>3052</v>
      </c>
      <c r="RQ6" s="13" t="s">
        <v>3045</v>
      </c>
      <c r="RR6" s="13" t="s">
        <v>3034</v>
      </c>
      <c r="RS6" s="13" t="s">
        <v>3046</v>
      </c>
      <c r="RT6" s="13" t="s">
        <v>3071</v>
      </c>
      <c r="RU6" s="13" t="s">
        <v>3078</v>
      </c>
      <c r="RV6" s="13" t="s">
        <v>3083</v>
      </c>
      <c r="RW6" s="13" t="s">
        <v>3042</v>
      </c>
      <c r="RX6" s="13" t="s">
        <v>3074</v>
      </c>
      <c r="RY6" s="13" t="s">
        <v>3054</v>
      </c>
      <c r="RZ6" s="13" t="s">
        <v>3039</v>
      </c>
      <c r="SA6" s="13" t="s">
        <v>3039</v>
      </c>
      <c r="SB6" s="13" t="s">
        <v>3034</v>
      </c>
      <c r="SC6" s="13" t="s">
        <v>3074</v>
      </c>
      <c r="SD6" s="13" t="s">
        <v>3090</v>
      </c>
      <c r="SE6" s="13" t="s">
        <v>3069</v>
      </c>
      <c r="SF6" s="13" t="s">
        <v>3069</v>
      </c>
      <c r="SG6" s="13" t="s">
        <v>3050</v>
      </c>
      <c r="SH6" s="13" t="s">
        <v>3057</v>
      </c>
      <c r="SI6" s="13" t="s">
        <v>3077</v>
      </c>
      <c r="SJ6" s="13" t="s">
        <v>3039</v>
      </c>
      <c r="SK6" s="13" t="s">
        <v>3054</v>
      </c>
      <c r="SL6" s="13" t="s">
        <v>3043</v>
      </c>
      <c r="SM6" s="13" t="s">
        <v>3077</v>
      </c>
      <c r="SN6" s="13" t="s">
        <v>3062</v>
      </c>
      <c r="SO6" s="13" t="s">
        <v>3074</v>
      </c>
      <c r="SP6" s="13" t="s">
        <v>3040</v>
      </c>
      <c r="SQ6" s="13" t="s">
        <v>3036</v>
      </c>
      <c r="SR6" s="13" t="s">
        <v>3039</v>
      </c>
      <c r="SS6" s="13" t="s">
        <v>3038</v>
      </c>
      <c r="ST6" s="13" t="s">
        <v>3090</v>
      </c>
      <c r="SU6" s="13" t="s">
        <v>3040</v>
      </c>
      <c r="SV6" s="13" t="s">
        <v>3040</v>
      </c>
      <c r="SW6" s="13" t="s">
        <v>3050</v>
      </c>
      <c r="SX6" s="13" t="s">
        <v>3088</v>
      </c>
      <c r="SY6" s="13" t="s">
        <v>3045</v>
      </c>
      <c r="SZ6" s="13" t="s">
        <v>3039</v>
      </c>
      <c r="TA6" s="13" t="s">
        <v>3042</v>
      </c>
      <c r="TB6" s="13" t="s">
        <v>3039</v>
      </c>
      <c r="TC6" s="13" t="s">
        <v>3039</v>
      </c>
      <c r="TD6" s="13" t="s">
        <v>3050</v>
      </c>
      <c r="TE6" s="13" t="s">
        <v>3074</v>
      </c>
      <c r="TF6" s="13" t="s">
        <v>3071</v>
      </c>
      <c r="TG6" s="13" t="s">
        <v>3050</v>
      </c>
      <c r="TH6" s="13" t="s">
        <v>3083</v>
      </c>
      <c r="TI6" s="13" t="s">
        <v>3043</v>
      </c>
      <c r="TJ6" s="13" t="s">
        <v>3062</v>
      </c>
      <c r="TK6" s="13" t="s">
        <v>3038</v>
      </c>
      <c r="TL6" s="13" t="s">
        <v>3074</v>
      </c>
      <c r="TM6" s="13" t="s">
        <v>3096</v>
      </c>
      <c r="TN6" s="13" t="s">
        <v>3052</v>
      </c>
      <c r="TO6" s="13" t="s">
        <v>3071</v>
      </c>
      <c r="TP6" s="13" t="s">
        <v>3042</v>
      </c>
      <c r="TQ6" s="13" t="s">
        <v>3063</v>
      </c>
      <c r="TR6" s="13" t="s">
        <v>3034</v>
      </c>
      <c r="TS6" s="13" t="s">
        <v>3034</v>
      </c>
      <c r="TT6" s="13" t="s">
        <v>3088</v>
      </c>
      <c r="TU6" s="13" t="s">
        <v>3042</v>
      </c>
      <c r="TV6" s="13" t="s">
        <v>3039</v>
      </c>
      <c r="TW6" s="13" t="s">
        <v>3046</v>
      </c>
      <c r="TX6" s="13" t="s">
        <v>3083</v>
      </c>
      <c r="TY6" s="13" t="s">
        <v>3040</v>
      </c>
      <c r="TZ6" s="13" t="s">
        <v>3086</v>
      </c>
      <c r="UA6" s="13" t="s">
        <v>3077</v>
      </c>
      <c r="UB6" s="13" t="s">
        <v>3038</v>
      </c>
      <c r="UC6" s="13" t="s">
        <v>3036</v>
      </c>
      <c r="UD6" s="13" t="s">
        <v>3040</v>
      </c>
      <c r="UE6" s="13" t="s">
        <v>3042</v>
      </c>
      <c r="UF6" s="13" t="s">
        <v>3064</v>
      </c>
      <c r="UG6" s="13" t="s">
        <v>3040</v>
      </c>
      <c r="UH6" s="13" t="s">
        <v>3038</v>
      </c>
      <c r="UI6" s="13" t="s">
        <v>3040</v>
      </c>
      <c r="UJ6" s="13" t="s">
        <v>3088</v>
      </c>
      <c r="UK6" s="13" t="s">
        <v>3088</v>
      </c>
      <c r="UL6" s="13" t="s">
        <v>3034</v>
      </c>
      <c r="UM6" s="13" t="s">
        <v>3043</v>
      </c>
      <c r="UN6" s="13" t="s">
        <v>3057</v>
      </c>
      <c r="UO6" s="13" t="s">
        <v>3046</v>
      </c>
      <c r="UP6" s="13" t="s">
        <v>3083</v>
      </c>
      <c r="UQ6" s="13" t="s">
        <v>3052</v>
      </c>
      <c r="UR6" s="13" t="s">
        <v>3066</v>
      </c>
      <c r="US6" s="13" t="s">
        <v>3046</v>
      </c>
      <c r="UT6" s="13" t="s">
        <v>3039</v>
      </c>
      <c r="UU6" s="13" t="s">
        <v>3043</v>
      </c>
      <c r="UV6" s="13" t="s">
        <v>3039</v>
      </c>
      <c r="UW6" s="13" t="s">
        <v>3096</v>
      </c>
      <c r="UX6" s="13" t="s">
        <v>3040</v>
      </c>
      <c r="UY6" s="13" t="s">
        <v>3077</v>
      </c>
      <c r="UZ6" s="13" t="s">
        <v>3038</v>
      </c>
      <c r="VA6" s="13" t="s">
        <v>3062</v>
      </c>
      <c r="VB6" s="13" t="s">
        <v>3046</v>
      </c>
      <c r="VC6" s="13" t="s">
        <v>3045</v>
      </c>
      <c r="VD6" s="13" t="s">
        <v>3074</v>
      </c>
      <c r="VE6" s="13" t="s">
        <v>3075</v>
      </c>
      <c r="VF6" s="13" t="s">
        <v>3079</v>
      </c>
      <c r="VG6" s="13" t="s">
        <v>3052</v>
      </c>
      <c r="VH6" s="13" t="s">
        <v>3069</v>
      </c>
      <c r="VI6" s="13" t="s">
        <v>3078</v>
      </c>
      <c r="VJ6" s="13" t="s">
        <v>3034</v>
      </c>
      <c r="VK6" s="13" t="s">
        <v>3064</v>
      </c>
      <c r="VL6" s="13" t="s">
        <v>3079</v>
      </c>
      <c r="VM6" s="13" t="s">
        <v>3062</v>
      </c>
      <c r="VN6" s="13" t="s">
        <v>3036</v>
      </c>
      <c r="VO6" s="13" t="s">
        <v>3054</v>
      </c>
      <c r="VP6" s="13" t="s">
        <v>3088</v>
      </c>
      <c r="VQ6" s="13" t="s">
        <v>3038</v>
      </c>
      <c r="VR6" s="13" t="s">
        <v>3078</v>
      </c>
      <c r="VS6" s="13" t="s">
        <v>3079</v>
      </c>
      <c r="VT6" s="13" t="s">
        <v>3046</v>
      </c>
      <c r="VU6" s="13" t="s">
        <v>3039</v>
      </c>
      <c r="VV6" s="13" t="s">
        <v>3038</v>
      </c>
      <c r="VW6" s="13" t="s">
        <v>3090</v>
      </c>
      <c r="VX6" s="13" t="s">
        <v>3069</v>
      </c>
      <c r="VY6" s="13" t="s">
        <v>3079</v>
      </c>
      <c r="VZ6" s="13" t="s">
        <v>3043</v>
      </c>
      <c r="WA6" s="13" t="s">
        <v>3088</v>
      </c>
      <c r="WB6" s="13" t="s">
        <v>3074</v>
      </c>
      <c r="WC6" s="13" t="s">
        <v>3034</v>
      </c>
      <c r="WD6" s="13" t="s">
        <v>3039</v>
      </c>
      <c r="WE6" s="13" t="s">
        <v>3083</v>
      </c>
      <c r="WF6" s="13" t="s">
        <v>3054</v>
      </c>
      <c r="WG6" s="13" t="s">
        <v>3071</v>
      </c>
      <c r="WH6" s="13" t="s">
        <v>3036</v>
      </c>
      <c r="WI6" s="13" t="s">
        <v>3050</v>
      </c>
      <c r="WJ6" s="13" t="s">
        <v>3066</v>
      </c>
      <c r="WK6" s="13" t="s">
        <v>3039</v>
      </c>
      <c r="WL6" s="13" t="s">
        <v>3069</v>
      </c>
      <c r="WM6" s="13" t="s">
        <v>3036</v>
      </c>
      <c r="WN6" s="13" t="s">
        <v>3042</v>
      </c>
      <c r="WO6" s="13" t="s">
        <v>3052</v>
      </c>
      <c r="WP6" s="13" t="s">
        <v>3052</v>
      </c>
      <c r="WQ6" s="13" t="s">
        <v>3079</v>
      </c>
      <c r="WR6" s="13" t="s">
        <v>3038</v>
      </c>
      <c r="WS6" s="13" t="s">
        <v>3075</v>
      </c>
      <c r="WT6" s="13" t="s">
        <v>3075</v>
      </c>
      <c r="WU6" s="13" t="s">
        <v>3062</v>
      </c>
      <c r="WV6" s="13" t="s">
        <v>3071</v>
      </c>
      <c r="WW6" s="13" t="s">
        <v>3039</v>
      </c>
      <c r="WX6" s="13" t="s">
        <v>3078</v>
      </c>
      <c r="WY6" s="13" t="s">
        <v>3096</v>
      </c>
      <c r="WZ6" s="13" t="s">
        <v>3052</v>
      </c>
      <c r="XA6" s="13" t="s">
        <v>3038</v>
      </c>
      <c r="XB6" s="13" t="s">
        <v>3054</v>
      </c>
      <c r="XC6" s="13" t="s">
        <v>3096</v>
      </c>
      <c r="XD6" s="13" t="s">
        <v>3074</v>
      </c>
      <c r="XE6" s="13" t="s">
        <v>3042</v>
      </c>
      <c r="XF6" s="13" t="s">
        <v>3043</v>
      </c>
      <c r="XG6" s="13" t="s">
        <v>3038</v>
      </c>
      <c r="XH6" s="13" t="s">
        <v>3043</v>
      </c>
      <c r="XI6" s="13" t="s">
        <v>3046</v>
      </c>
      <c r="XJ6" s="13" t="s">
        <v>3066</v>
      </c>
      <c r="XK6" s="13" t="s">
        <v>3066</v>
      </c>
      <c r="XL6" s="13" t="s">
        <v>3066</v>
      </c>
      <c r="XM6" s="13" t="s">
        <v>3066</v>
      </c>
      <c r="XN6" s="13" t="s">
        <v>3074</v>
      </c>
      <c r="XO6" s="13" t="s">
        <v>3034</v>
      </c>
      <c r="XP6" s="13" t="s">
        <v>3038</v>
      </c>
      <c r="XQ6" s="13" t="s">
        <v>3086</v>
      </c>
      <c r="XR6" s="13" t="s">
        <v>3040</v>
      </c>
      <c r="XS6" s="13" t="s">
        <v>3066</v>
      </c>
      <c r="XT6" s="13" t="s">
        <v>3057</v>
      </c>
      <c r="XU6" s="13" t="s">
        <v>3042</v>
      </c>
      <c r="XV6" s="13" t="s">
        <v>3086</v>
      </c>
      <c r="XW6" s="13" t="s">
        <v>3038</v>
      </c>
      <c r="XX6" s="13" t="s">
        <v>3046</v>
      </c>
      <c r="XY6" s="13" t="s">
        <v>3086</v>
      </c>
      <c r="XZ6" s="13" t="s">
        <v>3077</v>
      </c>
      <c r="YA6" s="13" t="s">
        <v>3069</v>
      </c>
      <c r="YB6" s="13" t="s">
        <v>3036</v>
      </c>
      <c r="YC6" s="13" t="s">
        <v>3073</v>
      </c>
      <c r="YD6" s="13" t="s">
        <v>3090</v>
      </c>
      <c r="YE6" s="13" t="s">
        <v>3090</v>
      </c>
      <c r="YF6" s="13" t="s">
        <v>3040</v>
      </c>
      <c r="YG6" s="13" t="s">
        <v>3042</v>
      </c>
      <c r="YH6" s="13" t="s">
        <v>3040</v>
      </c>
      <c r="YI6" s="13" t="s">
        <v>3040</v>
      </c>
      <c r="YJ6" s="13" t="s">
        <v>3075</v>
      </c>
      <c r="YK6" s="13" t="s">
        <v>3034</v>
      </c>
      <c r="YL6" s="13" t="s">
        <v>3042</v>
      </c>
      <c r="YM6" s="13" t="s">
        <v>3096</v>
      </c>
      <c r="YN6" s="13" t="s">
        <v>3045</v>
      </c>
      <c r="YO6" s="13" t="s">
        <v>3052</v>
      </c>
      <c r="YP6" s="13" t="s">
        <v>3039</v>
      </c>
      <c r="YQ6" s="13" t="s">
        <v>3071</v>
      </c>
      <c r="YR6" s="13" t="s">
        <v>3043</v>
      </c>
      <c r="YS6" s="13" t="s">
        <v>3039</v>
      </c>
      <c r="YT6" s="13" t="s">
        <v>3045</v>
      </c>
      <c r="YU6" s="13" t="s">
        <v>3034</v>
      </c>
      <c r="YV6" s="13" t="s">
        <v>3083</v>
      </c>
      <c r="YW6" s="13" t="s">
        <v>3036</v>
      </c>
      <c r="YX6" s="13" t="s">
        <v>3042</v>
      </c>
      <c r="YY6" s="13" t="s">
        <v>3077</v>
      </c>
      <c r="YZ6" s="13" t="s">
        <v>3069</v>
      </c>
      <c r="ZA6" s="13" t="s">
        <v>3066</v>
      </c>
      <c r="ZB6" s="13" t="s">
        <v>3077</v>
      </c>
      <c r="ZC6" s="13" t="s">
        <v>3046</v>
      </c>
      <c r="ZD6" s="13" t="s">
        <v>3046</v>
      </c>
      <c r="ZE6" s="13" t="s">
        <v>3036</v>
      </c>
      <c r="ZF6" s="13" t="s">
        <v>3039</v>
      </c>
      <c r="ZG6" s="13" t="s">
        <v>3066</v>
      </c>
      <c r="ZH6" s="13" t="s">
        <v>3083</v>
      </c>
      <c r="ZI6" s="13" t="s">
        <v>3045</v>
      </c>
      <c r="ZJ6" s="13" t="s">
        <v>3050</v>
      </c>
      <c r="ZK6" s="13" t="s">
        <v>3050</v>
      </c>
      <c r="ZL6" s="13" t="s">
        <v>3083</v>
      </c>
      <c r="ZM6" s="13" t="s">
        <v>3077</v>
      </c>
      <c r="ZN6" s="13" t="s">
        <v>3074</v>
      </c>
      <c r="ZO6" s="13" t="s">
        <v>3036</v>
      </c>
      <c r="ZP6" s="13" t="s">
        <v>3064</v>
      </c>
      <c r="ZQ6" s="13" t="s">
        <v>3079</v>
      </c>
      <c r="ZR6" s="13" t="s">
        <v>3083</v>
      </c>
      <c r="ZS6" s="13" t="s">
        <v>3042</v>
      </c>
      <c r="ZT6" s="13" t="s">
        <v>3050</v>
      </c>
      <c r="ZU6" s="13" t="s">
        <v>3036</v>
      </c>
      <c r="ZV6" s="13" t="s">
        <v>3066</v>
      </c>
      <c r="ZW6" s="13" t="s">
        <v>3054</v>
      </c>
      <c r="ZX6" s="13" t="s">
        <v>3086</v>
      </c>
      <c r="ZY6" s="13" t="s">
        <v>3088</v>
      </c>
      <c r="ZZ6" s="13" t="s">
        <v>3090</v>
      </c>
      <c r="AAA6" s="13" t="s">
        <v>3088</v>
      </c>
      <c r="AAB6" s="13" t="s">
        <v>3034</v>
      </c>
      <c r="AAC6" s="13" t="s">
        <v>3034</v>
      </c>
      <c r="AAD6" s="13" t="s">
        <v>3064</v>
      </c>
      <c r="AAE6" s="13" t="s">
        <v>3096</v>
      </c>
      <c r="AAF6" s="13" t="s">
        <v>3054</v>
      </c>
      <c r="AAG6" s="13" t="s">
        <v>3062</v>
      </c>
      <c r="AAH6" s="13" t="s">
        <v>3052</v>
      </c>
      <c r="AAI6" s="13" t="s">
        <v>3054</v>
      </c>
      <c r="AAJ6" s="13" t="s">
        <v>3036</v>
      </c>
      <c r="AAK6" s="13" t="s">
        <v>3054</v>
      </c>
      <c r="AAL6" s="13" t="s">
        <v>3038</v>
      </c>
      <c r="AAM6" s="13" t="s">
        <v>3066</v>
      </c>
      <c r="AAN6" s="13" t="s">
        <v>3036</v>
      </c>
      <c r="AAO6" s="13" t="s">
        <v>3071</v>
      </c>
      <c r="AAP6" s="13" t="s">
        <v>3052</v>
      </c>
      <c r="AAQ6" s="13" t="s">
        <v>3050</v>
      </c>
      <c r="AAR6" s="13" t="s">
        <v>3074</v>
      </c>
      <c r="AAS6" s="13" t="s">
        <v>3088</v>
      </c>
      <c r="AAT6" s="13" t="s">
        <v>3050</v>
      </c>
      <c r="AAU6" s="13" t="s">
        <v>3043</v>
      </c>
      <c r="AAV6" s="13" t="s">
        <v>3038</v>
      </c>
      <c r="AAW6" s="13" t="s">
        <v>3038</v>
      </c>
      <c r="AAX6" s="13" t="s">
        <v>3074</v>
      </c>
      <c r="AAY6" s="13" t="s">
        <v>3046</v>
      </c>
      <c r="AAZ6" s="13" t="s">
        <v>3074</v>
      </c>
      <c r="ABA6" s="13" t="s">
        <v>3036</v>
      </c>
      <c r="ABB6" s="13" t="s">
        <v>3071</v>
      </c>
      <c r="ABC6" s="13" t="s">
        <v>3074</v>
      </c>
      <c r="ABD6" s="13" t="s">
        <v>3074</v>
      </c>
      <c r="ABE6" s="13" t="s">
        <v>3054</v>
      </c>
      <c r="ABF6" s="13" t="s">
        <v>3071</v>
      </c>
      <c r="ABG6" s="13" t="s">
        <v>3045</v>
      </c>
      <c r="ABH6" s="13" t="s">
        <v>3074</v>
      </c>
      <c r="ABI6" s="13" t="s">
        <v>3057</v>
      </c>
      <c r="ABJ6" s="13" t="s">
        <v>3040</v>
      </c>
      <c r="ABK6" s="13" t="s">
        <v>3045</v>
      </c>
      <c r="ABL6" s="13" t="s">
        <v>3074</v>
      </c>
      <c r="ABM6" s="13" t="s">
        <v>3050</v>
      </c>
      <c r="ABN6" s="13" t="s">
        <v>3043</v>
      </c>
      <c r="ABO6" s="13" t="s">
        <v>3062</v>
      </c>
      <c r="ABP6" s="13" t="s">
        <v>3086</v>
      </c>
      <c r="ABQ6" s="13" t="s">
        <v>3074</v>
      </c>
      <c r="ABR6" s="13" t="s">
        <v>3078</v>
      </c>
      <c r="ABS6" s="13" t="s">
        <v>3077</v>
      </c>
      <c r="ABT6" s="13" t="s">
        <v>3077</v>
      </c>
      <c r="ABU6" s="13" t="s">
        <v>3066</v>
      </c>
      <c r="ABV6" s="13" t="s">
        <v>3064</v>
      </c>
      <c r="ABW6" s="13" t="s">
        <v>3088</v>
      </c>
      <c r="ABX6" s="13" t="s">
        <v>3083</v>
      </c>
      <c r="ABY6" s="13" t="s">
        <v>3036</v>
      </c>
      <c r="ABZ6" s="13" t="s">
        <v>3074</v>
      </c>
      <c r="ACA6" s="13" t="s">
        <v>3079</v>
      </c>
      <c r="ACB6" s="13" t="s">
        <v>3077</v>
      </c>
      <c r="ACC6" s="13" t="s">
        <v>3071</v>
      </c>
      <c r="ACD6" s="13" t="s">
        <v>3069</v>
      </c>
      <c r="ACE6" s="13" t="s">
        <v>3034</v>
      </c>
      <c r="ACF6" s="13" t="s">
        <v>3083</v>
      </c>
      <c r="ACG6" s="13" t="s">
        <v>3057</v>
      </c>
      <c r="ACH6" s="13" t="s">
        <v>3078</v>
      </c>
      <c r="ACI6" s="13" t="s">
        <v>3088</v>
      </c>
      <c r="ACJ6" s="13" t="s">
        <v>3071</v>
      </c>
      <c r="ACK6" s="13" t="s">
        <v>3040</v>
      </c>
      <c r="ACL6" s="13" t="s">
        <v>3062</v>
      </c>
      <c r="ACM6" s="13" t="s">
        <v>3042</v>
      </c>
      <c r="ACN6" s="13" t="s">
        <v>3057</v>
      </c>
      <c r="ACO6" s="13" t="s">
        <v>3075</v>
      </c>
      <c r="ACP6" s="13" t="s">
        <v>3078</v>
      </c>
      <c r="ACQ6" s="13" t="s">
        <v>3046</v>
      </c>
      <c r="ACR6" s="13" t="s">
        <v>3088</v>
      </c>
      <c r="ACS6" s="13" t="s">
        <v>3071</v>
      </c>
      <c r="ACT6" s="13" t="s">
        <v>3071</v>
      </c>
      <c r="ACU6" s="13" t="s">
        <v>3052</v>
      </c>
      <c r="ACV6" s="13" t="s">
        <v>3038</v>
      </c>
      <c r="ACW6" s="13" t="s">
        <v>3079</v>
      </c>
      <c r="ACX6" s="13" t="s">
        <v>3074</v>
      </c>
      <c r="ACY6" s="13" t="s">
        <v>3088</v>
      </c>
      <c r="ACZ6" s="13" t="s">
        <v>3064</v>
      </c>
      <c r="ADA6" s="13" t="s">
        <v>3077</v>
      </c>
      <c r="ADB6" s="13" t="s">
        <v>3042</v>
      </c>
      <c r="ADC6" s="13" t="s">
        <v>3050</v>
      </c>
      <c r="ADD6" s="13" t="s">
        <v>3045</v>
      </c>
      <c r="ADE6" s="13" t="s">
        <v>3045</v>
      </c>
      <c r="ADF6" s="13" t="s">
        <v>3034</v>
      </c>
      <c r="ADG6" s="13" t="s">
        <v>3038</v>
      </c>
      <c r="ADH6" s="13" t="s">
        <v>3071</v>
      </c>
      <c r="ADI6" s="13" t="s">
        <v>3069</v>
      </c>
      <c r="ADJ6" s="13" t="s">
        <v>3050</v>
      </c>
      <c r="ADK6" s="13" t="s">
        <v>3066</v>
      </c>
      <c r="ADL6" s="13" t="s">
        <v>3036</v>
      </c>
      <c r="ADM6" s="13" t="s">
        <v>3052</v>
      </c>
      <c r="ADN6" s="13" t="s">
        <v>3096</v>
      </c>
      <c r="ADO6" s="13" t="s">
        <v>3052</v>
      </c>
      <c r="ADP6" s="13" t="s">
        <v>3040</v>
      </c>
      <c r="ADQ6" s="13" t="s">
        <v>3079</v>
      </c>
      <c r="ADR6" s="13" t="s">
        <v>3042</v>
      </c>
      <c r="ADS6" s="13" t="s">
        <v>3074</v>
      </c>
      <c r="ADT6" s="13" t="s">
        <v>3088</v>
      </c>
      <c r="ADU6" s="13" t="s">
        <v>3066</v>
      </c>
      <c r="ADV6" s="13" t="s">
        <v>3077</v>
      </c>
      <c r="ADW6" s="13" t="s">
        <v>3062</v>
      </c>
      <c r="ADX6" s="13" t="s">
        <v>3062</v>
      </c>
      <c r="ADY6" s="13" t="s">
        <v>3043</v>
      </c>
      <c r="ADZ6" s="13" t="s">
        <v>3034</v>
      </c>
      <c r="AEA6" s="13" t="s">
        <v>3039</v>
      </c>
      <c r="AEB6" s="13" t="s">
        <v>3050</v>
      </c>
      <c r="AEC6" s="13" t="s">
        <v>3040</v>
      </c>
      <c r="AED6" s="13" t="s">
        <v>3075</v>
      </c>
      <c r="AEE6" s="13" t="s">
        <v>3083</v>
      </c>
      <c r="AEF6" s="13" t="s">
        <v>3034</v>
      </c>
      <c r="AEG6" s="13" t="s">
        <v>3034</v>
      </c>
      <c r="AEH6" s="13" t="s">
        <v>3078</v>
      </c>
      <c r="AEI6" s="13" t="s">
        <v>3043</v>
      </c>
      <c r="AEJ6" s="13" t="s">
        <v>3069</v>
      </c>
      <c r="AEK6" s="13" t="s">
        <v>3062</v>
      </c>
      <c r="AEL6" s="13" t="s">
        <v>3077</v>
      </c>
      <c r="AEM6" s="13" t="s">
        <v>3054</v>
      </c>
      <c r="AEN6" s="13" t="s">
        <v>3054</v>
      </c>
      <c r="AEO6" s="13" t="s">
        <v>3054</v>
      </c>
      <c r="AEP6" s="13" t="s">
        <v>3090</v>
      </c>
      <c r="AEQ6" s="13" t="s">
        <v>3069</v>
      </c>
      <c r="AER6" s="13" t="s">
        <v>3078</v>
      </c>
      <c r="AES6" s="13" t="s">
        <v>3077</v>
      </c>
      <c r="AET6" s="13" t="s">
        <v>3079</v>
      </c>
      <c r="AEU6" s="13" t="s">
        <v>3077</v>
      </c>
      <c r="AEV6" s="13" t="s">
        <v>3046</v>
      </c>
      <c r="AEW6" s="13" t="s">
        <v>3034</v>
      </c>
      <c r="AEX6" s="13" t="s">
        <v>3050</v>
      </c>
      <c r="AEY6" s="13" t="s">
        <v>3088</v>
      </c>
      <c r="AEZ6" s="13" t="s">
        <v>3071</v>
      </c>
      <c r="AFA6" s="13" t="s">
        <v>3045</v>
      </c>
      <c r="AFB6" s="13" t="s">
        <v>3052</v>
      </c>
      <c r="AFC6" s="13" t="s">
        <v>3071</v>
      </c>
      <c r="AFD6" s="13" t="s">
        <v>3066</v>
      </c>
      <c r="AFE6" s="13" t="s">
        <v>3034</v>
      </c>
      <c r="AFF6" s="13" t="s">
        <v>3090</v>
      </c>
      <c r="AFG6" s="13" t="s">
        <v>3054</v>
      </c>
      <c r="AFH6" s="13" t="s">
        <v>3040</v>
      </c>
      <c r="AFI6" s="13" t="s">
        <v>3074</v>
      </c>
      <c r="AFJ6" s="13" t="s">
        <v>3064</v>
      </c>
      <c r="AFK6" s="13" t="s">
        <v>3083</v>
      </c>
      <c r="AFL6" s="13" t="s">
        <v>3034</v>
      </c>
      <c r="AFM6" s="13" t="s">
        <v>3046</v>
      </c>
      <c r="AFN6" s="13" t="s">
        <v>3043</v>
      </c>
      <c r="AFO6" s="13" t="s">
        <v>3057</v>
      </c>
      <c r="AFP6" s="13" t="s">
        <v>3050</v>
      </c>
      <c r="AFQ6" s="13" t="s">
        <v>3077</v>
      </c>
      <c r="AFR6" s="13" t="s">
        <v>3088</v>
      </c>
      <c r="AFS6" s="13" t="s">
        <v>3040</v>
      </c>
      <c r="AFT6" s="13" t="s">
        <v>3042</v>
      </c>
      <c r="AFU6" s="13" t="s">
        <v>3062</v>
      </c>
      <c r="AFV6" s="13" t="s">
        <v>3050</v>
      </c>
      <c r="AFW6" s="13" t="s">
        <v>3086</v>
      </c>
      <c r="AFX6" s="13" t="s">
        <v>3052</v>
      </c>
      <c r="AFY6" s="13" t="s">
        <v>3066</v>
      </c>
      <c r="AFZ6" s="13" t="s">
        <v>3064</v>
      </c>
      <c r="AGA6" s="13" t="s">
        <v>3078</v>
      </c>
      <c r="AGB6" s="13" t="s">
        <v>3057</v>
      </c>
      <c r="AGC6" s="13" t="s">
        <v>3088</v>
      </c>
      <c r="AGD6" s="13" t="s">
        <v>3052</v>
      </c>
      <c r="AGE6" s="13" t="s">
        <v>3034</v>
      </c>
      <c r="AGF6" s="13" t="s">
        <v>3042</v>
      </c>
      <c r="AGG6" s="13" t="s">
        <v>3036</v>
      </c>
      <c r="AGH6" s="13" t="s">
        <v>3034</v>
      </c>
      <c r="AGI6" s="13" t="s">
        <v>3050</v>
      </c>
      <c r="AGJ6" s="13" t="s">
        <v>3071</v>
      </c>
      <c r="AGK6" s="13" t="s">
        <v>3079</v>
      </c>
      <c r="AGL6" s="13" t="s">
        <v>3075</v>
      </c>
      <c r="AGM6" s="13" t="s">
        <v>3036</v>
      </c>
      <c r="AGN6" s="13" t="s">
        <v>3043</v>
      </c>
      <c r="AGO6" s="13" t="s">
        <v>3040</v>
      </c>
      <c r="AGP6" s="13" t="s">
        <v>3054</v>
      </c>
      <c r="AGQ6" s="13" t="s">
        <v>3069</v>
      </c>
      <c r="AGR6" s="13" t="s">
        <v>3069</v>
      </c>
      <c r="AGS6" s="13" t="s">
        <v>3062</v>
      </c>
      <c r="AGT6" s="13" t="s">
        <v>3075</v>
      </c>
      <c r="AGU6" s="13" t="s">
        <v>3034</v>
      </c>
      <c r="AGV6" s="13" t="s">
        <v>3078</v>
      </c>
      <c r="AGW6" s="13" t="s">
        <v>3046</v>
      </c>
      <c r="AGX6" s="13" t="s">
        <v>3069</v>
      </c>
      <c r="AGY6" s="13" t="s">
        <v>3040</v>
      </c>
      <c r="AGZ6" s="13" t="s">
        <v>3039</v>
      </c>
      <c r="AHA6" s="13" t="s">
        <v>3057</v>
      </c>
      <c r="AHB6" s="13" t="s">
        <v>3086</v>
      </c>
      <c r="AHC6" s="13" t="s">
        <v>3054</v>
      </c>
      <c r="AHD6" s="13" t="s">
        <v>3066</v>
      </c>
      <c r="AHE6" s="13" t="s">
        <v>3083</v>
      </c>
      <c r="AHF6" s="13" t="s">
        <v>3096</v>
      </c>
      <c r="AHG6" s="13" t="s">
        <v>3079</v>
      </c>
      <c r="AHH6" s="13" t="s">
        <v>3079</v>
      </c>
      <c r="AHI6" s="13" t="s">
        <v>3046</v>
      </c>
      <c r="AHJ6" s="13" t="s">
        <v>3083</v>
      </c>
      <c r="AHK6" s="13" t="s">
        <v>3057</v>
      </c>
      <c r="AHL6" s="13" t="s">
        <v>3054</v>
      </c>
      <c r="AHM6" s="13" t="s">
        <v>3069</v>
      </c>
      <c r="AHN6" s="13" t="s">
        <v>3075</v>
      </c>
      <c r="AHO6" s="13" t="s">
        <v>3042</v>
      </c>
      <c r="AHP6" s="13" t="s">
        <v>3042</v>
      </c>
      <c r="AHQ6" s="13" t="s">
        <v>3046</v>
      </c>
      <c r="AHR6" s="13" t="s">
        <v>3086</v>
      </c>
      <c r="AHS6" s="13" t="s">
        <v>3071</v>
      </c>
      <c r="AHT6" s="13" t="s">
        <v>3071</v>
      </c>
      <c r="AHU6" s="13" t="s">
        <v>3038</v>
      </c>
      <c r="AHV6" s="13" t="s">
        <v>3038</v>
      </c>
      <c r="AHW6" s="13" t="s">
        <v>3074</v>
      </c>
      <c r="AHX6" s="13" t="s">
        <v>3074</v>
      </c>
      <c r="AHY6" s="13" t="s">
        <v>3088</v>
      </c>
      <c r="AHZ6" s="13" t="s">
        <v>3054</v>
      </c>
      <c r="AIA6" s="13" t="s">
        <v>3046</v>
      </c>
      <c r="AIB6" s="13" t="s">
        <v>3086</v>
      </c>
      <c r="AIC6" s="13" t="s">
        <v>3090</v>
      </c>
      <c r="AID6" s="13" t="s">
        <v>3040</v>
      </c>
      <c r="AIE6" s="13" t="s">
        <v>3043</v>
      </c>
      <c r="AIF6" s="13" t="s">
        <v>3077</v>
      </c>
      <c r="AIG6" s="13" t="s">
        <v>3039</v>
      </c>
      <c r="AIH6" s="13" t="s">
        <v>3075</v>
      </c>
      <c r="AII6" s="13" t="s">
        <v>3075</v>
      </c>
      <c r="AIJ6" s="13" t="s">
        <v>3034</v>
      </c>
      <c r="AIK6" s="13" t="s">
        <v>3075</v>
      </c>
      <c r="AIL6" s="13" t="s">
        <v>3083</v>
      </c>
      <c r="AIM6" s="13" t="s">
        <v>3040</v>
      </c>
      <c r="AIN6" s="13" t="s">
        <v>3083</v>
      </c>
      <c r="AIO6" s="13" t="s">
        <v>3039</v>
      </c>
      <c r="AIP6" s="13" t="s">
        <v>3102</v>
      </c>
      <c r="AIQ6" s="13" t="s">
        <v>3071</v>
      </c>
      <c r="AIR6" s="13" t="s">
        <v>3040</v>
      </c>
      <c r="AIS6" s="13" t="s">
        <v>3046</v>
      </c>
      <c r="AIT6" s="13" t="s">
        <v>3052</v>
      </c>
      <c r="AIU6" s="13" t="s">
        <v>3078</v>
      </c>
      <c r="AIV6" s="13" t="s">
        <v>3050</v>
      </c>
      <c r="AIW6" s="13" t="s">
        <v>3078</v>
      </c>
      <c r="AIX6" s="13" t="s">
        <v>3042</v>
      </c>
      <c r="AIY6" s="13" t="s">
        <v>3074</v>
      </c>
      <c r="AIZ6" s="13" t="s">
        <v>3036</v>
      </c>
      <c r="AJA6" s="13" t="s">
        <v>3075</v>
      </c>
      <c r="AJB6" s="13" t="s">
        <v>3069</v>
      </c>
      <c r="AJC6" s="13" t="s">
        <v>3034</v>
      </c>
      <c r="AJD6" s="13" t="s">
        <v>3043</v>
      </c>
      <c r="AJE6" s="13" t="s">
        <v>3039</v>
      </c>
      <c r="AJF6" s="13" t="s">
        <v>3043</v>
      </c>
      <c r="AJG6" s="13" t="s">
        <v>3086</v>
      </c>
      <c r="AJH6" s="13" t="s">
        <v>3079</v>
      </c>
      <c r="AJI6" s="13" t="s">
        <v>3090</v>
      </c>
      <c r="AJJ6" s="13" t="s">
        <v>3038</v>
      </c>
      <c r="AJK6" s="13" t="s">
        <v>3043</v>
      </c>
      <c r="AJL6" s="13" t="s">
        <v>3036</v>
      </c>
      <c r="AJM6" s="13" t="s">
        <v>3036</v>
      </c>
      <c r="AJN6" s="13" t="s">
        <v>3088</v>
      </c>
      <c r="AJO6" s="13" t="s">
        <v>3050</v>
      </c>
      <c r="AJP6" s="13" t="s">
        <v>3050</v>
      </c>
      <c r="AJQ6" s="13" t="s">
        <v>3046</v>
      </c>
      <c r="AJR6" s="13" t="s">
        <v>3088</v>
      </c>
      <c r="AJS6" s="13" t="s">
        <v>3050</v>
      </c>
      <c r="AJT6" s="13" t="s">
        <v>3057</v>
      </c>
      <c r="AJU6" s="13" t="s">
        <v>3075</v>
      </c>
      <c r="AJV6" s="13" t="s">
        <v>3054</v>
      </c>
      <c r="AJW6" s="13" t="s">
        <v>3050</v>
      </c>
      <c r="AJX6" s="13" t="s">
        <v>3075</v>
      </c>
      <c r="AJY6" s="13" t="s">
        <v>3036</v>
      </c>
      <c r="AJZ6" s="13" t="s">
        <v>3043</v>
      </c>
      <c r="AKA6" s="13" t="s">
        <v>3046</v>
      </c>
      <c r="AKB6" s="13" t="s">
        <v>3083</v>
      </c>
      <c r="AKC6" s="13" t="s">
        <v>3038</v>
      </c>
      <c r="AKD6" s="13" t="s">
        <v>3064</v>
      </c>
      <c r="AKE6" s="13" t="s">
        <v>3038</v>
      </c>
      <c r="AKF6" s="13" t="s">
        <v>3039</v>
      </c>
      <c r="AKG6" s="13" t="s">
        <v>3046</v>
      </c>
      <c r="AKH6" s="13" t="s">
        <v>3071</v>
      </c>
      <c r="AKI6" s="13" t="s">
        <v>3077</v>
      </c>
      <c r="AKJ6" s="13" t="s">
        <v>3077</v>
      </c>
      <c r="AKK6" s="13" t="s">
        <v>3054</v>
      </c>
      <c r="AKL6" s="13" t="s">
        <v>3079</v>
      </c>
      <c r="AKM6" s="13" t="s">
        <v>3077</v>
      </c>
      <c r="AKN6" s="13" t="s">
        <v>3062</v>
      </c>
      <c r="AKO6" s="13" t="s">
        <v>3079</v>
      </c>
      <c r="AKP6" s="13" t="s">
        <v>3079</v>
      </c>
      <c r="AKQ6" s="13" t="s">
        <v>3064</v>
      </c>
      <c r="AKR6" s="13" t="s">
        <v>3074</v>
      </c>
      <c r="AKS6" s="13" t="s">
        <v>3069</v>
      </c>
      <c r="AKT6" s="13" t="s">
        <v>3096</v>
      </c>
      <c r="AKU6" s="13" t="s">
        <v>3054</v>
      </c>
      <c r="AKV6" s="13" t="s">
        <v>3090</v>
      </c>
      <c r="AKW6" s="13" t="s">
        <v>3088</v>
      </c>
      <c r="AKX6" s="13" t="s">
        <v>3034</v>
      </c>
      <c r="AKY6" s="13" t="s">
        <v>3074</v>
      </c>
      <c r="AKZ6" s="13" t="s">
        <v>3090</v>
      </c>
      <c r="ALA6" s="13" t="s">
        <v>3040</v>
      </c>
      <c r="ALB6" s="13" t="s">
        <v>3103</v>
      </c>
      <c r="ALC6" s="13" t="s">
        <v>3103</v>
      </c>
      <c r="ALD6" s="13" t="s">
        <v>3034</v>
      </c>
      <c r="ALE6" s="13" t="s">
        <v>3034</v>
      </c>
      <c r="ALF6" s="13" t="s">
        <v>3039</v>
      </c>
      <c r="ALG6" s="13" t="s">
        <v>3034</v>
      </c>
      <c r="ALH6" s="13" t="s">
        <v>3054</v>
      </c>
      <c r="ALI6" s="13" t="s">
        <v>3069</v>
      </c>
      <c r="ALJ6" s="13" t="s">
        <v>3077</v>
      </c>
      <c r="ALK6" s="13" t="s">
        <v>3079</v>
      </c>
      <c r="ALL6" s="13" t="s">
        <v>3040</v>
      </c>
      <c r="ALM6" s="13" t="s">
        <v>3088</v>
      </c>
      <c r="ALN6" s="13" t="s">
        <v>3040</v>
      </c>
      <c r="ALO6" s="13" t="s">
        <v>3078</v>
      </c>
      <c r="ALP6" s="13" t="s">
        <v>3039</v>
      </c>
      <c r="ALQ6" s="13" t="s">
        <v>3096</v>
      </c>
      <c r="ALR6" s="13" t="s">
        <v>3079</v>
      </c>
      <c r="ALS6" s="13" t="s">
        <v>3077</v>
      </c>
      <c r="ALT6" s="13" t="s">
        <v>3096</v>
      </c>
      <c r="ALU6" s="13" t="s">
        <v>3077</v>
      </c>
      <c r="ALV6" s="13" t="s">
        <v>3071</v>
      </c>
    </row>
    <row r="7" spans="1:1010" x14ac:dyDescent="0.25">
      <c r="A7" s="13" t="s">
        <v>5</v>
      </c>
      <c r="B7" s="13" t="s">
        <v>2631</v>
      </c>
      <c r="C7" s="13" t="s">
        <v>1553</v>
      </c>
      <c r="D7" s="13" t="s">
        <v>1726</v>
      </c>
      <c r="E7" s="13" t="s">
        <v>1386</v>
      </c>
      <c r="F7" s="13" t="s">
        <v>1466</v>
      </c>
      <c r="G7" s="13" t="s">
        <v>2615</v>
      </c>
      <c r="H7" s="13" t="s">
        <v>2873</v>
      </c>
      <c r="I7" s="13" t="s">
        <v>695</v>
      </c>
      <c r="J7" s="13" t="s">
        <v>1336</v>
      </c>
      <c r="K7" s="13" t="s">
        <v>217</v>
      </c>
      <c r="L7" s="13" t="s">
        <v>1084</v>
      </c>
      <c r="M7" s="13" t="s">
        <v>718</v>
      </c>
      <c r="N7" s="13" t="s">
        <v>448</v>
      </c>
      <c r="O7" s="13" t="s">
        <v>422</v>
      </c>
      <c r="P7" s="13" t="s">
        <v>2901</v>
      </c>
      <c r="Q7" s="13" t="s">
        <v>1891</v>
      </c>
      <c r="R7" s="13" t="s">
        <v>2038</v>
      </c>
      <c r="S7" s="13" t="s">
        <v>580</v>
      </c>
      <c r="T7" s="13" t="s">
        <v>1597</v>
      </c>
      <c r="U7" s="13" t="s">
        <v>2447</v>
      </c>
      <c r="V7" s="13" t="s">
        <v>1903</v>
      </c>
      <c r="W7" s="13" t="s">
        <v>739</v>
      </c>
      <c r="X7" s="13" t="s">
        <v>366</v>
      </c>
      <c r="Y7" s="13" t="s">
        <v>1952</v>
      </c>
      <c r="Z7" s="13" t="s">
        <v>2698</v>
      </c>
      <c r="AA7" s="13" t="s">
        <v>315</v>
      </c>
      <c r="AB7" s="13" t="s">
        <v>1133</v>
      </c>
      <c r="AC7" s="13" t="s">
        <v>1779</v>
      </c>
      <c r="AD7" s="13" t="s">
        <v>1192</v>
      </c>
      <c r="AE7" s="13" t="s">
        <v>885</v>
      </c>
      <c r="AF7" s="13" t="s">
        <v>1061</v>
      </c>
      <c r="AG7" s="13" t="s">
        <v>1486</v>
      </c>
      <c r="AH7" s="13" t="s">
        <v>2017</v>
      </c>
      <c r="AI7" s="13" t="s">
        <v>2767</v>
      </c>
      <c r="AJ7" s="13" t="s">
        <v>390</v>
      </c>
      <c r="AK7" s="13" t="s">
        <v>193</v>
      </c>
      <c r="AL7" s="13" t="s">
        <v>966</v>
      </c>
      <c r="AM7" s="13" t="s">
        <v>1035</v>
      </c>
      <c r="AN7" s="13" t="s">
        <v>1718</v>
      </c>
      <c r="AO7" s="13" t="s">
        <v>865</v>
      </c>
      <c r="AP7" s="13" t="s">
        <v>904</v>
      </c>
      <c r="AQ7" s="13" t="s">
        <v>3126</v>
      </c>
      <c r="AR7" s="13" t="s">
        <v>1729</v>
      </c>
      <c r="AS7" s="13" t="s">
        <v>901</v>
      </c>
      <c r="AT7" s="13" t="s">
        <v>2008</v>
      </c>
      <c r="AU7" s="13" t="s">
        <v>3126</v>
      </c>
      <c r="AV7" s="13" t="s">
        <v>1560</v>
      </c>
      <c r="AW7" s="13" t="s">
        <v>1295</v>
      </c>
      <c r="AX7" s="13" t="s">
        <v>2131</v>
      </c>
      <c r="AY7" s="13" t="s">
        <v>2636</v>
      </c>
      <c r="AZ7" s="13" t="s">
        <v>493</v>
      </c>
      <c r="BA7" s="13" t="s">
        <v>2868</v>
      </c>
      <c r="BB7" s="13" t="s">
        <v>164</v>
      </c>
      <c r="BC7" s="13" t="s">
        <v>2921</v>
      </c>
      <c r="BD7" s="13" t="s">
        <v>2012</v>
      </c>
      <c r="BE7" s="13" t="s">
        <v>2498</v>
      </c>
      <c r="BF7" s="13" t="s">
        <v>2312</v>
      </c>
      <c r="BG7" s="13" t="s">
        <v>2041</v>
      </c>
      <c r="BH7" s="13" t="s">
        <v>1972</v>
      </c>
      <c r="BI7" s="13" t="s">
        <v>1821</v>
      </c>
      <c r="BJ7" s="13" t="s">
        <v>615</v>
      </c>
      <c r="BK7" s="13" t="s">
        <v>1697</v>
      </c>
      <c r="BL7" s="13" t="s">
        <v>2809</v>
      </c>
      <c r="BM7" s="13" t="s">
        <v>339</v>
      </c>
      <c r="BN7" s="13" t="s">
        <v>1754</v>
      </c>
      <c r="BO7" s="13" t="s">
        <v>768</v>
      </c>
      <c r="BP7" s="13" t="s">
        <v>2075</v>
      </c>
      <c r="BQ7" s="13" t="s">
        <v>2172</v>
      </c>
      <c r="BR7" s="13" t="s">
        <v>1410</v>
      </c>
      <c r="BS7" s="13" t="s">
        <v>2576</v>
      </c>
      <c r="BT7" s="13" t="s">
        <v>2862</v>
      </c>
      <c r="BU7" s="13" t="s">
        <v>2169</v>
      </c>
      <c r="BV7" s="13" t="s">
        <v>2412</v>
      </c>
      <c r="BW7" s="13" t="s">
        <v>222</v>
      </c>
      <c r="BX7" s="13" t="s">
        <v>2067</v>
      </c>
      <c r="BY7" s="13" t="s">
        <v>853</v>
      </c>
      <c r="BZ7" s="13" t="s">
        <v>1020</v>
      </c>
      <c r="CA7" s="13" t="s">
        <v>1450</v>
      </c>
      <c r="CB7" s="13" t="s">
        <v>1349</v>
      </c>
      <c r="CC7" s="13" t="s">
        <v>2932</v>
      </c>
      <c r="CD7" s="13" t="s">
        <v>1166</v>
      </c>
      <c r="CE7" s="13" t="s">
        <v>2282</v>
      </c>
      <c r="CF7" s="13" t="s">
        <v>3126</v>
      </c>
      <c r="CG7" s="13" t="s">
        <v>1671</v>
      </c>
      <c r="CH7" s="13" t="s">
        <v>1996</v>
      </c>
      <c r="CI7" s="13" t="s">
        <v>2465</v>
      </c>
      <c r="CJ7" s="13" t="s">
        <v>658</v>
      </c>
      <c r="CK7" s="13" t="s">
        <v>1110</v>
      </c>
      <c r="CL7" s="13" t="s">
        <v>1577</v>
      </c>
      <c r="CM7" s="13" t="s">
        <v>1836</v>
      </c>
      <c r="CN7" s="13" t="s">
        <v>1251</v>
      </c>
      <c r="CO7" s="13" t="s">
        <v>265</v>
      </c>
      <c r="CP7" s="13" t="s">
        <v>353</v>
      </c>
      <c r="CQ7" s="13" t="s">
        <v>2195</v>
      </c>
      <c r="CR7" s="13" t="s">
        <v>2513</v>
      </c>
      <c r="CS7" s="13" t="s">
        <v>807</v>
      </c>
      <c r="CT7" s="13" t="s">
        <v>926</v>
      </c>
      <c r="CU7" s="13" t="s">
        <v>2542</v>
      </c>
      <c r="CV7" s="13" t="s">
        <v>2164</v>
      </c>
      <c r="CW7" s="13" t="s">
        <v>3126</v>
      </c>
      <c r="CX7" s="13" t="s">
        <v>2141</v>
      </c>
      <c r="CY7" s="13" t="s">
        <v>93</v>
      </c>
      <c r="CZ7" s="13" t="s">
        <v>2827</v>
      </c>
      <c r="DA7" s="13" t="s">
        <v>1744</v>
      </c>
      <c r="DB7" s="13" t="s">
        <v>2198</v>
      </c>
      <c r="DC7" s="13" t="s">
        <v>124</v>
      </c>
      <c r="DD7" s="13" t="s">
        <v>996</v>
      </c>
      <c r="DE7" s="13" t="s">
        <v>2367</v>
      </c>
      <c r="DF7" s="13" t="s">
        <v>856</v>
      </c>
      <c r="DG7" s="13" t="s">
        <v>2272</v>
      </c>
      <c r="DH7" s="13" t="s">
        <v>2709</v>
      </c>
      <c r="DI7" s="13" t="s">
        <v>986</v>
      </c>
      <c r="DJ7" s="13" t="s">
        <v>212</v>
      </c>
      <c r="DK7" s="13" t="s">
        <v>568</v>
      </c>
      <c r="DL7" s="13" t="s">
        <v>2091</v>
      </c>
      <c r="DM7" s="13" t="s">
        <v>2045</v>
      </c>
      <c r="DN7" s="13" t="s">
        <v>500</v>
      </c>
      <c r="DO7" s="13" t="s">
        <v>1847</v>
      </c>
      <c r="DP7" s="13" t="s">
        <v>1563</v>
      </c>
      <c r="DQ7" s="13" t="s">
        <v>1814</v>
      </c>
      <c r="DR7" s="13" t="s">
        <v>1978</v>
      </c>
      <c r="DS7" s="13" t="s">
        <v>2079</v>
      </c>
      <c r="DT7" s="13" t="s">
        <v>2416</v>
      </c>
      <c r="DU7" s="13" t="s">
        <v>2856</v>
      </c>
      <c r="DV7" s="13" t="s">
        <v>358</v>
      </c>
      <c r="DW7" s="13" t="s">
        <v>383</v>
      </c>
      <c r="DX7" s="13" t="s">
        <v>2949</v>
      </c>
      <c r="DY7" s="13" t="s">
        <v>1738</v>
      </c>
      <c r="DZ7" s="13" t="s">
        <v>1589</v>
      </c>
      <c r="EA7" s="13" t="s">
        <v>631</v>
      </c>
      <c r="EB7" s="13" t="s">
        <v>2670</v>
      </c>
      <c r="EC7" s="13" t="s">
        <v>193</v>
      </c>
      <c r="ED7" s="13" t="s">
        <v>1946</v>
      </c>
      <c r="EE7" s="13" t="s">
        <v>2210</v>
      </c>
      <c r="EF7" s="13" t="s">
        <v>3126</v>
      </c>
      <c r="EG7" s="13" t="s">
        <v>979</v>
      </c>
      <c r="EH7" s="13" t="s">
        <v>2085</v>
      </c>
      <c r="EI7" s="13" t="s">
        <v>2653</v>
      </c>
      <c r="EJ7" s="13" t="s">
        <v>2470</v>
      </c>
      <c r="EK7" s="13" t="s">
        <v>2093</v>
      </c>
      <c r="EL7" s="13" t="s">
        <v>1702</v>
      </c>
      <c r="EM7" s="13" t="s">
        <v>489</v>
      </c>
      <c r="EN7" s="13" t="s">
        <v>1806</v>
      </c>
      <c r="EO7" s="13" t="s">
        <v>413</v>
      </c>
      <c r="EP7" s="13" t="s">
        <v>2372</v>
      </c>
      <c r="EQ7" s="13" t="s">
        <v>821</v>
      </c>
      <c r="ER7" s="13" t="s">
        <v>1632</v>
      </c>
      <c r="ES7" s="13" t="s">
        <v>1630</v>
      </c>
      <c r="ET7" s="13" t="s">
        <v>2504</v>
      </c>
      <c r="EU7" s="13" t="s">
        <v>2467</v>
      </c>
      <c r="EV7" s="13" t="s">
        <v>83</v>
      </c>
      <c r="EW7" s="13" t="s">
        <v>143</v>
      </c>
      <c r="EX7" s="13" t="s">
        <v>2904</v>
      </c>
      <c r="EY7" s="13" t="s">
        <v>432</v>
      </c>
      <c r="EZ7" s="13" t="s">
        <v>807</v>
      </c>
      <c r="FA7" s="13" t="s">
        <v>1687</v>
      </c>
      <c r="FB7" s="13" t="s">
        <v>2437</v>
      </c>
      <c r="FC7" s="13" t="s">
        <v>2048</v>
      </c>
      <c r="FD7" s="13" t="s">
        <v>2829</v>
      </c>
      <c r="FE7" s="13" t="s">
        <v>2364</v>
      </c>
      <c r="FF7" s="13" t="s">
        <v>2391</v>
      </c>
      <c r="FG7" s="13" t="s">
        <v>226</v>
      </c>
      <c r="FH7" s="13" t="s">
        <v>577</v>
      </c>
      <c r="FI7" s="13" t="s">
        <v>799</v>
      </c>
      <c r="FJ7" s="13" t="s">
        <v>2778</v>
      </c>
      <c r="FK7" s="13" t="s">
        <v>2882</v>
      </c>
      <c r="FL7" s="13" t="s">
        <v>2896</v>
      </c>
      <c r="FM7" s="13" t="s">
        <v>2036</v>
      </c>
      <c r="FN7" s="13" t="s">
        <v>1788</v>
      </c>
      <c r="FO7" s="13" t="s">
        <v>1785</v>
      </c>
      <c r="FP7" s="13" t="s">
        <v>2734</v>
      </c>
      <c r="FQ7" s="13" t="s">
        <v>50</v>
      </c>
      <c r="FR7" s="13" t="s">
        <v>834</v>
      </c>
      <c r="FS7" s="13" t="s">
        <v>203</v>
      </c>
      <c r="FT7" s="13" t="s">
        <v>2315</v>
      </c>
      <c r="FU7" s="13" t="s">
        <v>878</v>
      </c>
      <c r="FV7" s="13" t="s">
        <v>1821</v>
      </c>
      <c r="FW7" s="13" t="s">
        <v>784</v>
      </c>
      <c r="FX7" s="13" t="s">
        <v>403</v>
      </c>
      <c r="FY7" s="13" t="s">
        <v>2432</v>
      </c>
      <c r="FZ7" s="13" t="s">
        <v>2529</v>
      </c>
      <c r="GA7" s="13" t="s">
        <v>2718</v>
      </c>
      <c r="GB7" s="13" t="s">
        <v>1459</v>
      </c>
      <c r="GC7" s="13" t="s">
        <v>1087</v>
      </c>
      <c r="GD7" s="13" t="s">
        <v>2367</v>
      </c>
      <c r="GE7" s="13" t="s">
        <v>2445</v>
      </c>
      <c r="GF7" s="13" t="s">
        <v>592</v>
      </c>
      <c r="GG7" s="13" t="s">
        <v>400</v>
      </c>
      <c r="GH7" s="13" t="s">
        <v>993</v>
      </c>
      <c r="GI7" s="13" t="s">
        <v>2350</v>
      </c>
      <c r="GJ7" s="13" t="s">
        <v>2539</v>
      </c>
      <c r="GK7" s="13" t="s">
        <v>370</v>
      </c>
      <c r="GL7" s="13" t="s">
        <v>442</v>
      </c>
      <c r="GM7" s="13" t="s">
        <v>2033</v>
      </c>
      <c r="GN7" s="13" t="s">
        <v>2825</v>
      </c>
      <c r="GO7" s="13" t="s">
        <v>1734</v>
      </c>
      <c r="GP7" s="13" t="s">
        <v>429</v>
      </c>
      <c r="GQ7" s="13" t="s">
        <v>1920</v>
      </c>
      <c r="GR7" s="13" t="s">
        <v>2583</v>
      </c>
      <c r="GS7" s="13" t="s">
        <v>278</v>
      </c>
      <c r="GT7" s="13" t="s">
        <v>2546</v>
      </c>
      <c r="GU7" s="13" t="s">
        <v>771</v>
      </c>
      <c r="GV7" s="13" t="s">
        <v>2394</v>
      </c>
      <c r="GW7" s="13" t="s">
        <v>1321</v>
      </c>
      <c r="GX7" s="13" t="s">
        <v>422</v>
      </c>
      <c r="GY7" s="13" t="s">
        <v>2232</v>
      </c>
      <c r="GZ7" s="13" t="s">
        <v>1679</v>
      </c>
      <c r="HA7" s="13" t="s">
        <v>1668</v>
      </c>
      <c r="HB7" s="13" t="s">
        <v>1102</v>
      </c>
      <c r="HC7" s="13" t="s">
        <v>1246</v>
      </c>
      <c r="HD7" s="13" t="s">
        <v>2754</v>
      </c>
      <c r="HE7" s="13" t="s">
        <v>1810</v>
      </c>
      <c r="HF7" s="13" t="s">
        <v>2960</v>
      </c>
      <c r="HG7" s="13" t="s">
        <v>2107</v>
      </c>
      <c r="HH7" s="13" t="s">
        <v>1426</v>
      </c>
      <c r="HI7" s="13" t="s">
        <v>1368</v>
      </c>
      <c r="HJ7" s="13" t="s">
        <v>237</v>
      </c>
      <c r="HK7" s="13" t="s">
        <v>2056</v>
      </c>
      <c r="HL7" s="13" t="s">
        <v>2679</v>
      </c>
      <c r="HM7" s="13" t="s">
        <v>1388</v>
      </c>
      <c r="HN7" s="13" t="s">
        <v>1797</v>
      </c>
      <c r="HO7" s="13" t="s">
        <v>1708</v>
      </c>
      <c r="HP7" s="13" t="s">
        <v>1839</v>
      </c>
      <c r="HQ7" s="13" t="s">
        <v>2611</v>
      </c>
      <c r="HR7" s="13" t="s">
        <v>1662</v>
      </c>
      <c r="HS7" s="13" t="s">
        <v>1140</v>
      </c>
      <c r="HT7" s="13" t="s">
        <v>1436</v>
      </c>
      <c r="HU7" s="13" t="s">
        <v>1185</v>
      </c>
      <c r="HV7" s="13" t="s">
        <v>894</v>
      </c>
      <c r="HW7" s="13" t="s">
        <v>894</v>
      </c>
      <c r="HX7" s="13" t="s">
        <v>1374</v>
      </c>
      <c r="HY7" s="13" t="s">
        <v>2885</v>
      </c>
      <c r="HZ7" s="13" t="s">
        <v>735</v>
      </c>
      <c r="IA7" s="13" t="s">
        <v>759</v>
      </c>
      <c r="IB7" s="13" t="s">
        <v>2442</v>
      </c>
      <c r="IC7" s="13" t="s">
        <v>1180</v>
      </c>
      <c r="ID7" s="13" t="s">
        <v>1042</v>
      </c>
      <c r="IE7" s="13" t="s">
        <v>1639</v>
      </c>
      <c r="IF7" s="13" t="s">
        <v>1723</v>
      </c>
      <c r="IG7" s="13" t="s">
        <v>1793</v>
      </c>
      <c r="IH7" s="13" t="s">
        <v>2124</v>
      </c>
      <c r="II7" s="13" t="s">
        <v>1681</v>
      </c>
      <c r="IJ7" s="13" t="s">
        <v>1825</v>
      </c>
      <c r="IK7" s="13" t="s">
        <v>1906</v>
      </c>
      <c r="IL7" s="13" t="s">
        <v>3126</v>
      </c>
      <c r="IM7" s="13" t="s">
        <v>1772</v>
      </c>
      <c r="IN7" s="13" t="s">
        <v>2793</v>
      </c>
      <c r="IO7" s="13" t="s">
        <v>2739</v>
      </c>
      <c r="IP7" s="13" t="s">
        <v>2926</v>
      </c>
      <c r="IQ7" s="13" t="s">
        <v>2030</v>
      </c>
      <c r="IR7" s="13" t="s">
        <v>1639</v>
      </c>
      <c r="IS7" s="13" t="s">
        <v>1928</v>
      </c>
      <c r="IT7" s="13" t="s">
        <v>2859</v>
      </c>
      <c r="IU7" s="13" t="s">
        <v>1747</v>
      </c>
      <c r="IV7" s="13" t="s">
        <v>966</v>
      </c>
      <c r="IW7" s="13" t="s">
        <v>837</v>
      </c>
      <c r="IX7" s="13" t="s">
        <v>2731</v>
      </c>
      <c r="IY7" s="13" t="s">
        <v>2765</v>
      </c>
      <c r="IZ7" s="13" t="s">
        <v>2952</v>
      </c>
      <c r="JA7" s="13" t="s">
        <v>1107</v>
      </c>
      <c r="JB7" s="13" t="s">
        <v>1621</v>
      </c>
      <c r="JC7" s="13" t="s">
        <v>1065</v>
      </c>
      <c r="JD7" s="13" t="s">
        <v>1216</v>
      </c>
      <c r="JE7" s="13" t="s">
        <v>1339</v>
      </c>
      <c r="JF7" s="13" t="s">
        <v>2126</v>
      </c>
      <c r="JG7" s="13" t="s">
        <v>3126</v>
      </c>
      <c r="JH7" s="13" t="s">
        <v>1131</v>
      </c>
      <c r="JI7" s="13" t="s">
        <v>275</v>
      </c>
      <c r="JJ7" s="13" t="s">
        <v>1662</v>
      </c>
      <c r="JK7" s="13" t="s">
        <v>408</v>
      </c>
      <c r="JL7" s="13" t="s">
        <v>2198</v>
      </c>
      <c r="JM7" s="13" t="s">
        <v>1923</v>
      </c>
      <c r="JN7" s="13" t="s">
        <v>996</v>
      </c>
      <c r="JO7" s="13" t="s">
        <v>2088</v>
      </c>
      <c r="JP7" s="13" t="s">
        <v>2672</v>
      </c>
      <c r="JQ7" s="13" t="s">
        <v>1093</v>
      </c>
      <c r="JR7" s="13" t="s">
        <v>1371</v>
      </c>
      <c r="JS7" s="13" t="s">
        <v>2425</v>
      </c>
      <c r="JT7" s="13" t="s">
        <v>2815</v>
      </c>
      <c r="JU7" s="13" t="s">
        <v>2226</v>
      </c>
      <c r="JV7" s="13" t="s">
        <v>2473</v>
      </c>
      <c r="JW7" s="13" t="s">
        <v>2711</v>
      </c>
      <c r="JX7" s="13" t="s">
        <v>1420</v>
      </c>
      <c r="JY7" s="13" t="s">
        <v>774</v>
      </c>
      <c r="JZ7" s="13" t="s">
        <v>2837</v>
      </c>
      <c r="KA7" s="13" t="s">
        <v>2062</v>
      </c>
      <c r="KB7" s="13" t="s">
        <v>1379</v>
      </c>
      <c r="KC7" s="13" t="s">
        <v>1861</v>
      </c>
      <c r="KD7" s="13" t="s">
        <v>1939</v>
      </c>
      <c r="KE7" s="13" t="s">
        <v>746</v>
      </c>
      <c r="KF7" s="13" t="s">
        <v>1489</v>
      </c>
      <c r="KG7" s="13" t="s">
        <v>2597</v>
      </c>
      <c r="KH7" s="13" t="s">
        <v>493</v>
      </c>
      <c r="KI7" s="13" t="s">
        <v>802</v>
      </c>
      <c r="KJ7" s="13" t="s">
        <v>1555</v>
      </c>
      <c r="KK7" s="13" t="s">
        <v>2566</v>
      </c>
      <c r="KL7" s="13" t="s">
        <v>1107</v>
      </c>
      <c r="KM7" s="13" t="s">
        <v>1014</v>
      </c>
      <c r="KN7" s="13" t="s">
        <v>3126</v>
      </c>
      <c r="KO7" s="13" t="s">
        <v>612</v>
      </c>
      <c r="KP7" s="13" t="s">
        <v>764</v>
      </c>
      <c r="KQ7" s="13" t="s">
        <v>181</v>
      </c>
      <c r="KR7" s="13" t="s">
        <v>2359</v>
      </c>
      <c r="KS7" s="13" t="s">
        <v>2784</v>
      </c>
      <c r="KT7" s="13" t="s">
        <v>2558</v>
      </c>
      <c r="KU7" s="13" t="s">
        <v>2707</v>
      </c>
      <c r="KV7" s="13" t="s">
        <v>1298</v>
      </c>
      <c r="KW7" s="13" t="s">
        <v>675</v>
      </c>
      <c r="KX7" s="13" t="s">
        <v>983</v>
      </c>
      <c r="KY7" s="13" t="s">
        <v>1394</v>
      </c>
      <c r="KZ7" s="13" t="s">
        <v>1992</v>
      </c>
      <c r="LA7" s="13" t="s">
        <v>698</v>
      </c>
      <c r="LB7" s="13" t="s">
        <v>3126</v>
      </c>
      <c r="LC7" s="13" t="s">
        <v>3126</v>
      </c>
      <c r="LD7" s="13" t="s">
        <v>1078</v>
      </c>
      <c r="LE7" s="13" t="s">
        <v>2878</v>
      </c>
      <c r="LF7" s="13" t="s">
        <v>2628</v>
      </c>
      <c r="LG7" s="13" t="s">
        <v>2189</v>
      </c>
      <c r="LH7" s="13" t="s">
        <v>2397</v>
      </c>
      <c r="LI7" s="13" t="s">
        <v>1782</v>
      </c>
      <c r="LJ7" s="13" t="s">
        <v>1283</v>
      </c>
      <c r="LK7" s="13" t="s">
        <v>2820</v>
      </c>
      <c r="LL7" s="13" t="s">
        <v>932</v>
      </c>
      <c r="LM7" s="13" t="s">
        <v>107</v>
      </c>
      <c r="LN7" s="13" t="s">
        <v>1897</v>
      </c>
      <c r="LO7" s="13" t="s">
        <v>1046</v>
      </c>
      <c r="LP7" s="13" t="s">
        <v>1306</v>
      </c>
      <c r="LQ7" s="13" t="s">
        <v>2121</v>
      </c>
      <c r="LR7" s="13" t="s">
        <v>1981</v>
      </c>
      <c r="LS7" s="13" t="s">
        <v>3126</v>
      </c>
      <c r="LT7" s="13" t="s">
        <v>2288</v>
      </c>
      <c r="LU7" s="13" t="s">
        <v>938</v>
      </c>
      <c r="LV7" s="13" t="s">
        <v>2626</v>
      </c>
      <c r="LW7" s="13" t="s">
        <v>1676</v>
      </c>
      <c r="LX7" s="13" t="s">
        <v>2167</v>
      </c>
      <c r="LY7" s="13" t="s">
        <v>422</v>
      </c>
      <c r="LZ7" s="13" t="s">
        <v>2234</v>
      </c>
      <c r="MA7" s="13" t="s">
        <v>679</v>
      </c>
      <c r="MB7" s="13" t="s">
        <v>1750</v>
      </c>
      <c r="MC7" s="13" t="s">
        <v>366</v>
      </c>
      <c r="MD7" s="13" t="s">
        <v>1192</v>
      </c>
      <c r="ME7" s="13" t="s">
        <v>2899</v>
      </c>
      <c r="MF7" s="13" t="s">
        <v>2590</v>
      </c>
      <c r="MG7" s="13" t="s">
        <v>571</v>
      </c>
      <c r="MH7" s="13" t="s">
        <v>2721</v>
      </c>
      <c r="MI7" s="13" t="s">
        <v>3126</v>
      </c>
      <c r="MJ7" s="13" t="s">
        <v>1803</v>
      </c>
      <c r="MK7" s="13" t="s">
        <v>2429</v>
      </c>
      <c r="ML7" s="13" t="s">
        <v>1423</v>
      </c>
      <c r="MM7" s="13" t="s">
        <v>1882</v>
      </c>
      <c r="MN7" s="13" t="s">
        <v>2924</v>
      </c>
      <c r="MO7" s="13" t="s">
        <v>153</v>
      </c>
      <c r="MP7" s="13" t="s">
        <v>796</v>
      </c>
      <c r="MQ7" s="13" t="s">
        <v>2943</v>
      </c>
      <c r="MR7" s="13" t="s">
        <v>550</v>
      </c>
      <c r="MS7" s="13" t="s">
        <v>542</v>
      </c>
      <c r="MT7" s="13" t="s">
        <v>1757</v>
      </c>
      <c r="MU7" s="13" t="s">
        <v>2757</v>
      </c>
      <c r="MV7" s="13" t="s">
        <v>1314</v>
      </c>
      <c r="MW7" s="13" t="s">
        <v>1495</v>
      </c>
      <c r="MX7" s="13" t="s">
        <v>167</v>
      </c>
      <c r="MY7" s="13" t="s">
        <v>2812</v>
      </c>
      <c r="MZ7" s="13" t="s">
        <v>1850</v>
      </c>
      <c r="NA7" s="13" t="s">
        <v>1523</v>
      </c>
      <c r="NB7" s="13" t="s">
        <v>2181</v>
      </c>
      <c r="NC7" s="13" t="s">
        <v>1501</v>
      </c>
      <c r="ND7" s="13" t="s">
        <v>2967</v>
      </c>
      <c r="NE7" s="13" t="s">
        <v>1098</v>
      </c>
      <c r="NF7" s="13" t="s">
        <v>1206</v>
      </c>
      <c r="NG7" s="13" t="s">
        <v>1206</v>
      </c>
      <c r="NH7" s="13" t="s">
        <v>2267</v>
      </c>
      <c r="NI7" s="13" t="s">
        <v>497</v>
      </c>
      <c r="NJ7" s="13" t="s">
        <v>1178</v>
      </c>
      <c r="NK7" s="13" t="s">
        <v>1909</v>
      </c>
      <c r="NL7" s="13" t="s">
        <v>2202</v>
      </c>
      <c r="NM7" s="13" t="s">
        <v>1237</v>
      </c>
      <c r="NN7" s="13" t="s">
        <v>2223</v>
      </c>
      <c r="NO7" s="13" t="s">
        <v>1627</v>
      </c>
      <c r="NP7" s="13" t="s">
        <v>461</v>
      </c>
      <c r="NQ7" s="13" t="s">
        <v>270</v>
      </c>
      <c r="NR7" s="13" t="s">
        <v>3126</v>
      </c>
      <c r="NS7" s="13" t="s">
        <v>545</v>
      </c>
      <c r="NT7" s="13" t="s">
        <v>2143</v>
      </c>
      <c r="NU7" s="13" t="s">
        <v>2185</v>
      </c>
      <c r="NV7" s="13" t="s">
        <v>2309</v>
      </c>
      <c r="NW7" s="13" t="s">
        <v>2894</v>
      </c>
      <c r="NX7" s="13" t="s">
        <v>2275</v>
      </c>
      <c r="NY7" s="13" t="s">
        <v>3126</v>
      </c>
      <c r="NZ7" s="13" t="s">
        <v>599</v>
      </c>
      <c r="OA7" s="13" t="s">
        <v>2674</v>
      </c>
      <c r="OB7" s="13" t="s">
        <v>1504</v>
      </c>
      <c r="OC7" s="13" t="s">
        <v>2148</v>
      </c>
      <c r="OD7" s="13" t="s">
        <v>436</v>
      </c>
      <c r="OE7" s="13" t="s">
        <v>1959</v>
      </c>
      <c r="OF7" s="13" t="s">
        <v>2690</v>
      </c>
      <c r="OG7" s="13" t="s">
        <v>2510</v>
      </c>
      <c r="OH7" s="13" t="s">
        <v>1053</v>
      </c>
      <c r="OI7" s="13" t="s">
        <v>1975</v>
      </c>
      <c r="OJ7" s="13" t="s">
        <v>418</v>
      </c>
      <c r="OK7" s="13" t="s">
        <v>609</v>
      </c>
      <c r="OL7" s="13" t="s">
        <v>958</v>
      </c>
      <c r="OM7" s="13" t="s">
        <v>2381</v>
      </c>
      <c r="ON7" s="13" t="s">
        <v>1984</v>
      </c>
      <c r="OO7" s="13" t="s">
        <v>2781</v>
      </c>
      <c r="OP7" s="13" t="s">
        <v>1894</v>
      </c>
      <c r="OQ7" s="13" t="s">
        <v>425</v>
      </c>
      <c r="OR7" s="13" t="s">
        <v>1342</v>
      </c>
      <c r="OS7" s="13" t="s">
        <v>914</v>
      </c>
      <c r="OT7" s="13" t="s">
        <v>2403</v>
      </c>
      <c r="OU7" s="13" t="s">
        <v>2376</v>
      </c>
      <c r="OV7" s="13" t="s">
        <v>2291</v>
      </c>
      <c r="OW7" s="13" t="s">
        <v>1874</v>
      </c>
      <c r="OX7" s="13" t="s">
        <v>2361</v>
      </c>
      <c r="OY7" s="13" t="s">
        <v>583</v>
      </c>
      <c r="OZ7" s="13" t="s">
        <v>1122</v>
      </c>
      <c r="PA7" s="13" t="s">
        <v>136</v>
      </c>
      <c r="PB7" s="13" t="s">
        <v>1600</v>
      </c>
      <c r="PC7" s="13" t="s">
        <v>370</v>
      </c>
      <c r="PD7" s="13" t="s">
        <v>898</v>
      </c>
      <c r="PE7" s="13" t="s">
        <v>485</v>
      </c>
      <c r="PF7" s="13" t="s">
        <v>1001</v>
      </c>
      <c r="PG7" s="13" t="s">
        <v>2334</v>
      </c>
      <c r="PH7" s="13" t="s">
        <v>648</v>
      </c>
      <c r="PI7" s="13" t="s">
        <v>1069</v>
      </c>
      <c r="PJ7" s="13" t="s">
        <v>397</v>
      </c>
      <c r="PK7" s="13" t="s">
        <v>2554</v>
      </c>
      <c r="PL7" s="13" t="s">
        <v>299</v>
      </c>
      <c r="PM7" s="13" t="s">
        <v>602</v>
      </c>
      <c r="PN7" s="13" t="s">
        <v>2328</v>
      </c>
      <c r="PO7" s="13" t="s">
        <v>2907</v>
      </c>
      <c r="PP7" s="13" t="s">
        <v>2621</v>
      </c>
      <c r="PQ7" s="13" t="s">
        <v>1969</v>
      </c>
      <c r="PR7" s="13" t="s">
        <v>2051</v>
      </c>
      <c r="PS7" s="13" t="s">
        <v>1972</v>
      </c>
      <c r="PT7" s="13" t="s">
        <v>888</v>
      </c>
      <c r="PU7" s="13" t="s">
        <v>113</v>
      </c>
      <c r="PV7" s="13" t="s">
        <v>2939</v>
      </c>
      <c r="PW7" s="13" t="s">
        <v>1515</v>
      </c>
      <c r="PX7" s="13" t="s">
        <v>311</v>
      </c>
      <c r="PY7" s="13" t="s">
        <v>1172</v>
      </c>
      <c r="PZ7" s="13" t="s">
        <v>1531</v>
      </c>
      <c r="QA7" s="13" t="s">
        <v>755</v>
      </c>
      <c r="QB7" s="13" t="s">
        <v>2752</v>
      </c>
      <c r="QC7" s="13" t="s">
        <v>75</v>
      </c>
      <c r="QD7" s="13" t="s">
        <v>661</v>
      </c>
      <c r="QE7" s="13" t="s">
        <v>1603</v>
      </c>
      <c r="QF7" s="13" t="s">
        <v>148</v>
      </c>
      <c r="QG7" s="13" t="s">
        <v>1175</v>
      </c>
      <c r="QH7" s="13" t="s">
        <v>2138</v>
      </c>
      <c r="QI7" s="13" t="s">
        <v>824</v>
      </c>
      <c r="QJ7" s="13" t="s">
        <v>261</v>
      </c>
      <c r="QK7" s="13" t="s">
        <v>1498</v>
      </c>
      <c r="QL7" s="13" t="s">
        <v>2410</v>
      </c>
      <c r="QM7" s="13" t="s">
        <v>1914</v>
      </c>
      <c r="QN7" s="13" t="s">
        <v>1399</v>
      </c>
      <c r="QO7" s="13" t="s">
        <v>908</v>
      </c>
      <c r="QP7" s="13" t="s">
        <v>2865</v>
      </c>
      <c r="QQ7" s="13" t="s">
        <v>923</v>
      </c>
      <c r="QR7" s="13" t="s">
        <v>1918</v>
      </c>
      <c r="QS7" s="13" t="s">
        <v>1407</v>
      </c>
      <c r="QT7" s="13" t="s">
        <v>2109</v>
      </c>
      <c r="QU7" s="13" t="s">
        <v>343</v>
      </c>
      <c r="QV7" s="13" t="s">
        <v>1074</v>
      </c>
      <c r="QW7" s="13" t="s">
        <v>2278</v>
      </c>
      <c r="QX7" s="13" t="s">
        <v>90</v>
      </c>
      <c r="QY7" s="13" t="s">
        <v>605</v>
      </c>
      <c r="QZ7" s="13" t="s">
        <v>1856</v>
      </c>
      <c r="RA7" s="13" t="s">
        <v>1154</v>
      </c>
      <c r="RB7" s="13" t="s">
        <v>2822</v>
      </c>
      <c r="RC7" s="13" t="s">
        <v>652</v>
      </c>
      <c r="RD7" s="13" t="s">
        <v>1477</v>
      </c>
      <c r="RE7" s="13" t="s">
        <v>2460</v>
      </c>
      <c r="RF7" s="13" t="s">
        <v>2342</v>
      </c>
      <c r="RG7" s="13" t="s">
        <v>2301</v>
      </c>
      <c r="RH7" s="13" t="s">
        <v>1017</v>
      </c>
      <c r="RI7" s="13" t="s">
        <v>1878</v>
      </c>
      <c r="RJ7" s="13" t="s">
        <v>577</v>
      </c>
      <c r="RK7" s="13" t="s">
        <v>538</v>
      </c>
      <c r="RL7" s="13" t="s">
        <v>2937</v>
      </c>
      <c r="RM7" s="13" t="s">
        <v>596</v>
      </c>
      <c r="RN7" s="13" t="s">
        <v>948</v>
      </c>
      <c r="RO7" s="13" t="s">
        <v>1859</v>
      </c>
      <c r="RP7" s="13" t="s">
        <v>587</v>
      </c>
      <c r="RQ7" s="13" t="s">
        <v>421</v>
      </c>
      <c r="RR7" s="13" t="s">
        <v>934</v>
      </c>
      <c r="RS7" s="13" t="s">
        <v>2536</v>
      </c>
      <c r="RT7" s="13" t="s">
        <v>2934</v>
      </c>
      <c r="RU7" s="13" t="s">
        <v>1374</v>
      </c>
      <c r="RV7" s="13" t="s">
        <v>2070</v>
      </c>
      <c r="RW7" s="13" t="s">
        <v>2640</v>
      </c>
      <c r="RX7" s="13" t="s">
        <v>1580</v>
      </c>
      <c r="RY7" s="13" t="s">
        <v>1105</v>
      </c>
      <c r="RZ7" s="13" t="s">
        <v>2160</v>
      </c>
      <c r="SA7" s="13" t="s">
        <v>2248</v>
      </c>
      <c r="SB7" s="13" t="s">
        <v>621</v>
      </c>
      <c r="SC7" s="13" t="s">
        <v>2594</v>
      </c>
      <c r="SD7" s="13" t="s">
        <v>1333</v>
      </c>
      <c r="SE7" s="13" t="s">
        <v>2791</v>
      </c>
      <c r="SF7" s="13" t="s">
        <v>3126</v>
      </c>
      <c r="SG7" s="13" t="s">
        <v>1712</v>
      </c>
      <c r="SH7" s="13" t="s">
        <v>2331</v>
      </c>
      <c r="SI7" s="13" t="s">
        <v>2685</v>
      </c>
      <c r="SJ7" s="13" t="s">
        <v>1609</v>
      </c>
      <c r="SK7" s="13" t="s">
        <v>1999</v>
      </c>
      <c r="SL7" s="13" t="s">
        <v>473</v>
      </c>
      <c r="SM7" s="13" t="s">
        <v>2660</v>
      </c>
      <c r="SN7" s="13" t="s">
        <v>2248</v>
      </c>
      <c r="SO7" s="13" t="s">
        <v>286</v>
      </c>
      <c r="SP7" s="13" t="s">
        <v>2891</v>
      </c>
      <c r="SQ7" s="13" t="s">
        <v>1720</v>
      </c>
      <c r="SR7" s="13" t="s">
        <v>2400</v>
      </c>
      <c r="SS7" s="13" t="s">
        <v>2663</v>
      </c>
      <c r="ST7" s="13" t="s">
        <v>1254</v>
      </c>
      <c r="SU7" s="13" t="s">
        <v>2001</v>
      </c>
      <c r="SV7" s="13" t="s">
        <v>1665</v>
      </c>
      <c r="SW7" s="13" t="s">
        <v>627</v>
      </c>
      <c r="SX7" s="13" t="s">
        <v>1864</v>
      </c>
      <c r="SY7" s="13" t="s">
        <v>788</v>
      </c>
      <c r="SZ7" s="13" t="s">
        <v>1594</v>
      </c>
      <c r="TA7" s="13" t="s">
        <v>2946</v>
      </c>
      <c r="TB7" s="13" t="s">
        <v>1594</v>
      </c>
      <c r="TC7" s="13" t="s">
        <v>1326</v>
      </c>
      <c r="TD7" s="13" t="s">
        <v>388</v>
      </c>
      <c r="TE7" s="13" t="s">
        <v>1081</v>
      </c>
      <c r="TF7" s="13" t="s">
        <v>973</v>
      </c>
      <c r="TG7" s="13" t="s">
        <v>2134</v>
      </c>
      <c r="TH7" s="13" t="s">
        <v>2297</v>
      </c>
      <c r="TI7" s="13" t="s">
        <v>725</v>
      </c>
      <c r="TJ7" s="13" t="s">
        <v>1345</v>
      </c>
      <c r="TK7" s="13" t="s">
        <v>2270</v>
      </c>
      <c r="TL7" s="13" t="s">
        <v>920</v>
      </c>
      <c r="TM7" s="13" t="s">
        <v>1776</v>
      </c>
      <c r="TN7" s="13" t="s">
        <v>962</v>
      </c>
      <c r="TO7" s="13" t="s">
        <v>295</v>
      </c>
      <c r="TP7" s="13" t="s">
        <v>1548</v>
      </c>
      <c r="TQ7" s="13" t="s">
        <v>1146</v>
      </c>
      <c r="TR7" s="13" t="s">
        <v>1987</v>
      </c>
      <c r="TS7" s="13" t="s">
        <v>1987</v>
      </c>
      <c r="TT7" s="13" t="s">
        <v>1095</v>
      </c>
      <c r="TU7" s="13" t="s">
        <v>853</v>
      </c>
      <c r="TV7" s="13" t="s">
        <v>645</v>
      </c>
      <c r="TW7" s="13" t="s">
        <v>3126</v>
      </c>
      <c r="TX7" s="13" t="s">
        <v>2507</v>
      </c>
      <c r="TY7" s="13" t="s">
        <v>1264</v>
      </c>
      <c r="TZ7" s="13" t="s">
        <v>685</v>
      </c>
      <c r="UA7" s="13" t="s">
        <v>2561</v>
      </c>
      <c r="UB7" s="13" t="s">
        <v>2487</v>
      </c>
      <c r="UC7" s="13" t="s">
        <v>1643</v>
      </c>
      <c r="UD7" s="13" t="s">
        <v>1800</v>
      </c>
      <c r="UE7" s="13" t="s">
        <v>1648</v>
      </c>
      <c r="UF7" s="13" t="s">
        <v>2776</v>
      </c>
      <c r="UG7" s="13" t="s">
        <v>2522</v>
      </c>
      <c r="UH7" s="13" t="s">
        <v>1257</v>
      </c>
      <c r="UI7" s="13" t="s">
        <v>1741</v>
      </c>
      <c r="UJ7" s="13" t="s">
        <v>655</v>
      </c>
      <c r="UK7" s="13" t="s">
        <v>446</v>
      </c>
      <c r="UL7" s="13" t="s">
        <v>634</v>
      </c>
      <c r="UM7" s="13" t="s">
        <v>68</v>
      </c>
      <c r="UN7" s="13" t="s">
        <v>533</v>
      </c>
      <c r="UO7" s="13" t="s">
        <v>1557</v>
      </c>
      <c r="UP7" s="13" t="s">
        <v>302</v>
      </c>
      <c r="UQ7" s="13" t="s">
        <v>1526</v>
      </c>
      <c r="UR7" s="13" t="s">
        <v>2587</v>
      </c>
      <c r="US7" s="13" t="s">
        <v>827</v>
      </c>
      <c r="UT7" s="13" t="s">
        <v>3126</v>
      </c>
      <c r="UU7" s="13" t="s">
        <v>1115</v>
      </c>
      <c r="UV7" s="13" t="s">
        <v>1463</v>
      </c>
      <c r="UW7" s="13" t="s">
        <v>1760</v>
      </c>
      <c r="UX7" s="13" t="s">
        <v>2251</v>
      </c>
      <c r="UY7" s="13" t="s">
        <v>1715</v>
      </c>
      <c r="UZ7" s="13" t="s">
        <v>2606</v>
      </c>
      <c r="VA7" s="13" t="s">
        <v>2418</v>
      </c>
      <c r="VB7" s="13" t="s">
        <v>1397</v>
      </c>
      <c r="VC7" s="13" t="s">
        <v>1586</v>
      </c>
      <c r="VD7" s="13" t="s">
        <v>917</v>
      </c>
      <c r="VE7" s="13" t="s">
        <v>1004</v>
      </c>
      <c r="VF7" s="13" t="s">
        <v>1291</v>
      </c>
      <c r="VG7" s="13" t="s">
        <v>602</v>
      </c>
      <c r="VH7" s="13" t="s">
        <v>222</v>
      </c>
      <c r="VI7" s="13" t="s">
        <v>2564</v>
      </c>
      <c r="VJ7" s="13" t="s">
        <v>2244</v>
      </c>
      <c r="VK7" s="13" t="s">
        <v>1362</v>
      </c>
      <c r="VL7" s="13" t="s">
        <v>335</v>
      </c>
      <c r="VM7" s="13" t="s">
        <v>955</v>
      </c>
      <c r="VN7" s="13" t="s">
        <v>2369</v>
      </c>
      <c r="VO7" s="13" t="s">
        <v>1359</v>
      </c>
      <c r="VP7" s="13" t="s">
        <v>911</v>
      </c>
      <c r="VQ7" s="13" t="s">
        <v>2496</v>
      </c>
      <c r="VR7" s="13" t="s">
        <v>458</v>
      </c>
      <c r="VS7" s="13" t="s">
        <v>1702</v>
      </c>
      <c r="VT7" s="13" t="s">
        <v>557</v>
      </c>
      <c r="VU7" s="13" t="s">
        <v>2807</v>
      </c>
      <c r="VV7" s="13" t="s">
        <v>3126</v>
      </c>
      <c r="VW7" s="13" t="s">
        <v>2703</v>
      </c>
      <c r="VX7" s="13" t="s">
        <v>2322</v>
      </c>
      <c r="VY7" s="13" t="s">
        <v>2254</v>
      </c>
      <c r="VZ7" s="13" t="s">
        <v>2850</v>
      </c>
      <c r="WA7" s="13" t="s">
        <v>2805</v>
      </c>
      <c r="WB7" s="13" t="s">
        <v>233</v>
      </c>
      <c r="WC7" s="13" t="s">
        <v>1517</v>
      </c>
      <c r="WD7" s="13" t="s">
        <v>2262</v>
      </c>
      <c r="WE7" s="13" t="s">
        <v>2677</v>
      </c>
      <c r="WF7" s="13" t="s">
        <v>730</v>
      </c>
      <c r="WG7" s="13" t="s">
        <v>188</v>
      </c>
      <c r="WH7" s="13" t="s">
        <v>34</v>
      </c>
      <c r="WI7" s="13" t="s">
        <v>1183</v>
      </c>
      <c r="WJ7" s="13" t="s">
        <v>1583</v>
      </c>
      <c r="WK7" s="13" t="s">
        <v>2221</v>
      </c>
      <c r="WL7" s="13" t="s">
        <v>1565</v>
      </c>
      <c r="WM7" s="13" t="s">
        <v>2213</v>
      </c>
      <c r="WN7" s="13" t="s">
        <v>1240</v>
      </c>
      <c r="WO7" s="13" t="s">
        <v>102</v>
      </c>
      <c r="WP7" s="13" t="s">
        <v>102</v>
      </c>
      <c r="WQ7" s="13" t="s">
        <v>2347</v>
      </c>
      <c r="WR7" s="13" t="s">
        <v>780</v>
      </c>
      <c r="WS7" s="13" t="s">
        <v>237</v>
      </c>
      <c r="WT7" s="13" t="s">
        <v>237</v>
      </c>
      <c r="WU7" s="13" t="s">
        <v>2490</v>
      </c>
      <c r="WV7" s="13" t="s">
        <v>1900</v>
      </c>
      <c r="WW7" s="13" t="s">
        <v>2458</v>
      </c>
      <c r="WX7" s="13" t="s">
        <v>1025</v>
      </c>
      <c r="WY7" s="13" t="s">
        <v>1962</v>
      </c>
      <c r="WZ7" s="13" t="s">
        <v>2003</v>
      </c>
      <c r="XA7" s="13" t="s">
        <v>2770</v>
      </c>
      <c r="XB7" s="13" t="s">
        <v>730</v>
      </c>
      <c r="XC7" s="13" t="s">
        <v>2749</v>
      </c>
      <c r="XD7" s="13" t="s">
        <v>847</v>
      </c>
      <c r="XE7" s="13" t="s">
        <v>58</v>
      </c>
      <c r="XF7" s="13" t="s">
        <v>247</v>
      </c>
      <c r="XG7" s="13" t="s">
        <v>1178</v>
      </c>
      <c r="XH7" s="13" t="s">
        <v>2388</v>
      </c>
      <c r="XI7" s="13" t="s">
        <v>1832</v>
      </c>
      <c r="XJ7" s="13" t="s">
        <v>2912</v>
      </c>
      <c r="XK7" s="13" t="s">
        <v>282</v>
      </c>
      <c r="XL7" s="13" t="s">
        <v>282</v>
      </c>
      <c r="XM7" s="13" t="s">
        <v>153</v>
      </c>
      <c r="XN7" s="13" t="s">
        <v>1705</v>
      </c>
      <c r="XO7" s="13" t="s">
        <v>1365</v>
      </c>
      <c r="XP7" s="13" t="s">
        <v>522</v>
      </c>
      <c r="XQ7" s="13" t="s">
        <v>2306</v>
      </c>
      <c r="XR7" s="13" t="s">
        <v>2206</v>
      </c>
      <c r="XS7" s="13" t="s">
        <v>518</v>
      </c>
      <c r="XT7" s="13" t="s">
        <v>1267</v>
      </c>
      <c r="XU7" s="13" t="s">
        <v>2340</v>
      </c>
      <c r="XV7" s="13" t="s">
        <v>1440</v>
      </c>
      <c r="XW7" s="13" t="s">
        <v>1246</v>
      </c>
      <c r="XX7" s="13" t="s">
        <v>2023</v>
      </c>
      <c r="XY7" s="13" t="s">
        <v>834</v>
      </c>
      <c r="XZ7" s="13" t="s">
        <v>1818</v>
      </c>
      <c r="YA7" s="13" t="s">
        <v>1544</v>
      </c>
      <c r="YB7" s="13" t="s">
        <v>2150</v>
      </c>
      <c r="YC7" s="13" t="s">
        <v>1520</v>
      </c>
      <c r="YD7" s="13" t="s">
        <v>3126</v>
      </c>
      <c r="YE7" s="13" t="s">
        <v>1841</v>
      </c>
      <c r="YF7" s="13" t="s">
        <v>1563</v>
      </c>
      <c r="YG7" s="13" t="s">
        <v>2174</v>
      </c>
      <c r="YH7" s="13" t="s">
        <v>868</v>
      </c>
      <c r="YI7" s="13" t="s">
        <v>1646</v>
      </c>
      <c r="YJ7" s="13" t="s">
        <v>2853</v>
      </c>
      <c r="YK7" s="13" t="s">
        <v>1233</v>
      </c>
      <c r="YL7" s="13" t="s">
        <v>208</v>
      </c>
      <c r="YM7" s="13" t="s">
        <v>2799</v>
      </c>
      <c r="YN7" s="13" t="s">
        <v>592</v>
      </c>
      <c r="YO7" s="13" t="s">
        <v>587</v>
      </c>
      <c r="YP7" s="13" t="s">
        <v>1326</v>
      </c>
      <c r="YQ7" s="13" t="s">
        <v>672</v>
      </c>
      <c r="YR7" s="13" t="s">
        <v>160</v>
      </c>
      <c r="YS7" s="13" t="s">
        <v>2462</v>
      </c>
      <c r="YT7" s="13" t="s">
        <v>3126</v>
      </c>
      <c r="YU7" s="13" t="s">
        <v>468</v>
      </c>
      <c r="YV7" s="13" t="s">
        <v>2831</v>
      </c>
      <c r="YW7" s="13" t="s">
        <v>648</v>
      </c>
      <c r="YX7" s="13" t="s">
        <v>871</v>
      </c>
      <c r="YY7" s="13" t="s">
        <v>3126</v>
      </c>
      <c r="YZ7" s="13" t="s">
        <v>1433</v>
      </c>
      <c r="ZA7" s="13" t="s">
        <v>1769</v>
      </c>
      <c r="ZB7" s="13" t="s">
        <v>2728</v>
      </c>
      <c r="ZC7" s="13" t="s">
        <v>1402</v>
      </c>
      <c r="ZD7" s="13" t="s">
        <v>438</v>
      </c>
      <c r="ZE7" s="13" t="s">
        <v>1072</v>
      </c>
      <c r="ZF7" s="13" t="s">
        <v>454</v>
      </c>
      <c r="ZG7" s="13" t="s">
        <v>1690</v>
      </c>
      <c r="ZH7" s="13" t="s">
        <v>2694</v>
      </c>
      <c r="ZI7" s="13" t="s">
        <v>2551</v>
      </c>
      <c r="ZJ7" s="13" t="s">
        <v>2229</v>
      </c>
      <c r="ZK7" s="13" t="s">
        <v>1107</v>
      </c>
      <c r="ZL7" s="13" t="s">
        <v>306</v>
      </c>
      <c r="ZM7" s="13" t="s">
        <v>885</v>
      </c>
      <c r="ZN7" s="13" t="s">
        <v>2687</v>
      </c>
      <c r="ZO7" s="13" t="s">
        <v>1318</v>
      </c>
      <c r="ZP7" s="13" t="s">
        <v>2104</v>
      </c>
      <c r="ZQ7" s="13" t="s">
        <v>945</v>
      </c>
      <c r="ZR7" s="13" t="s">
        <v>1301</v>
      </c>
      <c r="ZS7" s="13" t="s">
        <v>908</v>
      </c>
      <c r="ZT7" s="13" t="s">
        <v>1443</v>
      </c>
      <c r="ZU7" s="13" t="s">
        <v>1447</v>
      </c>
      <c r="ZV7" s="13" t="s">
        <v>2760</v>
      </c>
      <c r="ZW7" s="13" t="s">
        <v>2955</v>
      </c>
      <c r="ZX7" s="13" t="s">
        <v>1084</v>
      </c>
      <c r="ZY7" s="13" t="s">
        <v>1405</v>
      </c>
      <c r="ZZ7" s="13" t="s">
        <v>951</v>
      </c>
      <c r="AAA7" s="13" t="s">
        <v>2118</v>
      </c>
      <c r="AAB7" s="13" t="s">
        <v>1606</v>
      </c>
      <c r="AAC7" s="13" t="s">
        <v>2020</v>
      </c>
      <c r="AAD7" s="13" t="s">
        <v>2257</v>
      </c>
      <c r="AAE7" s="13" t="s">
        <v>2749</v>
      </c>
      <c r="AAF7" s="13" t="s">
        <v>2352</v>
      </c>
      <c r="AAG7" s="13" t="s">
        <v>2638</v>
      </c>
      <c r="AAH7" s="13" t="s">
        <v>2028</v>
      </c>
      <c r="AAI7" s="13" t="s">
        <v>1278</v>
      </c>
      <c r="AAJ7" s="13" t="s">
        <v>2017</v>
      </c>
      <c r="AAK7" s="13" t="s">
        <v>1278</v>
      </c>
      <c r="AAL7" s="13" t="s">
        <v>2700</v>
      </c>
      <c r="AAM7" s="13" t="s">
        <v>818</v>
      </c>
      <c r="AAN7" s="13" t="s">
        <v>290</v>
      </c>
      <c r="AAO7" s="13" t="s">
        <v>193</v>
      </c>
      <c r="AAP7" s="13" t="s">
        <v>1635</v>
      </c>
      <c r="AAQ7" s="13" t="s">
        <v>2501</v>
      </c>
      <c r="AAR7" s="13" t="s">
        <v>976</v>
      </c>
      <c r="AAS7" s="13" t="s">
        <v>2434</v>
      </c>
      <c r="AAT7" s="13" t="s">
        <v>711</v>
      </c>
      <c r="AAU7" s="13" t="s">
        <v>1512</v>
      </c>
      <c r="AAV7" s="13" t="s">
        <v>2082</v>
      </c>
      <c r="AAW7" s="13" t="s">
        <v>615</v>
      </c>
      <c r="AAX7" s="13" t="s">
        <v>1705</v>
      </c>
      <c r="AAY7" s="13" t="s">
        <v>3126</v>
      </c>
      <c r="AAZ7" s="13" t="s">
        <v>2548</v>
      </c>
      <c r="ABA7" s="13" t="s">
        <v>229</v>
      </c>
      <c r="ABB7" s="13" t="s">
        <v>2096</v>
      </c>
      <c r="ABC7" s="13" t="s">
        <v>553</v>
      </c>
      <c r="ABD7" s="13" t="s">
        <v>1008</v>
      </c>
      <c r="ABE7" s="13" t="s">
        <v>1763</v>
      </c>
      <c r="ABF7" s="13" t="s">
        <v>1615</v>
      </c>
      <c r="ABG7" s="13" t="s">
        <v>328</v>
      </c>
      <c r="ABH7" s="13" t="s">
        <v>504</v>
      </c>
      <c r="ABI7" s="13" t="s">
        <v>1834</v>
      </c>
      <c r="ABJ7" s="13" t="s">
        <v>1483</v>
      </c>
      <c r="ABK7" s="13" t="s">
        <v>2666</v>
      </c>
      <c r="ABL7" s="13" t="s">
        <v>1453</v>
      </c>
      <c r="ABM7" s="13" t="s">
        <v>242</v>
      </c>
      <c r="ABN7" s="13" t="s">
        <v>1221</v>
      </c>
      <c r="ABO7" s="13" t="s">
        <v>2476</v>
      </c>
      <c r="ABP7" s="13" t="s">
        <v>2592</v>
      </c>
      <c r="ABQ7" s="13" t="s">
        <v>1243</v>
      </c>
      <c r="ABR7" s="13" t="s">
        <v>941</v>
      </c>
      <c r="ABS7" s="13" t="s">
        <v>1199</v>
      </c>
      <c r="ABT7" s="13" t="s">
        <v>2344</v>
      </c>
      <c r="ABU7" s="13" t="s">
        <v>2241</v>
      </c>
      <c r="ABV7" s="13" t="s">
        <v>511</v>
      </c>
      <c r="ABW7" s="13" t="s">
        <v>2454</v>
      </c>
      <c r="ABX7" s="13" t="s">
        <v>362</v>
      </c>
      <c r="ABY7" s="13" t="s">
        <v>609</v>
      </c>
      <c r="ABZ7" s="13" t="s">
        <v>1492</v>
      </c>
      <c r="ACA7" s="13" t="s">
        <v>945</v>
      </c>
      <c r="ACB7" s="13" t="s">
        <v>1935</v>
      </c>
      <c r="ACC7" s="13" t="s">
        <v>3126</v>
      </c>
      <c r="ACD7" s="13" t="s">
        <v>2848</v>
      </c>
      <c r="ACE7" s="13" t="s">
        <v>1551</v>
      </c>
      <c r="ACF7" s="13" t="s">
        <v>222</v>
      </c>
      <c r="ACG7" s="13" t="s">
        <v>2483</v>
      </c>
      <c r="ACH7" s="13" t="s">
        <v>2102</v>
      </c>
      <c r="ACI7" s="13" t="s">
        <v>1095</v>
      </c>
      <c r="ACJ7" s="13" t="s">
        <v>2026</v>
      </c>
      <c r="ACK7" s="13" t="s">
        <v>2787</v>
      </c>
      <c r="ACL7" s="13" t="s">
        <v>2801</v>
      </c>
      <c r="ACM7" s="13" t="s">
        <v>2129</v>
      </c>
      <c r="ACN7" s="13" t="s">
        <v>2356</v>
      </c>
      <c r="ACO7" s="13" t="s">
        <v>3126</v>
      </c>
      <c r="ACP7" s="13" t="s">
        <v>2480</v>
      </c>
      <c r="ACQ7" s="13" t="s">
        <v>2422</v>
      </c>
      <c r="ACR7" s="13" t="s">
        <v>2154</v>
      </c>
      <c r="ACS7" s="13" t="s">
        <v>350</v>
      </c>
      <c r="ACT7" s="13" t="s">
        <v>776</v>
      </c>
      <c r="ACU7" s="13" t="s">
        <v>698</v>
      </c>
      <c r="ACV7" s="13" t="s">
        <v>42</v>
      </c>
      <c r="ACW7" s="13" t="s">
        <v>1023</v>
      </c>
      <c r="ACX7" s="13" t="s">
        <v>2532</v>
      </c>
      <c r="ACY7" s="13" t="s">
        <v>394</v>
      </c>
      <c r="ACZ7" s="13" t="s">
        <v>2284</v>
      </c>
      <c r="ADA7" s="13" t="s">
        <v>2919</v>
      </c>
      <c r="ADB7" s="13" t="s">
        <v>1274</v>
      </c>
      <c r="ADC7" s="13" t="s">
        <v>1162</v>
      </c>
      <c r="ADD7" s="13" t="s">
        <v>2743</v>
      </c>
      <c r="ADE7" s="13" t="s">
        <v>1882</v>
      </c>
      <c r="ADF7" s="13" t="s">
        <v>2216</v>
      </c>
      <c r="ADG7" s="13" t="s">
        <v>1210</v>
      </c>
      <c r="ADH7" s="13" t="s">
        <v>1038</v>
      </c>
      <c r="ADI7" s="13" t="s">
        <v>2099</v>
      </c>
      <c r="ADJ7" s="13" t="s">
        <v>821</v>
      </c>
      <c r="ADK7" s="13" t="s">
        <v>715</v>
      </c>
      <c r="ADL7" s="13" t="s">
        <v>1480</v>
      </c>
      <c r="ADM7" s="13" t="s">
        <v>2957</v>
      </c>
      <c r="ADN7" s="13" t="s">
        <v>2354</v>
      </c>
      <c r="ADO7" s="13" t="s">
        <v>515</v>
      </c>
      <c r="ADP7" s="13" t="s">
        <v>3126</v>
      </c>
      <c r="ADQ7" s="13" t="s">
        <v>3126</v>
      </c>
      <c r="ADR7" s="13" t="s">
        <v>574</v>
      </c>
      <c r="ADS7" s="13" t="s">
        <v>814</v>
      </c>
      <c r="ADT7" s="13" t="s">
        <v>2434</v>
      </c>
      <c r="ADU7" s="13" t="s">
        <v>464</v>
      </c>
      <c r="ADV7" s="13" t="s">
        <v>261</v>
      </c>
      <c r="ADW7" s="13" t="s">
        <v>1569</v>
      </c>
      <c r="ADX7" s="13" t="s">
        <v>565</v>
      </c>
      <c r="ADY7" s="13" t="s">
        <v>1618</v>
      </c>
      <c r="ADZ7" s="13" t="s">
        <v>1854</v>
      </c>
      <c r="AEA7" s="13" t="s">
        <v>203</v>
      </c>
      <c r="AEB7" s="13" t="s">
        <v>722</v>
      </c>
      <c r="AEC7" s="13" t="s">
        <v>2378</v>
      </c>
      <c r="AED7" s="13" t="s">
        <v>2493</v>
      </c>
      <c r="AEE7" s="13" t="s">
        <v>1861</v>
      </c>
      <c r="AEF7" s="13" t="s">
        <v>2427</v>
      </c>
      <c r="AEG7" s="13" t="s">
        <v>2060</v>
      </c>
      <c r="AEH7" s="13" t="s">
        <v>1470</v>
      </c>
      <c r="AEI7" s="13" t="s">
        <v>253</v>
      </c>
      <c r="AEJ7" s="13" t="s">
        <v>831</v>
      </c>
      <c r="AEK7" s="13" t="s">
        <v>1868</v>
      </c>
      <c r="AEL7" s="13" t="s">
        <v>2303</v>
      </c>
      <c r="AEM7" s="13" t="s">
        <v>1383</v>
      </c>
      <c r="AEN7" s="13" t="s">
        <v>1285</v>
      </c>
      <c r="AEO7" s="13" t="s">
        <v>139</v>
      </c>
      <c r="AEP7" s="13" t="s">
        <v>768</v>
      </c>
      <c r="AEQ7" s="13" t="s">
        <v>172</v>
      </c>
      <c r="AER7" s="13" t="s">
        <v>811</v>
      </c>
      <c r="AES7" s="13" t="s">
        <v>1844</v>
      </c>
      <c r="AET7" s="13" t="s">
        <v>2218</v>
      </c>
      <c r="AEU7" s="13" t="s">
        <v>2809</v>
      </c>
      <c r="AEV7" s="13" t="s">
        <v>2386</v>
      </c>
      <c r="AEW7" s="13" t="s">
        <v>1032</v>
      </c>
      <c r="AEX7" s="13" t="s">
        <v>1943</v>
      </c>
      <c r="AEY7" s="13" t="s">
        <v>689</v>
      </c>
      <c r="AEZ7" s="13" t="s">
        <v>2259</v>
      </c>
      <c r="AFA7" s="13" t="s">
        <v>2929</v>
      </c>
      <c r="AFB7" s="13" t="s">
        <v>948</v>
      </c>
      <c r="AFC7" s="13" t="s">
        <v>1575</v>
      </c>
      <c r="AFD7" s="13" t="s">
        <v>989</v>
      </c>
      <c r="AFE7" s="13" t="s">
        <v>1157</v>
      </c>
      <c r="AFF7" s="13" t="s">
        <v>1572</v>
      </c>
      <c r="AFG7" s="13" t="s">
        <v>1456</v>
      </c>
      <c r="AFH7" s="13" t="s">
        <v>666</v>
      </c>
      <c r="AFI7" s="13" t="s">
        <v>1453</v>
      </c>
      <c r="AFJ7" s="13" t="s">
        <v>898</v>
      </c>
      <c r="AFK7" s="13" t="s">
        <v>1391</v>
      </c>
      <c r="AFL7" s="13" t="s">
        <v>1684</v>
      </c>
      <c r="AFM7" s="13" t="s">
        <v>882</v>
      </c>
      <c r="AFN7" s="13" t="s">
        <v>2887</v>
      </c>
      <c r="AFO7" s="13" t="s">
        <v>1014</v>
      </c>
      <c r="AFP7" s="13" t="s">
        <v>1540</v>
      </c>
      <c r="AFQ7" s="13" t="s">
        <v>2692</v>
      </c>
      <c r="AFR7" s="13" t="s">
        <v>911</v>
      </c>
      <c r="AFS7" s="13" t="s">
        <v>1651</v>
      </c>
      <c r="AFT7" s="13" t="s">
        <v>2185</v>
      </c>
      <c r="AFU7" s="13" t="s">
        <v>562</v>
      </c>
      <c r="AFV7" s="13" t="s">
        <v>969</v>
      </c>
      <c r="AFW7" s="13" t="s">
        <v>1112</v>
      </c>
      <c r="AFX7" s="13" t="s">
        <v>587</v>
      </c>
      <c r="AFY7" s="13" t="s">
        <v>2200</v>
      </c>
      <c r="AFZ7" s="13" t="s">
        <v>2833</v>
      </c>
      <c r="AGA7" s="13" t="s">
        <v>2518</v>
      </c>
      <c r="AGB7" s="13" t="s">
        <v>1267</v>
      </c>
      <c r="AGC7" s="13" t="s">
        <v>2656</v>
      </c>
      <c r="AGD7" s="13" t="s">
        <v>1249</v>
      </c>
      <c r="AGE7" s="13" t="s">
        <v>118</v>
      </c>
      <c r="AGF7" s="13" t="s">
        <v>2581</v>
      </c>
      <c r="AGG7" s="13" t="s">
        <v>332</v>
      </c>
      <c r="AGH7" s="13" t="s">
        <v>1057</v>
      </c>
      <c r="AGI7" s="13" t="s">
        <v>403</v>
      </c>
      <c r="AGJ7" s="13" t="s">
        <v>2406</v>
      </c>
      <c r="AGK7" s="13" t="s">
        <v>874</v>
      </c>
      <c r="AGL7" s="13" t="s">
        <v>2909</v>
      </c>
      <c r="AGM7" s="13" t="s">
        <v>3126</v>
      </c>
      <c r="AGN7" s="13" t="s">
        <v>1355</v>
      </c>
      <c r="AGO7" s="13" t="s">
        <v>1169</v>
      </c>
      <c r="AGP7" s="13" t="s">
        <v>130</v>
      </c>
      <c r="AGQ7" s="13" t="s">
        <v>1125</v>
      </c>
      <c r="AGR7" s="13" t="s">
        <v>451</v>
      </c>
      <c r="AGS7" s="13" t="s">
        <v>2762</v>
      </c>
      <c r="AGT7" s="13" t="s">
        <v>2839</v>
      </c>
      <c r="AGU7" s="13" t="s">
        <v>22</v>
      </c>
      <c r="AGV7" s="13" t="s">
        <v>2603</v>
      </c>
      <c r="AGW7" s="13" t="s">
        <v>1310</v>
      </c>
      <c r="AGX7" s="13" t="s">
        <v>375</v>
      </c>
      <c r="AGY7" s="13" t="s">
        <v>2624</v>
      </c>
      <c r="AGZ7" s="13" t="s">
        <v>1028</v>
      </c>
      <c r="AHA7" s="13" t="s">
        <v>1473</v>
      </c>
      <c r="AHB7" s="13" t="s">
        <v>862</v>
      </c>
      <c r="AHC7" s="13" t="s">
        <v>1383</v>
      </c>
      <c r="AHD7" s="13" t="s">
        <v>1507</v>
      </c>
      <c r="AHE7" s="13" t="s">
        <v>865</v>
      </c>
      <c r="AHF7" s="13" t="s">
        <v>2525</v>
      </c>
      <c r="AHG7" s="13" t="s">
        <v>2747</v>
      </c>
      <c r="AHH7" s="13" t="s">
        <v>1612</v>
      </c>
      <c r="AHI7" s="13" t="s">
        <v>3126</v>
      </c>
      <c r="AHJ7" s="13" t="s">
        <v>1673</v>
      </c>
      <c r="AHK7" s="13" t="s">
        <v>2707</v>
      </c>
      <c r="AHL7" s="13" t="s">
        <v>198</v>
      </c>
      <c r="AHM7" s="13" t="s">
        <v>2337</v>
      </c>
      <c r="AHN7" s="13" t="s">
        <v>2427</v>
      </c>
      <c r="AHO7" s="13" t="s">
        <v>1213</v>
      </c>
      <c r="AHP7" s="13" t="s">
        <v>1912</v>
      </c>
      <c r="AHQ7" s="13" t="s">
        <v>1261</v>
      </c>
      <c r="AHR7" s="13" t="s">
        <v>1090</v>
      </c>
      <c r="AHS7" s="13" t="s">
        <v>759</v>
      </c>
      <c r="AHT7" s="13" t="s">
        <v>1791</v>
      </c>
      <c r="AHU7" s="13" t="s">
        <v>1210</v>
      </c>
      <c r="AHV7" s="13" t="s">
        <v>3126</v>
      </c>
      <c r="AHW7" s="13" t="s">
        <v>2239</v>
      </c>
      <c r="AHX7" s="13" t="s">
        <v>2284</v>
      </c>
      <c r="AHY7" s="13" t="s">
        <v>1229</v>
      </c>
      <c r="AHZ7" s="13" t="s">
        <v>571</v>
      </c>
      <c r="AIA7" s="13" t="s">
        <v>422</v>
      </c>
      <c r="AIB7" s="13" t="s">
        <v>1429</v>
      </c>
      <c r="AIC7" s="13" t="s">
        <v>2115</v>
      </c>
      <c r="AID7" s="13" t="s">
        <v>1225</v>
      </c>
      <c r="AIE7" s="13" t="s">
        <v>2715</v>
      </c>
      <c r="AIF7" s="13" t="s">
        <v>2846</v>
      </c>
      <c r="AIG7" s="13" t="s">
        <v>1463</v>
      </c>
      <c r="AIH7" s="13" t="s">
        <v>2145</v>
      </c>
      <c r="AII7" s="13" t="s">
        <v>998</v>
      </c>
      <c r="AIJ7" s="13" t="s">
        <v>2643</v>
      </c>
      <c r="AIK7" s="13" t="s">
        <v>1966</v>
      </c>
      <c r="AIL7" s="13" t="s">
        <v>2737</v>
      </c>
      <c r="AIM7" s="13" t="s">
        <v>2876</v>
      </c>
      <c r="AIN7" s="13" t="s">
        <v>2208</v>
      </c>
      <c r="AIO7" s="13" t="s">
        <v>1463</v>
      </c>
      <c r="AIP7" s="13" t="s">
        <v>1463</v>
      </c>
      <c r="AIQ7" s="13" t="s">
        <v>1196</v>
      </c>
      <c r="AIR7" s="13" t="s">
        <v>1766</v>
      </c>
      <c r="AIS7" s="13" t="s">
        <v>793</v>
      </c>
      <c r="AIT7" s="13" t="s">
        <v>1249</v>
      </c>
      <c r="AIU7" s="13" t="s">
        <v>742</v>
      </c>
      <c r="AIV7" s="13" t="s">
        <v>2916</v>
      </c>
      <c r="AIW7" s="13" t="s">
        <v>1324</v>
      </c>
      <c r="AIX7" s="13" t="s">
        <v>2683</v>
      </c>
      <c r="AIY7" s="13" t="s">
        <v>1152</v>
      </c>
      <c r="AIZ7" s="13" t="s">
        <v>2157</v>
      </c>
      <c r="AJA7" s="13" t="s">
        <v>2789</v>
      </c>
      <c r="AJB7" s="13" t="s">
        <v>831</v>
      </c>
      <c r="AJC7" s="13" t="s">
        <v>1032</v>
      </c>
      <c r="AJD7" s="13" t="s">
        <v>477</v>
      </c>
      <c r="AJE7" s="13" t="s">
        <v>1326</v>
      </c>
      <c r="AJF7" s="13" t="s">
        <v>1694</v>
      </c>
      <c r="AJG7" s="13" t="s">
        <v>1624</v>
      </c>
      <c r="AJH7" s="13" t="s">
        <v>2772</v>
      </c>
      <c r="AJI7" s="13" t="s">
        <v>1950</v>
      </c>
      <c r="AJJ7" s="13" t="s">
        <v>1270</v>
      </c>
      <c r="AJK7" s="13" t="s">
        <v>1708</v>
      </c>
      <c r="AJL7" s="13" t="s">
        <v>1723</v>
      </c>
      <c r="AJM7" s="13" t="s">
        <v>844</v>
      </c>
      <c r="AJN7" s="13" t="s">
        <v>655</v>
      </c>
      <c r="AJO7" s="13" t="s">
        <v>711</v>
      </c>
      <c r="AJP7" s="13" t="s">
        <v>2452</v>
      </c>
      <c r="AJQ7" s="13" t="s">
        <v>3126</v>
      </c>
      <c r="AJR7" s="13" t="s">
        <v>379</v>
      </c>
      <c r="AJS7" s="13" t="s">
        <v>2294</v>
      </c>
      <c r="AJT7" s="13" t="s">
        <v>2842</v>
      </c>
      <c r="AJU7" s="13" t="s">
        <v>1886</v>
      </c>
      <c r="AJV7" s="13" t="s">
        <v>703</v>
      </c>
      <c r="AJW7" s="13" t="s">
        <v>749</v>
      </c>
      <c r="AJX7" s="13" t="s">
        <v>320</v>
      </c>
      <c r="AJY7" s="13" t="s">
        <v>2645</v>
      </c>
      <c r="AJZ7" s="13" t="s">
        <v>1828</v>
      </c>
      <c r="AKA7" s="13" t="s">
        <v>78</v>
      </c>
      <c r="AKB7" s="13" t="s">
        <v>1049</v>
      </c>
      <c r="AKC7" s="13" t="s">
        <v>1202</v>
      </c>
      <c r="AKD7" s="13" t="s">
        <v>1956</v>
      </c>
      <c r="AKE7" s="13" t="s">
        <v>507</v>
      </c>
      <c r="AKF7" s="13" t="s">
        <v>639</v>
      </c>
      <c r="AKG7" s="13" t="s">
        <v>692</v>
      </c>
      <c r="AKH7" s="13" t="s">
        <v>1196</v>
      </c>
      <c r="AKI7" s="13" t="s">
        <v>2073</v>
      </c>
      <c r="AKJ7" s="13" t="s">
        <v>2439</v>
      </c>
      <c r="AKK7" s="13" t="s">
        <v>2724</v>
      </c>
      <c r="AKL7" s="13" t="s">
        <v>370</v>
      </c>
      <c r="AKM7" s="13" t="s">
        <v>2571</v>
      </c>
      <c r="AKN7" s="13" t="s">
        <v>565</v>
      </c>
      <c r="AKO7" s="13" t="s">
        <v>2112</v>
      </c>
      <c r="AKP7" s="13" t="s">
        <v>324</v>
      </c>
      <c r="AKQ7" s="13" t="s">
        <v>1189</v>
      </c>
      <c r="AKR7" s="13" t="s">
        <v>2325</v>
      </c>
      <c r="AKS7" s="13" t="s">
        <v>177</v>
      </c>
      <c r="AKT7" s="13" t="s">
        <v>707</v>
      </c>
      <c r="AKU7" s="13" t="s">
        <v>2383</v>
      </c>
      <c r="AKV7" s="13" t="s">
        <v>1394</v>
      </c>
      <c r="AKW7" s="13" t="s">
        <v>526</v>
      </c>
      <c r="AKX7" s="13" t="s">
        <v>3126</v>
      </c>
      <c r="AKY7" s="13" t="s">
        <v>2609</v>
      </c>
      <c r="AKZ7" s="13" t="s">
        <v>1925</v>
      </c>
      <c r="ALA7" s="13" t="s">
        <v>1414</v>
      </c>
      <c r="ALB7" s="13" t="s">
        <v>2601</v>
      </c>
      <c r="ALC7" s="13" t="s">
        <v>1528</v>
      </c>
      <c r="ALD7" s="13" t="s">
        <v>1330</v>
      </c>
      <c r="ALE7" s="13" t="s">
        <v>2643</v>
      </c>
      <c r="ALF7" s="13" t="s">
        <v>929</v>
      </c>
      <c r="ALG7" s="13" t="s">
        <v>3126</v>
      </c>
      <c r="ALH7" s="13" t="s">
        <v>481</v>
      </c>
      <c r="ALI7" s="13" t="s">
        <v>1537</v>
      </c>
      <c r="ALJ7" s="13" t="s">
        <v>2618</v>
      </c>
      <c r="ALK7" s="13" t="s">
        <v>2064</v>
      </c>
      <c r="ALL7" s="13" t="s">
        <v>1989</v>
      </c>
      <c r="ALM7" s="13" t="s">
        <v>689</v>
      </c>
      <c r="ALN7" s="13" t="s">
        <v>2178</v>
      </c>
      <c r="ALO7" s="13" t="s">
        <v>2573</v>
      </c>
      <c r="ALP7" s="13" t="s">
        <v>2318</v>
      </c>
      <c r="ALQ7" s="13" t="s">
        <v>707</v>
      </c>
      <c r="ALR7" s="13" t="s">
        <v>324</v>
      </c>
      <c r="ALS7" s="13" t="s">
        <v>1149</v>
      </c>
      <c r="ALT7" s="13" t="s">
        <v>1407</v>
      </c>
      <c r="ALU7" s="13" t="s">
        <v>1304</v>
      </c>
      <c r="ALV7" s="13" t="s">
        <v>1288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D5046-9418-4E17-9213-6C5313CB02E1}">
  <dimension ref="A1:V18"/>
  <sheetViews>
    <sheetView zoomScale="85" workbookViewId="0">
      <selection activeCell="S13" sqref="S13"/>
    </sheetView>
  </sheetViews>
  <sheetFormatPr defaultRowHeight="15" x14ac:dyDescent="0.25"/>
  <cols>
    <col min="1" max="1" width="17.28515625" bestFit="1" customWidth="1"/>
    <col min="2" max="2" width="16.28515625" bestFit="1" customWidth="1"/>
    <col min="3" max="3" width="12.7109375" bestFit="1" customWidth="1"/>
    <col min="4" max="4" width="12.28515625" customWidth="1"/>
    <col min="5" max="5" width="14.28515625" bestFit="1" customWidth="1"/>
    <col min="7" max="7" width="13.85546875" bestFit="1" customWidth="1"/>
    <col min="8" max="8" width="16.28515625" bestFit="1" customWidth="1"/>
    <col min="11" max="11" width="10.5703125" bestFit="1" customWidth="1"/>
    <col min="12" max="12" width="23.140625" bestFit="1" customWidth="1"/>
    <col min="13" max="13" width="48.7109375" customWidth="1"/>
    <col min="14" max="14" width="25.28515625" customWidth="1"/>
    <col min="15" max="15" width="9.85546875" bestFit="1" customWidth="1"/>
    <col min="16" max="16" width="15.28515625" customWidth="1"/>
    <col min="17" max="17" width="17.28515625" bestFit="1" customWidth="1"/>
    <col min="18" max="18" width="11.5703125" customWidth="1"/>
    <col min="19" max="19" width="12.28515625" bestFit="1" customWidth="1"/>
    <col min="22" max="22" width="20.85546875" customWidth="1"/>
  </cols>
  <sheetData>
    <row r="1" spans="1:22" x14ac:dyDescent="0.25">
      <c r="A1" s="44" t="s">
        <v>3155</v>
      </c>
      <c r="B1" s="45"/>
      <c r="C1" s="45"/>
      <c r="D1" s="46"/>
      <c r="G1" s="44" t="s">
        <v>3170</v>
      </c>
      <c r="H1" s="46"/>
      <c r="L1" s="47" t="s">
        <v>3179</v>
      </c>
      <c r="M1" s="47"/>
      <c r="O1" s="48" t="s">
        <v>3203</v>
      </c>
      <c r="P1" s="48"/>
      <c r="Q1" s="48"/>
      <c r="R1" s="48"/>
      <c r="S1" s="48"/>
      <c r="T1" s="48"/>
      <c r="V1" t="s">
        <v>3214</v>
      </c>
    </row>
    <row r="2" spans="1:22" ht="35.450000000000003" customHeight="1" x14ac:dyDescent="0.25">
      <c r="A2" s="13" t="s">
        <v>3156</v>
      </c>
      <c r="B2" s="21">
        <v>631642062.63999927</v>
      </c>
      <c r="C2" s="13" t="s">
        <v>3157</v>
      </c>
      <c r="D2" s="13">
        <v>631642062.63999927</v>
      </c>
      <c r="G2" s="13" t="s">
        <v>3171</v>
      </c>
      <c r="H2" s="22"/>
      <c r="L2" s="20" t="s">
        <v>3180</v>
      </c>
      <c r="M2" s="13" t="s">
        <v>3181</v>
      </c>
      <c r="O2" s="13" t="s">
        <v>3197</v>
      </c>
      <c r="P2" s="13" t="s">
        <v>3195</v>
      </c>
      <c r="Q2" s="13" t="s">
        <v>3196</v>
      </c>
      <c r="R2" s="13" t="s">
        <v>3200</v>
      </c>
      <c r="S2" s="13" t="s">
        <v>3191</v>
      </c>
      <c r="T2" s="13" t="s">
        <v>3192</v>
      </c>
      <c r="V2" t="str" cm="1">
        <f t="array" ref="V2:V6">_xlfn.UNIQUE('Raw Data'!I:I)</f>
        <v>Segment</v>
      </c>
    </row>
    <row r="3" spans="1:22" x14ac:dyDescent="0.25">
      <c r="A3" s="13" t="s">
        <v>3158</v>
      </c>
      <c r="B3" s="21">
        <v>626007.99072348792</v>
      </c>
      <c r="C3" s="13" t="s">
        <v>3160</v>
      </c>
      <c r="D3" s="13"/>
      <c r="G3" s="13" t="s">
        <v>3173</v>
      </c>
      <c r="H3" s="23">
        <f ca="1">TODAY()</f>
        <v>46138</v>
      </c>
      <c r="L3" s="20" t="s">
        <v>3182</v>
      </c>
      <c r="M3" s="13" t="s">
        <v>3181</v>
      </c>
      <c r="O3" s="13">
        <v>1</v>
      </c>
      <c r="P3" s="13">
        <v>34</v>
      </c>
      <c r="Q3" s="13">
        <v>2</v>
      </c>
      <c r="R3" s="13" t="str">
        <f>IF(AND(P3&gt;30,Q3&gt;5),"LAY OFF","Retain")</f>
        <v>Retain</v>
      </c>
      <c r="S3" s="13" t="b">
        <f>AND(P3&gt;30,Q3&gt;5)</f>
        <v>0</v>
      </c>
      <c r="T3" s="13" t="b">
        <f>OR(P3&gt;30,Q3&gt;5)</f>
        <v>1</v>
      </c>
      <c r="V3" t="str">
        <v>Consumer</v>
      </c>
    </row>
    <row r="4" spans="1:22" x14ac:dyDescent="0.25">
      <c r="A4" s="13" t="s">
        <v>3159</v>
      </c>
      <c r="B4" s="13">
        <v>1009</v>
      </c>
      <c r="C4" s="13" t="s">
        <v>3161</v>
      </c>
      <c r="D4" s="13"/>
      <c r="G4" s="13" t="s">
        <v>3172</v>
      </c>
      <c r="H4" s="13">
        <f ca="1">DAY(H3)</f>
        <v>26</v>
      </c>
      <c r="L4" s="20" t="s">
        <v>3183</v>
      </c>
      <c r="M4" s="13" t="s">
        <v>3184</v>
      </c>
      <c r="O4" s="13">
        <v>2</v>
      </c>
      <c r="P4" s="13">
        <v>23</v>
      </c>
      <c r="Q4" s="13">
        <v>4</v>
      </c>
      <c r="R4" s="13" t="str">
        <f t="shared" ref="R4:R8" si="0">IF(AND(P4&gt;30,Q4&gt;5),"LAY OFF","Retain")</f>
        <v>Retain</v>
      </c>
      <c r="S4" s="13" t="b">
        <f t="shared" ref="S4:S8" si="1">AND(P4&gt;30,Q4&gt;5)</f>
        <v>0</v>
      </c>
      <c r="T4" s="13" t="b">
        <f t="shared" ref="T4:T8" si="2">OR(P4&gt;30,Q4&gt;5)</f>
        <v>0</v>
      </c>
      <c r="V4" t="str">
        <v>Corporate</v>
      </c>
    </row>
    <row r="5" spans="1:22" x14ac:dyDescent="0.25">
      <c r="A5" s="13" t="s">
        <v>3162</v>
      </c>
      <c r="B5" s="21">
        <v>7037782.5899999999</v>
      </c>
      <c r="C5" s="13" t="s">
        <v>3163</v>
      </c>
      <c r="D5" s="13"/>
      <c r="G5" s="13" t="s">
        <v>3174</v>
      </c>
      <c r="H5" s="13">
        <f ca="1">MONTH(H3)</f>
        <v>4</v>
      </c>
      <c r="L5" s="20" t="s">
        <v>3185</v>
      </c>
      <c r="M5" s="13" t="s">
        <v>3184</v>
      </c>
      <c r="O5" s="13">
        <v>3</v>
      </c>
      <c r="P5" s="13">
        <v>56</v>
      </c>
      <c r="Q5" s="13">
        <v>10</v>
      </c>
      <c r="R5" s="13" t="str">
        <f t="shared" si="0"/>
        <v>LAY OFF</v>
      </c>
      <c r="S5" s="13" t="b">
        <f t="shared" si="1"/>
        <v>1</v>
      </c>
      <c r="T5" s="13" t="b">
        <f t="shared" si="2"/>
        <v>1</v>
      </c>
      <c r="V5" t="str">
        <v>Home Office</v>
      </c>
    </row>
    <row r="6" spans="1:22" x14ac:dyDescent="0.25">
      <c r="A6" s="13" t="s">
        <v>3165</v>
      </c>
      <c r="B6" s="21">
        <v>433.34</v>
      </c>
      <c r="C6" s="13" t="s">
        <v>3164</v>
      </c>
      <c r="D6" s="13"/>
      <c r="G6" s="13" t="s">
        <v>3175</v>
      </c>
      <c r="H6" s="13">
        <f ca="1">WEEKNUM(H3)</f>
        <v>18</v>
      </c>
      <c r="K6" s="8"/>
      <c r="L6" s="20" t="s">
        <v>3186</v>
      </c>
      <c r="M6" s="13" t="s">
        <v>3187</v>
      </c>
      <c r="O6" s="13">
        <v>4</v>
      </c>
      <c r="P6" s="13">
        <v>31</v>
      </c>
      <c r="Q6" s="13">
        <v>7</v>
      </c>
      <c r="R6" s="13" t="str">
        <f t="shared" si="0"/>
        <v>LAY OFF</v>
      </c>
      <c r="S6" s="13" t="b">
        <f t="shared" si="1"/>
        <v>1</v>
      </c>
      <c r="T6" s="13" t="b">
        <f t="shared" si="2"/>
        <v>1</v>
      </c>
      <c r="V6">
        <v>0</v>
      </c>
    </row>
    <row r="7" spans="1:22" x14ac:dyDescent="0.25">
      <c r="A7" s="13" t="s">
        <v>3166</v>
      </c>
      <c r="B7" s="13"/>
      <c r="C7" s="13"/>
      <c r="D7" s="13"/>
      <c r="G7" s="13" t="s">
        <v>3176</v>
      </c>
      <c r="H7" s="13"/>
      <c r="L7" s="20" t="s">
        <v>3188</v>
      </c>
      <c r="M7" s="13" t="s">
        <v>3189</v>
      </c>
      <c r="O7" s="13">
        <v>5</v>
      </c>
      <c r="P7" s="13">
        <v>47</v>
      </c>
      <c r="Q7" s="13">
        <v>12</v>
      </c>
      <c r="R7" s="13" t="str">
        <f t="shared" si="0"/>
        <v>LAY OFF</v>
      </c>
      <c r="S7" s="13" t="b">
        <f t="shared" si="1"/>
        <v>1</v>
      </c>
      <c r="T7" s="13" t="b">
        <f t="shared" si="2"/>
        <v>1</v>
      </c>
    </row>
    <row r="8" spans="1:22" x14ac:dyDescent="0.25">
      <c r="A8" s="13" t="s">
        <v>3167</v>
      </c>
      <c r="B8" s="13"/>
      <c r="C8" s="13"/>
      <c r="D8" s="13"/>
      <c r="G8" s="13" t="s">
        <v>3177</v>
      </c>
      <c r="H8" s="13" t="str">
        <f ca="1">TEXT(H3,"mmmm")</f>
        <v>April</v>
      </c>
      <c r="L8" s="20" t="s">
        <v>3191</v>
      </c>
      <c r="M8" s="13" t="s">
        <v>3193</v>
      </c>
      <c r="O8" s="13">
        <v>6</v>
      </c>
      <c r="P8" s="13">
        <v>20</v>
      </c>
      <c r="Q8" s="13">
        <v>2</v>
      </c>
      <c r="R8" s="13" t="str">
        <f t="shared" si="0"/>
        <v>Retain</v>
      </c>
      <c r="S8" s="13" t="b">
        <f t="shared" si="1"/>
        <v>0</v>
      </c>
      <c r="T8" s="13" t="b">
        <f t="shared" si="2"/>
        <v>0</v>
      </c>
    </row>
    <row r="9" spans="1:22" x14ac:dyDescent="0.25">
      <c r="A9" s="13" t="s">
        <v>3168</v>
      </c>
      <c r="B9" s="13"/>
      <c r="C9" s="13"/>
      <c r="D9" s="13"/>
      <c r="L9" s="20" t="s">
        <v>3192</v>
      </c>
      <c r="M9" s="13" t="s">
        <v>3194</v>
      </c>
    </row>
    <row r="10" spans="1:22" x14ac:dyDescent="0.25">
      <c r="A10" s="13" t="s">
        <v>3169</v>
      </c>
      <c r="B10" s="13"/>
      <c r="C10" s="13"/>
      <c r="D10" s="13"/>
    </row>
    <row r="11" spans="1:22" x14ac:dyDescent="0.25">
      <c r="P11" s="49" t="s">
        <v>3205</v>
      </c>
      <c r="Q11" s="49"/>
      <c r="R11" s="49"/>
      <c r="S11" s="13"/>
    </row>
    <row r="12" spans="1:22" x14ac:dyDescent="0.25">
      <c r="M12" s="26" t="s">
        <v>3198</v>
      </c>
      <c r="N12" t="s">
        <v>3201</v>
      </c>
      <c r="P12" s="13">
        <v>1</v>
      </c>
      <c r="Q12" s="13">
        <v>2</v>
      </c>
      <c r="R12" s="13">
        <f>P12/Q12</f>
        <v>0.5</v>
      </c>
      <c r="S12" s="13">
        <f>IFERROR(Q12/R12,0)</f>
        <v>4</v>
      </c>
    </row>
    <row r="13" spans="1:22" ht="21" customHeight="1" x14ac:dyDescent="0.25">
      <c r="A13" s="43" t="s">
        <v>3206</v>
      </c>
      <c r="B13" s="43"/>
      <c r="C13" s="43"/>
      <c r="D13" s="43"/>
      <c r="G13" t="s">
        <v>3208</v>
      </c>
      <c r="H13" s="27">
        <f>SUMIF('Raw Data'!O:O,"&gt;10",'Raw Data'!S:S)</f>
        <v>454832819.07999992</v>
      </c>
      <c r="N13" t="s">
        <v>3199</v>
      </c>
      <c r="P13" s="13">
        <v>2</v>
      </c>
      <c r="Q13" s="13" t="s">
        <v>3204</v>
      </c>
      <c r="R13" s="13" t="e">
        <f t="shared" ref="R13:R18" si="3">P13/Q13</f>
        <v>#VALUE!</v>
      </c>
      <c r="S13" s="13">
        <f t="shared" ref="S13:S18" si="4">IFERROR(Q13/R13,0)</f>
        <v>0</v>
      </c>
    </row>
    <row r="14" spans="1:22" x14ac:dyDescent="0.25">
      <c r="A14" t="s">
        <v>8</v>
      </c>
      <c r="B14" t="s">
        <v>3207</v>
      </c>
      <c r="C14" t="s">
        <v>3209</v>
      </c>
      <c r="D14" t="s">
        <v>3210</v>
      </c>
      <c r="E14" t="s">
        <v>3211</v>
      </c>
    </row>
    <row r="15" spans="1:22" x14ac:dyDescent="0.25">
      <c r="A15" s="25" t="s">
        <v>25</v>
      </c>
      <c r="B15" s="27">
        <f>SUMIF('Raw Data'!J:J,FUNCTIONS!A15,'Raw Data'!S:S)</f>
        <v>158175117.25999999</v>
      </c>
      <c r="C15" s="27">
        <f>AVERAGEIF('Raw Data'!J:J,FUNCTIONS!A15,'Raw Data'!S:S)</f>
        <v>625198.09193675884</v>
      </c>
      <c r="D15">
        <f>COUNTIF('Raw Data'!J:J,FUNCTIONS!A15)</f>
        <v>253</v>
      </c>
      <c r="E15" s="27">
        <f>_xlfn.MAXIFS('Raw Data'!S:S,'Raw Data'!J:J,FUNCTIONS!A15)</f>
        <v>7037782.5899999999</v>
      </c>
      <c r="P15" s="13">
        <v>3</v>
      </c>
      <c r="Q15" s="13">
        <v>4</v>
      </c>
      <c r="R15" s="13">
        <f t="shared" si="3"/>
        <v>0.75</v>
      </c>
      <c r="S15" s="13">
        <f t="shared" si="4"/>
        <v>5.333333333333333</v>
      </c>
    </row>
    <row r="16" spans="1:22" x14ac:dyDescent="0.25">
      <c r="A16" t="s">
        <v>51</v>
      </c>
      <c r="B16" s="27">
        <f>SUMIF('Raw Data'!J:J,FUNCTIONS!A16,'Raw Data'!S:S)</f>
        <v>136638586.09999999</v>
      </c>
      <c r="C16" s="27">
        <f>AVERAGEIF('Raw Data'!J:J,FUNCTIONS!A16,'Raw Data'!S:S)</f>
        <v>574111.70630252094</v>
      </c>
      <c r="D16">
        <f>COUNTIF('Raw Data'!J:J,FUNCTIONS!A16)</f>
        <v>238</v>
      </c>
      <c r="E16" s="27">
        <f>_xlfn.MAXIFS('Raw Data'!S:S,'Raw Data'!J:J,FUNCTIONS!A16)</f>
        <v>6506960.6399999997</v>
      </c>
      <c r="P16" s="13">
        <v>4</v>
      </c>
      <c r="Q16" s="13">
        <v>6</v>
      </c>
      <c r="R16" s="13">
        <f t="shared" si="3"/>
        <v>0.66666666666666663</v>
      </c>
      <c r="S16" s="13">
        <f t="shared" si="4"/>
        <v>9</v>
      </c>
    </row>
    <row r="17" spans="16:19" x14ac:dyDescent="0.25">
      <c r="P17" s="13">
        <v>5</v>
      </c>
      <c r="Q17" s="13" t="s">
        <v>3017</v>
      </c>
      <c r="R17" s="13" t="e">
        <f t="shared" si="3"/>
        <v>#VALUE!</v>
      </c>
      <c r="S17" s="13">
        <f t="shared" si="4"/>
        <v>0</v>
      </c>
    </row>
    <row r="18" spans="16:19" x14ac:dyDescent="0.25">
      <c r="P18" s="13">
        <v>6</v>
      </c>
      <c r="Q18" s="13">
        <v>9</v>
      </c>
      <c r="R18" s="13">
        <f t="shared" si="3"/>
        <v>0.66666666666666663</v>
      </c>
      <c r="S18" s="13">
        <f t="shared" si="4"/>
        <v>13.5</v>
      </c>
    </row>
  </sheetData>
  <mergeCells count="6">
    <mergeCell ref="A13:D13"/>
    <mergeCell ref="A1:D1"/>
    <mergeCell ref="G1:H1"/>
    <mergeCell ref="L1:M1"/>
    <mergeCell ref="O1:T1"/>
    <mergeCell ref="P11:R1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86BEC-BED2-412C-95CB-551B7DDED978}">
  <dimension ref="A1:S31"/>
  <sheetViews>
    <sheetView workbookViewId="0">
      <selection activeCell="A22" sqref="A22:G31"/>
    </sheetView>
  </sheetViews>
  <sheetFormatPr defaultRowHeight="15" x14ac:dyDescent="0.25"/>
  <cols>
    <col min="1" max="1" width="17.28515625" style="12" bestFit="1" customWidth="1"/>
    <col min="2" max="2" width="21.7109375" style="12" customWidth="1"/>
    <col min="4" max="4" width="19" customWidth="1"/>
    <col min="7" max="7" width="15.7109375" customWidth="1"/>
    <col min="9" max="9" width="15" bestFit="1" customWidth="1"/>
    <col min="10" max="11" width="20.140625" customWidth="1"/>
    <col min="12" max="12" width="15.85546875" bestFit="1" customWidth="1"/>
    <col min="13" max="13" width="18.42578125" bestFit="1" customWidth="1"/>
    <col min="14" max="14" width="17.7109375" bestFit="1" customWidth="1"/>
    <col min="15" max="15" width="21.140625" bestFit="1" customWidth="1"/>
    <col min="16" max="16" width="19.42578125" customWidth="1"/>
    <col min="17" max="17" width="20.5703125" bestFit="1" customWidth="1"/>
    <col min="18" max="18" width="20" bestFit="1" customWidth="1"/>
  </cols>
  <sheetData>
    <row r="1" spans="1:19" x14ac:dyDescent="0.25">
      <c r="A1" s="12" t="s">
        <v>3128</v>
      </c>
      <c r="B1" s="12" t="s">
        <v>3129</v>
      </c>
      <c r="C1" s="15" t="s">
        <v>3130</v>
      </c>
      <c r="D1" s="13" t="s">
        <v>3131</v>
      </c>
      <c r="E1" s="13" t="s">
        <v>3132</v>
      </c>
      <c r="F1" s="13" t="s">
        <v>3133</v>
      </c>
      <c r="G1" s="13" t="s">
        <v>3134</v>
      </c>
      <c r="J1" s="20" t="s">
        <v>3135</v>
      </c>
      <c r="K1" s="14"/>
      <c r="N1" s="13" t="s">
        <v>13</v>
      </c>
      <c r="O1" s="13" t="s">
        <v>3142</v>
      </c>
      <c r="P1" s="13" t="s">
        <v>3139</v>
      </c>
      <c r="Q1" s="13" t="s">
        <v>3140</v>
      </c>
      <c r="R1" s="13" t="s">
        <v>3141</v>
      </c>
    </row>
    <row r="2" spans="1:19" x14ac:dyDescent="0.25">
      <c r="A2" s="12">
        <v>1</v>
      </c>
      <c r="B2" s="12">
        <v>6</v>
      </c>
      <c r="C2" s="15">
        <f>A2+B2</f>
        <v>7</v>
      </c>
      <c r="D2" s="13">
        <f>B2-A2</f>
        <v>5</v>
      </c>
      <c r="E2" s="13">
        <f>B2*A2</f>
        <v>6</v>
      </c>
      <c r="F2" s="13">
        <f>B2/A2</f>
        <v>6</v>
      </c>
      <c r="G2" s="13">
        <f>B2^2</f>
        <v>36</v>
      </c>
      <c r="J2" s="20" t="s">
        <v>3136</v>
      </c>
      <c r="K2" s="14"/>
      <c r="N2" s="13">
        <v>1</v>
      </c>
      <c r="O2" s="13">
        <v>9</v>
      </c>
      <c r="P2" s="13">
        <f>N2*M4</f>
        <v>40</v>
      </c>
      <c r="Q2" s="13">
        <f>$N2*$M$4</f>
        <v>40</v>
      </c>
      <c r="R2" s="13">
        <f>N2*$M4</f>
        <v>40</v>
      </c>
      <c r="S2">
        <f>O2*$M4</f>
        <v>360</v>
      </c>
    </row>
    <row r="3" spans="1:19" x14ac:dyDescent="0.25">
      <c r="A3" s="12">
        <v>2</v>
      </c>
      <c r="B3" s="12">
        <v>7</v>
      </c>
      <c r="C3" s="15">
        <f t="shared" ref="C3:C5" si="0">A3+B3</f>
        <v>9</v>
      </c>
      <c r="D3" s="13">
        <f t="shared" ref="D3:D19" si="1">B3-A3</f>
        <v>5</v>
      </c>
      <c r="E3" s="13">
        <f t="shared" ref="E3:E19" si="2">B3*A3</f>
        <v>14</v>
      </c>
      <c r="F3" s="13">
        <f t="shared" ref="F3:F19" si="3">B3/A3</f>
        <v>3.5</v>
      </c>
      <c r="G3" s="13">
        <f t="shared" ref="G3:G19" si="4">B3^2</f>
        <v>49</v>
      </c>
      <c r="J3" s="20" t="s">
        <v>3137</v>
      </c>
      <c r="K3" s="14"/>
      <c r="N3" s="13">
        <v>2</v>
      </c>
      <c r="O3" s="13">
        <v>10</v>
      </c>
      <c r="P3" s="13">
        <f t="shared" ref="P3:P9" si="5">N3*M5</f>
        <v>0</v>
      </c>
      <c r="Q3" s="13">
        <f t="shared" ref="Q3:Q9" si="6">N3*$M$4</f>
        <v>80</v>
      </c>
      <c r="R3" s="13">
        <f t="shared" ref="R3:R9" si="7">N3*$M5</f>
        <v>0</v>
      </c>
    </row>
    <row r="4" spans="1:19" x14ac:dyDescent="0.25">
      <c r="A4" s="12">
        <v>3</v>
      </c>
      <c r="B4" s="12">
        <v>8</v>
      </c>
      <c r="C4" s="15">
        <f t="shared" si="0"/>
        <v>11</v>
      </c>
      <c r="D4" s="13">
        <f t="shared" si="1"/>
        <v>5</v>
      </c>
      <c r="E4" s="13">
        <f t="shared" si="2"/>
        <v>24</v>
      </c>
      <c r="F4" s="13">
        <f t="shared" si="3"/>
        <v>2.6666666666666665</v>
      </c>
      <c r="G4" s="13">
        <f t="shared" si="4"/>
        <v>64</v>
      </c>
      <c r="L4" s="20" t="s">
        <v>3138</v>
      </c>
      <c r="M4" s="20">
        <v>40</v>
      </c>
      <c r="N4" s="13">
        <v>3</v>
      </c>
      <c r="O4" s="13">
        <v>11</v>
      </c>
      <c r="P4" s="13">
        <f t="shared" si="5"/>
        <v>0</v>
      </c>
      <c r="Q4" s="13">
        <f t="shared" si="6"/>
        <v>120</v>
      </c>
      <c r="R4" s="13">
        <f t="shared" si="7"/>
        <v>0</v>
      </c>
    </row>
    <row r="5" spans="1:19" x14ac:dyDescent="0.25">
      <c r="A5" s="12">
        <v>4</v>
      </c>
      <c r="B5" s="12">
        <v>9</v>
      </c>
      <c r="C5" s="15">
        <f t="shared" si="0"/>
        <v>13</v>
      </c>
      <c r="D5" s="13">
        <f t="shared" si="1"/>
        <v>5</v>
      </c>
      <c r="E5" s="13">
        <f t="shared" si="2"/>
        <v>36</v>
      </c>
      <c r="F5" s="13">
        <f t="shared" si="3"/>
        <v>2.25</v>
      </c>
      <c r="G5" s="13">
        <f t="shared" si="4"/>
        <v>81</v>
      </c>
      <c r="N5" s="13">
        <v>4</v>
      </c>
      <c r="O5" s="13">
        <v>12</v>
      </c>
      <c r="P5" s="13">
        <f t="shared" si="5"/>
        <v>0</v>
      </c>
      <c r="Q5" s="13">
        <f t="shared" si="6"/>
        <v>160</v>
      </c>
      <c r="R5" s="13">
        <f t="shared" si="7"/>
        <v>0</v>
      </c>
    </row>
    <row r="6" spans="1:19" x14ac:dyDescent="0.25">
      <c r="A6" s="12">
        <v>0</v>
      </c>
      <c r="B6" s="12">
        <v>10</v>
      </c>
      <c r="C6" s="15">
        <f t="shared" ref="C6:C19" si="8">B6+A6</f>
        <v>10</v>
      </c>
      <c r="D6" s="13">
        <f t="shared" si="1"/>
        <v>10</v>
      </c>
      <c r="E6" s="13">
        <f t="shared" si="2"/>
        <v>0</v>
      </c>
      <c r="F6" s="13" t="e">
        <f t="shared" si="3"/>
        <v>#DIV/0!</v>
      </c>
      <c r="G6" s="13">
        <f t="shared" si="4"/>
        <v>100</v>
      </c>
      <c r="N6" s="13">
        <v>5</v>
      </c>
      <c r="O6" s="13">
        <v>13</v>
      </c>
      <c r="P6" s="13">
        <f t="shared" si="5"/>
        <v>0</v>
      </c>
      <c r="Q6" s="13">
        <f t="shared" si="6"/>
        <v>200</v>
      </c>
      <c r="R6" s="13">
        <f t="shared" si="7"/>
        <v>0</v>
      </c>
    </row>
    <row r="7" spans="1:19" x14ac:dyDescent="0.25">
      <c r="A7" s="12">
        <v>6</v>
      </c>
      <c r="B7" s="12">
        <v>11</v>
      </c>
      <c r="C7" s="15">
        <f t="shared" si="8"/>
        <v>17</v>
      </c>
      <c r="D7" s="13">
        <f t="shared" si="1"/>
        <v>5</v>
      </c>
      <c r="E7" s="13">
        <f t="shared" si="2"/>
        <v>66</v>
      </c>
      <c r="F7" s="13">
        <f t="shared" si="3"/>
        <v>1.8333333333333333</v>
      </c>
      <c r="G7" s="13">
        <f t="shared" si="4"/>
        <v>121</v>
      </c>
      <c r="N7" s="13">
        <v>6</v>
      </c>
      <c r="O7" s="13">
        <v>14</v>
      </c>
      <c r="P7" s="13">
        <f t="shared" si="5"/>
        <v>0</v>
      </c>
      <c r="Q7" s="13">
        <f t="shared" si="6"/>
        <v>240</v>
      </c>
      <c r="R7" s="13">
        <f>N7*$M9</f>
        <v>0</v>
      </c>
    </row>
    <row r="8" spans="1:19" x14ac:dyDescent="0.25">
      <c r="A8" s="12">
        <v>7</v>
      </c>
      <c r="B8" s="12">
        <v>12</v>
      </c>
      <c r="C8" s="15">
        <f t="shared" si="8"/>
        <v>19</v>
      </c>
      <c r="D8" s="13">
        <f t="shared" si="1"/>
        <v>5</v>
      </c>
      <c r="E8" s="13">
        <f t="shared" si="2"/>
        <v>84</v>
      </c>
      <c r="F8" s="13">
        <f t="shared" si="3"/>
        <v>1.7142857142857142</v>
      </c>
      <c r="G8" s="13">
        <f t="shared" si="4"/>
        <v>144</v>
      </c>
      <c r="N8" s="13">
        <v>7</v>
      </c>
      <c r="O8" s="13">
        <v>15</v>
      </c>
      <c r="P8" s="13">
        <f t="shared" si="5"/>
        <v>0</v>
      </c>
      <c r="Q8" s="13">
        <f t="shared" si="6"/>
        <v>280</v>
      </c>
      <c r="R8" s="13">
        <f t="shared" si="7"/>
        <v>0</v>
      </c>
    </row>
    <row r="9" spans="1:19" x14ac:dyDescent="0.25">
      <c r="A9" s="12">
        <v>8</v>
      </c>
      <c r="B9" s="12">
        <v>13</v>
      </c>
      <c r="C9" s="15">
        <f t="shared" si="8"/>
        <v>21</v>
      </c>
      <c r="D9" s="13">
        <f t="shared" si="1"/>
        <v>5</v>
      </c>
      <c r="E9" s="13">
        <f t="shared" si="2"/>
        <v>104</v>
      </c>
      <c r="F9" s="13">
        <f t="shared" si="3"/>
        <v>1.625</v>
      </c>
      <c r="G9" s="13">
        <f t="shared" si="4"/>
        <v>169</v>
      </c>
      <c r="N9" s="13">
        <v>8</v>
      </c>
      <c r="O9" s="13">
        <v>16</v>
      </c>
      <c r="P9" s="13">
        <f t="shared" si="5"/>
        <v>0</v>
      </c>
      <c r="Q9" s="13">
        <f t="shared" si="6"/>
        <v>320</v>
      </c>
      <c r="R9" s="13">
        <f t="shared" si="7"/>
        <v>0</v>
      </c>
    </row>
    <row r="10" spans="1:19" x14ac:dyDescent="0.25">
      <c r="A10" s="12">
        <v>9</v>
      </c>
      <c r="B10" s="12">
        <v>14</v>
      </c>
      <c r="C10" s="15">
        <f t="shared" si="8"/>
        <v>23</v>
      </c>
      <c r="D10" s="13">
        <f t="shared" si="1"/>
        <v>5</v>
      </c>
      <c r="E10" s="13">
        <f t="shared" si="2"/>
        <v>126</v>
      </c>
      <c r="F10" s="13">
        <f t="shared" si="3"/>
        <v>1.5555555555555556</v>
      </c>
      <c r="G10" s="13">
        <f t="shared" si="4"/>
        <v>196</v>
      </c>
    </row>
    <row r="11" spans="1:19" x14ac:dyDescent="0.25">
      <c r="A11" s="12">
        <v>10</v>
      </c>
      <c r="B11" s="12">
        <v>15</v>
      </c>
      <c r="C11" s="15">
        <f t="shared" si="8"/>
        <v>25</v>
      </c>
      <c r="D11" s="13">
        <f t="shared" si="1"/>
        <v>5</v>
      </c>
      <c r="E11" s="13">
        <f t="shared" si="2"/>
        <v>150</v>
      </c>
      <c r="F11" s="13">
        <f t="shared" si="3"/>
        <v>1.5</v>
      </c>
      <c r="G11" s="13">
        <f t="shared" si="4"/>
        <v>225</v>
      </c>
    </row>
    <row r="12" spans="1:19" x14ac:dyDescent="0.25">
      <c r="A12" s="12">
        <v>11</v>
      </c>
      <c r="B12" s="12">
        <v>16</v>
      </c>
      <c r="C12" s="15">
        <f t="shared" si="8"/>
        <v>27</v>
      </c>
      <c r="D12" s="13">
        <f t="shared" si="1"/>
        <v>5</v>
      </c>
      <c r="E12" s="13">
        <f t="shared" si="2"/>
        <v>176</v>
      </c>
      <c r="F12" s="13">
        <f t="shared" si="3"/>
        <v>1.4545454545454546</v>
      </c>
      <c r="G12" s="13">
        <f t="shared" si="4"/>
        <v>256</v>
      </c>
    </row>
    <row r="13" spans="1:19" x14ac:dyDescent="0.25">
      <c r="A13" s="12">
        <v>12</v>
      </c>
      <c r="B13" s="12">
        <v>17</v>
      </c>
      <c r="C13" s="15">
        <f t="shared" si="8"/>
        <v>29</v>
      </c>
      <c r="D13" s="13">
        <f t="shared" si="1"/>
        <v>5</v>
      </c>
      <c r="E13" s="13">
        <f t="shared" si="2"/>
        <v>204</v>
      </c>
      <c r="F13" s="13">
        <f t="shared" si="3"/>
        <v>1.4166666666666667</v>
      </c>
      <c r="G13" s="13">
        <f t="shared" si="4"/>
        <v>289</v>
      </c>
    </row>
    <row r="14" spans="1:19" x14ac:dyDescent="0.25">
      <c r="A14" s="12">
        <v>13</v>
      </c>
      <c r="B14" s="12">
        <v>18</v>
      </c>
      <c r="C14" s="15">
        <f t="shared" si="8"/>
        <v>31</v>
      </c>
      <c r="D14" s="13">
        <f t="shared" si="1"/>
        <v>5</v>
      </c>
      <c r="E14" s="13">
        <f t="shared" si="2"/>
        <v>234</v>
      </c>
      <c r="F14" s="13">
        <f t="shared" si="3"/>
        <v>1.3846153846153846</v>
      </c>
      <c r="G14" s="13">
        <f t="shared" si="4"/>
        <v>324</v>
      </c>
    </row>
    <row r="15" spans="1:19" x14ac:dyDescent="0.25">
      <c r="A15" s="12">
        <v>14</v>
      </c>
      <c r="B15" s="12">
        <v>19</v>
      </c>
      <c r="C15" s="15">
        <f t="shared" si="8"/>
        <v>33</v>
      </c>
      <c r="D15" s="13">
        <f t="shared" si="1"/>
        <v>5</v>
      </c>
      <c r="E15" s="13">
        <f t="shared" si="2"/>
        <v>266</v>
      </c>
      <c r="F15" s="13">
        <f t="shared" si="3"/>
        <v>1.3571428571428572</v>
      </c>
      <c r="G15" s="13">
        <f t="shared" si="4"/>
        <v>361</v>
      </c>
    </row>
    <row r="16" spans="1:19" x14ac:dyDescent="0.25">
      <c r="A16" s="12">
        <v>15</v>
      </c>
      <c r="B16" s="12">
        <v>20</v>
      </c>
      <c r="C16" s="15">
        <f t="shared" si="8"/>
        <v>35</v>
      </c>
      <c r="D16" s="13">
        <f t="shared" si="1"/>
        <v>5</v>
      </c>
      <c r="E16" s="13">
        <f t="shared" si="2"/>
        <v>300</v>
      </c>
      <c r="F16" s="13">
        <f t="shared" si="3"/>
        <v>1.3333333333333333</v>
      </c>
      <c r="G16" s="13">
        <f t="shared" si="4"/>
        <v>400</v>
      </c>
      <c r="I16" s="13" t="s">
        <v>3146</v>
      </c>
      <c r="J16" s="13"/>
      <c r="M16" s="13"/>
      <c r="N16" s="13" t="s">
        <v>3147</v>
      </c>
      <c r="O16" s="13" t="s">
        <v>3150</v>
      </c>
      <c r="P16" s="13" t="s">
        <v>3151</v>
      </c>
      <c r="Q16" s="13" t="s">
        <v>3152</v>
      </c>
    </row>
    <row r="17" spans="1:17" x14ac:dyDescent="0.25">
      <c r="A17" s="12">
        <v>16</v>
      </c>
      <c r="B17" s="12">
        <v>21</v>
      </c>
      <c r="C17" s="15">
        <f t="shared" si="8"/>
        <v>37</v>
      </c>
      <c r="D17" s="13">
        <f t="shared" si="1"/>
        <v>5</v>
      </c>
      <c r="E17" s="13">
        <f t="shared" si="2"/>
        <v>336</v>
      </c>
      <c r="F17" s="13">
        <f t="shared" si="3"/>
        <v>1.3125</v>
      </c>
      <c r="G17" s="13">
        <f t="shared" si="4"/>
        <v>441</v>
      </c>
      <c r="I17" s="13" t="s">
        <v>3144</v>
      </c>
      <c r="J17" s="13" t="str">
        <f>TRIM(I17)</f>
        <v>Data Analysis</v>
      </c>
      <c r="M17" s="13" t="s">
        <v>3148</v>
      </c>
      <c r="N17" s="13" t="str">
        <f>PROPER(M17)</f>
        <v>Machine Learning</v>
      </c>
      <c r="O17" s="13" t="str">
        <f>UPPER(M17)</f>
        <v>MACHINE LEARNING</v>
      </c>
      <c r="P17" s="13" t="str">
        <f>LOWER(M17)</f>
        <v>machine learning</v>
      </c>
      <c r="Q17" s="13">
        <f>LEN(M17)</f>
        <v>16</v>
      </c>
    </row>
    <row r="18" spans="1:17" x14ac:dyDescent="0.25">
      <c r="A18" s="12">
        <v>17</v>
      </c>
      <c r="B18" s="12">
        <v>22</v>
      </c>
      <c r="C18" s="15">
        <f t="shared" si="8"/>
        <v>39</v>
      </c>
      <c r="D18" s="13">
        <f t="shared" si="1"/>
        <v>5</v>
      </c>
      <c r="E18" s="13">
        <f t="shared" si="2"/>
        <v>374</v>
      </c>
      <c r="F18" s="13">
        <f t="shared" si="3"/>
        <v>1.2941176470588236</v>
      </c>
      <c r="G18" s="13">
        <f t="shared" si="4"/>
        <v>484</v>
      </c>
      <c r="I18" s="13" t="s">
        <v>3143</v>
      </c>
      <c r="J18" s="13" t="str">
        <f t="shared" ref="J18:J19" si="9">TRIM(I18)</f>
        <v>Web design</v>
      </c>
      <c r="M18" s="13" t="s">
        <v>3149</v>
      </c>
      <c r="N18" s="13" t="str">
        <f>PROPER(M18)</f>
        <v>Product Mangement</v>
      </c>
      <c r="O18" s="13" t="str">
        <f>UPPER(M18)</f>
        <v>PRODUCT MANGEMENT</v>
      </c>
      <c r="P18" s="13" t="str">
        <f>LOWER(M18)</f>
        <v>product mangement</v>
      </c>
      <c r="Q18" s="13">
        <f>LEN(M18)</f>
        <v>17</v>
      </c>
    </row>
    <row r="19" spans="1:17" x14ac:dyDescent="0.25">
      <c r="A19" s="12">
        <v>18</v>
      </c>
      <c r="B19" s="12">
        <v>23</v>
      </c>
      <c r="C19" s="15">
        <f t="shared" si="8"/>
        <v>41</v>
      </c>
      <c r="D19" s="13">
        <f t="shared" si="1"/>
        <v>5</v>
      </c>
      <c r="E19" s="13">
        <f t="shared" si="2"/>
        <v>414</v>
      </c>
      <c r="F19" s="13">
        <f t="shared" si="3"/>
        <v>1.2777777777777777</v>
      </c>
      <c r="G19" s="13">
        <f t="shared" si="4"/>
        <v>529</v>
      </c>
      <c r="I19" s="13"/>
      <c r="J19" s="13" t="str">
        <f t="shared" si="9"/>
        <v/>
      </c>
    </row>
    <row r="22" spans="1:17" x14ac:dyDescent="0.25">
      <c r="A22" s="51" t="s">
        <v>3155</v>
      </c>
      <c r="B22" s="52"/>
      <c r="C22" s="52"/>
      <c r="D22" s="52"/>
      <c r="E22" s="52"/>
      <c r="F22" s="52"/>
      <c r="G22" s="52"/>
    </row>
    <row r="23" spans="1:17" x14ac:dyDescent="0.25">
      <c r="A23" s="12" t="s">
        <v>3156</v>
      </c>
      <c r="B23" s="16">
        <f>SUM('Raw Data'!S2:S1010)</f>
        <v>631642062.63999927</v>
      </c>
      <c r="C23" s="14" t="s">
        <v>3157</v>
      </c>
      <c r="D23" s="17">
        <f>SUM('Raw Data'!S:S)</f>
        <v>631642062.63999927</v>
      </c>
    </row>
    <row r="24" spans="1:17" x14ac:dyDescent="0.25">
      <c r="A24" s="12" t="s">
        <v>3158</v>
      </c>
      <c r="B24" s="18">
        <f>AVERAGE('Raw Data'!S2:S1010)</f>
        <v>626007.99072348792</v>
      </c>
      <c r="C24" t="s">
        <v>3160</v>
      </c>
    </row>
    <row r="25" spans="1:17" x14ac:dyDescent="0.25">
      <c r="A25" s="12" t="s">
        <v>3159</v>
      </c>
      <c r="B25" s="19">
        <f>COUNTA('Raw Data'!A2:A1010)</f>
        <v>1009</v>
      </c>
      <c r="C25" t="s">
        <v>3161</v>
      </c>
    </row>
    <row r="26" spans="1:17" x14ac:dyDescent="0.25">
      <c r="A26" s="12" t="s">
        <v>3162</v>
      </c>
      <c r="B26" s="18">
        <f>MAX('Raw Data'!S2:S1010)</f>
        <v>7037782.5899999999</v>
      </c>
      <c r="C26" t="s">
        <v>3163</v>
      </c>
    </row>
    <row r="27" spans="1:17" x14ac:dyDescent="0.25">
      <c r="A27" s="12" t="s">
        <v>3165</v>
      </c>
      <c r="B27" s="16">
        <f>MIN('Raw Data'!S2:S1010)</f>
        <v>433.34</v>
      </c>
      <c r="C27" t="s">
        <v>3164</v>
      </c>
    </row>
    <row r="28" spans="1:17" x14ac:dyDescent="0.25">
      <c r="A28" s="12" t="s">
        <v>3166</v>
      </c>
    </row>
    <row r="29" spans="1:17" x14ac:dyDescent="0.25">
      <c r="A29" s="12" t="s">
        <v>3167</v>
      </c>
    </row>
    <row r="30" spans="1:17" x14ac:dyDescent="0.25">
      <c r="A30" s="12" t="s">
        <v>3168</v>
      </c>
    </row>
    <row r="31" spans="1:17" x14ac:dyDescent="0.25">
      <c r="A31" s="12" t="s">
        <v>3169</v>
      </c>
    </row>
  </sheetData>
  <mergeCells count="1">
    <mergeCell ref="A22:G2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0FFBA-259C-4989-9F74-AF97C467CEB6}">
  <dimension ref="A1:T99"/>
  <sheetViews>
    <sheetView workbookViewId="0">
      <selection activeCell="E7" sqref="E7"/>
    </sheetView>
  </sheetViews>
  <sheetFormatPr defaultRowHeight="15" x14ac:dyDescent="0.25"/>
  <cols>
    <col min="1" max="1" width="10.28515625" bestFit="1" customWidth="1"/>
    <col min="2" max="2" width="11.85546875" bestFit="1" customWidth="1"/>
    <col min="3" max="3" width="10.5703125" bestFit="1" customWidth="1"/>
    <col min="4" max="4" width="9.5703125" bestFit="1" customWidth="1"/>
    <col min="5" max="5" width="10" bestFit="1" customWidth="1"/>
    <col min="6" max="6" width="9.7109375" bestFit="1" customWidth="1"/>
    <col min="7" max="7" width="30.140625" bestFit="1" customWidth="1"/>
    <col min="8" max="8" width="13.42578125" bestFit="1" customWidth="1"/>
    <col min="9" max="9" width="11.28515625" bestFit="1" customWidth="1"/>
    <col min="10" max="10" width="7" bestFit="1" customWidth="1"/>
    <col min="11" max="11" width="12.140625" bestFit="1" customWidth="1"/>
    <col min="12" max="12" width="15.7109375" bestFit="1" customWidth="1"/>
    <col min="13" max="13" width="12.5703125" bestFit="1" customWidth="1"/>
    <col min="14" max="14" width="18.5703125" bestFit="1" customWidth="1"/>
    <col min="15" max="15" width="8" bestFit="1" customWidth="1"/>
    <col min="16" max="16" width="11.7109375" bestFit="1" customWidth="1"/>
    <col min="17" max="17" width="11.140625" bestFit="1" customWidth="1"/>
    <col min="18" max="18" width="18.140625" bestFit="1" customWidth="1"/>
    <col min="19" max="19" width="12.42578125" bestFit="1" customWidth="1"/>
    <col min="20" max="20" width="11" bestFit="1" customWidth="1"/>
  </cols>
  <sheetData>
    <row r="1" spans="1:20" x14ac:dyDescent="0.25">
      <c r="A1" t="s">
        <v>0</v>
      </c>
      <c r="B1" s="8" t="s">
        <v>1</v>
      </c>
      <c r="C1" s="8" t="s">
        <v>2</v>
      </c>
      <c r="D1" t="s">
        <v>3</v>
      </c>
      <c r="E1" t="s">
        <v>3104</v>
      </c>
      <c r="F1" t="s">
        <v>3105</v>
      </c>
      <c r="G1" t="s">
        <v>5</v>
      </c>
      <c r="H1" t="s">
        <v>6</v>
      </c>
      <c r="I1" t="s">
        <v>7</v>
      </c>
      <c r="J1" t="s">
        <v>8</v>
      </c>
      <c r="K1" t="s">
        <v>9</v>
      </c>
      <c r="L1" t="s">
        <v>10</v>
      </c>
      <c r="M1" t="s">
        <v>11</v>
      </c>
      <c r="N1" t="s">
        <v>12</v>
      </c>
      <c r="O1" t="s">
        <v>13</v>
      </c>
      <c r="P1" t="s">
        <v>14</v>
      </c>
      <c r="Q1" t="s">
        <v>15</v>
      </c>
      <c r="R1" t="s">
        <v>16</v>
      </c>
      <c r="S1" t="s">
        <v>17</v>
      </c>
      <c r="T1" t="s">
        <v>18</v>
      </c>
    </row>
    <row r="2" spans="1:20" x14ac:dyDescent="0.25">
      <c r="A2" t="s">
        <v>1372</v>
      </c>
      <c r="B2" s="8">
        <v>44564</v>
      </c>
      <c r="C2" s="8">
        <v>44564</v>
      </c>
      <c r="D2" t="s">
        <v>32</v>
      </c>
      <c r="E2" t="s">
        <v>3098</v>
      </c>
      <c r="F2" t="s">
        <v>3078</v>
      </c>
      <c r="G2" t="s">
        <v>1374</v>
      </c>
      <c r="H2">
        <v>8151548852</v>
      </c>
      <c r="I2" t="s">
        <v>43</v>
      </c>
      <c r="J2" t="s">
        <v>69</v>
      </c>
      <c r="K2" t="s">
        <v>119</v>
      </c>
      <c r="L2" t="s">
        <v>63</v>
      </c>
      <c r="M2" t="s">
        <v>64</v>
      </c>
      <c r="N2" t="s">
        <v>65</v>
      </c>
      <c r="O2">
        <v>20</v>
      </c>
      <c r="P2">
        <v>17602.349999999999</v>
      </c>
      <c r="Q2">
        <v>25</v>
      </c>
      <c r="R2">
        <v>88011.75</v>
      </c>
      <c r="S2">
        <v>264035.25</v>
      </c>
      <c r="T2">
        <v>51523.21</v>
      </c>
    </row>
    <row r="3" spans="1:20" x14ac:dyDescent="0.25">
      <c r="A3" t="s">
        <v>2068</v>
      </c>
      <c r="B3" s="8">
        <v>44564</v>
      </c>
      <c r="C3" s="8">
        <v>44565</v>
      </c>
      <c r="D3" t="s">
        <v>32</v>
      </c>
      <c r="E3" t="s">
        <v>3059</v>
      </c>
      <c r="F3" t="s">
        <v>3083</v>
      </c>
      <c r="G3" t="s">
        <v>2070</v>
      </c>
      <c r="H3">
        <v>8031291769</v>
      </c>
      <c r="I3" t="s">
        <v>60</v>
      </c>
      <c r="J3" t="s">
        <v>25</v>
      </c>
      <c r="K3" t="s">
        <v>36</v>
      </c>
      <c r="L3" t="s">
        <v>27</v>
      </c>
      <c r="M3" t="s">
        <v>45</v>
      </c>
      <c r="N3" t="s">
        <v>523</v>
      </c>
      <c r="O3">
        <v>6</v>
      </c>
      <c r="P3">
        <v>4344.57</v>
      </c>
      <c r="Q3">
        <v>0</v>
      </c>
      <c r="R3">
        <v>0</v>
      </c>
      <c r="S3">
        <v>26067.42</v>
      </c>
      <c r="T3">
        <v>8215.25</v>
      </c>
    </row>
    <row r="4" spans="1:20" x14ac:dyDescent="0.25">
      <c r="A4" t="s">
        <v>2639</v>
      </c>
      <c r="B4" s="8">
        <v>44565</v>
      </c>
      <c r="C4" s="8">
        <v>44565</v>
      </c>
      <c r="D4" t="s">
        <v>32</v>
      </c>
      <c r="E4" t="s">
        <v>3094</v>
      </c>
      <c r="F4" t="s">
        <v>3042</v>
      </c>
      <c r="G4" t="s">
        <v>2640</v>
      </c>
      <c r="H4">
        <v>8159196133</v>
      </c>
      <c r="I4" t="s">
        <v>35</v>
      </c>
      <c r="J4" t="s">
        <v>51</v>
      </c>
      <c r="K4" t="s">
        <v>131</v>
      </c>
      <c r="L4" t="s">
        <v>85</v>
      </c>
      <c r="M4" t="s">
        <v>86</v>
      </c>
      <c r="N4" t="s">
        <v>178</v>
      </c>
      <c r="O4">
        <v>20</v>
      </c>
      <c r="P4">
        <v>70613.98</v>
      </c>
      <c r="Q4">
        <v>10</v>
      </c>
      <c r="R4">
        <v>141227.96</v>
      </c>
      <c r="S4">
        <v>1271051.6399999999</v>
      </c>
      <c r="T4">
        <v>157298.35</v>
      </c>
    </row>
    <row r="5" spans="1:20" x14ac:dyDescent="0.25">
      <c r="A5" t="s">
        <v>1578</v>
      </c>
      <c r="B5" s="8">
        <v>44575</v>
      </c>
      <c r="C5" s="8">
        <v>44575</v>
      </c>
      <c r="D5" t="s">
        <v>32</v>
      </c>
      <c r="E5" t="s">
        <v>3055</v>
      </c>
      <c r="F5" t="s">
        <v>3074</v>
      </c>
      <c r="G5" t="s">
        <v>1580</v>
      </c>
      <c r="H5">
        <v>8153873296</v>
      </c>
      <c r="I5" t="s">
        <v>43</v>
      </c>
      <c r="J5" t="s">
        <v>25</v>
      </c>
      <c r="K5" t="s">
        <v>126</v>
      </c>
      <c r="L5" t="s">
        <v>96</v>
      </c>
      <c r="M5" t="s">
        <v>97</v>
      </c>
      <c r="N5" t="s">
        <v>1416</v>
      </c>
      <c r="O5">
        <v>14</v>
      </c>
      <c r="P5">
        <v>326111.89</v>
      </c>
      <c r="Q5">
        <v>10</v>
      </c>
      <c r="R5">
        <v>456556.65</v>
      </c>
      <c r="S5">
        <v>4109009.81</v>
      </c>
      <c r="T5">
        <v>935474.6</v>
      </c>
    </row>
    <row r="6" spans="1:20" x14ac:dyDescent="0.25">
      <c r="A6" t="s">
        <v>1103</v>
      </c>
      <c r="B6" s="8">
        <v>44578</v>
      </c>
      <c r="C6" s="8">
        <v>44578</v>
      </c>
      <c r="D6" t="s">
        <v>32</v>
      </c>
      <c r="E6" t="s">
        <v>3081</v>
      </c>
      <c r="F6" t="s">
        <v>3054</v>
      </c>
      <c r="G6" t="s">
        <v>1105</v>
      </c>
      <c r="H6">
        <v>8144643811</v>
      </c>
      <c r="I6" t="s">
        <v>35</v>
      </c>
      <c r="J6" t="s">
        <v>51</v>
      </c>
      <c r="K6" t="s">
        <v>223</v>
      </c>
      <c r="L6" t="s">
        <v>1062</v>
      </c>
      <c r="M6" t="s">
        <v>64</v>
      </c>
      <c r="N6" t="s">
        <v>65</v>
      </c>
      <c r="O6">
        <v>16</v>
      </c>
      <c r="P6">
        <v>19750.27</v>
      </c>
      <c r="Q6">
        <v>10</v>
      </c>
      <c r="R6">
        <v>31600.43</v>
      </c>
      <c r="S6">
        <v>284403.89</v>
      </c>
      <c r="T6">
        <v>36463.620000000003</v>
      </c>
    </row>
    <row r="7" spans="1:20" x14ac:dyDescent="0.25">
      <c r="A7" t="s">
        <v>2158</v>
      </c>
      <c r="B7" s="8">
        <v>44580</v>
      </c>
      <c r="C7" s="8">
        <v>44581</v>
      </c>
      <c r="D7" t="s">
        <v>32</v>
      </c>
      <c r="E7" t="s">
        <v>3063</v>
      </c>
      <c r="F7" t="s">
        <v>3039</v>
      </c>
      <c r="G7" t="s">
        <v>2160</v>
      </c>
      <c r="H7">
        <v>9074654790</v>
      </c>
      <c r="I7" t="s">
        <v>35</v>
      </c>
      <c r="J7" t="s">
        <v>69</v>
      </c>
      <c r="K7" t="s">
        <v>70</v>
      </c>
      <c r="L7" t="s">
        <v>108</v>
      </c>
      <c r="M7" t="s">
        <v>114</v>
      </c>
      <c r="N7" t="s">
        <v>891</v>
      </c>
      <c r="O7">
        <v>9</v>
      </c>
      <c r="P7">
        <v>42369.87</v>
      </c>
      <c r="Q7">
        <v>25</v>
      </c>
      <c r="R7">
        <v>95332.21</v>
      </c>
      <c r="S7">
        <v>285996.62</v>
      </c>
      <c r="T7">
        <v>10986.82</v>
      </c>
    </row>
    <row r="8" spans="1:20" x14ac:dyDescent="0.25">
      <c r="A8" t="s">
        <v>2247</v>
      </c>
      <c r="B8" s="8">
        <v>44582</v>
      </c>
      <c r="C8" s="8">
        <v>44583</v>
      </c>
      <c r="D8" t="s">
        <v>32</v>
      </c>
      <c r="G8" t="s">
        <v>2248</v>
      </c>
      <c r="H8">
        <v>8142124878</v>
      </c>
      <c r="I8" t="s">
        <v>24</v>
      </c>
      <c r="J8" t="s">
        <v>61</v>
      </c>
      <c r="K8" t="s">
        <v>62</v>
      </c>
      <c r="L8" t="s">
        <v>96</v>
      </c>
      <c r="M8" t="s">
        <v>97</v>
      </c>
      <c r="N8" t="s">
        <v>443</v>
      </c>
      <c r="O8">
        <v>4</v>
      </c>
      <c r="P8">
        <v>101681.42</v>
      </c>
      <c r="Q8">
        <v>25</v>
      </c>
      <c r="R8">
        <v>101681.42</v>
      </c>
      <c r="S8">
        <v>305044.26</v>
      </c>
      <c r="T8">
        <v>38178.160000000003</v>
      </c>
    </row>
    <row r="9" spans="1:20" x14ac:dyDescent="0.25">
      <c r="A9" t="s">
        <v>618</v>
      </c>
      <c r="B9" s="8">
        <v>44586</v>
      </c>
      <c r="C9" s="8">
        <v>44586</v>
      </c>
      <c r="D9" t="s">
        <v>619</v>
      </c>
      <c r="E9" t="s">
        <v>3070</v>
      </c>
      <c r="F9" t="s">
        <v>3034</v>
      </c>
      <c r="G9" t="s">
        <v>621</v>
      </c>
      <c r="H9">
        <v>8155809835</v>
      </c>
      <c r="I9" t="s">
        <v>24</v>
      </c>
      <c r="J9" t="s">
        <v>25</v>
      </c>
      <c r="K9" t="s">
        <v>26</v>
      </c>
      <c r="L9" t="s">
        <v>96</v>
      </c>
      <c r="M9" t="s">
        <v>254</v>
      </c>
      <c r="N9" t="s">
        <v>530</v>
      </c>
      <c r="O9">
        <v>6</v>
      </c>
      <c r="P9">
        <v>365682.95</v>
      </c>
      <c r="Q9">
        <v>0</v>
      </c>
      <c r="R9">
        <v>0</v>
      </c>
      <c r="S9">
        <v>2194097.7000000002</v>
      </c>
      <c r="T9">
        <v>879458.66</v>
      </c>
    </row>
    <row r="10" spans="1:20" x14ac:dyDescent="0.25">
      <c r="A10" t="s">
        <v>2593</v>
      </c>
      <c r="B10" s="8">
        <v>44588</v>
      </c>
      <c r="C10" s="8">
        <v>44589</v>
      </c>
      <c r="D10" t="s">
        <v>32</v>
      </c>
      <c r="E10" t="s">
        <v>3048</v>
      </c>
      <c r="F10" t="s">
        <v>3074</v>
      </c>
      <c r="G10" t="s">
        <v>2594</v>
      </c>
      <c r="H10">
        <v>9078197382</v>
      </c>
      <c r="I10" t="s">
        <v>43</v>
      </c>
      <c r="J10" t="s">
        <v>69</v>
      </c>
      <c r="K10" t="s">
        <v>119</v>
      </c>
      <c r="L10" t="s">
        <v>27</v>
      </c>
      <c r="M10" t="s">
        <v>79</v>
      </c>
      <c r="N10" t="s">
        <v>234</v>
      </c>
      <c r="O10">
        <v>10</v>
      </c>
      <c r="P10">
        <v>1296.5999999999999</v>
      </c>
      <c r="Q10">
        <v>10</v>
      </c>
      <c r="R10">
        <v>1296.5999999999999</v>
      </c>
      <c r="S10">
        <v>11669.4</v>
      </c>
      <c r="T10">
        <v>3324.08</v>
      </c>
    </row>
    <row r="11" spans="1:20" x14ac:dyDescent="0.25">
      <c r="A11" t="s">
        <v>1331</v>
      </c>
      <c r="B11" s="8">
        <v>44595</v>
      </c>
      <c r="C11" s="8">
        <v>44595</v>
      </c>
      <c r="D11" t="s">
        <v>32</v>
      </c>
      <c r="E11" t="s">
        <v>3095</v>
      </c>
      <c r="F11" t="s">
        <v>3090</v>
      </c>
      <c r="G11" t="s">
        <v>1333</v>
      </c>
      <c r="H11">
        <v>9021718308</v>
      </c>
      <c r="I11" t="s">
        <v>24</v>
      </c>
      <c r="J11" t="s">
        <v>51</v>
      </c>
      <c r="K11" t="s">
        <v>316</v>
      </c>
      <c r="L11" t="s">
        <v>108</v>
      </c>
      <c r="M11" t="s">
        <v>114</v>
      </c>
      <c r="N11" t="s">
        <v>848</v>
      </c>
      <c r="O11">
        <v>17</v>
      </c>
      <c r="P11">
        <v>36705.46</v>
      </c>
      <c r="Q11">
        <v>20</v>
      </c>
      <c r="R11">
        <v>124798.56</v>
      </c>
      <c r="S11">
        <v>499194.26</v>
      </c>
      <c r="T11">
        <v>206693.32</v>
      </c>
    </row>
    <row r="12" spans="1:20" x14ac:dyDescent="0.25">
      <c r="A12" t="s">
        <v>2790</v>
      </c>
      <c r="B12" s="8">
        <v>44595</v>
      </c>
      <c r="C12" s="8">
        <v>44596</v>
      </c>
      <c r="D12" t="s">
        <v>32</v>
      </c>
      <c r="E12" t="s">
        <v>3080</v>
      </c>
      <c r="F12" t="s">
        <v>3069</v>
      </c>
      <c r="G12" t="s">
        <v>2791</v>
      </c>
      <c r="H12">
        <v>8144580502</v>
      </c>
      <c r="I12" t="s">
        <v>24</v>
      </c>
      <c r="J12" t="s">
        <v>51</v>
      </c>
      <c r="K12" t="s">
        <v>227</v>
      </c>
      <c r="L12" t="s">
        <v>27</v>
      </c>
      <c r="M12" t="s">
        <v>173</v>
      </c>
      <c r="N12" t="s">
        <v>174</v>
      </c>
      <c r="O12">
        <v>8</v>
      </c>
      <c r="P12">
        <v>6303.5</v>
      </c>
      <c r="Q12">
        <v>15</v>
      </c>
      <c r="R12">
        <v>7564.2</v>
      </c>
      <c r="S12">
        <v>42863.8</v>
      </c>
      <c r="T12">
        <v>7992.08</v>
      </c>
    </row>
    <row r="13" spans="1:20" x14ac:dyDescent="0.25">
      <c r="A13" t="s">
        <v>528</v>
      </c>
      <c r="B13" s="8">
        <v>44596</v>
      </c>
      <c r="C13" s="8">
        <v>44597</v>
      </c>
      <c r="D13" t="s">
        <v>32</v>
      </c>
      <c r="E13" t="s">
        <v>3095</v>
      </c>
      <c r="F13" t="s">
        <v>3069</v>
      </c>
      <c r="H13">
        <v>7066161977</v>
      </c>
      <c r="I13" t="s">
        <v>43</v>
      </c>
      <c r="J13" t="s">
        <v>69</v>
      </c>
      <c r="K13" t="s">
        <v>155</v>
      </c>
      <c r="L13" t="s">
        <v>96</v>
      </c>
      <c r="M13" t="s">
        <v>254</v>
      </c>
      <c r="N13" t="s">
        <v>530</v>
      </c>
      <c r="O13">
        <v>19</v>
      </c>
      <c r="P13">
        <v>130505.74</v>
      </c>
      <c r="Q13">
        <v>5</v>
      </c>
      <c r="R13">
        <v>123980.45</v>
      </c>
      <c r="S13">
        <v>2355628.61</v>
      </c>
      <c r="T13">
        <v>666266.15</v>
      </c>
    </row>
    <row r="14" spans="1:20" x14ac:dyDescent="0.25">
      <c r="A14" t="s">
        <v>1710</v>
      </c>
      <c r="B14" s="8">
        <v>44616</v>
      </c>
      <c r="C14" s="8">
        <v>44616</v>
      </c>
      <c r="D14" t="s">
        <v>32</v>
      </c>
      <c r="E14" t="s">
        <v>3050</v>
      </c>
      <c r="F14" t="s">
        <v>3050</v>
      </c>
      <c r="G14" t="s">
        <v>1712</v>
      </c>
      <c r="H14">
        <v>8164454299</v>
      </c>
      <c r="I14" t="s">
        <v>24</v>
      </c>
      <c r="J14" t="s">
        <v>61</v>
      </c>
      <c r="K14" t="s">
        <v>95</v>
      </c>
      <c r="L14" t="s">
        <v>85</v>
      </c>
      <c r="M14" t="s">
        <v>243</v>
      </c>
      <c r="N14" t="s">
        <v>244</v>
      </c>
      <c r="O14">
        <v>2</v>
      </c>
      <c r="P14">
        <v>20036.46</v>
      </c>
      <c r="Q14">
        <v>10</v>
      </c>
      <c r="R14">
        <v>4007.29</v>
      </c>
      <c r="S14">
        <v>36065.629999999997</v>
      </c>
      <c r="T14">
        <v>5810.86</v>
      </c>
    </row>
    <row r="15" spans="1:20" x14ac:dyDescent="0.25">
      <c r="A15" t="s">
        <v>2329</v>
      </c>
      <c r="B15" s="8">
        <v>44622</v>
      </c>
      <c r="C15" s="8">
        <v>44622</v>
      </c>
      <c r="D15" t="s">
        <v>32</v>
      </c>
      <c r="E15" t="s">
        <v>3085</v>
      </c>
      <c r="F15" t="s">
        <v>3057</v>
      </c>
      <c r="G15" t="s">
        <v>2331</v>
      </c>
      <c r="H15">
        <v>9056899311</v>
      </c>
      <c r="I15" t="s">
        <v>24</v>
      </c>
      <c r="J15" t="s">
        <v>51</v>
      </c>
      <c r="K15" t="s">
        <v>316</v>
      </c>
      <c r="L15" t="s">
        <v>27</v>
      </c>
      <c r="M15" t="s">
        <v>28</v>
      </c>
      <c r="N15" t="s">
        <v>262</v>
      </c>
      <c r="O15">
        <v>1</v>
      </c>
      <c r="P15">
        <v>7967.86</v>
      </c>
      <c r="Q15">
        <v>10</v>
      </c>
      <c r="R15">
        <v>796.79</v>
      </c>
      <c r="S15">
        <v>7171.07</v>
      </c>
      <c r="T15">
        <v>1318.5</v>
      </c>
    </row>
    <row r="16" spans="1:20" x14ac:dyDescent="0.25">
      <c r="A16" t="s">
        <v>2684</v>
      </c>
      <c r="B16" s="8">
        <v>44625</v>
      </c>
      <c r="C16" s="8">
        <v>44626</v>
      </c>
      <c r="D16" t="s">
        <v>32</v>
      </c>
      <c r="E16" t="s">
        <v>3044</v>
      </c>
      <c r="F16" t="s">
        <v>3077</v>
      </c>
      <c r="G16" t="s">
        <v>2685</v>
      </c>
      <c r="H16">
        <v>9013442155</v>
      </c>
      <c r="I16" t="s">
        <v>35</v>
      </c>
      <c r="J16" t="s">
        <v>51</v>
      </c>
      <c r="K16" t="s">
        <v>316</v>
      </c>
      <c r="L16" t="s">
        <v>96</v>
      </c>
      <c r="M16" t="s">
        <v>97</v>
      </c>
      <c r="N16" t="s">
        <v>1416</v>
      </c>
      <c r="O16">
        <v>15</v>
      </c>
      <c r="P16">
        <v>186071.29</v>
      </c>
      <c r="Q16">
        <v>10</v>
      </c>
      <c r="R16">
        <v>279106.93</v>
      </c>
      <c r="S16">
        <v>2511962.42</v>
      </c>
      <c r="T16">
        <v>80629.3</v>
      </c>
    </row>
    <row r="17" spans="1:20" x14ac:dyDescent="0.25">
      <c r="A17" t="s">
        <v>1607</v>
      </c>
      <c r="B17" s="8">
        <v>44628</v>
      </c>
      <c r="C17" s="8">
        <v>44628</v>
      </c>
      <c r="D17" t="s">
        <v>32</v>
      </c>
      <c r="E17" t="s">
        <v>3060</v>
      </c>
      <c r="F17" t="s">
        <v>3039</v>
      </c>
      <c r="G17" t="s">
        <v>1609</v>
      </c>
      <c r="H17">
        <v>9057855503</v>
      </c>
      <c r="I17" t="s">
        <v>43</v>
      </c>
      <c r="J17" t="s">
        <v>25</v>
      </c>
      <c r="K17" t="s">
        <v>126</v>
      </c>
      <c r="L17" t="s">
        <v>96</v>
      </c>
      <c r="M17" t="s">
        <v>120</v>
      </c>
      <c r="N17" t="s">
        <v>367</v>
      </c>
      <c r="O17">
        <v>2</v>
      </c>
      <c r="P17">
        <v>263717.67</v>
      </c>
      <c r="Q17">
        <v>25</v>
      </c>
      <c r="R17">
        <v>131858.82999999999</v>
      </c>
      <c r="S17">
        <v>395576.51</v>
      </c>
      <c r="T17">
        <v>-22950.28</v>
      </c>
    </row>
    <row r="18" spans="1:20" x14ac:dyDescent="0.25">
      <c r="A18" t="s">
        <v>1997</v>
      </c>
      <c r="B18" s="8">
        <v>44628</v>
      </c>
      <c r="C18" s="8">
        <v>44628</v>
      </c>
      <c r="D18" t="s">
        <v>32</v>
      </c>
      <c r="E18" t="s">
        <v>3047</v>
      </c>
      <c r="F18" t="s">
        <v>3054</v>
      </c>
      <c r="G18" t="s">
        <v>1999</v>
      </c>
      <c r="H18">
        <v>8039706758</v>
      </c>
      <c r="I18" t="s">
        <v>35</v>
      </c>
      <c r="J18" t="s">
        <v>69</v>
      </c>
      <c r="K18" t="s">
        <v>119</v>
      </c>
      <c r="L18" t="s">
        <v>27</v>
      </c>
      <c r="M18" t="s">
        <v>45</v>
      </c>
      <c r="N18" t="s">
        <v>838</v>
      </c>
      <c r="O18">
        <v>19</v>
      </c>
      <c r="P18">
        <v>1612.16</v>
      </c>
      <c r="Q18">
        <v>15</v>
      </c>
      <c r="R18">
        <v>4594.66</v>
      </c>
      <c r="S18">
        <v>26036.38</v>
      </c>
      <c r="T18">
        <v>-127.61</v>
      </c>
    </row>
    <row r="19" spans="1:20" x14ac:dyDescent="0.25">
      <c r="A19" t="s">
        <v>471</v>
      </c>
      <c r="B19" s="8">
        <v>44633</v>
      </c>
      <c r="C19" s="8">
        <v>44633</v>
      </c>
      <c r="D19" t="s">
        <v>32</v>
      </c>
      <c r="E19" t="s">
        <v>3044</v>
      </c>
      <c r="F19" t="s">
        <v>3043</v>
      </c>
      <c r="G19" t="s">
        <v>473</v>
      </c>
      <c r="H19">
        <v>7037423230</v>
      </c>
      <c r="I19" t="s">
        <v>35</v>
      </c>
      <c r="J19" t="s">
        <v>61</v>
      </c>
      <c r="K19" t="s">
        <v>95</v>
      </c>
      <c r="L19" t="s">
        <v>27</v>
      </c>
      <c r="M19" t="s">
        <v>79</v>
      </c>
      <c r="N19" t="s">
        <v>234</v>
      </c>
      <c r="O19">
        <v>15</v>
      </c>
      <c r="P19">
        <v>1481.47</v>
      </c>
      <c r="Q19">
        <v>10</v>
      </c>
      <c r="R19">
        <v>2222.1999999999998</v>
      </c>
      <c r="S19" t="s">
        <v>474</v>
      </c>
      <c r="T19">
        <v>1464.15</v>
      </c>
    </row>
    <row r="20" spans="1:20" x14ac:dyDescent="0.25">
      <c r="A20" t="s">
        <v>2658</v>
      </c>
      <c r="B20" s="8">
        <v>44632</v>
      </c>
      <c r="C20" s="8">
        <v>44633</v>
      </c>
      <c r="D20" t="s">
        <v>32</v>
      </c>
      <c r="E20" t="s">
        <v>3093</v>
      </c>
      <c r="F20" t="s">
        <v>3077</v>
      </c>
      <c r="G20" t="s">
        <v>2660</v>
      </c>
      <c r="H20">
        <v>8137888843</v>
      </c>
      <c r="I20" t="s">
        <v>24</v>
      </c>
      <c r="J20" t="s">
        <v>51</v>
      </c>
      <c r="K20" t="s">
        <v>131</v>
      </c>
      <c r="L20" t="s">
        <v>96</v>
      </c>
      <c r="M20" t="s">
        <v>120</v>
      </c>
      <c r="N20" t="s">
        <v>359</v>
      </c>
      <c r="O20">
        <v>1</v>
      </c>
      <c r="P20">
        <v>273141.64</v>
      </c>
      <c r="Q20">
        <v>25</v>
      </c>
      <c r="R20">
        <v>68285.41</v>
      </c>
      <c r="S20">
        <v>204856.23</v>
      </c>
      <c r="T20">
        <v>23898.11</v>
      </c>
    </row>
    <row r="21" spans="1:20" x14ac:dyDescent="0.25">
      <c r="A21" t="s">
        <v>2298</v>
      </c>
      <c r="B21" s="8">
        <v>44633</v>
      </c>
      <c r="C21" s="8">
        <v>44634</v>
      </c>
      <c r="D21" t="s">
        <v>32</v>
      </c>
      <c r="E21" t="s">
        <v>3051</v>
      </c>
      <c r="F21" t="s">
        <v>3062</v>
      </c>
      <c r="G21" t="s">
        <v>2248</v>
      </c>
      <c r="H21">
        <v>7069679668</v>
      </c>
      <c r="I21" t="s">
        <v>24</v>
      </c>
      <c r="J21" t="s">
        <v>51</v>
      </c>
      <c r="K21" t="s">
        <v>316</v>
      </c>
      <c r="L21" t="s">
        <v>96</v>
      </c>
      <c r="M21" t="s">
        <v>189</v>
      </c>
      <c r="N21" t="s">
        <v>287</v>
      </c>
      <c r="O21">
        <v>4</v>
      </c>
      <c r="P21">
        <v>165634.79</v>
      </c>
      <c r="Q21">
        <v>15</v>
      </c>
      <c r="R21">
        <v>99380.87</v>
      </c>
      <c r="S21">
        <v>563158.29</v>
      </c>
      <c r="T21">
        <v>187041.85</v>
      </c>
    </row>
    <row r="22" spans="1:20" x14ac:dyDescent="0.25">
      <c r="A22" t="s">
        <v>284</v>
      </c>
      <c r="B22" s="8">
        <v>44637</v>
      </c>
      <c r="C22" s="8">
        <v>44638</v>
      </c>
      <c r="D22" t="s">
        <v>32</v>
      </c>
      <c r="E22" t="s">
        <v>3081</v>
      </c>
      <c r="F22" t="s">
        <v>3074</v>
      </c>
      <c r="G22" t="s">
        <v>286</v>
      </c>
      <c r="H22">
        <v>7032944841</v>
      </c>
      <c r="I22" t="s">
        <v>24</v>
      </c>
      <c r="J22" t="s">
        <v>69</v>
      </c>
      <c r="K22" t="s">
        <v>144</v>
      </c>
      <c r="L22" t="s">
        <v>108</v>
      </c>
      <c r="M22" t="s">
        <v>189</v>
      </c>
      <c r="N22" t="s">
        <v>287</v>
      </c>
      <c r="O22">
        <v>18</v>
      </c>
      <c r="P22">
        <v>30279.4</v>
      </c>
      <c r="Q22">
        <v>20</v>
      </c>
      <c r="R22">
        <v>109005.84</v>
      </c>
      <c r="S22">
        <v>436023.36</v>
      </c>
      <c r="T22">
        <v>42707.85</v>
      </c>
    </row>
    <row r="23" spans="1:20" x14ac:dyDescent="0.25">
      <c r="A23" t="s">
        <v>2889</v>
      </c>
      <c r="B23" s="8">
        <v>44645</v>
      </c>
      <c r="C23" s="8">
        <v>44646</v>
      </c>
      <c r="D23" t="s">
        <v>32</v>
      </c>
      <c r="E23" t="s">
        <v>3076</v>
      </c>
      <c r="F23" t="s">
        <v>3040</v>
      </c>
      <c r="G23" t="s">
        <v>2891</v>
      </c>
      <c r="H23">
        <v>8106950477</v>
      </c>
      <c r="I23" t="s">
        <v>35</v>
      </c>
      <c r="J23" t="s">
        <v>1009</v>
      </c>
      <c r="K23" t="s">
        <v>223</v>
      </c>
      <c r="L23" t="s">
        <v>63</v>
      </c>
      <c r="M23" t="s">
        <v>194</v>
      </c>
      <c r="N23" t="s">
        <v>716</v>
      </c>
      <c r="O23">
        <v>2</v>
      </c>
      <c r="P23">
        <v>21723.7</v>
      </c>
      <c r="Q23">
        <v>0</v>
      </c>
      <c r="R23">
        <v>0</v>
      </c>
      <c r="S23">
        <v>43447.4</v>
      </c>
      <c r="T23">
        <v>3995.75</v>
      </c>
    </row>
    <row r="24" spans="1:20" x14ac:dyDescent="0.25">
      <c r="A24" t="s">
        <v>1719</v>
      </c>
      <c r="B24" s="8">
        <v>44651</v>
      </c>
      <c r="C24" s="8">
        <v>44651</v>
      </c>
      <c r="D24" t="s">
        <v>32</v>
      </c>
      <c r="E24" t="s">
        <v>3048</v>
      </c>
      <c r="F24" t="s">
        <v>3036</v>
      </c>
      <c r="G24" t="s">
        <v>1720</v>
      </c>
      <c r="H24">
        <v>9072119776</v>
      </c>
      <c r="I24" t="s">
        <v>35</v>
      </c>
      <c r="J24" t="s">
        <v>61</v>
      </c>
      <c r="L24" t="s">
        <v>85</v>
      </c>
      <c r="M24" t="s">
        <v>486</v>
      </c>
      <c r="N24" t="s">
        <v>1018</v>
      </c>
      <c r="O24">
        <v>18</v>
      </c>
      <c r="P24">
        <v>178691.03</v>
      </c>
      <c r="Q24">
        <v>0</v>
      </c>
      <c r="R24">
        <v>0</v>
      </c>
      <c r="S24" t="s">
        <v>1721</v>
      </c>
      <c r="T24">
        <v>1438358.6</v>
      </c>
    </row>
    <row r="25" spans="1:20" x14ac:dyDescent="0.25">
      <c r="A25" t="s">
        <v>2398</v>
      </c>
      <c r="B25" s="8">
        <v>44660</v>
      </c>
      <c r="C25" s="8">
        <v>44660</v>
      </c>
      <c r="D25" t="s">
        <v>32</v>
      </c>
      <c r="E25" t="s">
        <v>3092</v>
      </c>
      <c r="F25" t="s">
        <v>3039</v>
      </c>
      <c r="G25" t="s">
        <v>2400</v>
      </c>
      <c r="H25">
        <v>9058335114</v>
      </c>
      <c r="I25" t="s">
        <v>43</v>
      </c>
      <c r="J25" t="s">
        <v>69</v>
      </c>
      <c r="K25" t="s">
        <v>70</v>
      </c>
      <c r="L25" t="s">
        <v>96</v>
      </c>
      <c r="M25" t="s">
        <v>254</v>
      </c>
      <c r="N25" t="s">
        <v>455</v>
      </c>
      <c r="O25">
        <v>16</v>
      </c>
      <c r="P25">
        <v>358709.81</v>
      </c>
      <c r="Q25">
        <v>10</v>
      </c>
      <c r="R25">
        <v>573935.69999999995</v>
      </c>
      <c r="S25">
        <v>5165421.26</v>
      </c>
      <c r="T25">
        <v>1006685.24</v>
      </c>
    </row>
    <row r="26" spans="1:20" x14ac:dyDescent="0.25">
      <c r="A26" t="s">
        <v>2661</v>
      </c>
      <c r="B26" s="8">
        <v>44661</v>
      </c>
      <c r="C26" s="8">
        <v>44662</v>
      </c>
      <c r="D26" t="s">
        <v>32</v>
      </c>
      <c r="E26" t="s">
        <v>3035</v>
      </c>
      <c r="F26" t="s">
        <v>3038</v>
      </c>
      <c r="G26" t="s">
        <v>2663</v>
      </c>
      <c r="H26">
        <v>8108578703</v>
      </c>
      <c r="I26" t="s">
        <v>43</v>
      </c>
      <c r="J26" t="s">
        <v>61</v>
      </c>
      <c r="K26" t="s">
        <v>204</v>
      </c>
      <c r="L26" t="s">
        <v>63</v>
      </c>
      <c r="M26" t="s">
        <v>194</v>
      </c>
      <c r="N26" t="s">
        <v>336</v>
      </c>
      <c r="O26">
        <v>20</v>
      </c>
      <c r="P26">
        <v>1475.5</v>
      </c>
      <c r="Q26">
        <v>10</v>
      </c>
      <c r="R26">
        <v>2951</v>
      </c>
      <c r="S26">
        <v>26559</v>
      </c>
      <c r="T26">
        <v>2816.29</v>
      </c>
    </row>
    <row r="27" spans="1:20" x14ac:dyDescent="0.25">
      <c r="A27" t="s">
        <v>1252</v>
      </c>
      <c r="B27" s="8">
        <v>44665</v>
      </c>
      <c r="C27" s="8">
        <v>44665</v>
      </c>
      <c r="D27" t="s">
        <v>32</v>
      </c>
      <c r="E27" t="s">
        <v>3098</v>
      </c>
      <c r="F27" t="s">
        <v>3090</v>
      </c>
      <c r="G27" t="s">
        <v>1254</v>
      </c>
      <c r="H27">
        <v>7067575272</v>
      </c>
      <c r="I27" t="s">
        <v>125</v>
      </c>
      <c r="J27" t="s">
        <v>25</v>
      </c>
      <c r="L27" t="s">
        <v>85</v>
      </c>
      <c r="M27" t="s">
        <v>266</v>
      </c>
      <c r="N27" t="s">
        <v>1255</v>
      </c>
      <c r="O27">
        <v>15</v>
      </c>
      <c r="P27">
        <v>116268.96</v>
      </c>
      <c r="Q27">
        <v>10</v>
      </c>
      <c r="R27">
        <v>174403.44</v>
      </c>
      <c r="S27">
        <v>1569630.96</v>
      </c>
      <c r="T27">
        <v>58805.27</v>
      </c>
    </row>
    <row r="28" spans="1:20" x14ac:dyDescent="0.25">
      <c r="A28" t="s">
        <v>2000</v>
      </c>
      <c r="B28" s="8">
        <v>44667</v>
      </c>
      <c r="C28" s="8">
        <v>44668</v>
      </c>
      <c r="D28" t="s">
        <v>32</v>
      </c>
      <c r="E28" t="s">
        <v>3033</v>
      </c>
      <c r="F28" t="s">
        <v>3040</v>
      </c>
      <c r="G28" t="s">
        <v>2001</v>
      </c>
      <c r="H28">
        <v>9013914492</v>
      </c>
      <c r="I28" t="s">
        <v>24</v>
      </c>
      <c r="J28" t="s">
        <v>69</v>
      </c>
      <c r="K28" t="s">
        <v>119</v>
      </c>
      <c r="L28" t="s">
        <v>108</v>
      </c>
      <c r="M28" t="s">
        <v>38</v>
      </c>
      <c r="N28" t="s">
        <v>296</v>
      </c>
      <c r="O28">
        <v>8</v>
      </c>
      <c r="P28">
        <v>8813.08</v>
      </c>
      <c r="Q28">
        <v>0</v>
      </c>
      <c r="R28">
        <v>0</v>
      </c>
      <c r="S28">
        <v>70504.639999999999</v>
      </c>
      <c r="T28">
        <v>19460.330000000002</v>
      </c>
    </row>
    <row r="29" spans="1:20" x14ac:dyDescent="0.25">
      <c r="A29" t="s">
        <v>1664</v>
      </c>
      <c r="B29" s="8">
        <v>44674</v>
      </c>
      <c r="C29" s="8">
        <v>44675</v>
      </c>
      <c r="D29" t="s">
        <v>32</v>
      </c>
      <c r="E29" t="s">
        <v>3085</v>
      </c>
      <c r="F29" t="s">
        <v>3040</v>
      </c>
      <c r="G29" t="s">
        <v>1665</v>
      </c>
      <c r="H29">
        <v>8062708383</v>
      </c>
      <c r="I29" t="s">
        <v>35</v>
      </c>
      <c r="J29" t="s">
        <v>25</v>
      </c>
      <c r="K29" t="s">
        <v>126</v>
      </c>
      <c r="L29" t="s">
        <v>96</v>
      </c>
      <c r="M29" t="s">
        <v>254</v>
      </c>
      <c r="N29" t="s">
        <v>756</v>
      </c>
      <c r="O29">
        <v>13</v>
      </c>
      <c r="P29">
        <v>143288.79999999999</v>
      </c>
      <c r="Q29">
        <v>15</v>
      </c>
      <c r="R29">
        <v>279413.15999999997</v>
      </c>
      <c r="S29">
        <v>1583341.24</v>
      </c>
    </row>
    <row r="30" spans="1:20" x14ac:dyDescent="0.25">
      <c r="A30" t="s">
        <v>626</v>
      </c>
      <c r="B30" s="8">
        <v>44676</v>
      </c>
      <c r="C30" s="8">
        <v>44676</v>
      </c>
      <c r="D30" t="s">
        <v>32</v>
      </c>
      <c r="E30" t="s">
        <v>3048</v>
      </c>
      <c r="F30" t="s">
        <v>3050</v>
      </c>
      <c r="G30" t="s">
        <v>627</v>
      </c>
      <c r="H30">
        <v>8038279795</v>
      </c>
      <c r="I30" t="s">
        <v>24</v>
      </c>
      <c r="J30" t="s">
        <v>69</v>
      </c>
      <c r="K30" t="s">
        <v>70</v>
      </c>
      <c r="M30" t="s">
        <v>312</v>
      </c>
      <c r="N30" t="s">
        <v>628</v>
      </c>
      <c r="O30">
        <v>2</v>
      </c>
      <c r="P30">
        <v>22422.38</v>
      </c>
      <c r="Q30">
        <v>5</v>
      </c>
      <c r="R30">
        <v>2242.2399999999998</v>
      </c>
      <c r="S30">
        <v>42602.52</v>
      </c>
      <c r="T30">
        <v>-986.24</v>
      </c>
    </row>
    <row r="31" spans="1:20" x14ac:dyDescent="0.25">
      <c r="A31" t="s">
        <v>1862</v>
      </c>
      <c r="B31" s="8">
        <v>44679</v>
      </c>
      <c r="C31" s="8">
        <v>44680</v>
      </c>
      <c r="D31" t="s">
        <v>32</v>
      </c>
      <c r="E31" t="s">
        <v>3049</v>
      </c>
      <c r="F31" t="s">
        <v>3088</v>
      </c>
      <c r="G31" t="s">
        <v>1864</v>
      </c>
      <c r="H31">
        <v>7036005493</v>
      </c>
      <c r="I31" t="s">
        <v>24</v>
      </c>
      <c r="J31" t="s">
        <v>25</v>
      </c>
      <c r="K31" t="s">
        <v>168</v>
      </c>
      <c r="L31" t="s">
        <v>63</v>
      </c>
      <c r="M31" t="s">
        <v>249</v>
      </c>
      <c r="N31" t="s">
        <v>465</v>
      </c>
      <c r="O31">
        <v>6</v>
      </c>
      <c r="P31">
        <v>9068.18</v>
      </c>
      <c r="Q31">
        <v>15</v>
      </c>
      <c r="R31">
        <v>8161.36</v>
      </c>
      <c r="S31">
        <v>46247.72</v>
      </c>
      <c r="T31">
        <v>2900.63</v>
      </c>
    </row>
    <row r="32" spans="1:20" x14ac:dyDescent="0.25">
      <c r="A32" t="s">
        <v>786</v>
      </c>
      <c r="B32" s="8">
        <v>44686</v>
      </c>
      <c r="C32" s="8">
        <v>44686</v>
      </c>
      <c r="D32" t="s">
        <v>32</v>
      </c>
      <c r="E32" t="s">
        <v>3091</v>
      </c>
      <c r="F32" t="s">
        <v>3045</v>
      </c>
      <c r="G32" t="s">
        <v>788</v>
      </c>
      <c r="H32">
        <v>7064346346</v>
      </c>
      <c r="I32" t="s">
        <v>24</v>
      </c>
      <c r="K32" t="s">
        <v>70</v>
      </c>
      <c r="L32" t="s">
        <v>27</v>
      </c>
      <c r="M32" t="s">
        <v>354</v>
      </c>
      <c r="N32" t="s">
        <v>789</v>
      </c>
      <c r="O32">
        <v>13</v>
      </c>
      <c r="P32">
        <v>6420.32</v>
      </c>
      <c r="Q32">
        <v>10</v>
      </c>
      <c r="R32">
        <v>8346.42</v>
      </c>
      <c r="S32" t="s">
        <v>790</v>
      </c>
      <c r="T32">
        <v>10352.030000000001</v>
      </c>
    </row>
    <row r="33" spans="1:20" x14ac:dyDescent="0.25">
      <c r="A33" t="s">
        <v>1592</v>
      </c>
      <c r="B33" s="8">
        <v>44691</v>
      </c>
      <c r="C33" s="8">
        <v>44689</v>
      </c>
      <c r="D33" t="s">
        <v>32</v>
      </c>
      <c r="E33" t="s">
        <v>3053</v>
      </c>
      <c r="F33" t="s">
        <v>3039</v>
      </c>
      <c r="G33" t="s">
        <v>1594</v>
      </c>
      <c r="H33">
        <v>8134514088</v>
      </c>
      <c r="I33" t="s">
        <v>24</v>
      </c>
      <c r="J33" t="s">
        <v>61</v>
      </c>
      <c r="K33" t="s">
        <v>182</v>
      </c>
      <c r="L33" t="s">
        <v>63</v>
      </c>
      <c r="M33" t="s">
        <v>469</v>
      </c>
      <c r="N33" t="s">
        <v>1595</v>
      </c>
      <c r="O33">
        <v>11</v>
      </c>
      <c r="P33">
        <v>22798.58</v>
      </c>
      <c r="Q33">
        <v>20</v>
      </c>
      <c r="R33">
        <v>50156.88</v>
      </c>
      <c r="S33">
        <v>200627.5</v>
      </c>
      <c r="T33">
        <v>64618.84</v>
      </c>
    </row>
    <row r="34" spans="1:20" x14ac:dyDescent="0.25">
      <c r="A34" t="s">
        <v>2944</v>
      </c>
      <c r="B34" s="8">
        <v>44690</v>
      </c>
      <c r="C34" s="8">
        <v>44690</v>
      </c>
      <c r="D34" t="s">
        <v>32</v>
      </c>
      <c r="E34" t="s">
        <v>3056</v>
      </c>
      <c r="F34" t="s">
        <v>3042</v>
      </c>
      <c r="G34" t="s">
        <v>2946</v>
      </c>
      <c r="H34">
        <v>8154389982</v>
      </c>
      <c r="I34" t="s">
        <v>43</v>
      </c>
      <c r="J34" t="s">
        <v>69</v>
      </c>
      <c r="K34" t="s">
        <v>155</v>
      </c>
      <c r="L34" t="s">
        <v>96</v>
      </c>
      <c r="M34" t="s">
        <v>120</v>
      </c>
      <c r="N34" t="s">
        <v>359</v>
      </c>
      <c r="O34">
        <v>11</v>
      </c>
      <c r="P34">
        <v>369226.48</v>
      </c>
      <c r="Q34">
        <v>0</v>
      </c>
      <c r="R34">
        <v>0</v>
      </c>
      <c r="S34" t="s">
        <v>2947</v>
      </c>
      <c r="T34">
        <v>-492457.07</v>
      </c>
    </row>
    <row r="35" spans="1:20" x14ac:dyDescent="0.25">
      <c r="A35" t="s">
        <v>1592</v>
      </c>
      <c r="B35" s="8">
        <v>44691</v>
      </c>
      <c r="C35" s="8">
        <v>44691</v>
      </c>
      <c r="D35" t="s">
        <v>32</v>
      </c>
      <c r="E35" t="s">
        <v>3053</v>
      </c>
      <c r="F35" t="s">
        <v>3039</v>
      </c>
      <c r="G35" t="s">
        <v>1594</v>
      </c>
      <c r="H35">
        <v>8134514088</v>
      </c>
      <c r="I35" t="s">
        <v>24</v>
      </c>
      <c r="J35" t="s">
        <v>61</v>
      </c>
      <c r="K35" t="s">
        <v>182</v>
      </c>
      <c r="L35" t="s">
        <v>63</v>
      </c>
      <c r="M35" t="s">
        <v>469</v>
      </c>
      <c r="N35" t="s">
        <v>1595</v>
      </c>
      <c r="O35">
        <v>11</v>
      </c>
      <c r="P35">
        <v>22798.58</v>
      </c>
      <c r="Q35">
        <v>20</v>
      </c>
      <c r="R35">
        <v>50156.88</v>
      </c>
      <c r="S35">
        <v>200627.5</v>
      </c>
      <c r="T35">
        <v>64618.84</v>
      </c>
    </row>
    <row r="36" spans="1:20" x14ac:dyDescent="0.25">
      <c r="A36" t="s">
        <v>1848</v>
      </c>
      <c r="B36" s="8">
        <v>44697</v>
      </c>
      <c r="C36" s="8">
        <v>44698</v>
      </c>
      <c r="D36" t="s">
        <v>32</v>
      </c>
      <c r="E36" t="s">
        <v>3081</v>
      </c>
      <c r="F36" t="s">
        <v>3039</v>
      </c>
      <c r="G36" t="s">
        <v>1326</v>
      </c>
      <c r="H36">
        <v>9025584424</v>
      </c>
      <c r="I36" t="s">
        <v>35</v>
      </c>
      <c r="J36" t="s">
        <v>25</v>
      </c>
      <c r="K36" t="s">
        <v>36</v>
      </c>
      <c r="L36" t="s">
        <v>85</v>
      </c>
      <c r="M36" t="s">
        <v>218</v>
      </c>
      <c r="N36" t="s">
        <v>1058</v>
      </c>
      <c r="O36">
        <v>13</v>
      </c>
      <c r="P36">
        <v>9696.49</v>
      </c>
      <c r="Q36">
        <v>5</v>
      </c>
      <c r="R36">
        <v>6302.72</v>
      </c>
      <c r="S36">
        <v>119751.65</v>
      </c>
      <c r="T36">
        <v>9242.36</v>
      </c>
    </row>
    <row r="37" spans="1:20" x14ac:dyDescent="0.25">
      <c r="A37" t="s">
        <v>387</v>
      </c>
      <c r="B37" s="8">
        <v>44704</v>
      </c>
      <c r="C37" s="8">
        <v>44704</v>
      </c>
      <c r="D37" t="s">
        <v>32</v>
      </c>
      <c r="E37" t="s">
        <v>3047</v>
      </c>
      <c r="F37" t="s">
        <v>3050</v>
      </c>
      <c r="G37" t="s">
        <v>388</v>
      </c>
      <c r="H37">
        <v>7068043620</v>
      </c>
      <c r="I37" t="s">
        <v>24</v>
      </c>
      <c r="J37" t="s">
        <v>61</v>
      </c>
      <c r="K37" t="s">
        <v>62</v>
      </c>
      <c r="L37" t="s">
        <v>108</v>
      </c>
      <c r="M37" t="s">
        <v>38</v>
      </c>
      <c r="N37" t="s">
        <v>303</v>
      </c>
      <c r="O37">
        <v>11</v>
      </c>
      <c r="P37">
        <v>17912.28</v>
      </c>
      <c r="Q37" t="s">
        <v>376</v>
      </c>
      <c r="R37">
        <v>0</v>
      </c>
      <c r="S37">
        <v>197035.08</v>
      </c>
      <c r="T37">
        <v>74874.38</v>
      </c>
    </row>
    <row r="38" spans="1:20" x14ac:dyDescent="0.25">
      <c r="A38" t="s">
        <v>1079</v>
      </c>
      <c r="B38" s="8">
        <v>44708</v>
      </c>
      <c r="C38" s="8">
        <v>44708</v>
      </c>
      <c r="D38" t="s">
        <v>32</v>
      </c>
      <c r="E38" t="s">
        <v>3048</v>
      </c>
      <c r="F38" t="s">
        <v>3074</v>
      </c>
      <c r="G38" t="s">
        <v>1081</v>
      </c>
      <c r="H38">
        <v>7036316334</v>
      </c>
      <c r="I38" t="s">
        <v>24</v>
      </c>
      <c r="J38" t="s">
        <v>51</v>
      </c>
      <c r="K38" t="s">
        <v>316</v>
      </c>
      <c r="L38" t="s">
        <v>63</v>
      </c>
      <c r="M38" t="s">
        <v>469</v>
      </c>
      <c r="N38" t="s">
        <v>1082</v>
      </c>
      <c r="O38">
        <v>13</v>
      </c>
      <c r="P38">
        <v>15331.93</v>
      </c>
      <c r="Q38">
        <v>10</v>
      </c>
      <c r="R38">
        <v>19931.509999999998</v>
      </c>
      <c r="S38">
        <v>179383.58</v>
      </c>
      <c r="T38">
        <v>68634.86</v>
      </c>
    </row>
    <row r="39" spans="1:20" x14ac:dyDescent="0.25">
      <c r="A39" t="s">
        <v>970</v>
      </c>
      <c r="B39" s="8" t="s">
        <v>971</v>
      </c>
      <c r="C39" s="8">
        <v>44709</v>
      </c>
      <c r="D39" t="s">
        <v>32</v>
      </c>
      <c r="E39" t="s">
        <v>3047</v>
      </c>
      <c r="F39" t="s">
        <v>3071</v>
      </c>
      <c r="G39" t="s">
        <v>973</v>
      </c>
      <c r="H39">
        <v>8032468357</v>
      </c>
      <c r="I39" t="s">
        <v>24</v>
      </c>
      <c r="J39" t="s">
        <v>61</v>
      </c>
      <c r="K39" t="s">
        <v>84</v>
      </c>
      <c r="L39" t="s">
        <v>96</v>
      </c>
      <c r="M39" t="s">
        <v>120</v>
      </c>
      <c r="N39" t="s">
        <v>359</v>
      </c>
      <c r="O39">
        <v>18</v>
      </c>
      <c r="P39">
        <v>360483.43</v>
      </c>
      <c r="Q39">
        <v>0</v>
      </c>
      <c r="R39">
        <v>0</v>
      </c>
      <c r="S39">
        <v>6488701.7400000002</v>
      </c>
      <c r="T39">
        <v>1265150.04</v>
      </c>
    </row>
    <row r="40" spans="1:20" x14ac:dyDescent="0.25">
      <c r="A40" t="s">
        <v>2132</v>
      </c>
      <c r="B40" s="8">
        <v>44711</v>
      </c>
      <c r="C40" s="8">
        <v>44711</v>
      </c>
      <c r="D40" t="s">
        <v>32</v>
      </c>
      <c r="E40" t="s">
        <v>3097</v>
      </c>
      <c r="F40" t="s">
        <v>3050</v>
      </c>
      <c r="G40" t="s">
        <v>2134</v>
      </c>
      <c r="H40">
        <v>9052352134</v>
      </c>
      <c r="I40" t="s">
        <v>35</v>
      </c>
      <c r="J40" t="s">
        <v>51</v>
      </c>
      <c r="K40" t="s">
        <v>52</v>
      </c>
      <c r="L40" t="s">
        <v>27</v>
      </c>
      <c r="M40" t="s">
        <v>28</v>
      </c>
      <c r="N40" t="s">
        <v>508</v>
      </c>
      <c r="O40">
        <v>2</v>
      </c>
      <c r="P40">
        <v>2382.91</v>
      </c>
      <c r="Q40">
        <v>0</v>
      </c>
      <c r="R40">
        <v>0</v>
      </c>
      <c r="S40">
        <v>4765.82</v>
      </c>
      <c r="T40">
        <v>-613.07000000000005</v>
      </c>
    </row>
    <row r="41" spans="1:20" x14ac:dyDescent="0.25">
      <c r="A41" t="s">
        <v>2295</v>
      </c>
      <c r="B41" s="8">
        <v>44720</v>
      </c>
      <c r="C41" s="8">
        <v>44720</v>
      </c>
      <c r="D41" t="s">
        <v>32</v>
      </c>
      <c r="E41" t="s">
        <v>3033</v>
      </c>
      <c r="F41" t="s">
        <v>3083</v>
      </c>
      <c r="G41" t="s">
        <v>2297</v>
      </c>
      <c r="H41">
        <v>8034543890</v>
      </c>
      <c r="I41" t="s">
        <v>24</v>
      </c>
      <c r="J41" t="s">
        <v>1203</v>
      </c>
      <c r="K41" t="s">
        <v>36</v>
      </c>
      <c r="L41" t="s">
        <v>63</v>
      </c>
      <c r="M41" t="s">
        <v>64</v>
      </c>
      <c r="N41" t="s">
        <v>815</v>
      </c>
      <c r="O41">
        <v>6</v>
      </c>
      <c r="P41">
        <v>8819.8700000000008</v>
      </c>
      <c r="Q41">
        <v>15</v>
      </c>
      <c r="R41">
        <v>7937.88</v>
      </c>
      <c r="S41">
        <v>44981.34</v>
      </c>
      <c r="T41">
        <v>-2678.7</v>
      </c>
    </row>
    <row r="42" spans="1:20" x14ac:dyDescent="0.25">
      <c r="A42" t="s">
        <v>723</v>
      </c>
      <c r="B42" s="8">
        <v>44721</v>
      </c>
      <c r="C42" s="8">
        <v>44721</v>
      </c>
      <c r="D42" t="s">
        <v>32</v>
      </c>
      <c r="E42" t="s">
        <v>3035</v>
      </c>
      <c r="F42" t="s">
        <v>3043</v>
      </c>
      <c r="G42" t="s">
        <v>725</v>
      </c>
      <c r="H42">
        <v>8031135267</v>
      </c>
      <c r="I42" t="s">
        <v>35</v>
      </c>
      <c r="J42" t="s">
        <v>25</v>
      </c>
      <c r="K42" t="s">
        <v>26</v>
      </c>
      <c r="L42" t="s">
        <v>63</v>
      </c>
      <c r="M42" t="s">
        <v>194</v>
      </c>
      <c r="N42" t="s">
        <v>700</v>
      </c>
      <c r="O42">
        <v>14</v>
      </c>
      <c r="P42">
        <v>24709.8</v>
      </c>
      <c r="Q42">
        <v>0</v>
      </c>
      <c r="R42">
        <v>0</v>
      </c>
      <c r="S42">
        <v>345937.2</v>
      </c>
      <c r="T42">
        <v>47261.99</v>
      </c>
    </row>
    <row r="43" spans="1:20" x14ac:dyDescent="0.25">
      <c r="A43" t="s">
        <v>1343</v>
      </c>
      <c r="B43" s="8">
        <v>44727</v>
      </c>
      <c r="C43" s="8">
        <v>44727</v>
      </c>
      <c r="D43" t="s">
        <v>32</v>
      </c>
      <c r="E43" t="s">
        <v>3049</v>
      </c>
      <c r="F43" t="s">
        <v>3062</v>
      </c>
      <c r="G43" t="s">
        <v>1345</v>
      </c>
      <c r="H43">
        <v>9015760225</v>
      </c>
      <c r="I43" t="s">
        <v>35</v>
      </c>
      <c r="J43" t="s">
        <v>69</v>
      </c>
      <c r="K43" t="s">
        <v>119</v>
      </c>
      <c r="L43" t="s">
        <v>108</v>
      </c>
      <c r="M43" t="s">
        <v>183</v>
      </c>
      <c r="N43" t="s">
        <v>372</v>
      </c>
      <c r="O43">
        <v>9</v>
      </c>
      <c r="P43">
        <v>10864.89</v>
      </c>
      <c r="Q43">
        <v>25</v>
      </c>
      <c r="R43">
        <v>24446</v>
      </c>
      <c r="S43" t="s">
        <v>1346</v>
      </c>
      <c r="T43">
        <v>8819</v>
      </c>
    </row>
    <row r="44" spans="1:20" x14ac:dyDescent="0.25">
      <c r="A44" t="s">
        <v>2268</v>
      </c>
      <c r="B44" s="8">
        <v>44738</v>
      </c>
      <c r="C44" s="8">
        <v>44739</v>
      </c>
      <c r="D44" t="s">
        <v>32</v>
      </c>
      <c r="E44" t="s">
        <v>3081</v>
      </c>
      <c r="F44" t="s">
        <v>3038</v>
      </c>
      <c r="G44" t="s">
        <v>2270</v>
      </c>
      <c r="H44">
        <v>8102449847</v>
      </c>
      <c r="I44" t="s">
        <v>43</v>
      </c>
      <c r="J44" t="s">
        <v>51</v>
      </c>
      <c r="K44" t="s">
        <v>52</v>
      </c>
      <c r="L44" t="s">
        <v>85</v>
      </c>
      <c r="M44" t="s">
        <v>243</v>
      </c>
      <c r="N44" t="s">
        <v>244</v>
      </c>
      <c r="O44">
        <v>1</v>
      </c>
      <c r="P44">
        <v>115779.49</v>
      </c>
      <c r="Q44">
        <v>0</v>
      </c>
      <c r="R44">
        <v>0</v>
      </c>
      <c r="S44">
        <v>115779.49</v>
      </c>
      <c r="T44">
        <v>37424.79</v>
      </c>
    </row>
    <row r="45" spans="1:20" x14ac:dyDescent="0.25">
      <c r="A45" t="s">
        <v>918</v>
      </c>
      <c r="B45" s="8">
        <v>44742</v>
      </c>
      <c r="C45" s="8">
        <v>44743</v>
      </c>
      <c r="D45" t="s">
        <v>32</v>
      </c>
      <c r="E45" t="s">
        <v>3053</v>
      </c>
      <c r="F45" t="s">
        <v>3074</v>
      </c>
      <c r="G45" t="s">
        <v>920</v>
      </c>
      <c r="H45" t="s">
        <v>649</v>
      </c>
      <c r="I45" t="s">
        <v>43</v>
      </c>
      <c r="J45" t="s">
        <v>25</v>
      </c>
      <c r="K45" t="s">
        <v>168</v>
      </c>
      <c r="L45" t="s">
        <v>96</v>
      </c>
      <c r="M45" t="s">
        <v>189</v>
      </c>
      <c r="N45" t="s">
        <v>478</v>
      </c>
      <c r="O45">
        <v>18</v>
      </c>
      <c r="P45">
        <v>30586.89</v>
      </c>
      <c r="Q45">
        <v>0</v>
      </c>
      <c r="R45">
        <v>0</v>
      </c>
      <c r="S45">
        <v>550564.02</v>
      </c>
      <c r="T45">
        <v>190244.78</v>
      </c>
    </row>
    <row r="46" spans="1:20" x14ac:dyDescent="0.25">
      <c r="A46" t="s">
        <v>1774</v>
      </c>
      <c r="B46" s="8">
        <v>44744</v>
      </c>
      <c r="C46" s="8">
        <v>44744</v>
      </c>
      <c r="D46" t="s">
        <v>32</v>
      </c>
      <c r="E46" t="s">
        <v>3094</v>
      </c>
      <c r="F46" t="s">
        <v>3096</v>
      </c>
      <c r="G46" t="s">
        <v>1776</v>
      </c>
      <c r="H46">
        <v>8033394334</v>
      </c>
      <c r="I46" t="s">
        <v>43</v>
      </c>
      <c r="J46" t="s">
        <v>69</v>
      </c>
      <c r="K46" t="s">
        <v>155</v>
      </c>
      <c r="L46" t="s">
        <v>63</v>
      </c>
      <c r="M46" t="s">
        <v>469</v>
      </c>
      <c r="N46" t="s">
        <v>1595</v>
      </c>
      <c r="O46">
        <v>13</v>
      </c>
      <c r="P46">
        <v>23285.41</v>
      </c>
      <c r="Q46">
        <v>10</v>
      </c>
      <c r="R46">
        <v>30271.03</v>
      </c>
      <c r="S46">
        <v>272439.3</v>
      </c>
      <c r="T46">
        <v>-39816.410000000003</v>
      </c>
    </row>
    <row r="47" spans="1:20" x14ac:dyDescent="0.25">
      <c r="A47" t="s">
        <v>960</v>
      </c>
      <c r="B47" s="8">
        <v>44750</v>
      </c>
      <c r="C47" s="8">
        <v>44751</v>
      </c>
      <c r="D47" t="s">
        <v>32</v>
      </c>
      <c r="E47" t="s">
        <v>3067</v>
      </c>
      <c r="F47" t="s">
        <v>3052</v>
      </c>
      <c r="G47" t="s">
        <v>962</v>
      </c>
      <c r="H47">
        <v>7037053183</v>
      </c>
      <c r="I47" t="s">
        <v>24</v>
      </c>
      <c r="J47" t="s">
        <v>61</v>
      </c>
      <c r="K47" t="s">
        <v>204</v>
      </c>
      <c r="L47" t="s">
        <v>63</v>
      </c>
      <c r="M47" t="s">
        <v>54</v>
      </c>
      <c r="N47" t="s">
        <v>963</v>
      </c>
      <c r="O47">
        <v>18</v>
      </c>
      <c r="P47">
        <v>13497.22</v>
      </c>
      <c r="Q47">
        <v>0</v>
      </c>
      <c r="R47">
        <v>0</v>
      </c>
      <c r="S47">
        <v>242949.96</v>
      </c>
      <c r="T47">
        <v>-19719.48</v>
      </c>
    </row>
    <row r="48" spans="1:20" x14ac:dyDescent="0.25">
      <c r="A48" t="s">
        <v>293</v>
      </c>
      <c r="B48" s="8">
        <v>44752</v>
      </c>
      <c r="C48" s="8">
        <v>44752</v>
      </c>
      <c r="D48" t="s">
        <v>32</v>
      </c>
      <c r="E48" t="s">
        <v>3056</v>
      </c>
      <c r="F48" t="s">
        <v>3071</v>
      </c>
      <c r="G48" t="s">
        <v>295</v>
      </c>
      <c r="H48">
        <v>9073583206</v>
      </c>
      <c r="I48" t="s">
        <v>35</v>
      </c>
      <c r="J48" t="s">
        <v>51</v>
      </c>
      <c r="K48" t="s">
        <v>227</v>
      </c>
      <c r="L48" t="s">
        <v>108</v>
      </c>
      <c r="M48" t="s">
        <v>38</v>
      </c>
      <c r="N48" t="s">
        <v>296</v>
      </c>
      <c r="O48">
        <v>14</v>
      </c>
      <c r="P48">
        <v>32332.7</v>
      </c>
      <c r="Q48">
        <v>20</v>
      </c>
      <c r="R48">
        <v>90531.56</v>
      </c>
      <c r="S48">
        <v>362126.24</v>
      </c>
      <c r="T48">
        <v>158664.45000000001</v>
      </c>
    </row>
    <row r="49" spans="1:20" x14ac:dyDescent="0.25">
      <c r="A49" t="s">
        <v>1546</v>
      </c>
      <c r="B49" s="8">
        <v>44755</v>
      </c>
      <c r="C49" s="8">
        <v>44756</v>
      </c>
      <c r="D49" t="s">
        <v>32</v>
      </c>
      <c r="E49" t="s">
        <v>3094</v>
      </c>
      <c r="F49" t="s">
        <v>3042</v>
      </c>
      <c r="G49" t="s">
        <v>1548</v>
      </c>
      <c r="H49">
        <v>7035275844</v>
      </c>
      <c r="I49" t="s">
        <v>43</v>
      </c>
      <c r="J49" t="s">
        <v>25</v>
      </c>
      <c r="K49" t="s">
        <v>36</v>
      </c>
      <c r="L49" t="s">
        <v>27</v>
      </c>
      <c r="M49" t="s">
        <v>79</v>
      </c>
      <c r="N49" t="s">
        <v>234</v>
      </c>
      <c r="O49">
        <v>15</v>
      </c>
      <c r="P49">
        <v>425.27</v>
      </c>
      <c r="Q49">
        <v>0</v>
      </c>
      <c r="R49">
        <v>0</v>
      </c>
      <c r="S49" t="s">
        <v>1549</v>
      </c>
      <c r="T49">
        <v>2052.1799999999998</v>
      </c>
    </row>
    <row r="50" spans="1:20" x14ac:dyDescent="0.25">
      <c r="A50" t="s">
        <v>1144</v>
      </c>
      <c r="B50" s="8">
        <v>44757</v>
      </c>
      <c r="C50" s="8">
        <v>44758</v>
      </c>
      <c r="D50" t="s">
        <v>32</v>
      </c>
      <c r="F50" t="s">
        <v>3063</v>
      </c>
      <c r="G50" t="s">
        <v>1146</v>
      </c>
      <c r="H50">
        <v>8061938227</v>
      </c>
      <c r="I50" t="s">
        <v>35</v>
      </c>
      <c r="J50" t="s">
        <v>51</v>
      </c>
      <c r="K50" t="s">
        <v>316</v>
      </c>
      <c r="L50" t="s">
        <v>63</v>
      </c>
      <c r="M50" t="s">
        <v>558</v>
      </c>
      <c r="N50" t="s">
        <v>559</v>
      </c>
      <c r="O50">
        <v>4</v>
      </c>
      <c r="P50">
        <v>10704.78</v>
      </c>
      <c r="Q50">
        <v>5</v>
      </c>
      <c r="R50">
        <v>2140.96</v>
      </c>
      <c r="S50">
        <v>40678.160000000003</v>
      </c>
      <c r="T50">
        <v>12146.79</v>
      </c>
    </row>
    <row r="51" spans="1:20" x14ac:dyDescent="0.25">
      <c r="A51" t="s">
        <v>1985</v>
      </c>
      <c r="B51" s="8">
        <v>44761</v>
      </c>
      <c r="C51" s="8">
        <v>44761</v>
      </c>
      <c r="D51" t="s">
        <v>32</v>
      </c>
      <c r="E51" t="s">
        <v>3082</v>
      </c>
      <c r="F51" t="s">
        <v>3034</v>
      </c>
      <c r="G51" t="s">
        <v>1987</v>
      </c>
      <c r="H51">
        <v>7063786712</v>
      </c>
      <c r="I51" t="s">
        <v>35</v>
      </c>
      <c r="J51" t="s">
        <v>25</v>
      </c>
      <c r="K51" t="s">
        <v>168</v>
      </c>
      <c r="L51" t="s">
        <v>27</v>
      </c>
      <c r="M51" t="s">
        <v>28</v>
      </c>
      <c r="N51" t="s">
        <v>508</v>
      </c>
      <c r="O51">
        <v>0</v>
      </c>
      <c r="P51">
        <v>2980.26</v>
      </c>
      <c r="Q51">
        <v>0</v>
      </c>
      <c r="R51">
        <v>0</v>
      </c>
      <c r="S51">
        <v>20861.82</v>
      </c>
      <c r="T51">
        <v>1505.26</v>
      </c>
    </row>
    <row r="52" spans="1:20" x14ac:dyDescent="0.25">
      <c r="A52" t="s">
        <v>1985</v>
      </c>
      <c r="B52" s="8">
        <v>44761</v>
      </c>
      <c r="C52" s="8">
        <v>44761</v>
      </c>
      <c r="D52" t="s">
        <v>32</v>
      </c>
      <c r="E52" t="s">
        <v>3082</v>
      </c>
      <c r="F52" t="s">
        <v>3034</v>
      </c>
      <c r="G52" t="s">
        <v>1987</v>
      </c>
      <c r="H52">
        <v>7063786712</v>
      </c>
      <c r="I52" t="s">
        <v>35</v>
      </c>
      <c r="J52" t="s">
        <v>1663</v>
      </c>
      <c r="K52" t="s">
        <v>168</v>
      </c>
      <c r="L52" t="s">
        <v>27</v>
      </c>
      <c r="M52" t="s">
        <v>28</v>
      </c>
      <c r="N52" t="s">
        <v>508</v>
      </c>
      <c r="O52">
        <v>7</v>
      </c>
      <c r="P52">
        <v>2980.26</v>
      </c>
      <c r="Q52">
        <v>0</v>
      </c>
      <c r="R52">
        <v>0</v>
      </c>
      <c r="S52">
        <v>20861.82</v>
      </c>
      <c r="T52">
        <v>1505.26</v>
      </c>
    </row>
    <row r="53" spans="1:20" x14ac:dyDescent="0.25">
      <c r="A53" t="s">
        <v>1794</v>
      </c>
      <c r="B53" s="8">
        <v>44767</v>
      </c>
      <c r="C53" s="8">
        <v>44768</v>
      </c>
      <c r="D53" t="s">
        <v>32</v>
      </c>
      <c r="E53" t="s">
        <v>3076</v>
      </c>
      <c r="F53" t="s">
        <v>3088</v>
      </c>
      <c r="G53" t="s">
        <v>1095</v>
      </c>
      <c r="H53">
        <v>9013401850</v>
      </c>
      <c r="I53" t="s">
        <v>43</v>
      </c>
      <c r="J53" t="s">
        <v>25</v>
      </c>
      <c r="K53" t="s">
        <v>44</v>
      </c>
      <c r="L53" t="s">
        <v>27</v>
      </c>
      <c r="M53" t="s">
        <v>173</v>
      </c>
      <c r="N53" t="s">
        <v>1795</v>
      </c>
      <c r="O53">
        <v>16</v>
      </c>
      <c r="P53">
        <v>544.44000000000005</v>
      </c>
      <c r="Q53">
        <v>0</v>
      </c>
      <c r="R53">
        <v>0</v>
      </c>
      <c r="T53">
        <v>268.38</v>
      </c>
    </row>
    <row r="54" spans="1:20" x14ac:dyDescent="0.25">
      <c r="A54" t="s">
        <v>2203</v>
      </c>
      <c r="B54" s="8">
        <v>44767</v>
      </c>
      <c r="C54" s="8">
        <v>44768</v>
      </c>
      <c r="D54" t="s">
        <v>32</v>
      </c>
      <c r="E54" t="s">
        <v>3050</v>
      </c>
      <c r="F54" t="s">
        <v>3042</v>
      </c>
      <c r="G54" t="s">
        <v>853</v>
      </c>
      <c r="H54">
        <v>9071133724</v>
      </c>
      <c r="I54" t="s">
        <v>35</v>
      </c>
      <c r="J54" t="s">
        <v>25</v>
      </c>
      <c r="K54" t="s">
        <v>44</v>
      </c>
      <c r="L54" t="s">
        <v>85</v>
      </c>
      <c r="M54" t="s">
        <v>218</v>
      </c>
      <c r="N54" t="s">
        <v>842</v>
      </c>
      <c r="O54">
        <v>8</v>
      </c>
      <c r="P54">
        <v>72707.960000000006</v>
      </c>
      <c r="Q54">
        <v>5</v>
      </c>
      <c r="R54">
        <v>29083.18</v>
      </c>
      <c r="S54">
        <v>552580.5</v>
      </c>
      <c r="T54">
        <v>5068.0600000000004</v>
      </c>
    </row>
    <row r="55" spans="1:20" x14ac:dyDescent="0.25">
      <c r="A55" t="s">
        <v>643</v>
      </c>
      <c r="B55" s="8">
        <v>44773</v>
      </c>
      <c r="C55" s="8">
        <v>44773</v>
      </c>
      <c r="D55" t="s">
        <v>32</v>
      </c>
      <c r="E55" t="s">
        <v>3081</v>
      </c>
      <c r="F55" t="s">
        <v>3039</v>
      </c>
      <c r="G55" t="s">
        <v>645</v>
      </c>
      <c r="H55">
        <v>9056443037</v>
      </c>
      <c r="I55" t="s">
        <v>24</v>
      </c>
      <c r="J55" t="s">
        <v>69</v>
      </c>
      <c r="K55" t="s">
        <v>70</v>
      </c>
      <c r="L55" t="s">
        <v>108</v>
      </c>
      <c r="M55" t="s">
        <v>114</v>
      </c>
      <c r="N55" t="s">
        <v>482</v>
      </c>
      <c r="P55">
        <v>19793.830000000002</v>
      </c>
      <c r="Q55">
        <v>25</v>
      </c>
      <c r="R55">
        <v>14845.37</v>
      </c>
      <c r="S55">
        <v>44536.12</v>
      </c>
      <c r="T55">
        <v>17508.240000000002</v>
      </c>
    </row>
    <row r="56" spans="1:20" x14ac:dyDescent="0.25">
      <c r="A56" t="s">
        <v>2264</v>
      </c>
      <c r="B56" s="8">
        <v>44774</v>
      </c>
      <c r="C56" s="8">
        <v>44774</v>
      </c>
      <c r="D56" t="s">
        <v>32</v>
      </c>
      <c r="E56" t="s">
        <v>3073</v>
      </c>
      <c r="F56" t="s">
        <v>3046</v>
      </c>
      <c r="H56">
        <v>9013968018</v>
      </c>
      <c r="I56" t="s">
        <v>35</v>
      </c>
      <c r="J56" t="s">
        <v>69</v>
      </c>
      <c r="K56" t="s">
        <v>70</v>
      </c>
      <c r="L56" t="s">
        <v>85</v>
      </c>
      <c r="M56" t="s">
        <v>86</v>
      </c>
      <c r="N56" t="s">
        <v>199</v>
      </c>
      <c r="O56">
        <v>4</v>
      </c>
      <c r="P56">
        <v>151459.07999999999</v>
      </c>
      <c r="Q56">
        <v>0</v>
      </c>
      <c r="R56">
        <v>0</v>
      </c>
      <c r="S56">
        <v>605836.31999999995</v>
      </c>
      <c r="T56">
        <v>70293.25</v>
      </c>
    </row>
    <row r="57" spans="1:20" x14ac:dyDescent="0.25">
      <c r="A57" t="s">
        <v>2505</v>
      </c>
      <c r="B57" s="8">
        <v>44775</v>
      </c>
      <c r="C57" s="8">
        <v>44776</v>
      </c>
      <c r="D57" t="s">
        <v>32</v>
      </c>
      <c r="E57" t="s">
        <v>3060</v>
      </c>
      <c r="F57" t="s">
        <v>3083</v>
      </c>
      <c r="G57" t="s">
        <v>2507</v>
      </c>
      <c r="H57">
        <v>8169348587</v>
      </c>
      <c r="I57" t="s">
        <v>35</v>
      </c>
      <c r="J57" t="s">
        <v>25</v>
      </c>
      <c r="K57" t="s">
        <v>168</v>
      </c>
      <c r="L57" t="s">
        <v>63</v>
      </c>
      <c r="M57" t="s">
        <v>194</v>
      </c>
      <c r="N57" t="s">
        <v>700</v>
      </c>
      <c r="O57">
        <v>2</v>
      </c>
      <c r="P57">
        <v>13424.98</v>
      </c>
      <c r="Q57">
        <v>5</v>
      </c>
      <c r="R57">
        <v>1342.5</v>
      </c>
      <c r="S57">
        <v>25507.46</v>
      </c>
      <c r="T57">
        <v>10663.85</v>
      </c>
    </row>
    <row r="58" spans="1:20" x14ac:dyDescent="0.25">
      <c r="A58" t="s">
        <v>1262</v>
      </c>
      <c r="B58" s="8">
        <v>44781</v>
      </c>
      <c r="C58" s="8">
        <v>44782</v>
      </c>
      <c r="D58" t="s">
        <v>32</v>
      </c>
      <c r="E58" t="s">
        <v>3060</v>
      </c>
      <c r="F58" t="s">
        <v>3040</v>
      </c>
      <c r="G58" t="s">
        <v>1264</v>
      </c>
      <c r="H58">
        <v>9026068701</v>
      </c>
      <c r="I58" t="s">
        <v>35</v>
      </c>
      <c r="J58" t="s">
        <v>61</v>
      </c>
      <c r="K58" t="s">
        <v>84</v>
      </c>
      <c r="L58" t="s">
        <v>27</v>
      </c>
      <c r="M58" t="s">
        <v>28</v>
      </c>
      <c r="N58" t="s">
        <v>262</v>
      </c>
      <c r="O58">
        <v>-2</v>
      </c>
      <c r="P58">
        <v>4847.13</v>
      </c>
      <c r="Q58">
        <v>5</v>
      </c>
      <c r="R58">
        <v>1938.85</v>
      </c>
      <c r="S58">
        <v>36838.19</v>
      </c>
      <c r="T58">
        <v>6585.54</v>
      </c>
    </row>
    <row r="59" spans="1:20" x14ac:dyDescent="0.25">
      <c r="A59" t="s">
        <v>683</v>
      </c>
      <c r="B59" s="8">
        <v>44795</v>
      </c>
      <c r="C59" s="8">
        <v>44796</v>
      </c>
      <c r="D59" t="s">
        <v>32</v>
      </c>
      <c r="E59" t="s">
        <v>3097</v>
      </c>
      <c r="F59" t="s">
        <v>3086</v>
      </c>
      <c r="G59" t="s">
        <v>685</v>
      </c>
      <c r="H59">
        <v>9053894531</v>
      </c>
      <c r="I59" t="s">
        <v>43</v>
      </c>
      <c r="J59" t="s">
        <v>51</v>
      </c>
      <c r="K59" t="s">
        <v>227</v>
      </c>
      <c r="L59" t="s">
        <v>63</v>
      </c>
      <c r="M59" t="s">
        <v>312</v>
      </c>
      <c r="N59" t="s">
        <v>686</v>
      </c>
      <c r="O59">
        <v>5</v>
      </c>
      <c r="P59">
        <v>2576.42</v>
      </c>
      <c r="Q59">
        <v>10</v>
      </c>
      <c r="R59">
        <v>1288.21</v>
      </c>
      <c r="S59">
        <v>11593.89</v>
      </c>
      <c r="T59">
        <v>-919.2</v>
      </c>
    </row>
    <row r="60" spans="1:20" x14ac:dyDescent="0.25">
      <c r="A60" t="s">
        <v>2559</v>
      </c>
      <c r="B60" s="8">
        <v>44804</v>
      </c>
      <c r="C60" s="8">
        <v>44805</v>
      </c>
      <c r="D60" t="s">
        <v>32</v>
      </c>
      <c r="E60" t="s">
        <v>3048</v>
      </c>
      <c r="F60" t="s">
        <v>3077</v>
      </c>
      <c r="G60" t="s">
        <v>2561</v>
      </c>
      <c r="H60">
        <v>9015718333</v>
      </c>
      <c r="I60" t="s">
        <v>35</v>
      </c>
      <c r="J60" t="s">
        <v>61</v>
      </c>
      <c r="K60" t="s">
        <v>62</v>
      </c>
      <c r="L60" t="s">
        <v>85</v>
      </c>
      <c r="M60" t="s">
        <v>86</v>
      </c>
      <c r="N60" t="s">
        <v>87</v>
      </c>
      <c r="O60">
        <v>4</v>
      </c>
      <c r="P60">
        <v>164379.79</v>
      </c>
      <c r="Q60">
        <v>0</v>
      </c>
      <c r="R60">
        <v>0</v>
      </c>
      <c r="S60">
        <v>657519.16</v>
      </c>
      <c r="T60">
        <v>-45132.61</v>
      </c>
    </row>
    <row r="61" spans="1:20" x14ac:dyDescent="0.25">
      <c r="A61" t="s">
        <v>2485</v>
      </c>
      <c r="B61" s="8">
        <v>44806</v>
      </c>
      <c r="C61" s="8">
        <v>44807</v>
      </c>
      <c r="D61" t="s">
        <v>32</v>
      </c>
      <c r="E61" t="s">
        <v>3081</v>
      </c>
      <c r="F61" t="s">
        <v>3038</v>
      </c>
      <c r="G61" t="s">
        <v>2487</v>
      </c>
      <c r="H61">
        <v>9057500351</v>
      </c>
      <c r="I61" t="s">
        <v>959</v>
      </c>
      <c r="J61" t="s">
        <v>61</v>
      </c>
      <c r="K61" t="s">
        <v>62</v>
      </c>
      <c r="L61" t="s">
        <v>108</v>
      </c>
      <c r="M61" t="s">
        <v>183</v>
      </c>
      <c r="N61" t="s">
        <v>869</v>
      </c>
      <c r="O61">
        <v>11</v>
      </c>
      <c r="P61">
        <v>7955.91</v>
      </c>
      <c r="Q61">
        <v>0</v>
      </c>
      <c r="R61">
        <v>0</v>
      </c>
      <c r="S61">
        <v>87515.01</v>
      </c>
      <c r="T61">
        <v>-8093.56</v>
      </c>
    </row>
    <row r="62" spans="1:20" x14ac:dyDescent="0.25">
      <c r="A62" t="s">
        <v>1641</v>
      </c>
      <c r="B62" s="8">
        <v>44813</v>
      </c>
      <c r="C62" s="8">
        <v>44813</v>
      </c>
      <c r="D62" t="s">
        <v>32</v>
      </c>
      <c r="E62" t="s">
        <v>3060</v>
      </c>
      <c r="F62" t="s">
        <v>3036</v>
      </c>
      <c r="G62" t="s">
        <v>1643</v>
      </c>
      <c r="H62">
        <v>8139469478</v>
      </c>
      <c r="I62" t="s">
        <v>35</v>
      </c>
      <c r="J62" t="s">
        <v>25</v>
      </c>
      <c r="K62" t="s">
        <v>44</v>
      </c>
      <c r="L62" t="s">
        <v>63</v>
      </c>
      <c r="M62" t="s">
        <v>469</v>
      </c>
      <c r="N62" t="s">
        <v>1082</v>
      </c>
      <c r="O62">
        <v>15</v>
      </c>
      <c r="P62">
        <v>16061.66</v>
      </c>
      <c r="Q62">
        <v>10</v>
      </c>
      <c r="R62">
        <v>24092.49</v>
      </c>
      <c r="S62">
        <v>216832.41</v>
      </c>
      <c r="T62">
        <v>-529.73</v>
      </c>
    </row>
    <row r="63" spans="1:20" x14ac:dyDescent="0.25">
      <c r="A63" t="s">
        <v>1798</v>
      </c>
      <c r="B63" s="8">
        <v>44814</v>
      </c>
      <c r="C63" s="8">
        <v>44814</v>
      </c>
      <c r="D63" t="s">
        <v>32</v>
      </c>
      <c r="E63" t="s">
        <v>3037</v>
      </c>
      <c r="F63" t="s">
        <v>3040</v>
      </c>
      <c r="G63" t="s">
        <v>1800</v>
      </c>
      <c r="H63">
        <v>8066583476</v>
      </c>
      <c r="I63" t="s">
        <v>24</v>
      </c>
      <c r="J63" t="s">
        <v>61</v>
      </c>
      <c r="K63" t="s">
        <v>182</v>
      </c>
      <c r="L63" t="s">
        <v>85</v>
      </c>
      <c r="M63" t="s">
        <v>266</v>
      </c>
      <c r="N63" t="s">
        <v>1255</v>
      </c>
      <c r="O63">
        <v>11</v>
      </c>
      <c r="P63">
        <v>19122.73</v>
      </c>
      <c r="Q63">
        <v>15</v>
      </c>
      <c r="R63">
        <v>31552.5</v>
      </c>
      <c r="S63">
        <v>178797.53</v>
      </c>
      <c r="T63">
        <v>70821.75</v>
      </c>
    </row>
    <row r="64" spans="1:20" x14ac:dyDescent="0.25">
      <c r="A64" t="s">
        <v>1647</v>
      </c>
      <c r="B64" s="8">
        <v>44814</v>
      </c>
      <c r="C64" s="8">
        <v>44815</v>
      </c>
      <c r="D64" t="s">
        <v>32</v>
      </c>
      <c r="E64" t="s">
        <v>3098</v>
      </c>
      <c r="F64" t="s">
        <v>3042</v>
      </c>
      <c r="G64" t="s">
        <v>1648</v>
      </c>
      <c r="H64">
        <v>7063972698</v>
      </c>
      <c r="I64" t="s">
        <v>35</v>
      </c>
      <c r="J64" t="s">
        <v>25</v>
      </c>
      <c r="K64" t="s">
        <v>36</v>
      </c>
      <c r="L64" t="s">
        <v>96</v>
      </c>
      <c r="M64" t="s">
        <v>120</v>
      </c>
      <c r="N64" t="s">
        <v>133</v>
      </c>
      <c r="O64">
        <v>7</v>
      </c>
      <c r="P64">
        <v>176159.08</v>
      </c>
      <c r="Q64">
        <v>20</v>
      </c>
      <c r="R64">
        <v>246622.71</v>
      </c>
      <c r="S64">
        <v>986490.85</v>
      </c>
      <c r="T64">
        <v>-142431.54</v>
      </c>
    </row>
    <row r="65" spans="1:20" x14ac:dyDescent="0.25">
      <c r="A65" t="s">
        <v>2774</v>
      </c>
      <c r="B65" s="8">
        <v>44820</v>
      </c>
      <c r="C65" s="8">
        <v>44820</v>
      </c>
      <c r="D65" t="s">
        <v>32</v>
      </c>
      <c r="E65" t="s">
        <v>3044</v>
      </c>
      <c r="F65" t="s">
        <v>3064</v>
      </c>
      <c r="G65" t="s">
        <v>2776</v>
      </c>
      <c r="H65">
        <v>9016367876</v>
      </c>
      <c r="I65" t="s">
        <v>35</v>
      </c>
      <c r="J65" t="s">
        <v>25</v>
      </c>
      <c r="K65" t="s">
        <v>126</v>
      </c>
      <c r="L65" t="s">
        <v>27</v>
      </c>
      <c r="M65" t="s">
        <v>354</v>
      </c>
      <c r="N65" t="s">
        <v>433</v>
      </c>
      <c r="O65">
        <v>4</v>
      </c>
      <c r="P65">
        <v>3652.08</v>
      </c>
      <c r="Q65">
        <v>25</v>
      </c>
      <c r="R65">
        <v>3652.08</v>
      </c>
      <c r="S65">
        <v>10956.24</v>
      </c>
      <c r="T65">
        <v>3151.32</v>
      </c>
    </row>
    <row r="66" spans="1:20" x14ac:dyDescent="0.25">
      <c r="A66" t="s">
        <v>2519</v>
      </c>
      <c r="B66" s="8" t="s">
        <v>2520</v>
      </c>
      <c r="C66" s="8">
        <v>44825</v>
      </c>
      <c r="D66" t="s">
        <v>32</v>
      </c>
      <c r="E66" t="s">
        <v>3044</v>
      </c>
      <c r="F66" t="s">
        <v>3040</v>
      </c>
      <c r="G66" t="s">
        <v>2522</v>
      </c>
      <c r="H66">
        <v>8063666299</v>
      </c>
      <c r="I66" t="s">
        <v>24</v>
      </c>
      <c r="J66" t="s">
        <v>69</v>
      </c>
      <c r="K66" t="s">
        <v>307</v>
      </c>
      <c r="L66" t="s">
        <v>108</v>
      </c>
      <c r="M66" t="s">
        <v>114</v>
      </c>
      <c r="N66" t="s">
        <v>848</v>
      </c>
      <c r="O66">
        <v>6</v>
      </c>
      <c r="P66">
        <v>25088.41</v>
      </c>
      <c r="Q66">
        <v>10</v>
      </c>
      <c r="R66">
        <v>15053.05</v>
      </c>
      <c r="S66">
        <v>135477.41</v>
      </c>
      <c r="T66">
        <v>57332.73</v>
      </c>
    </row>
    <row r="67" spans="1:20" x14ac:dyDescent="0.25">
      <c r="A67" t="s">
        <v>1256</v>
      </c>
      <c r="B67" s="8">
        <v>44831</v>
      </c>
      <c r="C67" s="8">
        <v>44831</v>
      </c>
      <c r="D67" t="s">
        <v>32</v>
      </c>
      <c r="E67" t="s">
        <v>3039</v>
      </c>
      <c r="F67" t="s">
        <v>3038</v>
      </c>
      <c r="G67" t="s">
        <v>1257</v>
      </c>
      <c r="H67">
        <v>8168808058</v>
      </c>
      <c r="I67" t="s">
        <v>35</v>
      </c>
      <c r="J67" t="s">
        <v>61</v>
      </c>
      <c r="K67" t="s">
        <v>84</v>
      </c>
      <c r="L67" t="s">
        <v>108</v>
      </c>
      <c r="M67" t="s">
        <v>109</v>
      </c>
      <c r="N67" t="s">
        <v>1258</v>
      </c>
      <c r="O67">
        <v>20</v>
      </c>
      <c r="P67">
        <v>8180.03</v>
      </c>
      <c r="Q67">
        <v>10</v>
      </c>
      <c r="R67">
        <v>16360.06</v>
      </c>
      <c r="S67">
        <v>147240.54</v>
      </c>
      <c r="T67">
        <v>58560.06</v>
      </c>
    </row>
    <row r="68" spans="1:20" x14ac:dyDescent="0.25">
      <c r="A68" t="s">
        <v>1739</v>
      </c>
      <c r="B68" s="8">
        <v>44834</v>
      </c>
      <c r="C68" s="8">
        <v>44835</v>
      </c>
      <c r="D68" t="s">
        <v>32</v>
      </c>
      <c r="E68" t="s">
        <v>3065</v>
      </c>
      <c r="F68" t="s">
        <v>3040</v>
      </c>
      <c r="G68" t="s">
        <v>1741</v>
      </c>
      <c r="H68">
        <v>8039088805</v>
      </c>
      <c r="I68" t="s">
        <v>43</v>
      </c>
      <c r="J68" t="s">
        <v>25</v>
      </c>
      <c r="K68" t="s">
        <v>36</v>
      </c>
      <c r="L68" t="s">
        <v>96</v>
      </c>
      <c r="M68" t="s">
        <v>97</v>
      </c>
      <c r="N68" t="s">
        <v>98</v>
      </c>
      <c r="O68">
        <v>19</v>
      </c>
      <c r="P68">
        <v>279712</v>
      </c>
      <c r="Q68">
        <v>20</v>
      </c>
      <c r="R68">
        <v>1062905.6000000001</v>
      </c>
      <c r="S68">
        <v>4251622.4000000004</v>
      </c>
      <c r="T68">
        <v>337675.92</v>
      </c>
    </row>
    <row r="69" spans="1:20" x14ac:dyDescent="0.25">
      <c r="A69" t="s">
        <v>653</v>
      </c>
      <c r="B69" s="8">
        <v>44840</v>
      </c>
      <c r="C69" s="8">
        <v>44841</v>
      </c>
      <c r="D69" t="s">
        <v>32</v>
      </c>
      <c r="E69" t="s">
        <v>3041</v>
      </c>
      <c r="F69" t="s">
        <v>3088</v>
      </c>
      <c r="G69" t="s">
        <v>655</v>
      </c>
      <c r="H69">
        <v>8146271120</v>
      </c>
      <c r="I69" t="s">
        <v>43</v>
      </c>
      <c r="J69" t="s">
        <v>51</v>
      </c>
      <c r="K69" t="s">
        <v>316</v>
      </c>
      <c r="L69" t="s">
        <v>85</v>
      </c>
      <c r="M69" t="s">
        <v>486</v>
      </c>
      <c r="N69" t="s">
        <v>543</v>
      </c>
      <c r="O69">
        <v>16</v>
      </c>
      <c r="P69">
        <v>58129.08</v>
      </c>
      <c r="Q69">
        <v>5</v>
      </c>
      <c r="R69">
        <v>46503.26</v>
      </c>
      <c r="S69">
        <v>883562.02</v>
      </c>
      <c r="T69">
        <v>40230.120000000003</v>
      </c>
    </row>
    <row r="70" spans="1:20" x14ac:dyDescent="0.25">
      <c r="A70" t="s">
        <v>444</v>
      </c>
      <c r="B70" s="8">
        <v>44846</v>
      </c>
      <c r="C70" s="8">
        <v>44847</v>
      </c>
      <c r="D70" t="s">
        <v>32</v>
      </c>
      <c r="E70" t="s">
        <v>3053</v>
      </c>
      <c r="F70" t="s">
        <v>3088</v>
      </c>
      <c r="G70" t="s">
        <v>446</v>
      </c>
      <c r="H70">
        <v>8061318832</v>
      </c>
      <c r="I70" t="s">
        <v>43</v>
      </c>
      <c r="J70" t="s">
        <v>61</v>
      </c>
      <c r="K70" t="s">
        <v>95</v>
      </c>
      <c r="L70" t="s">
        <v>63</v>
      </c>
      <c r="M70" t="s">
        <v>54</v>
      </c>
      <c r="N70" t="s">
        <v>150</v>
      </c>
      <c r="O70">
        <v>20</v>
      </c>
      <c r="P70">
        <v>13945.7</v>
      </c>
      <c r="Q70">
        <v>25</v>
      </c>
      <c r="R70">
        <v>69728.5</v>
      </c>
      <c r="S70">
        <v>209185.5</v>
      </c>
      <c r="T70">
        <v>21745.43</v>
      </c>
    </row>
    <row r="71" spans="1:20" x14ac:dyDescent="0.25">
      <c r="A71" t="s">
        <v>632</v>
      </c>
      <c r="B71" s="8">
        <v>44848</v>
      </c>
      <c r="C71" s="8">
        <v>44848</v>
      </c>
      <c r="D71" t="s">
        <v>32</v>
      </c>
      <c r="E71" t="s">
        <v>3092</v>
      </c>
      <c r="F71" t="s">
        <v>3034</v>
      </c>
      <c r="G71" t="s">
        <v>634</v>
      </c>
      <c r="H71">
        <v>8032638895</v>
      </c>
      <c r="I71" t="s">
        <v>43</v>
      </c>
      <c r="J71" t="s">
        <v>69</v>
      </c>
      <c r="K71" t="s">
        <v>155</v>
      </c>
      <c r="L71" t="s">
        <v>108</v>
      </c>
      <c r="M71" t="s">
        <v>109</v>
      </c>
      <c r="N71" t="s">
        <v>110</v>
      </c>
      <c r="O71" t="s">
        <v>635</v>
      </c>
      <c r="P71" t="s">
        <v>636</v>
      </c>
      <c r="Q71">
        <v>15</v>
      </c>
      <c r="R71">
        <v>49936.47</v>
      </c>
      <c r="S71">
        <v>282973.33</v>
      </c>
      <c r="T71">
        <v>122061.2</v>
      </c>
    </row>
    <row r="72" spans="1:20" x14ac:dyDescent="0.25">
      <c r="A72" t="s">
        <v>66</v>
      </c>
      <c r="B72" s="8">
        <v>44854</v>
      </c>
      <c r="C72" s="8">
        <v>44855</v>
      </c>
      <c r="D72" t="s">
        <v>32</v>
      </c>
      <c r="E72" t="s">
        <v>3033</v>
      </c>
      <c r="F72" t="s">
        <v>3043</v>
      </c>
      <c r="G72" t="s">
        <v>68</v>
      </c>
      <c r="H72">
        <v>9018187926</v>
      </c>
      <c r="I72" t="s">
        <v>24</v>
      </c>
      <c r="J72" t="s">
        <v>69</v>
      </c>
      <c r="K72" t="s">
        <v>70</v>
      </c>
      <c r="L72" t="s">
        <v>27</v>
      </c>
      <c r="M72" t="s">
        <v>28</v>
      </c>
      <c r="N72" t="s">
        <v>71</v>
      </c>
      <c r="O72">
        <v>5</v>
      </c>
      <c r="P72">
        <v>1988.77</v>
      </c>
      <c r="Q72">
        <v>25</v>
      </c>
      <c r="R72">
        <v>2485.96</v>
      </c>
      <c r="S72">
        <v>7457.89</v>
      </c>
    </row>
    <row r="73" spans="1:20" x14ac:dyDescent="0.25">
      <c r="A73" t="s">
        <v>531</v>
      </c>
      <c r="B73" s="8">
        <v>44864</v>
      </c>
      <c r="C73" s="8">
        <v>44864</v>
      </c>
      <c r="D73" t="s">
        <v>32</v>
      </c>
      <c r="E73" t="s">
        <v>3063</v>
      </c>
      <c r="F73" t="s">
        <v>3057</v>
      </c>
      <c r="G73" t="s">
        <v>533</v>
      </c>
      <c r="H73">
        <v>8131317716</v>
      </c>
      <c r="I73" t="s">
        <v>24</v>
      </c>
      <c r="J73" t="s">
        <v>69</v>
      </c>
      <c r="K73" t="s">
        <v>119</v>
      </c>
      <c r="L73" t="s">
        <v>534</v>
      </c>
      <c r="M73" t="s">
        <v>38</v>
      </c>
      <c r="N73" t="s">
        <v>213</v>
      </c>
      <c r="O73">
        <v>7</v>
      </c>
      <c r="P73">
        <v>8511.5400000000009</v>
      </c>
      <c r="Q73">
        <v>15</v>
      </c>
      <c r="R73">
        <v>8937.1200000000008</v>
      </c>
      <c r="S73">
        <v>50643.66</v>
      </c>
      <c r="T73">
        <v>7651.84</v>
      </c>
    </row>
    <row r="74" spans="1:20" x14ac:dyDescent="0.25">
      <c r="A74" t="s">
        <v>1556</v>
      </c>
      <c r="B74" s="8">
        <v>44865</v>
      </c>
      <c r="C74" s="8">
        <v>44866</v>
      </c>
      <c r="D74" t="s">
        <v>32</v>
      </c>
      <c r="E74" t="s">
        <v>3068</v>
      </c>
      <c r="F74" t="s">
        <v>3046</v>
      </c>
      <c r="G74" t="s">
        <v>1557</v>
      </c>
      <c r="H74">
        <v>8103557220</v>
      </c>
      <c r="I74" t="s">
        <v>43</v>
      </c>
      <c r="J74" t="s">
        <v>61</v>
      </c>
      <c r="K74" t="s">
        <v>95</v>
      </c>
      <c r="L74" t="s">
        <v>108</v>
      </c>
      <c r="M74" t="s">
        <v>183</v>
      </c>
      <c r="N74" t="s">
        <v>869</v>
      </c>
      <c r="O74">
        <v>15</v>
      </c>
      <c r="P74">
        <v>2843.99</v>
      </c>
      <c r="Q74">
        <v>5</v>
      </c>
      <c r="R74">
        <v>2132.9899999999998</v>
      </c>
      <c r="S74">
        <v>40526.86</v>
      </c>
      <c r="T74">
        <v>-1183.26</v>
      </c>
    </row>
    <row r="75" spans="1:20" x14ac:dyDescent="0.25">
      <c r="A75" t="s">
        <v>300</v>
      </c>
      <c r="B75" s="8">
        <v>44866</v>
      </c>
      <c r="C75" s="8">
        <v>44867</v>
      </c>
      <c r="D75" t="s">
        <v>32</v>
      </c>
      <c r="E75" t="s">
        <v>3037</v>
      </c>
      <c r="F75" t="s">
        <v>3083</v>
      </c>
      <c r="G75" t="s">
        <v>302</v>
      </c>
      <c r="H75">
        <v>7037328534</v>
      </c>
      <c r="I75" t="s">
        <v>24</v>
      </c>
      <c r="J75" t="s">
        <v>51</v>
      </c>
      <c r="K75" t="s">
        <v>223</v>
      </c>
      <c r="L75" t="s">
        <v>108</v>
      </c>
      <c r="M75" t="s">
        <v>38</v>
      </c>
      <c r="N75" t="s">
        <v>303</v>
      </c>
      <c r="O75">
        <v>8</v>
      </c>
      <c r="P75">
        <v>44173.31</v>
      </c>
      <c r="Q75">
        <v>15</v>
      </c>
      <c r="R75">
        <v>53007.97</v>
      </c>
      <c r="S75">
        <v>300378.51</v>
      </c>
      <c r="T75">
        <v>-2962.49</v>
      </c>
    </row>
    <row r="76" spans="1:20" x14ac:dyDescent="0.25">
      <c r="A76" t="s">
        <v>1524</v>
      </c>
      <c r="B76" s="8">
        <v>44871</v>
      </c>
      <c r="C76" s="8">
        <v>44872</v>
      </c>
      <c r="D76" t="s">
        <v>32</v>
      </c>
      <c r="E76" t="s">
        <v>3087</v>
      </c>
      <c r="F76" t="s">
        <v>3052</v>
      </c>
      <c r="G76" t="s">
        <v>1526</v>
      </c>
      <c r="H76">
        <v>8034856420</v>
      </c>
      <c r="I76" t="s">
        <v>43</v>
      </c>
      <c r="J76" t="s">
        <v>69</v>
      </c>
      <c r="K76" t="s">
        <v>119</v>
      </c>
      <c r="L76" t="s">
        <v>85</v>
      </c>
      <c r="M76" t="s">
        <v>86</v>
      </c>
      <c r="N76" t="s">
        <v>199</v>
      </c>
      <c r="O76">
        <v>15</v>
      </c>
      <c r="P76">
        <v>52758.52</v>
      </c>
      <c r="Q76">
        <v>15</v>
      </c>
      <c r="R76">
        <v>118706.67</v>
      </c>
      <c r="S76">
        <v>672671.13</v>
      </c>
    </row>
    <row r="77" spans="1:20" x14ac:dyDescent="0.25">
      <c r="A77" t="s">
        <v>2586</v>
      </c>
      <c r="B77" s="8">
        <v>44874</v>
      </c>
      <c r="C77" s="8">
        <v>44874</v>
      </c>
      <c r="D77" t="s">
        <v>32</v>
      </c>
      <c r="E77" t="s">
        <v>3098</v>
      </c>
      <c r="F77" t="s">
        <v>3066</v>
      </c>
      <c r="G77" t="s">
        <v>2587</v>
      </c>
      <c r="H77">
        <v>8033339281</v>
      </c>
      <c r="I77" t="s">
        <v>43</v>
      </c>
      <c r="J77" t="s">
        <v>69</v>
      </c>
      <c r="K77" t="s">
        <v>70</v>
      </c>
      <c r="L77" t="s">
        <v>271</v>
      </c>
      <c r="M77" t="s">
        <v>64</v>
      </c>
      <c r="N77" t="s">
        <v>501</v>
      </c>
      <c r="O77" t="s">
        <v>317</v>
      </c>
      <c r="P77">
        <v>10285.75</v>
      </c>
      <c r="Q77">
        <v>15</v>
      </c>
      <c r="R77">
        <v>1542.86</v>
      </c>
      <c r="S77">
        <v>8742.89</v>
      </c>
      <c r="T77">
        <v>2839.91</v>
      </c>
    </row>
    <row r="78" spans="1:20" x14ac:dyDescent="0.25">
      <c r="A78" t="s">
        <v>825</v>
      </c>
      <c r="B78" s="8">
        <v>44876</v>
      </c>
      <c r="C78" s="8">
        <v>44876</v>
      </c>
      <c r="D78" t="s">
        <v>32</v>
      </c>
      <c r="E78" t="s">
        <v>3073</v>
      </c>
      <c r="F78" t="s">
        <v>3046</v>
      </c>
      <c r="G78" t="s">
        <v>827</v>
      </c>
      <c r="H78">
        <v>8065941719</v>
      </c>
      <c r="I78" t="s">
        <v>24</v>
      </c>
      <c r="J78" t="s">
        <v>25</v>
      </c>
      <c r="K78" t="s">
        <v>168</v>
      </c>
      <c r="L78" t="s">
        <v>27</v>
      </c>
      <c r="M78" t="s">
        <v>28</v>
      </c>
      <c r="N78" t="s">
        <v>508</v>
      </c>
      <c r="O78">
        <v>7</v>
      </c>
      <c r="P78">
        <v>1046.8</v>
      </c>
      <c r="Q78">
        <v>0</v>
      </c>
      <c r="R78">
        <v>0</v>
      </c>
      <c r="S78" t="s">
        <v>828</v>
      </c>
      <c r="T78">
        <v>1706.7</v>
      </c>
    </row>
    <row r="79" spans="1:20" x14ac:dyDescent="0.25">
      <c r="A79" t="s">
        <v>641</v>
      </c>
      <c r="B79" s="8">
        <v>44877</v>
      </c>
      <c r="C79" s="8">
        <v>44878</v>
      </c>
      <c r="D79" t="s">
        <v>32</v>
      </c>
      <c r="E79" t="s">
        <v>3041</v>
      </c>
      <c r="F79" t="s">
        <v>3039</v>
      </c>
      <c r="H79">
        <v>8061087161</v>
      </c>
      <c r="I79" t="s">
        <v>35</v>
      </c>
      <c r="J79" t="s">
        <v>25</v>
      </c>
      <c r="K79" t="s">
        <v>44</v>
      </c>
      <c r="L79" t="s">
        <v>63</v>
      </c>
      <c r="M79" t="s">
        <v>64</v>
      </c>
      <c r="N79" t="s">
        <v>65</v>
      </c>
      <c r="O79">
        <v>4</v>
      </c>
      <c r="P79">
        <v>19152.990000000002</v>
      </c>
      <c r="Q79">
        <v>0</v>
      </c>
      <c r="R79">
        <v>0</v>
      </c>
      <c r="S79">
        <v>76611.960000000006</v>
      </c>
      <c r="T79">
        <v>-7478.99</v>
      </c>
    </row>
    <row r="80" spans="1:20" x14ac:dyDescent="0.25">
      <c r="A80" t="s">
        <v>1113</v>
      </c>
      <c r="B80" s="8">
        <v>44879</v>
      </c>
      <c r="C80" s="8">
        <v>44880</v>
      </c>
      <c r="D80" t="s">
        <v>32</v>
      </c>
      <c r="E80" t="s">
        <v>3081</v>
      </c>
      <c r="F80" t="s">
        <v>3043</v>
      </c>
      <c r="G80" t="s">
        <v>1115</v>
      </c>
      <c r="H80">
        <v>8142533463</v>
      </c>
      <c r="I80" t="s">
        <v>35</v>
      </c>
      <c r="J80" t="s">
        <v>61</v>
      </c>
      <c r="K80" t="s">
        <v>95</v>
      </c>
      <c r="L80" t="s">
        <v>27</v>
      </c>
      <c r="M80" t="s">
        <v>45</v>
      </c>
      <c r="N80" t="s">
        <v>308</v>
      </c>
      <c r="O80">
        <v>5</v>
      </c>
      <c r="P80">
        <v>760.27</v>
      </c>
      <c r="Q80">
        <v>25</v>
      </c>
      <c r="R80">
        <v>950.34</v>
      </c>
      <c r="S80">
        <v>2851.01</v>
      </c>
      <c r="T80">
        <v>926.24</v>
      </c>
    </row>
    <row r="81" spans="1:20" x14ac:dyDescent="0.25">
      <c r="A81" t="s">
        <v>2276</v>
      </c>
      <c r="B81" s="8">
        <v>44880</v>
      </c>
      <c r="C81" s="8">
        <v>44880</v>
      </c>
      <c r="D81" t="s">
        <v>32</v>
      </c>
      <c r="E81" t="s">
        <v>3068</v>
      </c>
      <c r="F81" t="s">
        <v>3039</v>
      </c>
      <c r="G81" t="s">
        <v>1463</v>
      </c>
      <c r="H81">
        <v>8136740847</v>
      </c>
      <c r="I81" t="s">
        <v>24</v>
      </c>
      <c r="J81" t="s">
        <v>61</v>
      </c>
      <c r="K81" t="s">
        <v>95</v>
      </c>
      <c r="L81" t="s">
        <v>27</v>
      </c>
      <c r="M81" t="s">
        <v>173</v>
      </c>
      <c r="N81" t="s">
        <v>174</v>
      </c>
      <c r="O81">
        <v>7</v>
      </c>
      <c r="P81">
        <v>998.83</v>
      </c>
      <c r="Q81">
        <v>10</v>
      </c>
      <c r="R81">
        <v>699.18</v>
      </c>
      <c r="S81">
        <v>6292.63</v>
      </c>
    </row>
    <row r="82" spans="1:20" x14ac:dyDescent="0.25">
      <c r="A82" t="s">
        <v>1758</v>
      </c>
      <c r="B82" s="8">
        <v>44881</v>
      </c>
      <c r="C82" s="8">
        <v>44882</v>
      </c>
      <c r="D82" t="s">
        <v>32</v>
      </c>
      <c r="E82" t="s">
        <v>3047</v>
      </c>
      <c r="F82" t="s">
        <v>3096</v>
      </c>
      <c r="G82" t="s">
        <v>1760</v>
      </c>
      <c r="H82">
        <v>7062396415</v>
      </c>
      <c r="I82" t="s">
        <v>43</v>
      </c>
      <c r="J82" t="s">
        <v>69</v>
      </c>
      <c r="K82" t="s">
        <v>70</v>
      </c>
      <c r="L82" t="s">
        <v>63</v>
      </c>
      <c r="M82" t="s">
        <v>312</v>
      </c>
      <c r="N82" t="s">
        <v>686</v>
      </c>
      <c r="O82">
        <v>6</v>
      </c>
      <c r="P82">
        <v>4243.57</v>
      </c>
      <c r="Q82">
        <v>10</v>
      </c>
      <c r="R82">
        <v>2546.14</v>
      </c>
      <c r="S82">
        <v>22915.279999999999</v>
      </c>
      <c r="T82">
        <v>1793.58</v>
      </c>
    </row>
    <row r="83" spans="1:20" x14ac:dyDescent="0.25">
      <c r="A83" t="s">
        <v>2249</v>
      </c>
      <c r="B83" s="8">
        <v>44882</v>
      </c>
      <c r="C83" s="8">
        <v>44882</v>
      </c>
      <c r="D83" t="s">
        <v>32</v>
      </c>
      <c r="E83" t="s">
        <v>3097</v>
      </c>
      <c r="F83" t="s">
        <v>3040</v>
      </c>
      <c r="G83" t="s">
        <v>2251</v>
      </c>
      <c r="H83">
        <v>7031237053</v>
      </c>
      <c r="I83" t="s">
        <v>24</v>
      </c>
      <c r="J83" t="s">
        <v>25</v>
      </c>
      <c r="K83" t="s">
        <v>26</v>
      </c>
      <c r="L83" t="s">
        <v>85</v>
      </c>
      <c r="M83" t="s">
        <v>243</v>
      </c>
      <c r="N83" t="s">
        <v>404</v>
      </c>
      <c r="O83">
        <v>0</v>
      </c>
      <c r="P83">
        <v>149169.76</v>
      </c>
      <c r="Q83">
        <v>10</v>
      </c>
      <c r="R83">
        <v>208837.66</v>
      </c>
      <c r="S83">
        <v>1879538.98</v>
      </c>
      <c r="T83">
        <v>132253.54</v>
      </c>
    </row>
    <row r="84" spans="1:20" x14ac:dyDescent="0.25">
      <c r="A84" t="s">
        <v>1713</v>
      </c>
      <c r="B84" s="8" t="s">
        <v>1714</v>
      </c>
      <c r="C84" s="8">
        <v>44883</v>
      </c>
      <c r="D84" t="s">
        <v>32</v>
      </c>
      <c r="E84" t="s">
        <v>3033</v>
      </c>
      <c r="F84" t="s">
        <v>3077</v>
      </c>
      <c r="G84" t="s">
        <v>1715</v>
      </c>
      <c r="H84">
        <v>8142153651</v>
      </c>
      <c r="I84" t="s">
        <v>43</v>
      </c>
      <c r="J84" t="s">
        <v>61</v>
      </c>
      <c r="K84" t="s">
        <v>182</v>
      </c>
      <c r="L84" t="s">
        <v>108</v>
      </c>
      <c r="M84" t="s">
        <v>109</v>
      </c>
      <c r="N84" t="s">
        <v>1258</v>
      </c>
      <c r="O84">
        <v>10</v>
      </c>
      <c r="P84">
        <v>39429.31</v>
      </c>
      <c r="Q84">
        <v>15</v>
      </c>
      <c r="R84">
        <v>59143.96</v>
      </c>
      <c r="S84">
        <v>335149.14</v>
      </c>
      <c r="T84">
        <v>114197.93</v>
      </c>
    </row>
    <row r="85" spans="1:20" x14ac:dyDescent="0.25">
      <c r="A85" t="s">
        <v>2604</v>
      </c>
      <c r="B85" s="8">
        <v>44883</v>
      </c>
      <c r="C85" s="8">
        <v>44884</v>
      </c>
      <c r="D85" t="s">
        <v>32</v>
      </c>
      <c r="E85" t="s">
        <v>3041</v>
      </c>
      <c r="F85" t="s">
        <v>3038</v>
      </c>
      <c r="G85" t="s">
        <v>2606</v>
      </c>
      <c r="H85">
        <v>8145629663</v>
      </c>
      <c r="I85" t="s">
        <v>24</v>
      </c>
      <c r="J85" t="s">
        <v>61</v>
      </c>
      <c r="K85" t="s">
        <v>204</v>
      </c>
      <c r="L85" t="s">
        <v>85</v>
      </c>
      <c r="M85" t="s">
        <v>266</v>
      </c>
      <c r="N85" t="s">
        <v>952</v>
      </c>
      <c r="O85">
        <v>19</v>
      </c>
      <c r="P85">
        <v>56979.199999999997</v>
      </c>
      <c r="Q85">
        <v>0</v>
      </c>
      <c r="R85">
        <v>0</v>
      </c>
      <c r="S85">
        <v>1082604.8</v>
      </c>
      <c r="T85">
        <v>47290.59</v>
      </c>
    </row>
    <row r="86" spans="1:20" x14ac:dyDescent="0.25">
      <c r="A86" t="s">
        <v>2417</v>
      </c>
      <c r="B86" s="8">
        <v>44884</v>
      </c>
      <c r="C86" s="8">
        <v>44885</v>
      </c>
      <c r="D86" t="s">
        <v>32</v>
      </c>
      <c r="E86" t="s">
        <v>3065</v>
      </c>
      <c r="F86" t="s">
        <v>3062</v>
      </c>
      <c r="G86" t="s">
        <v>2418</v>
      </c>
      <c r="H86">
        <v>9014046988</v>
      </c>
      <c r="I86" t="s">
        <v>43</v>
      </c>
      <c r="J86" t="s">
        <v>61</v>
      </c>
      <c r="K86" t="s">
        <v>182</v>
      </c>
      <c r="L86" t="s">
        <v>63</v>
      </c>
      <c r="M86" t="s">
        <v>249</v>
      </c>
      <c r="N86" t="s">
        <v>2013</v>
      </c>
      <c r="O86">
        <v>7</v>
      </c>
      <c r="P86">
        <v>1234.51</v>
      </c>
      <c r="Q86">
        <v>10</v>
      </c>
      <c r="R86">
        <v>864.16</v>
      </c>
      <c r="S86">
        <v>7777.41</v>
      </c>
      <c r="T86">
        <v>717.02</v>
      </c>
    </row>
    <row r="87" spans="1:20" x14ac:dyDescent="0.25">
      <c r="A87" t="s">
        <v>1395</v>
      </c>
      <c r="B87" s="8">
        <v>44894</v>
      </c>
      <c r="C87" s="8">
        <v>44895</v>
      </c>
      <c r="D87" t="s">
        <v>32</v>
      </c>
      <c r="E87" t="s">
        <v>3056</v>
      </c>
      <c r="F87" t="s">
        <v>3046</v>
      </c>
      <c r="G87" t="s">
        <v>1397</v>
      </c>
      <c r="H87">
        <v>8143439136</v>
      </c>
      <c r="I87" t="s">
        <v>43</v>
      </c>
      <c r="J87" t="s">
        <v>51</v>
      </c>
      <c r="K87" t="s">
        <v>131</v>
      </c>
      <c r="L87" t="s">
        <v>108</v>
      </c>
      <c r="M87" t="s">
        <v>38</v>
      </c>
      <c r="N87" t="s">
        <v>303</v>
      </c>
      <c r="O87">
        <v>18</v>
      </c>
      <c r="P87">
        <v>2184.66</v>
      </c>
      <c r="Q87">
        <v>25</v>
      </c>
      <c r="R87">
        <v>9830.9699999999993</v>
      </c>
      <c r="S87">
        <v>29492.91</v>
      </c>
      <c r="T87">
        <v>1438.32</v>
      </c>
    </row>
    <row r="88" spans="1:20" x14ac:dyDescent="0.25">
      <c r="A88" t="s">
        <v>1584</v>
      </c>
      <c r="B88" s="8">
        <v>44898</v>
      </c>
      <c r="C88" s="8">
        <v>44899</v>
      </c>
      <c r="D88" t="s">
        <v>32</v>
      </c>
      <c r="E88" t="s">
        <v>3087</v>
      </c>
      <c r="F88" t="s">
        <v>3045</v>
      </c>
      <c r="G88" t="s">
        <v>1586</v>
      </c>
      <c r="H88">
        <v>9073532555</v>
      </c>
      <c r="I88" t="s">
        <v>43</v>
      </c>
      <c r="J88" t="s">
        <v>25</v>
      </c>
      <c r="K88" t="s">
        <v>44</v>
      </c>
      <c r="L88" t="s">
        <v>27</v>
      </c>
      <c r="M88" t="s">
        <v>79</v>
      </c>
      <c r="N88" t="s">
        <v>234</v>
      </c>
      <c r="O88">
        <v>14</v>
      </c>
      <c r="P88">
        <v>7789.49</v>
      </c>
      <c r="Q88">
        <v>15</v>
      </c>
      <c r="R88">
        <v>16357.93</v>
      </c>
      <c r="S88">
        <v>92694.93</v>
      </c>
      <c r="T88">
        <v>35360.31</v>
      </c>
    </row>
    <row r="89" spans="1:20" x14ac:dyDescent="0.25">
      <c r="A89" t="s">
        <v>915</v>
      </c>
      <c r="B89" s="8">
        <v>44900</v>
      </c>
      <c r="C89" s="8">
        <v>44900</v>
      </c>
      <c r="D89" t="s">
        <v>32</v>
      </c>
      <c r="E89" t="s">
        <v>3089</v>
      </c>
      <c r="F89" t="s">
        <v>3074</v>
      </c>
      <c r="G89" t="s">
        <v>917</v>
      </c>
      <c r="H89">
        <v>7035666702</v>
      </c>
      <c r="I89" t="s">
        <v>43</v>
      </c>
      <c r="J89" t="s">
        <v>61</v>
      </c>
      <c r="K89" t="s">
        <v>84</v>
      </c>
      <c r="L89" t="s">
        <v>96</v>
      </c>
      <c r="M89" t="s">
        <v>254</v>
      </c>
      <c r="N89" t="s">
        <v>255</v>
      </c>
      <c r="O89">
        <v>13</v>
      </c>
      <c r="P89">
        <v>254465.57</v>
      </c>
      <c r="Q89">
        <v>15</v>
      </c>
      <c r="R89">
        <v>496207.86</v>
      </c>
      <c r="S89">
        <v>2811844.55</v>
      </c>
      <c r="T89">
        <v>956763.8</v>
      </c>
    </row>
    <row r="90" spans="1:20" x14ac:dyDescent="0.25">
      <c r="A90" t="s">
        <v>1002</v>
      </c>
      <c r="B90" s="8">
        <v>44901</v>
      </c>
      <c r="C90" s="8">
        <v>44901</v>
      </c>
      <c r="D90" t="s">
        <v>32</v>
      </c>
      <c r="E90" t="s">
        <v>3044</v>
      </c>
      <c r="F90" t="s">
        <v>3075</v>
      </c>
      <c r="G90" t="s">
        <v>1004</v>
      </c>
      <c r="H90">
        <v>8133520615</v>
      </c>
      <c r="I90" t="s">
        <v>35</v>
      </c>
      <c r="J90" t="s">
        <v>25</v>
      </c>
      <c r="K90" t="s">
        <v>36</v>
      </c>
      <c r="L90" t="s">
        <v>85</v>
      </c>
      <c r="M90" t="s">
        <v>218</v>
      </c>
      <c r="N90" t="s">
        <v>1005</v>
      </c>
      <c r="O90">
        <v>4</v>
      </c>
      <c r="P90">
        <v>111547.49</v>
      </c>
      <c r="Q90">
        <v>5</v>
      </c>
      <c r="R90">
        <v>22309.5</v>
      </c>
      <c r="S90" t="s">
        <v>1006</v>
      </c>
      <c r="T90">
        <v>41865.910000000003</v>
      </c>
    </row>
    <row r="91" spans="1:20" x14ac:dyDescent="0.25">
      <c r="A91" t="s">
        <v>1289</v>
      </c>
      <c r="B91" s="8">
        <v>44908</v>
      </c>
      <c r="C91" s="8">
        <v>44908</v>
      </c>
      <c r="D91" t="s">
        <v>32</v>
      </c>
      <c r="E91" t="s">
        <v>3076</v>
      </c>
      <c r="F91" t="s">
        <v>3079</v>
      </c>
      <c r="G91" t="s">
        <v>1291</v>
      </c>
      <c r="H91">
        <v>8169132926</v>
      </c>
      <c r="I91" t="s">
        <v>24</v>
      </c>
      <c r="J91" t="s">
        <v>1292</v>
      </c>
      <c r="K91" t="s">
        <v>52</v>
      </c>
      <c r="L91" t="s">
        <v>96</v>
      </c>
      <c r="M91" t="s">
        <v>385</v>
      </c>
      <c r="N91" t="s">
        <v>1010</v>
      </c>
      <c r="O91">
        <v>9</v>
      </c>
      <c r="P91">
        <v>48435.08</v>
      </c>
      <c r="Q91">
        <v>10</v>
      </c>
      <c r="R91">
        <v>43591.57</v>
      </c>
      <c r="S91">
        <v>392324.15</v>
      </c>
    </row>
    <row r="92" spans="1:20" x14ac:dyDescent="0.25">
      <c r="A92" t="s">
        <v>2567</v>
      </c>
      <c r="B92" s="8">
        <v>44908</v>
      </c>
      <c r="C92" s="8">
        <v>44909</v>
      </c>
      <c r="D92" t="s">
        <v>2568</v>
      </c>
      <c r="E92" t="s">
        <v>3061</v>
      </c>
      <c r="F92" t="s">
        <v>3052</v>
      </c>
      <c r="G92" t="s">
        <v>602</v>
      </c>
      <c r="H92">
        <v>8151393330</v>
      </c>
      <c r="I92" t="s">
        <v>24</v>
      </c>
      <c r="J92" t="s">
        <v>69</v>
      </c>
      <c r="K92" t="s">
        <v>307</v>
      </c>
      <c r="L92" t="s">
        <v>108</v>
      </c>
      <c r="M92" t="s">
        <v>38</v>
      </c>
      <c r="N92" t="s">
        <v>303</v>
      </c>
      <c r="O92">
        <v>8</v>
      </c>
      <c r="P92">
        <v>4236.4799999999996</v>
      </c>
      <c r="Q92">
        <v>10</v>
      </c>
      <c r="R92">
        <v>3389.18</v>
      </c>
      <c r="S92">
        <v>30502.66</v>
      </c>
      <c r="T92">
        <v>240</v>
      </c>
    </row>
    <row r="93" spans="1:20" x14ac:dyDescent="0.25">
      <c r="A93" t="s">
        <v>1652</v>
      </c>
      <c r="B93" s="8">
        <v>44911</v>
      </c>
      <c r="C93" s="8">
        <v>44911</v>
      </c>
      <c r="D93" t="s">
        <v>32</v>
      </c>
      <c r="E93" t="s">
        <v>3094</v>
      </c>
      <c r="F93" t="s">
        <v>3069</v>
      </c>
      <c r="G93" t="s">
        <v>222</v>
      </c>
      <c r="H93">
        <v>8063151617</v>
      </c>
      <c r="I93" t="s">
        <v>43</v>
      </c>
      <c r="J93" t="s">
        <v>69</v>
      </c>
      <c r="K93" t="s">
        <v>307</v>
      </c>
      <c r="L93" t="s">
        <v>96</v>
      </c>
      <c r="M93" t="s">
        <v>385</v>
      </c>
      <c r="N93" t="s">
        <v>386</v>
      </c>
      <c r="O93">
        <v>8</v>
      </c>
      <c r="P93">
        <v>421100.08</v>
      </c>
      <c r="Q93">
        <v>25</v>
      </c>
      <c r="R93">
        <v>842200.16</v>
      </c>
      <c r="S93">
        <v>2526600.48</v>
      </c>
      <c r="T93">
        <v>725991.66</v>
      </c>
    </row>
    <row r="94" spans="1:20" x14ac:dyDescent="0.25">
      <c r="A94" t="s">
        <v>2562</v>
      </c>
      <c r="B94" s="8">
        <v>44911</v>
      </c>
      <c r="C94" s="8">
        <v>44911</v>
      </c>
      <c r="D94" t="s">
        <v>32</v>
      </c>
      <c r="E94" t="s">
        <v>3035</v>
      </c>
      <c r="F94" t="s">
        <v>3078</v>
      </c>
      <c r="G94" t="s">
        <v>2564</v>
      </c>
      <c r="H94">
        <v>8144050662</v>
      </c>
      <c r="I94" t="s">
        <v>43</v>
      </c>
      <c r="J94" t="s">
        <v>69</v>
      </c>
      <c r="K94" t="s">
        <v>70</v>
      </c>
      <c r="L94" t="s">
        <v>108</v>
      </c>
      <c r="M94" t="s">
        <v>114</v>
      </c>
      <c r="N94" t="s">
        <v>115</v>
      </c>
      <c r="O94">
        <v>19</v>
      </c>
      <c r="P94">
        <v>42703.98</v>
      </c>
      <c r="Q94">
        <v>10</v>
      </c>
      <c r="R94">
        <v>81137.56</v>
      </c>
      <c r="S94">
        <v>730238.06</v>
      </c>
      <c r="T94">
        <v>278485.28000000003</v>
      </c>
    </row>
    <row r="95" spans="1:20" x14ac:dyDescent="0.25">
      <c r="A95" t="s">
        <v>2243</v>
      </c>
      <c r="B95" s="8">
        <v>44911</v>
      </c>
      <c r="C95" s="8">
        <v>44912</v>
      </c>
      <c r="D95" t="s">
        <v>32</v>
      </c>
      <c r="E95" t="s">
        <v>3033</v>
      </c>
      <c r="F95" t="s">
        <v>3034</v>
      </c>
      <c r="G95" t="s">
        <v>2244</v>
      </c>
      <c r="H95">
        <v>7061155332</v>
      </c>
      <c r="I95" t="s">
        <v>43</v>
      </c>
      <c r="J95" t="s">
        <v>25</v>
      </c>
      <c r="K95" t="s">
        <v>26</v>
      </c>
      <c r="L95" t="s">
        <v>63</v>
      </c>
      <c r="M95" t="s">
        <v>249</v>
      </c>
      <c r="N95" t="s">
        <v>329</v>
      </c>
      <c r="O95">
        <v>9</v>
      </c>
      <c r="P95">
        <v>24895.74</v>
      </c>
      <c r="Q95">
        <v>25</v>
      </c>
      <c r="R95">
        <v>56015.42</v>
      </c>
      <c r="S95">
        <v>168046.24</v>
      </c>
    </row>
    <row r="96" spans="1:20" x14ac:dyDescent="0.25">
      <c r="A96" t="s">
        <v>1360</v>
      </c>
      <c r="B96" s="8">
        <v>44912</v>
      </c>
      <c r="C96" s="8">
        <v>44913</v>
      </c>
      <c r="D96" t="s">
        <v>32</v>
      </c>
      <c r="E96" t="s">
        <v>3067</v>
      </c>
      <c r="F96" t="s">
        <v>3064</v>
      </c>
      <c r="G96" t="s">
        <v>1362</v>
      </c>
      <c r="H96">
        <v>9023851044</v>
      </c>
      <c r="I96" t="s">
        <v>43</v>
      </c>
      <c r="J96" t="s">
        <v>25</v>
      </c>
      <c r="K96" t="s">
        <v>168</v>
      </c>
      <c r="L96" t="s">
        <v>27</v>
      </c>
      <c r="M96" t="s">
        <v>173</v>
      </c>
      <c r="N96" t="s">
        <v>380</v>
      </c>
      <c r="O96">
        <v>17</v>
      </c>
      <c r="P96">
        <v>965.85</v>
      </c>
      <c r="Q96">
        <v>20</v>
      </c>
      <c r="R96">
        <v>3283.89</v>
      </c>
      <c r="S96">
        <v>13135.56</v>
      </c>
      <c r="T96">
        <v>4824.95</v>
      </c>
    </row>
    <row r="97" spans="1:20" x14ac:dyDescent="0.25">
      <c r="A97" t="s">
        <v>333</v>
      </c>
      <c r="B97" s="8">
        <v>44921</v>
      </c>
      <c r="C97" s="8">
        <v>44921</v>
      </c>
      <c r="D97" t="s">
        <v>32</v>
      </c>
      <c r="E97" t="s">
        <v>3033</v>
      </c>
      <c r="F97" t="s">
        <v>3079</v>
      </c>
      <c r="G97" t="s">
        <v>335</v>
      </c>
      <c r="H97">
        <v>8159418719</v>
      </c>
      <c r="I97" t="s">
        <v>24</v>
      </c>
      <c r="J97" t="s">
        <v>51</v>
      </c>
      <c r="K97" t="s">
        <v>223</v>
      </c>
      <c r="L97" t="s">
        <v>63</v>
      </c>
      <c r="M97" t="s">
        <v>194</v>
      </c>
      <c r="N97" t="s">
        <v>336</v>
      </c>
      <c r="O97">
        <v>16</v>
      </c>
      <c r="P97">
        <v>6795.77</v>
      </c>
      <c r="Q97">
        <v>10</v>
      </c>
      <c r="R97">
        <v>10873.23</v>
      </c>
      <c r="S97">
        <v>97859.09</v>
      </c>
      <c r="T97">
        <v>29155.71</v>
      </c>
    </row>
    <row r="98" spans="1:20" x14ac:dyDescent="0.25">
      <c r="A98" t="s">
        <v>953</v>
      </c>
      <c r="B98" s="8">
        <v>44925</v>
      </c>
      <c r="C98" s="8">
        <v>44925</v>
      </c>
      <c r="D98" t="s">
        <v>32</v>
      </c>
      <c r="E98" t="s">
        <v>3065</v>
      </c>
      <c r="F98" t="s">
        <v>3062</v>
      </c>
      <c r="G98" t="s">
        <v>955</v>
      </c>
      <c r="H98">
        <v>7061681729</v>
      </c>
      <c r="I98" t="s">
        <v>43</v>
      </c>
      <c r="J98" t="s">
        <v>61</v>
      </c>
      <c r="K98" t="s">
        <v>62</v>
      </c>
      <c r="L98" t="s">
        <v>108</v>
      </c>
      <c r="M98" t="s">
        <v>38</v>
      </c>
      <c r="N98" t="s">
        <v>296</v>
      </c>
      <c r="O98">
        <v>6</v>
      </c>
      <c r="P98">
        <v>13362.3</v>
      </c>
      <c r="Q98">
        <v>10</v>
      </c>
      <c r="R98">
        <v>8017.38</v>
      </c>
      <c r="S98">
        <v>72156.42</v>
      </c>
      <c r="T98">
        <v>-10579.06</v>
      </c>
    </row>
    <row r="99" spans="1:20" x14ac:dyDescent="0.25">
      <c r="A99" t="s">
        <v>2368</v>
      </c>
      <c r="B99" s="8">
        <v>44925</v>
      </c>
      <c r="C99" s="8">
        <v>44925</v>
      </c>
      <c r="D99" t="s">
        <v>32</v>
      </c>
      <c r="E99" t="s">
        <v>3080</v>
      </c>
      <c r="F99" t="s">
        <v>3036</v>
      </c>
      <c r="G99" t="s">
        <v>2369</v>
      </c>
      <c r="H99">
        <v>8064187908</v>
      </c>
      <c r="I99" t="s">
        <v>35</v>
      </c>
      <c r="J99" t="s">
        <v>61</v>
      </c>
      <c r="K99" t="s">
        <v>62</v>
      </c>
      <c r="L99" t="s">
        <v>96</v>
      </c>
      <c r="M99" t="s">
        <v>385</v>
      </c>
      <c r="N99" t="s">
        <v>1010</v>
      </c>
      <c r="O99">
        <v>7</v>
      </c>
      <c r="P99">
        <v>146700.97</v>
      </c>
      <c r="Q99">
        <v>5</v>
      </c>
      <c r="R99">
        <v>51345.34</v>
      </c>
      <c r="S99">
        <v>975561.45</v>
      </c>
      <c r="T99">
        <v>-3546.79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58176-25D5-45B3-9D0E-C7825C75514B}">
  <dimension ref="A1:B10"/>
  <sheetViews>
    <sheetView workbookViewId="0">
      <selection activeCell="D1" sqref="D1:D1048576"/>
    </sheetView>
  </sheetViews>
  <sheetFormatPr defaultRowHeight="15" x14ac:dyDescent="0.25"/>
  <cols>
    <col min="1" max="1" width="53.7109375" bestFit="1" customWidth="1"/>
    <col min="2" max="2" width="38.5703125" bestFit="1" customWidth="1"/>
  </cols>
  <sheetData>
    <row r="1" spans="1:2" x14ac:dyDescent="0.25">
      <c r="A1" s="9" t="s">
        <v>3106</v>
      </c>
      <c r="B1" t="s">
        <v>3107</v>
      </c>
    </row>
    <row r="2" spans="1:2" x14ac:dyDescent="0.25">
      <c r="A2" s="9" t="s">
        <v>3108</v>
      </c>
      <c r="B2" t="s">
        <v>3109</v>
      </c>
    </row>
    <row r="3" spans="1:2" x14ac:dyDescent="0.25">
      <c r="A3" s="9" t="s">
        <v>3110</v>
      </c>
      <c r="B3" t="s">
        <v>3111</v>
      </c>
    </row>
    <row r="4" spans="1:2" x14ac:dyDescent="0.25">
      <c r="A4" s="9" t="s">
        <v>3112</v>
      </c>
      <c r="B4" t="s">
        <v>3113</v>
      </c>
    </row>
    <row r="5" spans="1:2" x14ac:dyDescent="0.25">
      <c r="A5" s="9" t="s">
        <v>3114</v>
      </c>
      <c r="B5" t="s">
        <v>3115</v>
      </c>
    </row>
    <row r="6" spans="1:2" x14ac:dyDescent="0.25">
      <c r="A6" s="9" t="s">
        <v>3116</v>
      </c>
      <c r="B6" t="s">
        <v>3117</v>
      </c>
    </row>
    <row r="7" spans="1:2" x14ac:dyDescent="0.25">
      <c r="A7" s="9" t="s">
        <v>3118</v>
      </c>
      <c r="B7" t="s">
        <v>3119</v>
      </c>
    </row>
    <row r="8" spans="1:2" x14ac:dyDescent="0.25">
      <c r="A8" s="9" t="s">
        <v>3120</v>
      </c>
      <c r="B8" t="s">
        <v>3121</v>
      </c>
    </row>
    <row r="9" spans="1:2" x14ac:dyDescent="0.25">
      <c r="A9" s="9" t="s">
        <v>3122</v>
      </c>
      <c r="B9" t="s">
        <v>3123</v>
      </c>
    </row>
    <row r="10" spans="1:2" x14ac:dyDescent="0.25">
      <c r="A10" s="9" t="s">
        <v>3124</v>
      </c>
      <c r="B10" t="s">
        <v>3125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2F432-549E-4AE4-9C2B-AF20DE6FE29E}">
  <sheetPr>
    <tabColor rgb="FF7C3AED"/>
  </sheetPr>
  <dimension ref="A1:E21"/>
  <sheetViews>
    <sheetView zoomScaleNormal="100" workbookViewId="0">
      <pane ySplit="2" topLeftCell="A13" activePane="bottomLeft" state="frozen"/>
      <selection sqref="A1:E1"/>
      <selection pane="bottomLeft" activeCell="C9" sqref="C9"/>
    </sheetView>
  </sheetViews>
  <sheetFormatPr defaultColWidth="8.7109375" defaultRowHeight="15" x14ac:dyDescent="0.25"/>
  <cols>
    <col min="1" max="1" width="6" customWidth="1"/>
    <col min="2" max="2" width="24" customWidth="1"/>
    <col min="3" max="3" width="16" customWidth="1"/>
    <col min="4" max="4" width="50" customWidth="1"/>
    <col min="5" max="5" width="30" customWidth="1"/>
  </cols>
  <sheetData>
    <row r="1" spans="1:5" ht="24" customHeight="1" x14ac:dyDescent="0.25">
      <c r="A1" s="53" t="s">
        <v>2969</v>
      </c>
      <c r="B1" s="53"/>
      <c r="C1" s="53"/>
      <c r="D1" s="53"/>
      <c r="E1" s="53"/>
    </row>
    <row r="2" spans="1:5" ht="27.75" customHeight="1" x14ac:dyDescent="0.25">
      <c r="A2" s="1" t="s">
        <v>2970</v>
      </c>
      <c r="B2" s="1" t="s">
        <v>2971</v>
      </c>
      <c r="C2" s="1" t="s">
        <v>2972</v>
      </c>
      <c r="D2" s="1" t="s">
        <v>2973</v>
      </c>
      <c r="E2" s="1" t="s">
        <v>2974</v>
      </c>
    </row>
    <row r="3" spans="1:5" ht="21.75" customHeight="1" x14ac:dyDescent="0.25">
      <c r="A3" s="2" t="s">
        <v>2975</v>
      </c>
      <c r="B3" s="2" t="s">
        <v>0</v>
      </c>
      <c r="C3" s="3" t="s">
        <v>2976</v>
      </c>
      <c r="D3" s="2" t="s">
        <v>2977</v>
      </c>
      <c r="E3" s="2" t="s">
        <v>19</v>
      </c>
    </row>
    <row r="4" spans="1:5" ht="21.75" customHeight="1" x14ac:dyDescent="0.25">
      <c r="A4" s="4" t="s">
        <v>2978</v>
      </c>
      <c r="B4" s="4" t="s">
        <v>1</v>
      </c>
      <c r="C4" s="5" t="s">
        <v>2979</v>
      </c>
      <c r="D4" s="4" t="s">
        <v>2980</v>
      </c>
      <c r="E4" s="4" t="s">
        <v>2981</v>
      </c>
    </row>
    <row r="5" spans="1:5" ht="21.75" customHeight="1" x14ac:dyDescent="0.25">
      <c r="A5" s="2" t="s">
        <v>2982</v>
      </c>
      <c r="B5" s="2" t="s">
        <v>2</v>
      </c>
      <c r="C5" s="5" t="s">
        <v>2979</v>
      </c>
      <c r="D5" s="2" t="s">
        <v>2983</v>
      </c>
      <c r="E5" s="2" t="s">
        <v>2984</v>
      </c>
    </row>
    <row r="6" spans="1:5" ht="21.75" customHeight="1" x14ac:dyDescent="0.25">
      <c r="A6" s="4" t="s">
        <v>2985</v>
      </c>
      <c r="B6" s="4" t="s">
        <v>3</v>
      </c>
      <c r="C6" s="3" t="s">
        <v>2976</v>
      </c>
      <c r="D6" s="4" t="s">
        <v>2986</v>
      </c>
      <c r="E6" s="4" t="s">
        <v>48</v>
      </c>
    </row>
    <row r="7" spans="1:5" ht="21.75" customHeight="1" x14ac:dyDescent="0.25">
      <c r="A7" s="2" t="s">
        <v>2987</v>
      </c>
      <c r="B7" s="2" t="s">
        <v>4</v>
      </c>
      <c r="C7" s="3" t="s">
        <v>2976</v>
      </c>
      <c r="D7" s="2" t="s">
        <v>2988</v>
      </c>
      <c r="E7" s="2" t="s">
        <v>2989</v>
      </c>
    </row>
    <row r="8" spans="1:5" ht="21.75" customHeight="1" x14ac:dyDescent="0.25">
      <c r="A8" s="4" t="s">
        <v>2990</v>
      </c>
      <c r="B8" s="4" t="s">
        <v>5</v>
      </c>
      <c r="C8" s="3" t="s">
        <v>2976</v>
      </c>
      <c r="D8" s="4" t="s">
        <v>2991</v>
      </c>
      <c r="E8" s="4" t="s">
        <v>2992</v>
      </c>
    </row>
    <row r="9" spans="1:5" ht="21.75" customHeight="1" x14ac:dyDescent="0.25">
      <c r="A9" s="2" t="s">
        <v>2993</v>
      </c>
      <c r="B9" s="2" t="s">
        <v>6</v>
      </c>
      <c r="C9" s="3" t="s">
        <v>2976</v>
      </c>
      <c r="D9" s="2" t="s">
        <v>2994</v>
      </c>
      <c r="E9" s="2" t="s">
        <v>2995</v>
      </c>
    </row>
    <row r="10" spans="1:5" ht="21.75" customHeight="1" x14ac:dyDescent="0.25">
      <c r="A10" s="4" t="s">
        <v>2996</v>
      </c>
      <c r="B10" s="4" t="s">
        <v>7</v>
      </c>
      <c r="C10" s="3" t="s">
        <v>2976</v>
      </c>
      <c r="D10" s="4" t="s">
        <v>2997</v>
      </c>
      <c r="E10" s="4" t="s">
        <v>2998</v>
      </c>
    </row>
    <row r="11" spans="1:5" ht="21.75" customHeight="1" x14ac:dyDescent="0.25">
      <c r="A11" s="2" t="s">
        <v>2999</v>
      </c>
      <c r="B11" s="2" t="s">
        <v>8</v>
      </c>
      <c r="C11" s="3" t="s">
        <v>2976</v>
      </c>
      <c r="D11" s="2" t="s">
        <v>3000</v>
      </c>
      <c r="E11" s="2" t="s">
        <v>3001</v>
      </c>
    </row>
    <row r="12" spans="1:5" ht="21.75" customHeight="1" x14ac:dyDescent="0.25">
      <c r="A12" s="4" t="s">
        <v>3002</v>
      </c>
      <c r="B12" s="4" t="s">
        <v>9</v>
      </c>
      <c r="C12" s="3" t="s">
        <v>2976</v>
      </c>
      <c r="D12" s="4" t="s">
        <v>3003</v>
      </c>
      <c r="E12" s="4" t="s">
        <v>3004</v>
      </c>
    </row>
    <row r="13" spans="1:5" ht="21.75" customHeight="1" x14ac:dyDescent="0.25">
      <c r="A13" s="2" t="s">
        <v>3005</v>
      </c>
      <c r="B13" s="2" t="s">
        <v>10</v>
      </c>
      <c r="C13" s="3" t="s">
        <v>2976</v>
      </c>
      <c r="D13" s="2" t="s">
        <v>3006</v>
      </c>
      <c r="E13" s="2" t="s">
        <v>3007</v>
      </c>
    </row>
    <row r="14" spans="1:5" ht="21.75" customHeight="1" x14ac:dyDescent="0.25">
      <c r="A14" s="4" t="s">
        <v>3008</v>
      </c>
      <c r="B14" s="4" t="s">
        <v>11</v>
      </c>
      <c r="C14" s="3" t="s">
        <v>2976</v>
      </c>
      <c r="D14" s="4" t="s">
        <v>3009</v>
      </c>
      <c r="E14" s="4" t="s">
        <v>3010</v>
      </c>
    </row>
    <row r="15" spans="1:5" ht="21.75" customHeight="1" x14ac:dyDescent="0.25">
      <c r="A15" s="2" t="s">
        <v>3011</v>
      </c>
      <c r="B15" s="2" t="s">
        <v>12</v>
      </c>
      <c r="C15" s="3" t="s">
        <v>2976</v>
      </c>
      <c r="D15" s="2" t="s">
        <v>3012</v>
      </c>
      <c r="E15" s="2" t="s">
        <v>1307</v>
      </c>
    </row>
    <row r="16" spans="1:5" ht="21.75" customHeight="1" x14ac:dyDescent="0.25">
      <c r="A16" s="4" t="s">
        <v>3013</v>
      </c>
      <c r="B16" s="4" t="s">
        <v>13</v>
      </c>
      <c r="C16" s="6" t="s">
        <v>3014</v>
      </c>
      <c r="D16" s="4" t="s">
        <v>3015</v>
      </c>
      <c r="E16" s="4" t="s">
        <v>3016</v>
      </c>
    </row>
    <row r="17" spans="1:5" ht="21.75" customHeight="1" x14ac:dyDescent="0.25">
      <c r="A17" s="2" t="s">
        <v>3017</v>
      </c>
      <c r="B17" s="2" t="s">
        <v>14</v>
      </c>
      <c r="C17" s="7" t="s">
        <v>3018</v>
      </c>
      <c r="D17" s="2" t="s">
        <v>3019</v>
      </c>
      <c r="E17" s="2" t="s">
        <v>3020</v>
      </c>
    </row>
    <row r="18" spans="1:5" ht="21.75" customHeight="1" x14ac:dyDescent="0.25">
      <c r="A18" s="4" t="s">
        <v>3021</v>
      </c>
      <c r="B18" s="4" t="s">
        <v>15</v>
      </c>
      <c r="C18" s="6" t="s">
        <v>3014</v>
      </c>
      <c r="D18" s="4" t="s">
        <v>3022</v>
      </c>
      <c r="E18" s="4" t="s">
        <v>3023</v>
      </c>
    </row>
    <row r="19" spans="1:5" ht="21.75" customHeight="1" x14ac:dyDescent="0.25">
      <c r="A19" s="2" t="s">
        <v>3024</v>
      </c>
      <c r="B19" s="2" t="s">
        <v>16</v>
      </c>
      <c r="C19" s="7" t="s">
        <v>3018</v>
      </c>
      <c r="D19" s="2" t="s">
        <v>3025</v>
      </c>
      <c r="E19" s="2" t="s">
        <v>3026</v>
      </c>
    </row>
    <row r="20" spans="1:5" ht="21.75" customHeight="1" x14ac:dyDescent="0.25">
      <c r="A20" s="4" t="s">
        <v>3027</v>
      </c>
      <c r="B20" s="4" t="s">
        <v>17</v>
      </c>
      <c r="C20" s="7" t="s">
        <v>3018</v>
      </c>
      <c r="D20" s="4" t="s">
        <v>3028</v>
      </c>
      <c r="E20" s="4" t="s">
        <v>3029</v>
      </c>
    </row>
    <row r="21" spans="1:5" ht="21.75" customHeight="1" x14ac:dyDescent="0.25">
      <c r="A21" s="2" t="s">
        <v>3030</v>
      </c>
      <c r="B21" s="2" t="s">
        <v>18</v>
      </c>
      <c r="C21" s="7" t="s">
        <v>3018</v>
      </c>
      <c r="D21" s="2" t="s">
        <v>3031</v>
      </c>
      <c r="E21" s="2" t="s">
        <v>3032</v>
      </c>
    </row>
  </sheetData>
  <mergeCells count="1">
    <mergeCell ref="A1:E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4</vt:i4>
      </vt:variant>
    </vt:vector>
  </HeadingPairs>
  <TitlesOfParts>
    <vt:vector size="18" baseType="lpstr">
      <vt:lpstr>Raw Data (3)</vt:lpstr>
      <vt:lpstr>Raw Data (2)</vt:lpstr>
      <vt:lpstr>Raw Data (4)</vt:lpstr>
      <vt:lpstr>Raw Data</vt:lpstr>
      <vt:lpstr>Sheet2</vt:lpstr>
      <vt:lpstr>Pivot Tables_Dash</vt:lpstr>
      <vt:lpstr>Pivot Tables</vt:lpstr>
      <vt:lpstr>LOOKUP FUNCTIONS</vt:lpstr>
      <vt:lpstr>hlookup data</vt:lpstr>
      <vt:lpstr>FUNCTIONS</vt:lpstr>
      <vt:lpstr>formula</vt:lpstr>
      <vt:lpstr>Sheet1</vt:lpstr>
      <vt:lpstr>Sheet7</vt:lpstr>
      <vt:lpstr>Data Dictionary</vt:lpstr>
      <vt:lpstr>'Raw Data (2)'!ggg</vt:lpstr>
      <vt:lpstr>'Raw Data (3)'!ggg</vt:lpstr>
      <vt:lpstr>'Raw Data (4)'!ggg</vt:lpstr>
      <vt:lpstr>ggg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esthermorka@outlook.com</cp:lastModifiedBy>
  <dcterms:created xsi:type="dcterms:W3CDTF">2026-04-05T22:00:49Z</dcterms:created>
  <dcterms:modified xsi:type="dcterms:W3CDTF">2026-04-27T19:25:01Z</dcterms:modified>
</cp:coreProperties>
</file>